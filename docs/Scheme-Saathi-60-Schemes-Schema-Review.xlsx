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cheme review" sheetId="1" state="visible" r:id="rId1"/>
    <sheet name="Eligibility" sheetId="2" state="visible" r:id="rId2"/>
    <sheet name="Documents and links" sheetId="3" state="visible" r:id="rId3"/>
    <sheet name="Application steps" sheetId="4" state="visible" r:id="rId4"/>
    <sheet name="Applicant documents" sheetId="5" state="visible" r:id="rId5"/>
    <sheet name="Source passages" sheetId="6" state="visible" r:id="rId6"/>
    <sheet name="Schema fields" sheetId="7" state="visible" r:id="rId7"/>
    <sheet name="Coverage" sheetId="8" state="visible" r:id="rId8"/>
  </sheets>
  <definedNames>
    <definedName name="_xlnm.Print_Titles" localSheetId="0">'Scheme review'!$5:$5</definedName>
    <definedName name="_xlnm._FilterDatabase" localSheetId="1" hidden="1">'Eligibility'!$A$5:$P$532</definedName>
    <definedName name="_xlnm.Print_Titles" localSheetId="1">'Eligibility'!$5:$5</definedName>
    <definedName name="_xlnm._FilterDatabase" localSheetId="2" hidden="1">'Documents and links'!$A$5:$M$321</definedName>
    <definedName name="_xlnm.Print_Titles" localSheetId="2">'Documents and links'!$5:$5</definedName>
    <definedName name="_xlnm.Print_Titles" localSheetId="3">'Application steps'!$5:$5</definedName>
    <definedName name="_xlnm.Print_Titles" localSheetId="4">'Applicant documents'!$5:$5</definedName>
    <definedName name="_xlnm.Print_Titles" localSheetId="5">'Source passages'!$5:$5</definedName>
    <definedName name="_xlnm.Print_Titles" localSheetId="6">'Schema fields'!$5:$5</definedName>
    <definedName name="_xlnm.Print_Titles" localSheetId="7">'Coverage'!$5:$5</definedName>
  </definedNames>
  <calcPr calcId="124519" fullCalcOnLoad="1"/>
</workbook>
</file>

<file path=xl/styles.xml><?xml version="1.0" encoding="utf-8"?>
<styleSheet xmlns="http://schemas.openxmlformats.org/spreadsheetml/2006/main">
  <numFmts count="1">
    <numFmt numFmtId="164" formatCode="dd mmm yyyy"/>
  </numFmts>
  <fonts count="6">
    <font>
      <name val="Calibri"/>
      <family val="2"/>
      <color theme="1"/>
      <sz val="11"/>
      <scheme val="minor"/>
    </font>
    <font>
      <name val="Arial"/>
      <family val="2"/>
      <b val="1"/>
      <color rgb="FF263445"/>
      <sz val="16"/>
    </font>
    <font>
      <name val="Arial"/>
      <family val="2"/>
      <color rgb="FF526174"/>
      <sz val="11"/>
    </font>
    <font>
      <name val="Arial"/>
      <family val="2"/>
      <b val="1"/>
      <color rgb="FFFFFFFF"/>
      <sz val="11"/>
    </font>
    <font>
      <name val="Arial"/>
      <family val="2"/>
      <color rgb="FF263445"/>
      <sz val="11"/>
    </font>
    <font>
      <name val="Arial"/>
      <family val="2"/>
      <color rgb="FF0563C1"/>
      <sz val="11"/>
      <u val="single"/>
    </font>
  </fonts>
  <fills count="5">
    <fill>
      <patternFill/>
    </fill>
    <fill>
      <patternFill patternType="gray125"/>
    </fill>
    <fill>
      <patternFill patternType="solid">
        <fgColor rgb="FF233D62"/>
        <bgColor indexed="64"/>
      </patternFill>
    </fill>
    <fill>
      <patternFill patternType="solid">
        <fgColor rgb="FFF0F4F8"/>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horizontal="center" vertical="center" wrapText="1"/>
    </xf>
    <xf numFmtId="0" fontId="4" fillId="3" borderId="0" applyAlignment="1" pivotButton="0" quotePrefix="0" xfId="0">
      <alignment vertical="top" wrapText="1"/>
    </xf>
    <xf numFmtId="0" fontId="5" fillId="0" borderId="0" applyAlignment="1" pivotButton="0" quotePrefix="0" xfId="0">
      <alignment vertical="top" wrapText="1"/>
    </xf>
    <xf numFmtId="164" fontId="4" fillId="3" borderId="0" applyAlignment="1" pivotButton="0" quotePrefix="0" xfId="0">
      <alignment vertical="top" wrapText="1"/>
    </xf>
    <xf numFmtId="0" fontId="4" fillId="4" borderId="0" applyAlignment="1" pivotButton="0" quotePrefix="0" xfId="0">
      <alignment vertical="top" wrapText="1"/>
    </xf>
    <xf numFmtId="0" fontId="4" fillId="0" borderId="0" applyAlignment="1" pivotButton="0" quotePrefix="0" xfId="0">
      <alignment vertical="top" wrapText="1"/>
    </xf>
    <xf numFmtId="164" fontId="4" fillId="0" borderId="0" applyAlignment="1" pivotButton="0" quotePrefix="0" xfId="0">
      <alignment vertical="top" wrapText="1"/>
    </xf>
    <xf numFmtId="3" fontId="4" fillId="3" borderId="0" applyAlignment="1" pivotButton="0" quotePrefix="0" xfId="0">
      <alignment vertical="top" wrapText="1"/>
    </xf>
    <xf numFmtId="3" fontId="4" fillId="0" borderId="0" applyAlignment="1" pivotButton="0" quotePrefix="0" xfId="0">
      <alignment vertical="top" wrapText="1"/>
    </xf>
    <xf numFmtId="3" fontId="4" fillId="3" borderId="0" applyAlignment="1" pivotButton="0" quotePrefix="0" xfId="0">
      <alignment vertical="top" wrapText="1"/>
    </xf>
    <xf numFmtId="3" fontId="4" fillId="0" borderId="0" applyAlignment="1" pivotButton="0" quotePrefix="0" xfId="0">
      <alignment vertical="top" wrapText="1"/>
    </xf>
  </cellXfs>
  <cellStyles count="1">
    <cellStyle name="Normal" xfId="0" builtinId="0"/>
  </cellStyles>
  <dxfs count="1">
    <dxf>
      <font>
        <color rgb="FF375623"/>
      </font>
      <fill>
        <patternFill>
          <bgColor rgb="FF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SchemereviewTable" displayName="SchemereviewTable" ref="A5:AE65" headerRowCount="1" totalsRowShown="0">
  <autoFilter ref="A5:AE65"/>
  <tableColumns count="31">
    <tableColumn id="1" name="ID"/>
    <tableColumn id="2" name="Scheme"/>
    <tableColumn id="3" name="Government"/>
    <tableColumn id="4" name="Geography"/>
    <tableColumn id="5" name="Benefits / purpose"/>
    <tableColumn id="6" name="Applicant documents"/>
    <tableColumn id="7" name="Application route"/>
    <tableColumn id="8" name="Manual checks / conflicts"/>
    <tableColumn id="9" name="Official page"/>
    <tableColumn id="10" name="Research date"/>
    <tableColumn id="11" name="Review status"/>
    <tableColumn id="12" name="Reviewer"/>
    <tableColumn id="13" name="Reviewer notes"/>
    <tableColumn id="14" name="Official categories"/>
    <tableColumn id="15" name="Applicant type (source)"/>
    <tableColumn id="16" name="Target beneficiaries (source)"/>
    <tableColumn id="17" name="Ministry / provider"/>
    <tableColumn id="18" name="Department"/>
    <tableColumn id="19" name="myScheme slug"/>
    <tableColumn id="20" name="Source ID"/>
    <tableColumn id="21" name="Original level label"/>
    <tableColumn id="22" name="Source open date"/>
    <tableColumn id="23" name="Source close date"/>
    <tableColumn id="24" name="Application availability"/>
    <tableColumn id="25" name="Eligibility capture"/>
    <tableColumn id="26" name="Exclusions capture"/>
    <tableColumn id="27" name="Source application modes"/>
    <tableColumn id="28" name="Document capture"/>
    <tableColumn id="29" name="Schema patterns to test"/>
    <tableColumn id="30" name="Current source name / alias"/>
    <tableColumn id="31" name="Snapshot hash"/>
  </tableColumns>
  <tableStyleInfo name="TableStyleLight9" showFirstColumn="0" showLastColumn="0" showRowStripes="1" showColumnStripes="0"/>
</table>
</file>

<file path=xl/tables/table2.xml><?xml version="1.0" encoding="utf-8"?>
<table xmlns="http://schemas.openxmlformats.org/spreadsheetml/2006/main" id="2" name="EligibilityTable" displayName="EligibilityTable" ref="A5:P532" headerRowCount="1" totalsRowShown="0">
  <autoFilter ref="A5:P532"/>
  <tableColumns count="16">
    <tableColumn id="1" name="Scheme ID"/>
    <tableColumn id="2" name="Scheme"/>
    <tableColumn id="3" name="Rule / source row ID"/>
    <tableColumn id="4" name="Condition type"/>
    <tableColumn id="5" name="Eligibility / restriction"/>
    <tableColumn id="6" name="Source and passage"/>
    <tableColumn id="7" name="Source context / interpretation"/>
    <tableColumn id="8" name="Review status"/>
    <tableColumn id="9" name="Reviewer corrections"/>
    <tableColumn id="10" name="Section"/>
    <tableColumn id="11" name="Original source path"/>
    <tableColumn id="12" name="Version ID"/>
    <tableColumn id="13" name="Representation"/>
    <tableColumn id="14" name="Subject / scope mapping"/>
    <tableColumn id="15" name="Continuation part"/>
    <tableColumn id="16" name="Proposed field / operator"/>
  </tableColumns>
  <tableStyleInfo name="TableStyleLight9" showFirstColumn="0" showLastColumn="0" showRowStripes="1" showColumnStripes="0"/>
</table>
</file>

<file path=xl/tables/table3.xml><?xml version="1.0" encoding="utf-8"?>
<table xmlns="http://schemas.openxmlformats.org/spreadsheetml/2006/main" id="3" name="DocumentsandlinksTable" displayName="DocumentsandlinksTable" ref="A5:M321" headerRowCount="1" totalsRowShown="0">
  <autoFilter ref="A5:M321"/>
  <tableColumns count="13">
    <tableColumn id="1" name="Source ID"/>
    <tableColumn id="2" name="Scheme IDs"/>
    <tableColumn id="3" name="Document type"/>
    <tableColumn id="4" name="Document / page title"/>
    <tableColumn id="5" name="Open link"/>
    <tableColumn id="6" name="Where to look / source path"/>
    <tableColumn id="7" name="Access / completeness"/>
    <tableColumn id="8" name="Language"/>
    <tableColumn id="9" name="Source date / version"/>
    <tableColumn id="10" name="Research date"/>
    <tableColumn id="11" name="Reviewer notes"/>
    <tableColumn id="12" name="URL"/>
    <tableColumn id="13" name="Snapshot hash"/>
  </tableColumns>
  <tableStyleInfo name="TableStyleLight9" showFirstColumn="0" showLastColumn="0" showRowStripes="1" showColumnStripes="0"/>
</table>
</file>

<file path=xl/tables/table4.xml><?xml version="1.0" encoding="utf-8"?>
<table xmlns="http://schemas.openxmlformats.org/spreadsheetml/2006/main" id="4" name="ApplicationstepsTable" displayName="ApplicationstepsTable" ref="A5:N684" headerRowCount="1" totalsRowShown="0">
  <autoFilter ref="A5:N684"/>
  <tableColumns count="14">
    <tableColumn id="1" name="Scheme ID"/>
    <tableColumn id="2" name="Scheme"/>
    <tableColumn id="3" name="Passage ID"/>
    <tableColumn id="4" name="Source mode"/>
    <tableColumn id="5" name="Source phase / heading"/>
    <tableColumn id="6" name="Row type"/>
    <tableColumn id="7" name="Step / process text"/>
    <tableColumn id="8" name="Original source path"/>
    <tableColumn id="9" name="Version ID"/>
    <tableColumn id="10" name="Source ID"/>
    <tableColumn id="11" name="Continuation part"/>
    <tableColumn id="12" name="Review status"/>
    <tableColumn id="13" name="Reviewer corrections"/>
    <tableColumn id="14" name="Workflow modelling note"/>
  </tableColumns>
  <tableStyleInfo name="TableStyleLight9" showFirstColumn="0" showLastColumn="0" showRowStripes="1" showColumnStripes="0"/>
</table>
</file>

<file path=xl/tables/table5.xml><?xml version="1.0" encoding="utf-8"?>
<table xmlns="http://schemas.openxmlformats.org/spreadsheetml/2006/main" id="5" name="ApplicantdocumentsTable" displayName="ApplicantdocumentsTable" ref="A5:J485" headerRowCount="1" totalsRowShown="0">
  <autoFilter ref="A5:J485"/>
  <tableColumns count="10">
    <tableColumn id="1" name="Scheme ID"/>
    <tableColumn id="2" name="Scheme"/>
    <tableColumn id="3" name="Passage / row ID"/>
    <tableColumn id="4" name="Applicant document / source text"/>
    <tableColumn id="5" name="Source context"/>
    <tableColumn id="6" name="Source ID"/>
    <tableColumn id="7" name="Version ID"/>
    <tableColumn id="8" name="Review status"/>
    <tableColumn id="9" name="Reviewer corrections"/>
    <tableColumn id="10" name="Applicability / completeness"/>
  </tableColumns>
  <tableStyleInfo name="TableStyleLight9" showFirstColumn="0" showLastColumn="0" showRowStripes="1" showColumnStripes="0"/>
</table>
</file>

<file path=xl/tables/table6.xml><?xml version="1.0" encoding="utf-8"?>
<table xmlns="http://schemas.openxmlformats.org/spreadsheetml/2006/main" id="6" name="SourcepassagesTable" displayName="SourcepassagesTable" ref="A5:N3166" headerRowCount="1" totalsRowShown="0">
  <autoFilter ref="A5:N3166"/>
  <tableColumns count="14">
    <tableColumn id="1" name="Passage ID"/>
    <tableColumn id="2" name="Scheme ID"/>
    <tableColumn id="3" name="Scheme"/>
    <tableColumn id="4" name="Section"/>
    <tableColumn id="5" name="Source heading"/>
    <tableColumn id="6" name="Original source path"/>
    <tableColumn id="7" name="Version ID"/>
    <tableColumn id="8" name="Part"/>
    <tableColumn id="9" name="Parts"/>
    <tableColumn id="10" name="Source text"/>
    <tableColumn id="11" name="Source ID"/>
    <tableColumn id="12" name="Research date"/>
    <tableColumn id="13" name="Review state"/>
    <tableColumn id="14" name="Source node type"/>
  </tableColumns>
  <tableStyleInfo name="TableStyleLight9" showFirstColumn="0" showLastColumn="0" showRowStripes="1" showColumnStripes="0"/>
</table>
</file>

<file path=xl/tables/table7.xml><?xml version="1.0" encoding="utf-8"?>
<table xmlns="http://schemas.openxmlformats.org/spreadsheetml/2006/main" id="7" name="SchemafieldsTable" displayName="SchemafieldsTable" ref="A5:G41" headerRowCount="1" totalsRowShown="0">
  <autoFilter ref="A5:G41"/>
  <tableColumns count="7">
    <tableColumn id="1" name="Entity"/>
    <tableColumn id="2" name="Field / relationship"/>
    <tableColumn id="3" name="Storage type"/>
    <tableColumn id="4" name="Requirement"/>
    <tableColumn id="5" name="Purpose"/>
    <tableColumn id="6" name="Example"/>
    <tableColumn id="7" name="Design constraint"/>
  </tableColumns>
  <tableStyleInfo name="TableStyleLight9" showFirstColumn="0" showLastColumn="0" showRowStripes="1" showColumnStripes="0"/>
</table>
</file>

<file path=xl/tables/table8.xml><?xml version="1.0" encoding="utf-8"?>
<table xmlns="http://schemas.openxmlformats.org/spreadsheetml/2006/main" id="8" name="CoverageTable" displayName="CoverageTable" ref="A5:D35" headerRowCount="1" totalsRowShown="0">
  <autoFilter ref="A5:D35"/>
  <tableColumns count="4">
    <tableColumn id="1" name="Group"/>
    <tableColumn id="2" name="Measure / topic"/>
    <tableColumn id="3" name="Count"/>
    <tableColumn id="4" name="Explanat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yscheme.gov.in/schemes/pmjjby" TargetMode="External" Id="rId1" /><Relationship Type="http://schemas.openxmlformats.org/officeDocument/2006/relationships/hyperlink" Target="https://www.myscheme.gov.in/schemes/pmsby" TargetMode="External" Id="rId2" /><Relationship Type="http://schemas.openxmlformats.org/officeDocument/2006/relationships/hyperlink" Target="https://www.myscheme.gov.in/schemes/pmkmdy" TargetMode="External" Id="rId3" /><Relationship Type="http://schemas.openxmlformats.org/officeDocument/2006/relationships/hyperlink" Target="https://www.myscheme.gov.in/schemes/apy" TargetMode="External" Id="rId4" /><Relationship Type="http://schemas.openxmlformats.org/officeDocument/2006/relationships/hyperlink" Target="https://www.myscheme.gov.in/schemes/pm-sym" TargetMode="External" Id="rId5" /><Relationship Type="http://schemas.openxmlformats.org/officeDocument/2006/relationships/hyperlink" Target="https://www.myscheme.gov.in/schemes/ignwps" TargetMode="External" Id="rId6" /><Relationship Type="http://schemas.openxmlformats.org/officeDocument/2006/relationships/hyperlink" Target="https://www.myscheme.gov.in/schemes/sgngs" TargetMode="External" Id="rId7" /><Relationship Type="http://schemas.openxmlformats.org/officeDocument/2006/relationships/hyperlink" Target="https://www.myscheme.gov.in/schemes/sbssps" TargetMode="External" Id="rId8" /><Relationship Type="http://schemas.openxmlformats.org/officeDocument/2006/relationships/hyperlink" Target="https://www.zpbeed.gov.in/en/scheme/lek-ladki-yojana/" TargetMode="External" Id="rId9" /><Relationship Type="http://schemas.openxmlformats.org/officeDocument/2006/relationships/hyperlink" Target="https://sjsa.maharashtra.gov.in/scheme/&#2350;&#2369;&#2326;&#2381;&#2351;&#2350;&#2306;&#2340;&#2381;&#2352;&#2368;-&#2357;&#2351;&#2379;&#2358;&#2381;&#2352;&#2368;-&#2351;&#2379;&#2332;&#2344;/" TargetMode="External" Id="rId10" /><Relationship Type="http://schemas.openxmlformats.org/officeDocument/2006/relationships/hyperlink" Target="https://www.myscheme.gov.in/schemes/rkvp" TargetMode="External" Id="rId11" /><Relationship Type="http://schemas.openxmlformats.org/officeDocument/2006/relationships/hyperlink" Target="https://www.myscheme.gov.in/schemes/mda-fert" TargetMode="External" Id="rId12" /><Relationship Type="http://schemas.openxmlformats.org/officeDocument/2006/relationships/hyperlink" Target="https://www.myscheme.gov.in/schemes/prism-c2-fwmpkhttptt" TargetMode="External" Id="rId13" /><Relationship Type="http://schemas.openxmlformats.org/officeDocument/2006/relationships/hyperlink" Target="https://www.myscheme.gov.in/schemes/kvyoj" TargetMode="External" Id="rId14" /><Relationship Type="http://schemas.openxmlformats.org/officeDocument/2006/relationships/hyperlink" Target="https://www.myscheme.gov.in/schemes/sui" TargetMode="External" Id="rId15" /><Relationship Type="http://schemas.openxmlformats.org/officeDocument/2006/relationships/hyperlink" Target="https://www.myscheme.gov.in/schemes/mi-hma-nhdp" TargetMode="External" Id="rId16" /><Relationship Type="http://schemas.openxmlformats.org/officeDocument/2006/relationships/hyperlink" Target="https://www.myscheme.gov.in/schemes/kcc" TargetMode="External" Id="rId17" /><Relationship Type="http://schemas.openxmlformats.org/officeDocument/2006/relationships/hyperlink" Target="https://www.myscheme.gov.in/schemes/pmfby" TargetMode="External" Id="rId18" /><Relationship Type="http://schemas.openxmlformats.org/officeDocument/2006/relationships/hyperlink" Target="https://www.myscheme.gov.in/schemes/pg-igssgc" TargetMode="External" Id="rId19" /><Relationship Type="http://schemas.openxmlformats.org/officeDocument/2006/relationships/hyperlink" Target="https://www.myscheme.gov.in/schemes/dacssiselosobcebc" TargetMode="External" Id="rId20" /><Relationship Type="http://schemas.openxmlformats.org/officeDocument/2006/relationships/hyperlink" Target="https://www.myscheme.gov.in/schemes/nikshay" TargetMode="External" Id="rId21" /><Relationship Type="http://schemas.openxmlformats.org/officeDocument/2006/relationships/hyperlink" Target="https://www.myscheme.gov.in/schemes/pmsma" TargetMode="External" Id="rId22" /><Relationship Type="http://schemas.openxmlformats.org/officeDocument/2006/relationships/hyperlink" Target="https://www.myscheme.gov.in/schemes/pm-poshan" TargetMode="External" Id="rId23" /><Relationship Type="http://schemas.openxmlformats.org/officeDocument/2006/relationships/hyperlink" Target="https://www.myscheme.gov.in/schemes/yhs" TargetMode="External" Id="rId24" /><Relationship Type="http://schemas.openxmlformats.org/officeDocument/2006/relationships/hyperlink" Target="https://www.myscheme.gov.in/schemes/avyay-napsc-hssc" TargetMode="External" Id="rId25" /><Relationship Type="http://schemas.openxmlformats.org/officeDocument/2006/relationships/hyperlink" Target="https://www.myscheme.gov.in/schemes/nms" TargetMode="External" Id="rId26" /><Relationship Type="http://schemas.openxmlformats.org/officeDocument/2006/relationships/hyperlink" Target="https://www.myscheme.gov.in/schemes/nari-adalat" TargetMode="External" Id="rId27" /><Relationship Type="http://schemas.openxmlformats.org/officeDocument/2006/relationships/hyperlink" Target="https://www.myscheme.gov.in/schemes/n-pdf" TargetMode="External" Id="rId28" /><Relationship Type="http://schemas.openxmlformats.org/officeDocument/2006/relationships/hyperlink" Target="https://www.myscheme.gov.in/schemes/widushi" TargetMode="External" Id="rId29" /><Relationship Type="http://schemas.openxmlformats.org/officeDocument/2006/relationships/hyperlink" Target="https://www.myscheme.gov.in/schemes/tare" TargetMode="External" Id="rId30" /><Relationship Type="http://schemas.openxmlformats.org/officeDocument/2006/relationships/hyperlink" Target="https://www.myscheme.gov.in/schemes/pm-vikas" TargetMode="External" Id="rId31" /><Relationship Type="http://schemas.openxmlformats.org/officeDocument/2006/relationships/hyperlink" Target="https://www.myscheme.gov.in/schemes/ay" TargetMode="External" Id="rId32" /><Relationship Type="http://schemas.openxmlformats.org/officeDocument/2006/relationships/hyperlink" Target="https://www.myscheme.gov.in/schemes/igndps" TargetMode="External" Id="rId33" /><Relationship Type="http://schemas.openxmlformats.org/officeDocument/2006/relationships/hyperlink" Target="https://www.myscheme.gov.in/schemes/hepsn" TargetMode="External" Id="rId34" /><Relationship Type="http://schemas.openxmlformats.org/officeDocument/2006/relationships/hyperlink" Target="https://www.myscheme.gov.in/schemes/sfava" TargetMode="External" Id="rId35" /><Relationship Type="http://schemas.openxmlformats.org/officeDocument/2006/relationships/hyperlink" Target="https://www.myscheme.gov.in/schemes/fesmwpnie" TargetMode="External" Id="rId36" /><Relationship Type="http://schemas.openxmlformats.org/officeDocument/2006/relationships/hyperlink" Target="https://www.myscheme.gov.in/schemes/gstecs" TargetMode="External" Id="rId37" /><Relationship Type="http://schemas.openxmlformats.org/officeDocument/2006/relationships/hyperlink" Target="https://www.myscheme.gov.in/schemes/neca" TargetMode="External" Id="rId38" /><Relationship Type="http://schemas.openxmlformats.org/officeDocument/2006/relationships/hyperlink" Target="https://www.myscheme.gov.in/schemes/mdas" TargetMode="External" Id="rId39" /><Relationship Type="http://schemas.openxmlformats.org/officeDocument/2006/relationships/hyperlink" Target="https://www.myscheme.gov.in/schemes/ai-tgses" TargetMode="External" Id="rId40" /><Relationship Type="http://schemas.openxmlformats.org/officeDocument/2006/relationships/hyperlink" Target="https://www.myscheme.gov.in/schemes/prashad" TargetMode="External" Id="rId41" /><Relationship Type="http://schemas.openxmlformats.org/officeDocument/2006/relationships/hyperlink" Target="https://www.myscheme.gov.in/schemes/pahal-dbtl" TargetMode="External" Id="rId42" /><Relationship Type="http://schemas.openxmlformats.org/officeDocument/2006/relationships/hyperlink" Target="https://www.myscheme.gov.in/schemes/aby-mojs" TargetMode="External" Id="rId43" /><Relationship Type="http://schemas.openxmlformats.org/officeDocument/2006/relationships/hyperlink" Target="https://www.myscheme.gov.in/schemes/spmsd" TargetMode="External" Id="rId44" /><Relationship Type="http://schemas.openxmlformats.org/officeDocument/2006/relationships/hyperlink" Target="https://www.myscheme.gov.in/schemes/hiip" TargetMode="External" Id="rId45" /><Relationship Type="http://schemas.openxmlformats.org/officeDocument/2006/relationships/hyperlink" Target="https://www.myscheme.gov.in/schemes/lgss" TargetMode="External" Id="rId46" /><Relationship Type="http://schemas.openxmlformats.org/officeDocument/2006/relationships/hyperlink" Target="https://www.myscheme.gov.in/schemes/mkym" TargetMode="External" Id="rId47" /><Relationship Type="http://schemas.openxmlformats.org/officeDocument/2006/relationships/hyperlink" Target="https://www.myscheme.gov.in/schemes/msym" TargetMode="External" Id="rId48" /><Relationship Type="http://schemas.openxmlformats.org/officeDocument/2006/relationships/hyperlink" Target="https://www.myscheme.gov.in/schemes/faaadp" TargetMode="External" Id="rId49" /><Relationship Type="http://schemas.openxmlformats.org/officeDocument/2006/relationships/hyperlink" Target="https://www.myscheme.gov.in/schemes/fadse" TargetMode="External" Id="rId50" /><Relationship Type="http://schemas.openxmlformats.org/officeDocument/2006/relationships/hyperlink" Target="https://www.myscheme.gov.in/schemes/rassnb" TargetMode="External" Id="rId51" /><Relationship Type="http://schemas.openxmlformats.org/officeDocument/2006/relationships/hyperlink" Target="https://www.myscheme.gov.in/schemes/namo-shetkari-mahasanman-nidhi-yojana" TargetMode="External" Id="rId52" /><Relationship Type="http://schemas.openxmlformats.org/officeDocument/2006/relationships/hyperlink" Target="https://www.myscheme.gov.in/schemes/cmegp" TargetMode="External" Id="rId53" /><Relationship Type="http://schemas.openxmlformats.org/officeDocument/2006/relationships/hyperlink" Target="https://www.myscheme.gov.in/schemes/pocra" TargetMode="External" Id="rId54" /><Relationship Type="http://schemas.openxmlformats.org/officeDocument/2006/relationships/hyperlink" Target="https://www.myscheme.gov.in/schemes/matci" TargetMode="External" Id="rId55" /><Relationship Type="http://schemas.openxmlformats.org/officeDocument/2006/relationships/hyperlink" Target="https://www.myscheme.gov.in/schemes/gaoah" TargetMode="External" Id="rId56" /><Relationship Type="http://schemas.openxmlformats.org/officeDocument/2006/relationships/hyperlink" Target="https://www.myscheme.gov.in/schemes/tmdvso" TargetMode="External" Id="rId57" /><Relationship Type="http://schemas.openxmlformats.org/officeDocument/2006/relationships/hyperlink" Target="https://www.myscheme.gov.in/schemes/mmlby" TargetMode="External" Id="rId58" /><Relationship Type="http://schemas.openxmlformats.org/officeDocument/2006/relationships/hyperlink" Target="https://www.myscheme.gov.in/schemes/mjpjay" TargetMode="External" Id="rId59" /><Relationship Type="http://schemas.openxmlformats.org/officeDocument/2006/relationships/hyperlink" Target="https://www.myscheme.gov.in/schemes/mmykpy" TargetMode="External" Id="rId60" /><Relationship Type="http://schemas.openxmlformats.org/officeDocument/2006/relationships/table" Target="/xl/tables/table1.xml" Id="rId6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hyperlink" Target="https://www.myscheme.gov.in/schemes/pmjjby" TargetMode="External" Id="rId1" /><Relationship Type="http://schemas.openxmlformats.org/officeDocument/2006/relationships/hyperlink" Target="https://www.jansuraksha.gov.in/Files/PMJJBY/English/ApplicationForm.pdf#zoom=250" TargetMode="External" Id="rId2" /><Relationship Type="http://schemas.openxmlformats.org/officeDocument/2006/relationships/hyperlink" Target="https://www.jansuraksha.gov.in/Files/PMJJBY/English/ApplicationForm.pdf#zoom=250" TargetMode="External" Id="rId3" /><Relationship Type="http://schemas.openxmlformats.org/officeDocument/2006/relationships/hyperlink" Target="https://jansuraksha.gov.in/Files/PMJJBY/English/Rules.pdf" TargetMode="External" Id="rId4" /><Relationship Type="http://schemas.openxmlformats.org/officeDocument/2006/relationships/hyperlink" Target="https://www.myscheme.gov.in/schemes/pmsby" TargetMode="External" Id="rId5" /><Relationship Type="http://schemas.openxmlformats.org/officeDocument/2006/relationships/hyperlink" Target="https://jansuraksha.gov.in/Forms-PMSBY.aspx" TargetMode="External" Id="rId6" /><Relationship Type="http://schemas.openxmlformats.org/officeDocument/2006/relationships/hyperlink" Target="https://jansuraksha.gov.in/files/STATEWISETOLLFREE.pdf" TargetMode="External" Id="rId7" /><Relationship Type="http://schemas.openxmlformats.org/officeDocument/2006/relationships/hyperlink" Target="https://jansuraksha.gov.in/Forms-PMSBY.aspx" TargetMode="External" Id="rId8" /><Relationship Type="http://schemas.openxmlformats.org/officeDocument/2006/relationships/hyperlink" Target="https://jansuraksha.gov.in/Files/PMSBY/English/Rules.pdf" TargetMode="External" Id="rId9" /><Relationship Type="http://schemas.openxmlformats.org/officeDocument/2006/relationships/hyperlink" Target="https://www.myscheme.gov.in/schemes/pmkmdy" TargetMode="External" Id="rId10" /><Relationship Type="http://schemas.openxmlformats.org/officeDocument/2006/relationships/hyperlink" Target="https://pmkmy.gov.in/scheme/pmkmy" TargetMode="External" Id="rId11" /><Relationship Type="http://schemas.openxmlformats.org/officeDocument/2006/relationships/hyperlink" Target="https://pmkmy.gov.in/page/faq" TargetMode="External" Id="rId12" /><Relationship Type="http://schemas.openxmlformats.org/officeDocument/2006/relationships/hyperlink" Target="https://pmkmy.gov.in/scheme/pmkmy" TargetMode="External" Id="rId13" /><Relationship Type="http://schemas.openxmlformats.org/officeDocument/2006/relationships/hyperlink" Target="https://www.myscheme.gov.in/schemes/apy" TargetMode="External" Id="rId14" /><Relationship Type="http://schemas.openxmlformats.org/officeDocument/2006/relationships/hyperlink" Target="https://enps.nsdl.com/eNPS/NationalPensionSystem.html" TargetMode="External" Id="rId15" /><Relationship Type="http://schemas.openxmlformats.org/officeDocument/2006/relationships/hyperlink" Target="https://enps.nsdl.com/eNPS/NationalPensionSystem.html" TargetMode="External" Id="rId16" /><Relationship Type="http://schemas.openxmlformats.org/officeDocument/2006/relationships/hyperlink" Target="https://www.npscra.nsdl.co.in/nsdl/scheme-details/APY_Subscribers_Contribution_Chart_1.pdf" TargetMode="External" Id="rId17" /><Relationship Type="http://schemas.openxmlformats.org/officeDocument/2006/relationships/hyperlink" Target="https://www.npscra.nsdl.co.in/nsdl/scheme-details/APY_Subscribers_Contribution_Chart_1.pdf" TargetMode="External" Id="rId18" /><Relationship Type="http://schemas.openxmlformats.org/officeDocument/2006/relationships/hyperlink" Target="https://www.npscra.nsdl.co.in/" TargetMode="External" Id="rId19" /><Relationship Type="http://schemas.openxmlformats.org/officeDocument/2006/relationships/hyperlink" Target="https://www.npscra.nsdl.co.in/nsdl/scheme-details/APY_Subscribers_Contribution_Chart_1.pdf" TargetMode="External" Id="rId20" /><Relationship Type="http://schemas.openxmlformats.org/officeDocument/2006/relationships/hyperlink" Target="https://www.npscra.nsdl.co.in/nsdl/scheme-details/APY_Subscribers_Contribution_Chart_1.pdf" TargetMode="External" Id="rId21" /><Relationship Type="http://schemas.openxmlformats.org/officeDocument/2006/relationships/hyperlink" Target="https://www.npscra.nsdl.co.in/nsdl/scheme-details/APY_Subscribers_Contribution_Chart_1.pdf" TargetMode="External" Id="rId22" /><Relationship Type="http://schemas.openxmlformats.org/officeDocument/2006/relationships/hyperlink" Target="https://www.myscheme.gov.in/schemes/pm-sym" TargetMode="External" Id="rId23" /><Relationship Type="http://schemas.openxmlformats.org/officeDocument/2006/relationships/hyperlink" Target="https://maandhan.in/" TargetMode="External" Id="rId24" /><Relationship Type="http://schemas.openxmlformats.org/officeDocument/2006/relationships/hyperlink" Target="https://maandhan.in/showfile.php?lang=1&amp;level=1&amp;ls_id=171&amp;lid=260&amp;page=101" TargetMode="External" Id="rId25" /><Relationship Type="http://schemas.openxmlformats.org/officeDocument/2006/relationships/hyperlink" Target="https://www.labour.gov.in/offerings/schemes-and-services/details/pm-sym-QTOzATMtQWa" TargetMode="External" Id="rId26" /><Relationship Type="http://schemas.openxmlformats.org/officeDocument/2006/relationships/hyperlink" Target="https://www.pib.gov.in/PressReleasePage.aspx?PRID=2108082&amp;reg=48&amp;lang=2" TargetMode="External" Id="rId27" /><Relationship Type="http://schemas.openxmlformats.org/officeDocument/2006/relationships/hyperlink" Target="https://maandhan.in/showfile.php?lang=1&amp;level=1&amp;ls_id=171&amp;lid=260&amp;page=101" TargetMode="External" Id="rId28" /><Relationship Type="http://schemas.openxmlformats.org/officeDocument/2006/relationships/hyperlink" Target="https://maandhan.in/show_content.php?lang=1&amp;level=1&amp;ls_id=79&amp;lid=63&amp;page=74" TargetMode="External" Id="rId29" /><Relationship Type="http://schemas.openxmlformats.org/officeDocument/2006/relationships/hyperlink" Target="https://maandhan.in/show_content.php?lang=1&amp;level=1&amp;ls_id=104&amp;lid=88&amp;page=101" TargetMode="External" Id="rId30" /><Relationship Type="http://schemas.openxmlformats.org/officeDocument/2006/relationships/hyperlink" Target="https://findmycsc.nic.in/csc/" TargetMode="External" Id="rId31" /><Relationship Type="http://schemas.openxmlformats.org/officeDocument/2006/relationships/hyperlink" Target="https://www.myscheme.gov.in/schemes/ignwps" TargetMode="External" Id="rId32" /><Relationship Type="http://schemas.openxmlformats.org/officeDocument/2006/relationships/hyperlink" Target="https://web.umang.gov.in/web_new/home" TargetMode="External" Id="rId33" /><Relationship Type="http://schemas.openxmlformats.org/officeDocument/2006/relationships/hyperlink" Target="https://web.umang.gov.in/web_new/home" TargetMode="External" Id="rId34" /><Relationship Type="http://schemas.openxmlformats.org/officeDocument/2006/relationships/hyperlink" Target="https://nsap.nic.in/circular.do?method=faq" TargetMode="External" Id="rId35" /><Relationship Type="http://schemas.openxmlformats.org/officeDocument/2006/relationships/hyperlink" Target="https://nsap.nic.in/Guidelines/nsap_guidelines_oct2014.pdf" TargetMode="External" Id="rId36" /><Relationship Type="http://schemas.openxmlformats.org/officeDocument/2006/relationships/hyperlink" Target="https://nsap.nic.in/Guidelines/wps.pdf" TargetMode="External" Id="rId37" /><Relationship Type="http://schemas.openxmlformats.org/officeDocument/2006/relationships/hyperlink" Target="https://nsap.nic.in/Guidelines/english_wps.pdf" TargetMode="External" Id="rId38" /><Relationship Type="http://schemas.openxmlformats.org/officeDocument/2006/relationships/hyperlink" Target="https://nsap.nic.in/Guidelines/guidelines%20on%20IGNWPS%2030sep09.pdf" TargetMode="External" Id="rId39" /><Relationship Type="http://schemas.openxmlformats.org/officeDocument/2006/relationships/hyperlink" Target="https://www.myscheme.gov.in/schemes/sgngs" TargetMode="External" Id="rId40" /><Relationship Type="http://schemas.openxmlformats.org/officeDocument/2006/relationships/hyperlink" Target="https://cdn.s3waas.gov.in/s317e62166fc8586dfa4d1bc0e1742c08b/uploads/2018/03/2018031988.pdf" TargetMode="External" Id="rId41" /><Relationship Type="http://schemas.openxmlformats.org/officeDocument/2006/relationships/hyperlink" Target="https://cdn.s3waas.gov.in/s317e62166fc8586dfa4d1bc0e1742c08b/uploads/2018/03/2018031988.pdf" TargetMode="External" Id="rId42" /><Relationship Type="http://schemas.openxmlformats.org/officeDocument/2006/relationships/hyperlink" Target="https://aaplesarkar.mahaonline.gov.in/pdf/UM_AS_Reg.pdf" TargetMode="External" Id="rId43" /><Relationship Type="http://schemas.openxmlformats.org/officeDocument/2006/relationships/hyperlink" Target="https://aaplesarkar.mahaonline.gov.in/" TargetMode="External" Id="rId44" /><Relationship Type="http://schemas.openxmlformats.org/officeDocument/2006/relationships/hyperlink" Target="https://aaplesarkar.mahaonline.gov.in/en/Registration/Register" TargetMode="External" Id="rId45" /><Relationship Type="http://schemas.openxmlformats.org/officeDocument/2006/relationships/hyperlink" Target="https://aaplesarkar.mahaonline.gov.in/pdf/UM_AS_Reg.pdf" TargetMode="External" Id="rId46" /><Relationship Type="http://schemas.openxmlformats.org/officeDocument/2006/relationships/hyperlink" Target="https://aaplesarkar.mahaonline.gov.in/pdf/Photoupload.pdf" TargetMode="External" Id="rId47" /><Relationship Type="http://schemas.openxmlformats.org/officeDocument/2006/relationships/hyperlink" Target="https://aaplesarkar.mahaonline.gov.in/" TargetMode="External" Id="rId48" /><Relationship Type="http://schemas.openxmlformats.org/officeDocument/2006/relationships/hyperlink" Target="https://aaplesarkar.mahaonline.gov.in/" TargetMode="External" Id="rId49" /><Relationship Type="http://schemas.openxmlformats.org/officeDocument/2006/relationships/hyperlink" Target="https://sjsa.maharashtra.gov.in/mr/schemes-page?scheme_nature=37" TargetMode="External" Id="rId50" /><Relationship Type="http://schemas.openxmlformats.org/officeDocument/2006/relationships/hyperlink" Target="https://static.s3waas.gov.in/s3db85e2590b6109813dafa101ceb2faeb/uploads/2018/03/2018030785.pdf" TargetMode="External" Id="rId51" /><Relationship Type="http://schemas.openxmlformats.org/officeDocument/2006/relationships/hyperlink" Target="https://mumbaisuburban.gov.in/scheme/sanjay-gandhi-niradhar-pension-scheme/#:~:text=To%20provide%20financial%20assistance%20to,outraged%20women%2C%20Transgender%2C%20etc." TargetMode="External" Id="rId52" /><Relationship Type="http://schemas.openxmlformats.org/officeDocument/2006/relationships/hyperlink" Target="https://cdn.s3waas.gov.in/s304025959b191f8f9de3f924f0940515f/uploads/2018/04/2018040628-1.pdf" TargetMode="External" Id="rId53" /><Relationship Type="http://schemas.openxmlformats.org/officeDocument/2006/relationships/hyperlink" Target="https://aaplesarkar.mahaonline.gov.in/en/CommonForm/ContactUs" TargetMode="External" Id="rId54" /><Relationship Type="http://schemas.openxmlformats.org/officeDocument/2006/relationships/hyperlink" Target="https://aaplesarkar.mahaonline.gov.in/pdf/Photoupload.pdf" TargetMode="External" Id="rId55" /><Relationship Type="http://schemas.openxmlformats.org/officeDocument/2006/relationships/hyperlink" Target="https://aaplesarkar.mahaonline.gov.in/en/CommonForm/SewaKendraDetails" TargetMode="External" Id="rId56" /><Relationship Type="http://schemas.openxmlformats.org/officeDocument/2006/relationships/hyperlink" Target="https://www.myscheme.gov.in/schemes/sbssps" TargetMode="External" Id="rId57" /><Relationship Type="http://schemas.openxmlformats.org/officeDocument/2006/relationships/hyperlink" Target="https://aaplesarkar.mahaonline.gov.in/pdf/UM_AS_Reg.pdf" TargetMode="External" Id="rId58" /><Relationship Type="http://schemas.openxmlformats.org/officeDocument/2006/relationships/hyperlink" Target="https://aaplesarkar.mahaonline.gov.in/" TargetMode="External" Id="rId59" /><Relationship Type="http://schemas.openxmlformats.org/officeDocument/2006/relationships/hyperlink" Target="https://aaplesarkar.mahaonline.gov.in/en/Registration/Register" TargetMode="External" Id="rId60" /><Relationship Type="http://schemas.openxmlformats.org/officeDocument/2006/relationships/hyperlink" Target="https://aaplesarkar.mahaonline.gov.in/pdf/UM_AS_Reg.pdf" TargetMode="External" Id="rId61" /><Relationship Type="http://schemas.openxmlformats.org/officeDocument/2006/relationships/hyperlink" Target="https://aaplesarkar.mahaonline.gov.in/pdf/Photoupload.pdf" TargetMode="External" Id="rId62" /><Relationship Type="http://schemas.openxmlformats.org/officeDocument/2006/relationships/hyperlink" Target="https://aaplesarkar.mahaonline.gov.in/" TargetMode="External" Id="rId63" /><Relationship Type="http://schemas.openxmlformats.org/officeDocument/2006/relationships/hyperlink" Target="https://aaplesarkar.mahaonline.gov.in/" TargetMode="External" Id="rId64" /><Relationship Type="http://schemas.openxmlformats.org/officeDocument/2006/relationships/hyperlink" Target="https://cdn.s3waas.gov.in/s317e62166fc8586dfa4d1bc0e1742c08b/uploads/2018/03/2018031988.pdf" TargetMode="External" Id="rId65" /><Relationship Type="http://schemas.openxmlformats.org/officeDocument/2006/relationships/hyperlink" Target="https://sjsa.maharashtra.gov.in/mr/schemes-page?scheme_nature=37" TargetMode="External" Id="rId66" /><Relationship Type="http://schemas.openxmlformats.org/officeDocument/2006/relationships/hyperlink" Target="https://cdn.s3waas.gov.in/s317e62166fc8586dfa4d1bc0e1742c08b/uploads/2018/03/2018031988.pdf" TargetMode="External" Id="rId67" /><Relationship Type="http://schemas.openxmlformats.org/officeDocument/2006/relationships/hyperlink" Target="https://aaplesarkar.mahaonline.gov.in/en/CommonForm/ContactUs" TargetMode="External" Id="rId68" /><Relationship Type="http://schemas.openxmlformats.org/officeDocument/2006/relationships/hyperlink" Target="https://aaplesarkar.mahaonline.gov.in/pdf/Photoupload.pdf" TargetMode="External" Id="rId69" /><Relationship Type="http://schemas.openxmlformats.org/officeDocument/2006/relationships/hyperlink" Target="https://aaplesarkar.mahaonline.gov.in/en/CommonForm/SewaKendraDetails" TargetMode="External" Id="rId70" /><Relationship Type="http://schemas.openxmlformats.org/officeDocument/2006/relationships/hyperlink" Target="https://www.myscheme.gov.in/schemes/rkvp" TargetMode="External" Id="rId71" /><Relationship Type="http://schemas.openxmlformats.org/officeDocument/2006/relationships/hyperlink" Target="https://awards.gov.in/" TargetMode="External" Id="rId72" /><Relationship Type="http://schemas.openxmlformats.org/officeDocument/2006/relationships/hyperlink" Target="https://awards.gov.in/Registration/SignUp" TargetMode="External" Id="rId73" /><Relationship Type="http://schemas.openxmlformats.org/officeDocument/2006/relationships/hyperlink" Target="https://awards.gov.in/Login" TargetMode="External" Id="rId74" /><Relationship Type="http://schemas.openxmlformats.org/officeDocument/2006/relationships/hyperlink" Target="https://awards.gov.in/Home/AwardLibrary" TargetMode="External" Id="rId75" /><Relationship Type="http://schemas.openxmlformats.org/officeDocument/2006/relationships/hyperlink" Target="https://awards.gov.in/Home/AwardLibrary" TargetMode="External" Id="rId76" /><Relationship Type="http://schemas.openxmlformats.org/officeDocument/2006/relationships/hyperlink" Target="https://icar.org.in/hi/node/22890" TargetMode="External" Id="rId77" /><Relationship Type="http://schemas.openxmlformats.org/officeDocument/2006/relationships/hyperlink" Target="https://www.myscheme.gov.in/schemes/mda-fert" TargetMode="External" Id="rId78" /><Relationship Type="http://schemas.openxmlformats.org/officeDocument/2006/relationships/hyperlink" Target="https://fert.gov.in/sites/default/files/Guidelines%20on%20Market%20Development%20Assistance%20(MDA)%20for%20Promotion%20of%20Organic%20Fertilizers%20-%20Regarding%20(20-09-2023)_0.pdf" TargetMode="External" Id="rId79" /><Relationship Type="http://schemas.openxmlformats.org/officeDocument/2006/relationships/hyperlink" Target="https://fert.gov.in/sites/default/files/Guidelines%20on%20Market%20Development%20Assistance%20(MDA)%20for%20Promotion%20of%20Organic%20Fertilizers%20-%20Regarding%20(20-09-2023)_0.pdf" TargetMode="External" Id="rId80" /><Relationship Type="http://schemas.openxmlformats.org/officeDocument/2006/relationships/hyperlink" Target="https://fert.gov.in/sites/default/files/Guidelines%20on%20Market%20Development%20Assistance%20(MDA)%20for%20Promotion%20of%20Organic%20Fertilizers%20-%20Regarding%20(20-09-2023)_0.pdf" TargetMode="External" Id="rId81" /><Relationship Type="http://schemas.openxmlformats.org/officeDocument/2006/relationships/hyperlink" Target="https://fert.gov.in/sites/default/files/Guidelines%20on%20Market%20Development%20Assistance%20(MDA)%20for%20Promotion%20of%20Organic%20Fertilizers%20-%20Regarding%20(20-09-2023)_0.pdf" TargetMode="External" Id="rId82" /><Relationship Type="http://schemas.openxmlformats.org/officeDocument/2006/relationships/hyperlink" Target="https://fert.gov.in/sites/default/files/Guidelines%20on%20Market%20Development%20Assistance%20(MDA)%20for%20Promotion%20of%20Organic%20Fertilizers%20-%20Regarding%20(20-09-2023)_0.pdf" TargetMode="External" Id="rId83" /><Relationship Type="http://schemas.openxmlformats.org/officeDocument/2006/relationships/hyperlink" Target="https://www.myscheme.gov.in/schemes/prism-c2-fwmpkhttptt" TargetMode="External" Id="rId84" /><Relationship Type="http://schemas.openxmlformats.org/officeDocument/2006/relationships/hyperlink" Target="https://www.dsir.gov.in/sites/default/files/2019-09/guide_ph1_cat2.pdf" TargetMode="External" Id="rId85" /><Relationship Type="http://schemas.openxmlformats.org/officeDocument/2006/relationships/hyperlink" Target="https://www.dsir.gov.in/sites/default/files/2019-09/guide_ph1_cat2.pdf" TargetMode="External" Id="rId86" /><Relationship Type="http://schemas.openxmlformats.org/officeDocument/2006/relationships/hyperlink" Target="https://www.myscheme.gov.in/schemes/kvyoj" TargetMode="External" Id="rId87" /><Relationship Type="http://schemas.openxmlformats.org/officeDocument/2006/relationships/hyperlink" Target="https://www.kviconline.gov.in/" TargetMode="External" Id="rId88" /><Relationship Type="http://schemas.openxmlformats.org/officeDocument/2006/relationships/hyperlink" Target="https://kviconline.gov.in/mdaclaims/certKhadi/index.jsp" TargetMode="External" Id="rId89" /><Relationship Type="http://schemas.openxmlformats.org/officeDocument/2006/relationships/hyperlink" Target="https://kviconline.gov.in/mdaclaims/certKhadi/khadiCertificateRenew.jsp?app=1" TargetMode="External" Id="rId90" /><Relationship Type="http://schemas.openxmlformats.org/officeDocument/2006/relationships/hyperlink" Target="https://kviconline.gov.in/mdaclaims/certKhadi/certApplicantLogin.jsp" TargetMode="External" Id="rId91" /><Relationship Type="http://schemas.openxmlformats.org/officeDocument/2006/relationships/hyperlink" Target="https://www.dcmsme.gov.in/ebook/MSMESchemebooklet2025-26.pdf" TargetMode="External" Id="rId92" /><Relationship Type="http://schemas.openxmlformats.org/officeDocument/2006/relationships/hyperlink" Target="https://www.myscheme.gov.in/schemes/sui" TargetMode="External" Id="rId93" /><Relationship Type="http://schemas.openxmlformats.org/officeDocument/2006/relationships/hyperlink" Target="https://www.rbi.org.in/Scripts/query.aspx" TargetMode="External" Id="rId94" /><Relationship Type="http://schemas.openxmlformats.org/officeDocument/2006/relationships/hyperlink" Target="https://www.standupmitra.in/LDMS#NoBack" TargetMode="External" Id="rId95" /><Relationship Type="http://schemas.openxmlformats.org/officeDocument/2006/relationships/hyperlink" Target="https://www.standupmitra.in/" TargetMode="External" Id="rId96" /><Relationship Type="http://schemas.openxmlformats.org/officeDocument/2006/relationships/hyperlink" Target="https://www.standupmitra.in/Login/Register" TargetMode="External" Id="rId97" /><Relationship Type="http://schemas.openxmlformats.org/officeDocument/2006/relationships/hyperlink" Target="https://www.udyami.org.in/storage/schemes/file/t4CQkv4D2TsdhI3MK8KqFSnYPw6RTBBsmh7p449D.pdf" TargetMode="External" Id="rId98" /><Relationship Type="http://schemas.openxmlformats.org/officeDocument/2006/relationships/hyperlink" Target="https://www.myscheme.gov.in/schemes/mi-hma-nhdp" TargetMode="External" Id="rId99" /><Relationship Type="http://schemas.openxmlformats.org/officeDocument/2006/relationships/hyperlink" Target="https://handlooms.nic.in/assets/img/Final%20Revised%20%20Guidelines%20NHDP%2012.04.2023.pdf" TargetMode="External" Id="rId100" /><Relationship Type="http://schemas.openxmlformats.org/officeDocument/2006/relationships/hyperlink" Target="https://handlooms.nic.in/assets/img/Final%20Revised%20%20Guidelines%20NHDP%2012.04.2023.pdf" TargetMode="External" Id="rId101" /><Relationship Type="http://schemas.openxmlformats.org/officeDocument/2006/relationships/hyperlink" Target="https://handlooms.nic.in/assets/img/Final%20Revised%20%20Guidelines%20NHDP%2012.04.2023.pdf" TargetMode="External" Id="rId102" /><Relationship Type="http://schemas.openxmlformats.org/officeDocument/2006/relationships/hyperlink" Target="https://www.myscheme.gov.in/schemes/kcc" TargetMode="External" Id="rId103" /><Relationship Type="http://schemas.openxmlformats.org/officeDocument/2006/relationships/hyperlink" Target="https://pib.gov.in/FactsheetDetails.aspx?Id=148600" TargetMode="External" Id="rId104" /><Relationship Type="http://schemas.openxmlformats.org/officeDocument/2006/relationships/hyperlink" Target="https://sbi.co.in/web/agri-rural/agriculture-banking/crop-loan/kisan-credit-card" TargetMode="External" Id="rId105" /><Relationship Type="http://schemas.openxmlformats.org/officeDocument/2006/relationships/hyperlink" Target="https://rbidocs.rbi.org.in/rdocs/notification/PDFs/04MCKCC030720171E79A08735884C429CF26F5414AB36D9.PDF" TargetMode="External" Id="rId106" /><Relationship Type="http://schemas.openxmlformats.org/officeDocument/2006/relationships/hyperlink" Target="https://www.myscheme.gov.in/schemes/pmfby" TargetMode="External" Id="rId107" /><Relationship Type="http://schemas.openxmlformats.org/officeDocument/2006/relationships/hyperlink" Target="https://pmfby.gov.in/" TargetMode="External" Id="rId108" /><Relationship Type="http://schemas.openxmlformats.org/officeDocument/2006/relationships/hyperlink" Target="https://pmfby.gov.in/farmerRegistrationForm" TargetMode="External" Id="rId109" /><Relationship Type="http://schemas.openxmlformats.org/officeDocument/2006/relationships/hyperlink" Target="https://pmfby.gov.in/" TargetMode="External" Id="rId110" /><Relationship Type="http://schemas.openxmlformats.org/officeDocument/2006/relationships/hyperlink" Target="https://pmfby.gov.in/bankBranchDirectory" TargetMode="External" Id="rId111" /><Relationship Type="http://schemas.openxmlformats.org/officeDocument/2006/relationships/hyperlink" Target="https://pmfby.gov.in/insuranceCompanyDirectory" TargetMode="External" Id="rId112" /><Relationship Type="http://schemas.openxmlformats.org/officeDocument/2006/relationships/hyperlink" Target="https://locator.csccloud.in/" TargetMode="External" Id="rId113" /><Relationship Type="http://schemas.openxmlformats.org/officeDocument/2006/relationships/hyperlink" Target="https://pmfby.gov.in/" TargetMode="External" Id="rId114" /><Relationship Type="http://schemas.openxmlformats.org/officeDocument/2006/relationships/hyperlink" Target="https://pmfby.gov.in/pdf/Revamped%20Operational%20Guidelines_17th%20August%202020.pdf" TargetMode="External" Id="rId115" /><Relationship Type="http://schemas.openxmlformats.org/officeDocument/2006/relationships/hyperlink" Target="https://pmfby.gov.in/pdf/FAQ%E2%80%93For%20Portal.pdf" TargetMode="External" Id="rId116" /><Relationship Type="http://schemas.openxmlformats.org/officeDocument/2006/relationships/hyperlink" Target="https://www.myscheme.gov.in/schemes/pg-igssgc" TargetMode="External" Id="rId117" /><Relationship Type="http://schemas.openxmlformats.org/officeDocument/2006/relationships/hyperlink" Target="https://scholarships.gov.in/public/schemeGuidelines/Guidelines_SGC1819.pdf" TargetMode="External" Id="rId118" /><Relationship Type="http://schemas.openxmlformats.org/officeDocument/2006/relationships/hyperlink" Target="https://scholarships.gov.in/public/FAQ/FAQ_SGC1819.pdf" TargetMode="External" Id="rId119" /><Relationship Type="http://schemas.openxmlformats.org/officeDocument/2006/relationships/hyperlink" Target="https://www.myscheme.gov.in/schemes/dacssiselosobcebc" TargetMode="External" Id="rId120" /><Relationship Type="http://schemas.openxmlformats.org/officeDocument/2006/relationships/hyperlink" Target="https://socialjustice.gov.in/writereaddata/UploadFile/Guidelines%20ISEL%20Scheme%20(wef%2001%20Oct%202017).pdf" TargetMode="External" Id="rId121" /><Relationship Type="http://schemas.openxmlformats.org/officeDocument/2006/relationships/hyperlink" Target="https://socialjustice.gov.in/writereaddata/UploadFile/Guidelines%20ISEL%20Scheme%20(wef%2001%20Oct%202017).pdf" TargetMode="External" Id="rId122" /><Relationship Type="http://schemas.openxmlformats.org/officeDocument/2006/relationships/hyperlink" Target="https://socialjustice.gov.in/writereaddata/UploadFile/RICfor%20ISSC.pdf" TargetMode="External" Id="rId123" /><Relationship Type="http://schemas.openxmlformats.org/officeDocument/2006/relationships/hyperlink" Target="https://web.umang.gov.in/landing/department/dr-ambedkar-central-sector-scheme-of-interest-subsidy.html" TargetMode="External" Id="rId124" /><Relationship Type="http://schemas.openxmlformats.org/officeDocument/2006/relationships/hyperlink" Target="https://socialjustice.gov.in/writereaddata/UploadFile/Guidelines%20ISEL%20Scheme%20(wef%2001%20Oct%202017).pdf" TargetMode="External" Id="rId125" /><Relationship Type="http://schemas.openxmlformats.org/officeDocument/2006/relationships/hyperlink" Target="https://www.myscheme.gov.in/schemes/nikshay" TargetMode="External" Id="rId126" /><Relationship Type="http://schemas.openxmlformats.org/officeDocument/2006/relationships/hyperlink" Target="https://tbcindia.mohfw.gov.in/wp-content/uploads/2023/05/23294204DBTManualForNTEP.pdf" TargetMode="External" Id="rId127" /><Relationship Type="http://schemas.openxmlformats.org/officeDocument/2006/relationships/hyperlink" Target="https://www.nikshay.in/" TargetMode="External" Id="rId128" /><Relationship Type="http://schemas.openxmlformats.org/officeDocument/2006/relationships/hyperlink" Target="https://communitysupport.nikshay.in/Guidance_Booklet_16_09_2022.pdf" TargetMode="External" Id="rId129" /><Relationship Type="http://schemas.openxmlformats.org/officeDocument/2006/relationships/hyperlink" Target="https://reports.nikshay.in/Reports/StosDirectory" TargetMode="External" Id="rId130" /><Relationship Type="http://schemas.openxmlformats.org/officeDocument/2006/relationships/hyperlink" Target="https://www.myscheme.gov.in/schemes/pmsma" TargetMode="External" Id="rId131" /><Relationship Type="http://schemas.openxmlformats.org/officeDocument/2006/relationships/hyperlink" Target="https://pmsma.nhp.gov.in/" TargetMode="External" Id="rId132" /><Relationship Type="http://schemas.openxmlformats.org/officeDocument/2006/relationships/hyperlink" Target="https://pmsma.mohfw.gov.in/wp-content/uploads/2016/09/Pradhan_Mantri_Surakshit_Matritva_Abhiyan-2.pdf" TargetMode="External" Id="rId133" /><Relationship Type="http://schemas.openxmlformats.org/officeDocument/2006/relationships/hyperlink" Target="https://pmsma.mohfw.gov.in/wp-content/uploads/2016/09/PMSMA_Operational_Framework.pdf" TargetMode="External" Id="rId134" /><Relationship Type="http://schemas.openxmlformats.org/officeDocument/2006/relationships/hyperlink" Target="https://pmsma.mohfw.gov.in/wp-content/uploads/2016/10/PMSMA_Operational_Framework.34.pdf" TargetMode="External" Id="rId135" /><Relationship Type="http://schemas.openxmlformats.org/officeDocument/2006/relationships/hyperlink" Target="https://pmsma.mohfw.gov.in/wp-content/uploads/2016/10/High-Risk-Conditions-in-preg-modified-Final.pdf" TargetMode="External" Id="rId136" /><Relationship Type="http://schemas.openxmlformats.org/officeDocument/2006/relationships/hyperlink" Target="https://www.myscheme.gov.in/schemes/pm-poshan" TargetMode="External" Id="rId137" /><Relationship Type="http://schemas.openxmlformats.org/officeDocument/2006/relationships/hyperlink" Target="https://www.india.gov.in/spotlight/poshan-abhiyaan-pms-overarching-scheme-holistic-nourishment" TargetMode="External" Id="rId138" /><Relationship Type="http://schemas.openxmlformats.org/officeDocument/2006/relationships/hyperlink" Target="https://pib.gov.in/Pressreleaseshare.aspx?PRID=1812421#:~:text=The%20Government%20has%20approved%20the,by%20the%20Ministry%20of%20Education." TargetMode="External" Id="rId139" /><Relationship Type="http://schemas.openxmlformats.org/officeDocument/2006/relationships/hyperlink" Target="https://www.myscheme.gov.in/schemes/yhs" TargetMode="External" Id="rId140" /><Relationship Type="http://schemas.openxmlformats.org/officeDocument/2006/relationships/hyperlink" Target="https://dbtyas-youth.gov.in/" TargetMode="External" Id="rId141" /><Relationship Type="http://schemas.openxmlformats.org/officeDocument/2006/relationships/hyperlink" Target="https://dbtyas-youth.gov.in/userlogin.php" TargetMode="External" Id="rId142" /><Relationship Type="http://schemas.openxmlformats.org/officeDocument/2006/relationships/hyperlink" Target="https://yas.nic.in/sites/default/files/Youth%20Hostel%20Scheme_0.pdf" TargetMode="External" Id="rId143" /><Relationship Type="http://schemas.openxmlformats.org/officeDocument/2006/relationships/hyperlink" Target="https://yas.nic.in/sites/default/files/File845.PDF" TargetMode="External" Id="rId144" /><Relationship Type="http://schemas.openxmlformats.org/officeDocument/2006/relationships/hyperlink" Target="https://dbtyas-youth.gov.in/" TargetMode="External" Id="rId145" /><Relationship Type="http://schemas.openxmlformats.org/officeDocument/2006/relationships/hyperlink" Target="https://yas.gov.in/sites/default/files/YH%20details.pdf" TargetMode="External" Id="rId146" /><Relationship Type="http://schemas.openxmlformats.org/officeDocument/2006/relationships/hyperlink" Target="https://yas.gov.in/sites/default/files/CPC%20Order.pdf" TargetMode="External" Id="rId147" /><Relationship Type="http://schemas.openxmlformats.org/officeDocument/2006/relationships/hyperlink" Target="https://www.myscheme.gov.in/schemes/avyay-napsc-hssc" TargetMode="External" Id="rId148" /><Relationship Type="http://schemas.openxmlformats.org/officeDocument/2006/relationships/hyperlink" Target="https://grants-msje.gov.in/" TargetMode="External" Id="rId149" /><Relationship Type="http://schemas.openxmlformats.org/officeDocument/2006/relationships/hyperlink" Target="https://socialjustice.gov.in/schemes/43" TargetMode="External" Id="rId150" /><Relationship Type="http://schemas.openxmlformats.org/officeDocument/2006/relationships/hyperlink" Target="https://www.myscheme.gov.in/schemes/nms" TargetMode="External" Id="rId151" /><Relationship Type="http://schemas.openxmlformats.org/officeDocument/2006/relationships/hyperlink" Target="https://drtktopecollege.in/wp-content/uploads/2021/03/Nyaya-Mitra-scheme.pdf?attachment_id=541" TargetMode="External" Id="rId152" /><Relationship Type="http://schemas.openxmlformats.org/officeDocument/2006/relationships/hyperlink" Target="https://www.doj.gov.in/page/nyaya-mitra-programme" TargetMode="External" Id="rId153" /><Relationship Type="http://schemas.openxmlformats.org/officeDocument/2006/relationships/hyperlink" Target="https://www.pib.gov.in/PressReleaseIframePage.aspx?PRID=1846198&amp;reg=3&amp;lang=2" TargetMode="External" Id="rId154" /><Relationship Type="http://schemas.openxmlformats.org/officeDocument/2006/relationships/hyperlink" Target="https://www.myscheme.gov.in/schemes/nari-adalat" TargetMode="External" Id="rId155" /><Relationship Type="http://schemas.openxmlformats.org/officeDocument/2006/relationships/hyperlink" Target="https://www.myscheme.gov.in/schemes/n-pdf" TargetMode="External" Id="rId156" /><Relationship Type="http://schemas.openxmlformats.org/officeDocument/2006/relationships/hyperlink" Target="https://www.serbonline.in/SERB/npdf?HomePage=New" TargetMode="External" Id="rId157" /><Relationship Type="http://schemas.openxmlformats.org/officeDocument/2006/relationships/hyperlink" Target="https://serb.gov.in/page/awards_fellowship#National%20Post%20Doctoral%20Fellowship" TargetMode="External" Id="rId158" /><Relationship Type="http://schemas.openxmlformats.org/officeDocument/2006/relationships/hyperlink" Target="https://www.serbonline.in/SERB/npdf?HomePage=New" TargetMode="External" Id="rId159" /><Relationship Type="http://schemas.openxmlformats.org/officeDocument/2006/relationships/hyperlink" Target="https://serbonline.in/SERB/Registration" TargetMode="External" Id="rId160" /><Relationship Type="http://schemas.openxmlformats.org/officeDocument/2006/relationships/hyperlink" Target="https://www.serbonline.in/SERB_Help/pi/Multiscreen_HTML5/desktop/Login.htm" TargetMode="External" Id="rId161" /><Relationship Type="http://schemas.openxmlformats.org/officeDocument/2006/relationships/hyperlink" Target="https://serb.gov.in/page/awards_fellowship#National%20Post%20Doctoral%20Fellowship" TargetMode="External" Id="rId162" /><Relationship Type="http://schemas.openxmlformats.org/officeDocument/2006/relationships/hyperlink" Target="https://www.serbonline.in/SERB/npdf?HomePage=New" TargetMode="External" Id="rId163" /><Relationship Type="http://schemas.openxmlformats.org/officeDocument/2006/relationships/hyperlink" Target="https://www.indiascienceandtechnology.gov.in/programme-schemes/research-and-development/national-post-doctoral-fellowship-n-pdf" TargetMode="External" Id="rId164" /><Relationship Type="http://schemas.openxmlformats.org/officeDocument/2006/relationships/hyperlink" Target="https://serbonline.in/SERB/Registration" TargetMode="External" Id="rId165" /><Relationship Type="http://schemas.openxmlformats.org/officeDocument/2006/relationships/hyperlink" Target="https://www.myscheme.gov.in/schemes/widushi" TargetMode="External" Id="rId166" /><Relationship Type="http://schemas.openxmlformats.org/officeDocument/2006/relationships/hyperlink" Target="https://dst.gov.in/" TargetMode="External" Id="rId167" /><Relationship Type="http://schemas.openxmlformats.org/officeDocument/2006/relationships/hyperlink" Target="https://onlinedst.gov.in/" TargetMode="External" Id="rId168" /><Relationship Type="http://schemas.openxmlformats.org/officeDocument/2006/relationships/hyperlink" Target="https://online-wosa.gov.in/" TargetMode="External" Id="rId169" /><Relationship Type="http://schemas.openxmlformats.org/officeDocument/2006/relationships/hyperlink" Target="https://onlinedst.gov.in/" TargetMode="External" Id="rId170" /><Relationship Type="http://schemas.openxmlformats.org/officeDocument/2006/relationships/hyperlink" Target="https://dst.gov.in/" TargetMode="External" Id="rId171" /><Relationship Type="http://schemas.openxmlformats.org/officeDocument/2006/relationships/hyperlink" Target="https://online-wosa.gov.in/" TargetMode="External" Id="rId172" /><Relationship Type="http://schemas.openxmlformats.org/officeDocument/2006/relationships/hyperlink" Target="https://dst.gov.in/sites/default/files/Advertisement-WIDUSHI_0.pdf" TargetMode="External" Id="rId173" /><Relationship Type="http://schemas.openxmlformats.org/officeDocument/2006/relationships/hyperlink" Target="https://online-wosa.gov.in/" TargetMode="External" Id="rId174" /><Relationship Type="http://schemas.openxmlformats.org/officeDocument/2006/relationships/hyperlink" Target="https://onlinedst.gov.in/" TargetMode="External" Id="rId175" /><Relationship Type="http://schemas.openxmlformats.org/officeDocument/2006/relationships/hyperlink" Target="https://dst.gov.in/" TargetMode="External" Id="rId176" /><Relationship Type="http://schemas.openxmlformats.org/officeDocument/2006/relationships/hyperlink" Target="https://www.myscheme.gov.in/schemes/tare" TargetMode="External" Id="rId177" /><Relationship Type="http://schemas.openxmlformats.org/officeDocument/2006/relationships/hyperlink" Target="https://www.serbonline.in/SERB/HomePage" TargetMode="External" Id="rId178" /><Relationship Type="http://schemas.openxmlformats.org/officeDocument/2006/relationships/hyperlink" Target="https://serb.gov.in/page/english/awards_fellowship#Teachers%20Associateship%20for%20Research%20Excellence%20(TARE)" TargetMode="External" Id="rId179" /><Relationship Type="http://schemas.openxmlformats.org/officeDocument/2006/relationships/hyperlink" Target="https://www.serbonline.in/SERB/Registration" TargetMode="External" Id="rId180" /><Relationship Type="http://schemas.openxmlformats.org/officeDocument/2006/relationships/hyperlink" Target="https://www.serbonline.in/SERB/Tare" TargetMode="External" Id="rId181" /><Relationship Type="http://schemas.openxmlformats.org/officeDocument/2006/relationships/hyperlink" Target="https://serb.gov.in/page/english/awards_fellowship#Teachers%20Associateship%20for%20Research%20Excellence%20(TARE)" TargetMode="External" Id="rId182" /><Relationship Type="http://schemas.openxmlformats.org/officeDocument/2006/relationships/hyperlink" Target="https://www.myscheme.gov.in/schemes/pm-vikas" TargetMode="External" Id="rId183" /><Relationship Type="http://schemas.openxmlformats.org/officeDocument/2006/relationships/hyperlink" Target="https://www.myscheme.gov.in/schemes/ay" TargetMode="External" Id="rId184" /><Relationship Type="http://schemas.openxmlformats.org/officeDocument/2006/relationships/hyperlink" Target="https://joinindianarmy.nic.in/BRAVOUserLogin.htm" TargetMode="External" Id="rId185" /><Relationship Type="http://schemas.openxmlformats.org/officeDocument/2006/relationships/hyperlink" Target="https://www.joinindiannavy.gov.in/en/page/agniveer-ways-to-join.html" TargetMode="External" Id="rId186" /><Relationship Type="http://schemas.openxmlformats.org/officeDocument/2006/relationships/hyperlink" Target="https://indianairforce.nic.in/agniveer/" TargetMode="External" Id="rId187" /><Relationship Type="http://schemas.openxmlformats.org/officeDocument/2006/relationships/hyperlink" Target="https://static.mygov.in/rest/s3fs-public/mygov_165520214151307401.pdf" TargetMode="External" Id="rId188" /><Relationship Type="http://schemas.openxmlformats.org/officeDocument/2006/relationships/hyperlink" Target="https://static.mygov.in/rest/s3fs-public/mygov_165520220351307401.pdf" TargetMode="External" Id="rId189" /><Relationship Type="http://schemas.openxmlformats.org/officeDocument/2006/relationships/hyperlink" Target="https://pib.gov.in/PressReleasePage.aspx?PRID=1833747" TargetMode="External" Id="rId190" /><Relationship Type="http://schemas.openxmlformats.org/officeDocument/2006/relationships/hyperlink" Target="https://indianairforce.nic.in/wp-content/uploads/2022/06/Detailed-BRIEF-13-JUN-22.pdf" TargetMode="External" Id="rId191" /><Relationship Type="http://schemas.openxmlformats.org/officeDocument/2006/relationships/hyperlink" Target="https://pib.gov.in/PressReleasePage.aspx?PRID=1834202" TargetMode="External" Id="rId192" /><Relationship Type="http://schemas.openxmlformats.org/officeDocument/2006/relationships/hyperlink" Target="https://www.myscheme.gov.in/schemes/igndps" TargetMode="External" Id="rId193" /><Relationship Type="http://schemas.openxmlformats.org/officeDocument/2006/relationships/hyperlink" Target="https://web.umang.gov.in/web_new/home" TargetMode="External" Id="rId194" /><Relationship Type="http://schemas.openxmlformats.org/officeDocument/2006/relationships/hyperlink" Target="https://web.umang.gov.in/web_new/home" TargetMode="External" Id="rId195" /><Relationship Type="http://schemas.openxmlformats.org/officeDocument/2006/relationships/hyperlink" Target="https://nsap.nic.in/Guidelines/nsap_guidelines_oct2014.pdf" TargetMode="External" Id="rId196" /><Relationship Type="http://schemas.openxmlformats.org/officeDocument/2006/relationships/hyperlink" Target="https://nsap.nic.in/Guidelines/dps.pdf" TargetMode="External" Id="rId197" /><Relationship Type="http://schemas.openxmlformats.org/officeDocument/2006/relationships/hyperlink" Target="https://nsap.nic.in/Guidelines/english_dps.pdf" TargetMode="External" Id="rId198" /><Relationship Type="http://schemas.openxmlformats.org/officeDocument/2006/relationships/hyperlink" Target="https://nsap.nic.in/circular.do?method=showguidlines#" TargetMode="External" Id="rId199" /><Relationship Type="http://schemas.openxmlformats.org/officeDocument/2006/relationships/hyperlink" Target="https://www.myscheme.gov.in/schemes/hepsn" TargetMode="External" Id="rId200" /><Relationship Type="http://schemas.openxmlformats.org/officeDocument/2006/relationships/hyperlink" Target="https://www.ugc.gov.in/pdfnews/1112642_Person-with-Disability-guidelines.pdf" TargetMode="External" Id="rId201" /><Relationship Type="http://schemas.openxmlformats.org/officeDocument/2006/relationships/hyperlink" Target="https://www.ugc.gov.in/pdfnews/1112642_Person-with-Disability-guidelines.pdf" TargetMode="External" Id="rId202" /><Relationship Type="http://schemas.openxmlformats.org/officeDocument/2006/relationships/hyperlink" Target="https://thenationaltrust.gov.in/upload/uploadfiles/files/Persons%20with%20Disability%20Act%201995.pdf" TargetMode="External" Id="rId203" /><Relationship Type="http://schemas.openxmlformats.org/officeDocument/2006/relationships/hyperlink" Target="https://www.ugc.gov.in/recog_college.aspx#:~:text=**%20Apart%20from%20inclusion%20of,funds%20from%20the%20Central%20Government." TargetMode="External" Id="rId204" /><Relationship Type="http://schemas.openxmlformats.org/officeDocument/2006/relationships/hyperlink" Target="https://www.ugc.gov.in/pdfnews/1112642_Person-with-Disability-guidelines.pdf" TargetMode="External" Id="rId205" /><Relationship Type="http://schemas.openxmlformats.org/officeDocument/2006/relationships/hyperlink" Target="https://www.myscheme.gov.in/schemes/sfava" TargetMode="External" Id="rId206" /><Relationship Type="http://schemas.openxmlformats.org/officeDocument/2006/relationships/hyperlink" Target="http://csms.nic.in/login/index.php" TargetMode="External" Id="rId207" /><Relationship Type="http://schemas.openxmlformats.org/officeDocument/2006/relationships/hyperlink" Target="https://indiaculture.gov.in" TargetMode="External" Id="rId208" /><Relationship Type="http://schemas.openxmlformats.org/officeDocument/2006/relationships/hyperlink" Target="http://csms.nic.in/login/index.php" TargetMode="External" Id="rId209" /><Relationship Type="http://schemas.openxmlformats.org/officeDocument/2006/relationships/hyperlink" Target="https://www.indiaculture.nic.in/sites/default/files/Schemes/New_application_form_for_Artistes_Pension_1_23_07_2019.pdf" TargetMode="External" Id="rId210" /><Relationship Type="http://schemas.openxmlformats.org/officeDocument/2006/relationships/hyperlink" Target="https://indiaculture.gov.in/scheme-financial-assistance-veteran-artists" TargetMode="External" Id="rId211" /><Relationship Type="http://schemas.openxmlformats.org/officeDocument/2006/relationships/hyperlink" Target="https://indiaculture.gov.in/sites/default/files/Schemes/NOTICE-inviting_requisite_document_from_the_beneficiary_for_release_of_their_financial_assistance_under_the_scheme_11_07_2023.pdf" TargetMode="External" Id="rId212" /><Relationship Type="http://schemas.openxmlformats.org/officeDocument/2006/relationships/hyperlink" Target="https://indiaculture.gov.in/sites/default/files/Schemes/Application_for_Scheme_for_Financial_Assistance_for_Veteran_Artists_09112022.pdf" TargetMode="External" Id="rId213" /><Relationship Type="http://schemas.openxmlformats.org/officeDocument/2006/relationships/hyperlink" Target="https://www.myscheme.gov.in/schemes/fesmwpnie" TargetMode="External" Id="rId214" /><Relationship Type="http://schemas.openxmlformats.org/officeDocument/2006/relationships/hyperlink" Target="https://www.ugc.gov.in/oldpdf/xiiplanpdf/medal-winners-guidelines.pdf" TargetMode="External" Id="rId215" /><Relationship Type="http://schemas.openxmlformats.org/officeDocument/2006/relationships/hyperlink" Target="http://www.ugc.ac.in/page/XII-Plan%02Guidelines.aspx" TargetMode="External" Id="rId216" /><Relationship Type="http://schemas.openxmlformats.org/officeDocument/2006/relationships/hyperlink" Target="https://www.ugc.ac.in/oldpdf/xiiplanpdf/medal-winners-guidelines.pdf" TargetMode="External" Id="rId217" /><Relationship Type="http://schemas.openxmlformats.org/officeDocument/2006/relationships/hyperlink" Target="https://www.myscheme.gov.in/schemes/gstecs" TargetMode="External" Id="rId218" /><Relationship Type="http://schemas.openxmlformats.org/officeDocument/2006/relationships/hyperlink" Target="https://gecs.heavyindustries.gov.in/assets/site/main/DHIGECS_procedure_(Revised).pdf" TargetMode="External" Id="rId219" /><Relationship Type="http://schemas.openxmlformats.org/officeDocument/2006/relationships/hyperlink" Target="https://gecs.heavyindustries.gov.in/assets/site/main/DHIGECS_procedure_(Revised).pdf" TargetMode="External" Id="rId220" /><Relationship Type="http://schemas.openxmlformats.org/officeDocument/2006/relationships/hyperlink" Target="https://gecs.heavyindustries.gov.in/assets/site/main/User_Manual_New.pdf" TargetMode="External" Id="rId221" /><Relationship Type="http://schemas.openxmlformats.org/officeDocument/2006/relationships/hyperlink" Target="https://gecs.heavyindustries.gov.in/assets/site/main/FAQS.pdf" TargetMode="External" Id="rId222" /><Relationship Type="http://schemas.openxmlformats.org/officeDocument/2006/relationships/hyperlink" Target="https://gecs.heavyindustries.gov.in/home/contactUs" TargetMode="External" Id="rId223" /><Relationship Type="http://schemas.openxmlformats.org/officeDocument/2006/relationships/hyperlink" Target="https://gecs.heavyindustries.gov.in/home/allOnlineGSTConcessionApprovedApplicant" TargetMode="External" Id="rId224" /><Relationship Type="http://schemas.openxmlformats.org/officeDocument/2006/relationships/hyperlink" Target="https://www.myscheme.gov.in/schemes/neca" TargetMode="External" Id="rId225" /><Relationship Type="http://schemas.openxmlformats.org/officeDocument/2006/relationships/hyperlink" Target="https://awards.gov.in/" TargetMode="External" Id="rId226" /><Relationship Type="http://schemas.openxmlformats.org/officeDocument/2006/relationships/hyperlink" Target="https://awards.gov.in/Registration/SignUp" TargetMode="External" Id="rId227" /><Relationship Type="http://schemas.openxmlformats.org/officeDocument/2006/relationships/hyperlink" Target="https://awards.gov.in/Login" TargetMode="External" Id="rId228" /><Relationship Type="http://schemas.openxmlformats.org/officeDocument/2006/relationships/hyperlink" Target="https://awards.gov.in/Home/AwardLibrary" TargetMode="External" Id="rId229" /><Relationship Type="http://schemas.openxmlformats.org/officeDocument/2006/relationships/hyperlink" Target="https://awards.gov.in/Home/AwardLibrary" TargetMode="External" Id="rId230" /><Relationship Type="http://schemas.openxmlformats.org/officeDocument/2006/relationships/hyperlink" Target="https://www.myscheme.gov.in/schemes/mdas" TargetMode="External" Id="rId231" /><Relationship Type="http://schemas.openxmlformats.org/officeDocument/2006/relationships/hyperlink" Target="https://tourism.gov.in/sites/default/files/2022-03/Revised%20MDA%20Guidelines%2010032022.pdf" TargetMode="External" Id="rId232" /><Relationship Type="http://schemas.openxmlformats.org/officeDocument/2006/relationships/hyperlink" Target="https://tourism.gov.in/sites/default/files/2022-03/Revised%20MDA%20Guidelines%2010032022.pdf" TargetMode="External" Id="rId233" /><Relationship Type="http://schemas.openxmlformats.org/officeDocument/2006/relationships/hyperlink" Target="https://tourism.gov.in/sites/default/files/2022-03/Revised%20MDA%20Guidelines%2010032022.pdf" TargetMode="External" Id="rId234" /><Relationship Type="http://schemas.openxmlformats.org/officeDocument/2006/relationships/hyperlink" Target="https://www.myscheme.gov.in/schemes/ai-tgses" TargetMode="External" Id="rId235" /><Relationship Type="http://schemas.openxmlformats.org/officeDocument/2006/relationships/hyperlink" Target="https://www.aicte-india.org/sites/default/files/INAE-TG%20Scheme%20Guidelines.pdf" TargetMode="External" Id="rId236" /><Relationship Type="http://schemas.openxmlformats.org/officeDocument/2006/relationships/hyperlink" Target="https://www.myscheme.gov.in/schemes/prashad" TargetMode="External" Id="rId237" /><Relationship Type="http://schemas.openxmlformats.org/officeDocument/2006/relationships/hyperlink" Target="https://tourism.gov.in/prashad-scheme" TargetMode="External" Id="rId238" /><Relationship Type="http://schemas.openxmlformats.org/officeDocument/2006/relationships/hyperlink" Target="https://tourism.gov.in/sites/default/files/2023-08/PRASHAD%2015th%20FC%20Scheme%20Guidelines.pdf" TargetMode="External" Id="rId239" /><Relationship Type="http://schemas.openxmlformats.org/officeDocument/2006/relationships/hyperlink" Target="https://www.myscheme.gov.in/schemes/pahal-dbtl" TargetMode="External" Id="rId240" /><Relationship Type="http://schemas.openxmlformats.org/officeDocument/2006/relationships/hyperlink" Target="http://petroleum.nic.in/dbt/forms.html" TargetMode="External" Id="rId241" /><Relationship Type="http://schemas.openxmlformats.org/officeDocument/2006/relationships/hyperlink" Target="https://mopng.gov.in/en/marketing/pahal" TargetMode="External" Id="rId242" /><Relationship Type="http://schemas.openxmlformats.org/officeDocument/2006/relationships/hyperlink" Target="https://mopng.gov.in/files/uploads/Booklet_edited.pdf" TargetMode="External" Id="rId243" /><Relationship Type="http://schemas.openxmlformats.org/officeDocument/2006/relationships/hyperlink" Target="https://www.myscheme.gov.in/schemes/aby-mojs" TargetMode="External" Id="rId244" /><Relationship Type="http://schemas.openxmlformats.org/officeDocument/2006/relationships/hyperlink" Target="https://ataljal.mowr.gov.in/WriteReadData/GeneralNotices/398cc9fe-774f-421c-9e3d-82d0ac040659_Atal%20Bhujal%20Yojana%20Program%20Guideline%201.2.pdf" TargetMode="External" Id="rId245" /><Relationship Type="http://schemas.openxmlformats.org/officeDocument/2006/relationships/hyperlink" Target="https://ataljal.mowr.gov.in/Home/Index/EN" TargetMode="External" Id="rId246" /><Relationship Type="http://schemas.openxmlformats.org/officeDocument/2006/relationships/hyperlink" Target="https://www.myscheme.gov.in/schemes/spmsd" TargetMode="External" Id="rId247" /><Relationship Type="http://schemas.openxmlformats.org/officeDocument/2006/relationships/hyperlink" Target="https://sjsa.maharashtra.gov.in/en/scheme-category/disability-welfare?&amp;Submit=Submit&amp;page=1" TargetMode="External" Id="rId248" /><Relationship Type="http://schemas.openxmlformats.org/officeDocument/2006/relationships/hyperlink" Target="https://sjsa.maharashtra.gov.in/en/contacts" TargetMode="External" Id="rId249" /><Relationship Type="http://schemas.openxmlformats.org/officeDocument/2006/relationships/hyperlink" Target="https://www.myscheme.gov.in/schemes/hiip" TargetMode="External" Id="rId250" /><Relationship Type="http://schemas.openxmlformats.org/officeDocument/2006/relationships/hyperlink" Target="https://jjis.maharashtra.gov.in/Site/ViewCWCList" TargetMode="External" Id="rId251" /><Relationship Type="http://schemas.openxmlformats.org/officeDocument/2006/relationships/hyperlink" Target="https://sjsa.maharashtra.gov.in/en/contacts" TargetMode="External" Id="rId252" /><Relationship Type="http://schemas.openxmlformats.org/officeDocument/2006/relationships/hyperlink" Target="https://jjis.maharashtra.gov.in/Site/ViewCWCList" TargetMode="External" Id="rId253" /><Relationship Type="http://schemas.openxmlformats.org/officeDocument/2006/relationships/hyperlink" Target="https://sjsa.maharashtra.gov.in/en/contacts" TargetMode="External" Id="rId254" /><Relationship Type="http://schemas.openxmlformats.org/officeDocument/2006/relationships/hyperlink" Target="https://sjsa.maharashtra.gov.in/en/scheme-category/disability-welfare" TargetMode="External" Id="rId255" /><Relationship Type="http://schemas.openxmlformats.org/officeDocument/2006/relationships/hyperlink" Target="https://www.myscheme.gov.in/schemes/lgss" TargetMode="External" Id="rId256" /><Relationship Type="http://schemas.openxmlformats.org/officeDocument/2006/relationships/hyperlink" Target="https://lidcom.co.in/contact.php" TargetMode="External" Id="rId257" /><Relationship Type="http://schemas.openxmlformats.org/officeDocument/2006/relationships/hyperlink" Target="https://www.lidcom.co.in/gattai-stall.php" TargetMode="External" Id="rId258" /><Relationship Type="http://schemas.openxmlformats.org/officeDocument/2006/relationships/hyperlink" Target="https://lidcom.co.in/contact.php" TargetMode="External" Id="rId259" /><Relationship Type="http://schemas.openxmlformats.org/officeDocument/2006/relationships/hyperlink" Target="https://www.myscheme.gov.in/schemes/mkym" TargetMode="External" Id="rId260" /><Relationship Type="http://schemas.openxmlformats.org/officeDocument/2006/relationships/hyperlink" Target="https://sjsa.maharashtra.gov.in/en/contacts" TargetMode="External" Id="rId261" /><Relationship Type="http://schemas.openxmlformats.org/officeDocument/2006/relationships/hyperlink" Target="https://sjsa.maharashtra.gov.in/en/scheme-category/employment" TargetMode="External" Id="rId262" /><Relationship Type="http://schemas.openxmlformats.org/officeDocument/2006/relationships/hyperlink" Target="https://www.myscheme.gov.in/schemes/msym" TargetMode="External" Id="rId263" /><Relationship Type="http://schemas.openxmlformats.org/officeDocument/2006/relationships/hyperlink" Target="https://lidcom.co.in/contact.php" TargetMode="External" Id="rId264" /><Relationship Type="http://schemas.openxmlformats.org/officeDocument/2006/relationships/hyperlink" Target="https://lidcom.co.in/contact.php" TargetMode="External" Id="rId265" /><Relationship Type="http://schemas.openxmlformats.org/officeDocument/2006/relationships/hyperlink" Target="https://sjsa.maharashtra.gov.in/en/scheme-category/employment" TargetMode="External" Id="rId266" /><Relationship Type="http://schemas.openxmlformats.org/officeDocument/2006/relationships/hyperlink" Target="https://www.myscheme.gov.in/schemes/faaadp" TargetMode="External" Id="rId267" /><Relationship Type="http://schemas.openxmlformats.org/officeDocument/2006/relationships/hyperlink" Target="https://sjsa.maharashtra.gov.in/en/contacts" TargetMode="External" Id="rId268" /><Relationship Type="http://schemas.openxmlformats.org/officeDocument/2006/relationships/hyperlink" Target="https://sjsa.maharashtra.gov.in/en/scheme-category/disability-welfare" TargetMode="External" Id="rId269" /><Relationship Type="http://schemas.openxmlformats.org/officeDocument/2006/relationships/hyperlink" Target="https://www.myscheme.gov.in/schemes/fadse" TargetMode="External" Id="rId270" /><Relationship Type="http://schemas.openxmlformats.org/officeDocument/2006/relationships/hyperlink" Target="https://sjsa.maharashtra.gov.in/en/contacts" TargetMode="External" Id="rId271" /><Relationship Type="http://schemas.openxmlformats.org/officeDocument/2006/relationships/hyperlink" Target="https://sjsa.maharashtra.gov.in/en/scheme-category/disability-welfare" TargetMode="External" Id="rId272" /><Relationship Type="http://schemas.openxmlformats.org/officeDocument/2006/relationships/hyperlink" Target="https://www.myscheme.gov.in/schemes/rassnb" TargetMode="External" Id="rId273" /><Relationship Type="http://schemas.openxmlformats.org/officeDocument/2006/relationships/hyperlink" Target="https://sjsa.maharashtra.gov.in/en/ramai-awas-gharkul-scheme-sc-nav-buddha-urban-and-rural" TargetMode="External" Id="rId274" /><Relationship Type="http://schemas.openxmlformats.org/officeDocument/2006/relationships/hyperlink" Target="https://www.myscheme.gov.in/schemes/namo-shetkari-mahasanman-nidhi-yojana" TargetMode="External" Id="rId275" /><Relationship Type="http://schemas.openxmlformats.org/officeDocument/2006/relationships/hyperlink" Target="https://fw.pmkisan.gov.in/" TargetMode="External" Id="rId276" /><Relationship Type="http://schemas.openxmlformats.org/officeDocument/2006/relationships/hyperlink" Target="https://fw.pmkisan.gov.in/Documents/RevisedPM-KISANOperationalGuidelines(English).pdf" TargetMode="External" Id="rId277" /><Relationship Type="http://schemas.openxmlformats.org/officeDocument/2006/relationships/hyperlink" Target="http://nsmny.mahait.org/" TargetMode="External" Id="rId278" /><Relationship Type="http://schemas.openxmlformats.org/officeDocument/2006/relationships/hyperlink" Target="https://www.myscheme.gov.in/schemes/cmegp" TargetMode="External" Id="rId279" /><Relationship Type="http://schemas.openxmlformats.org/officeDocument/2006/relationships/hyperlink" Target="https://maha-cmegp.gov.in" TargetMode="External" Id="rId280" /><Relationship Type="http://schemas.openxmlformats.org/officeDocument/2006/relationships/hyperlink" Target="https://www.myscheme.gov.in/schemes/pocra" TargetMode="External" Id="rId281" /><Relationship Type="http://schemas.openxmlformats.org/officeDocument/2006/relationships/hyperlink" Target="https://dbt.mahapocra.gov.in" TargetMode="External" Id="rId282" /><Relationship Type="http://schemas.openxmlformats.org/officeDocument/2006/relationships/hyperlink" Target="https://dbt.mahapocra.gov.in" TargetMode="External" Id="rId283" /><Relationship Type="http://schemas.openxmlformats.org/officeDocument/2006/relationships/hyperlink" Target="https://mahapocra.gov.in/" TargetMode="External" Id="rId284" /><Relationship Type="http://schemas.openxmlformats.org/officeDocument/2006/relationships/hyperlink" Target="https://www.myscheme.gov.in/schemes/matci" TargetMode="External" Id="rId285" /><Relationship Type="http://schemas.openxmlformats.org/officeDocument/2006/relationships/hyperlink" Target="https://mahabocw.in/wp-content/uploads/2019/06/SCHEME_HEALTH_FORM-1.pdf" TargetMode="External" Id="rId286" /><Relationship Type="http://schemas.openxmlformats.org/officeDocument/2006/relationships/hyperlink" Target="https://mahakamgar.maharashtra.gov.in/welfare-scheme-for-building-other-construction-workers.htm" TargetMode="External" Id="rId287" /><Relationship Type="http://schemas.openxmlformats.org/officeDocument/2006/relationships/hyperlink" Target="https://mahabocw.in/" TargetMode="External" Id="rId288" /><Relationship Type="http://schemas.openxmlformats.org/officeDocument/2006/relationships/hyperlink" Target="https://www.myscheme.gov.in/schemes/gaoah" TargetMode="External" Id="rId289" /><Relationship Type="http://schemas.openxmlformats.org/officeDocument/2006/relationships/hyperlink" Target="https://sjsa.maharashtra.gov.in/en/contacts" TargetMode="External" Id="rId290" /><Relationship Type="http://schemas.openxmlformats.org/officeDocument/2006/relationships/hyperlink" Target="https://sjsa.maharashtra.gov.in/en/scheme-category/disability-welfare" TargetMode="External" Id="rId291" /><Relationship Type="http://schemas.openxmlformats.org/officeDocument/2006/relationships/hyperlink" Target="https://www.myscheme.gov.in/schemes/tmdvso" TargetMode="External" Id="rId292" /><Relationship Type="http://schemas.openxmlformats.org/officeDocument/2006/relationships/hyperlink" Target="https://mahadbt.maharashtra.gov.in/" TargetMode="External" Id="rId293" /><Relationship Type="http://schemas.openxmlformats.org/officeDocument/2006/relationships/hyperlink" Target="https://mahadbt.maharashtra.gov.in/RegistrationLogin/RegistrationLogin" TargetMode="External" Id="rId294" /><Relationship Type="http://schemas.openxmlformats.org/officeDocument/2006/relationships/hyperlink" Target="https://mahadbt.maharashtra.gov.in/" TargetMode="External" Id="rId295" /><Relationship Type="http://schemas.openxmlformats.org/officeDocument/2006/relationships/hyperlink" Target="https://sjsa.maharashtra.gov.in/sites/default/files/vjntscheme/eng/2-20.pdf" TargetMode="External" Id="rId296" /><Relationship Type="http://schemas.openxmlformats.org/officeDocument/2006/relationships/hyperlink" Target="https://www.myscheme.gov.in/schemes/mmlby" TargetMode="External" Id="rId297" /><Relationship Type="http://schemas.openxmlformats.org/officeDocument/2006/relationships/hyperlink" Target="https://ladakibahin.maharashtra.gov.in/" TargetMode="External" Id="rId298" /><Relationship Type="http://schemas.openxmlformats.org/officeDocument/2006/relationships/hyperlink" Target="https://ladlibahinstorage.s3.ap-south-1.amazonaws.com/site-pdf/%E0%A4%AE%E0%A4%BE%E0%A4%B0%E0%A5%8D%E0%A4%97%E0%A4%A6%E0%A4%B0%E0%A5%8D%E0%A4%B6%E0%A4%95+%E0%A4%B8%E0%A5%82%E0%A4%9A%E0%A4%A8%E0%A4%BE+%E0%A4%A6%E0%A4%BF.%E0%A5%A8%E0%A5%AD.%E0%A5%A6%E0%A5%AD.%E0%A5%A8%E0%A5%AA.pdf#toolbar=0" TargetMode="External" Id="rId299" /><Relationship Type="http://schemas.openxmlformats.org/officeDocument/2006/relationships/hyperlink" Target="https://www.myscheme.gov.in/schemes/mjpjay" TargetMode="External" Id="rId300" /><Relationship Type="http://schemas.openxmlformats.org/officeDocument/2006/relationships/hyperlink" Target="https://www.jeevandayee.gov.in/MJPJAY/FrontServlet?requestType=CommonRH&amp;actionVal=RightFrame&amp;page=undefined%3E%3E%3Cb%3EMJPJAY%20Login%3C/b%3E&amp;pageName=MJPJAY_Login&amp;mainMenu=MJPJAY_Login&amp;subMenu=MJPJAY_Login" TargetMode="External" Id="rId301" /><Relationship Type="http://schemas.openxmlformats.org/officeDocument/2006/relationships/hyperlink" Target="https://www.jeevandayee.gov.in/MJPJAY/FrontServlet?requestType=CommonRH&amp;actionVal=RightFrame&amp;page=undefined%3E%3E%3Cb%3EMJPJAY%3C/b%3E&amp;pageName=MJPJAY&amp;mainMenu=About&amp;subMenu=MJPJAY" TargetMode="External" Id="rId302" /><Relationship Type="http://schemas.openxmlformats.org/officeDocument/2006/relationships/hyperlink" Target="https://www.jeevandayee.gov.in/MJPJAY/FrontServlet?requestType=CommonRH&amp;actionVal=RightFrame&amp;page=undefined%3E%3E%3Cb%3EMJPJAY%20FAQs%3C/b%3E&amp;pageName=MJPJAY_FAQs&amp;mainMenu=MJPJAY_FAQs&amp;subMenu=MJPJAY_FAQs#" TargetMode="External" Id="rId303" /><Relationship Type="http://schemas.openxmlformats.org/officeDocument/2006/relationships/hyperlink" Target="https://www.myscheme.gov.in/schemes/mmykpy" TargetMode="External" Id="rId304" /><Relationship Type="http://schemas.openxmlformats.org/officeDocument/2006/relationships/hyperlink" Target="https://cmykpy.mahaswayam.gov.in/Index.aspx" TargetMode="External" Id="rId305" /><Relationship Type="http://schemas.openxmlformats.org/officeDocument/2006/relationships/hyperlink" Target="https://cmykpy.mahaswayam.gov.in/DocMasters/PublicityDocuments/CMYKPY_Note.pdf" TargetMode="External" Id="rId306" /><Relationship Type="http://schemas.openxmlformats.org/officeDocument/2006/relationships/hyperlink" Target="https://cmykpy.mahaswayam.gov.in/Index.aspx" TargetMode="External" Id="rId307" /><Relationship Type="http://schemas.openxmlformats.org/officeDocument/2006/relationships/table" Target="/xl/tables/table3.xml" Id="rId308"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tabColor rgb="FF233D62"/>
    <outlinePr summaryBelow="1" summaryRight="1"/>
    <pageSetUpPr fitToPage="1"/>
  </sheetPr>
  <dimension ref="A2:AE65"/>
  <sheetViews>
    <sheetView showGridLines="0" tabSelected="1"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2.7109375" customWidth="1" min="1" max="1"/>
    <col width="48.7109375" customWidth="1" min="2" max="2"/>
    <col width="16.7109375" customWidth="1" min="3" max="3"/>
    <col width="24.7109375" customWidth="1" min="4" max="4"/>
    <col width="52.7109375" customWidth="1" min="5" max="5"/>
    <col width="60.7109375" customWidth="1" min="6" max="6"/>
    <col width="45.7109375" customWidth="1" min="7" max="7"/>
    <col width="85.7109375" customWidth="1" min="8" max="8"/>
    <col width="20.7109375" customWidth="1" min="9" max="9"/>
    <col width="17.7109375" customWidth="1" min="10" max="10"/>
    <col width="22.7109375" customWidth="1" min="11" max="12"/>
    <col width="65.7109375" customWidth="1" min="13" max="13"/>
    <col width="48.7109375" customWidth="1" min="14" max="14"/>
    <col width="25.7109375" customWidth="1" min="15" max="15"/>
    <col width="35.7109375" customWidth="1" min="16" max="16"/>
    <col width="40.7109375" customWidth="1" min="17" max="19"/>
    <col width="18.7109375" customWidth="1" min="20" max="20"/>
    <col width="22.7109375" customWidth="1" min="21" max="21"/>
    <col width="18.7109375" customWidth="1" min="22" max="23"/>
    <col width="23.7109375" customWidth="1" min="24" max="24"/>
    <col width="37.7109375" customWidth="1" min="25" max="26"/>
    <col width="30.7109375" customWidth="1" min="27" max="27"/>
    <col width="42.7109375" customWidth="1" min="28" max="28"/>
    <col width="52.7109375" customWidth="1" min="29" max="29"/>
    <col width="65.7109375" customWidth="1" min="30" max="30"/>
    <col width="72.7109375" customWidth="1" min="31" max="31"/>
  </cols>
  <sheetData>
    <row r="2" ht="28" customHeight="1">
      <c r="A2" s="1" t="inlineStr">
        <is>
          <t>Scheme Saathi: 60-scheme review</t>
        </is>
      </c>
    </row>
    <row r="3" ht="22" customHeight="1">
      <c r="A3" s="2" t="inlineStr">
        <is>
          <t>myScheme comparison: 28 Oct 2026. 58 matched records; M03 and M04 require mapping. Full text is in the detailed tabs.</t>
        </is>
      </c>
    </row>
    <row r="5" ht="45" customHeight="1">
      <c r="A5" s="3" t="inlineStr">
        <is>
          <t>ID</t>
        </is>
      </c>
      <c r="B5" s="3" t="inlineStr">
        <is>
          <t>Scheme</t>
        </is>
      </c>
      <c r="C5" s="3" t="inlineStr">
        <is>
          <t>Government</t>
        </is>
      </c>
      <c r="D5" s="3" t="inlineStr">
        <is>
          <t>Geography</t>
        </is>
      </c>
      <c r="E5" s="3" t="inlineStr">
        <is>
          <t>Benefits / purpose</t>
        </is>
      </c>
      <c r="F5" s="3" t="inlineStr">
        <is>
          <t>Applicant documents</t>
        </is>
      </c>
      <c r="G5" s="3" t="inlineStr">
        <is>
          <t>Application route</t>
        </is>
      </c>
      <c r="H5" s="3" t="inlineStr">
        <is>
          <t>Manual checks / conflicts</t>
        </is>
      </c>
      <c r="I5" s="3" t="inlineStr">
        <is>
          <t>Official page</t>
        </is>
      </c>
      <c r="J5" s="3" t="inlineStr">
        <is>
          <t>Research date</t>
        </is>
      </c>
      <c r="K5" s="3" t="inlineStr">
        <is>
          <t>Review status</t>
        </is>
      </c>
      <c r="L5" s="3" t="inlineStr">
        <is>
          <t>Reviewer</t>
        </is>
      </c>
      <c r="M5" s="3" t="inlineStr">
        <is>
          <t>Reviewer notes</t>
        </is>
      </c>
      <c r="N5" s="3" t="inlineStr">
        <is>
          <t>Official categories</t>
        </is>
      </c>
      <c r="O5" s="3" t="inlineStr">
        <is>
          <t>Applicant type (source)</t>
        </is>
      </c>
      <c r="P5" s="3" t="inlineStr">
        <is>
          <t>Target beneficiaries (source)</t>
        </is>
      </c>
      <c r="Q5" s="3" t="inlineStr">
        <is>
          <t>Ministry / provider</t>
        </is>
      </c>
      <c r="R5" s="3" t="inlineStr">
        <is>
          <t>Department</t>
        </is>
      </c>
      <c r="S5" s="3" t="inlineStr">
        <is>
          <t>myScheme slug</t>
        </is>
      </c>
      <c r="T5" s="3" t="inlineStr">
        <is>
          <t>Source ID</t>
        </is>
      </c>
      <c r="U5" s="3" t="inlineStr">
        <is>
          <t>Original level label</t>
        </is>
      </c>
      <c r="V5" s="3" t="inlineStr">
        <is>
          <t>Source open date</t>
        </is>
      </c>
      <c r="W5" s="3" t="inlineStr">
        <is>
          <t>Source close date</t>
        </is>
      </c>
      <c r="X5" s="3" t="inlineStr">
        <is>
          <t>Application availability</t>
        </is>
      </c>
      <c r="Y5" s="3" t="inlineStr">
        <is>
          <t>Eligibility capture</t>
        </is>
      </c>
      <c r="Z5" s="3" t="inlineStr">
        <is>
          <t>Exclusions capture</t>
        </is>
      </c>
      <c r="AA5" s="3" t="inlineStr">
        <is>
          <t>Source application modes</t>
        </is>
      </c>
      <c r="AB5" s="3" t="inlineStr">
        <is>
          <t>Document capture</t>
        </is>
      </c>
      <c r="AC5" s="3" t="inlineStr">
        <is>
          <t>Schema patterns to test</t>
        </is>
      </c>
      <c r="AD5" s="3" t="inlineStr">
        <is>
          <t>Current source name / alias</t>
        </is>
      </c>
      <c r="AE5" s="3" t="inlineStr">
        <is>
          <t>Snapshot hash</t>
        </is>
      </c>
    </row>
    <row r="6" ht="230" customHeight="1">
      <c r="A6" s="4" t="inlineStr">
        <is>
          <t>C01</t>
        </is>
      </c>
      <c r="B6" s="4" t="inlineStr">
        <is>
          <t>Pradhan Mantri Jeevan Jyoti Bima Yojana</t>
        </is>
      </c>
      <c r="C6" s="4" t="inlineStr">
        <is>
          <t>Central</t>
        </is>
      </c>
      <c r="D6" s="4" t="inlineStr">
        <is>
          <t>India</t>
        </is>
      </c>
      <c r="E6" s="4" t="inlineStr">
        <is>
          <t>PMJJBY offers one- year term life cover of ₹ 2.00 Lakh to all the subscribers in the age group of 18-50 years.
It covers death due to any reason.
Premium payable is ₹ 436/- per annum per subscriber, to be auto debited from the subscriber’s bank/post office account.</t>
        </is>
      </c>
      <c r="F6" s="4" t="inlineStr">
        <is>
          <t>Not stated in the captured myScheme section.</t>
        </is>
      </c>
      <c r="G6" s="4" t="inlineStr">
        <is>
          <t>Offline
Step 01: Download and take print of the “CONSENT-CUM-DECLARATION FORM” given in the link below: https://www.jansuraksha.gov.in/Files/PMJJBY/English/ApplicationForm.pdf#zoom=250
Step 02: Duly fill and sign the application form, attach the self-attested copies of the required documents, and submit the case to the authorised official of Bank / Post Office. The official will return you the “ACKNOWLEDGEMENT SLIP CUM CERTIFICATE OF INSURANCE”.
One can also avail cover under PMJJBY online using their bank's Net banking facility.</t>
        </is>
      </c>
      <c r="H6" s="4" t="inlineStr">
        <is>
          <t>Compared with myScheme on 28 Oct 2026. Text reproduced as published; linked destinations not independently verified. Empty or absent sections: Exclusions, Applicant documents. No requirement inferred.</t>
        </is>
      </c>
      <c r="I6" s="5" t="inlineStr">
        <is>
          <t>Open official page</t>
        </is>
      </c>
      <c r="J6" s="6" t="n">
        <v>46323</v>
      </c>
      <c r="K6" s="7" t="inlineStr">
        <is>
          <t>Approved</t>
        </is>
      </c>
      <c r="L6" s="7" t="n"/>
      <c r="M6" s="7" t="n"/>
      <c r="N6" s="4" t="inlineStr">
        <is>
          <t>Banking,Financial Services and Insurance; Social welfare &amp; Empowerment</t>
        </is>
      </c>
      <c r="O6" s="4" t="inlineStr">
        <is>
          <t>Individual</t>
        </is>
      </c>
      <c r="P6" s="4" t="inlineStr">
        <is>
          <t>Individual</t>
        </is>
      </c>
      <c r="Q6" s="4" t="inlineStr">
        <is>
          <t>Ministry Of Finance</t>
        </is>
      </c>
      <c r="R6" s="4" t="inlineStr">
        <is>
          <t>Department of Financial Service</t>
        </is>
      </c>
      <c r="S6" s="4" t="inlineStr">
        <is>
          <t>pmjjby</t>
        </is>
      </c>
      <c r="T6" s="4" t="inlineStr">
        <is>
          <t>MS-C01</t>
        </is>
      </c>
      <c r="U6" s="4" t="inlineStr">
        <is>
          <t>Central</t>
        </is>
      </c>
      <c r="V6" s="6" t="n">
        <v>42133</v>
      </c>
      <c r="W6" s="4" t="n"/>
      <c r="X6" s="4" t="inlineStr">
        <is>
          <t>Available</t>
        </is>
      </c>
      <c r="Y6" s="4" t="inlineStr">
        <is>
          <t>Present</t>
        </is>
      </c>
      <c r="Z6" s="4" t="inlineStr">
        <is>
          <t>Empty or absent in source</t>
        </is>
      </c>
      <c r="AA6" s="4" t="inlineStr">
        <is>
          <t>Offline; Online</t>
        </is>
      </c>
      <c r="AB6" s="4" t="inlineStr">
        <is>
          <t>Empty or absent in source</t>
        </is>
      </c>
      <c r="AC6" s="4" t="inlineStr">
        <is>
          <t>Person age / date of birth
Time period / history
Temporal condition</t>
        </is>
      </c>
      <c r="AD6" s="4" t="inlineStr">
        <is>
          <t>Pradhan Mantri Jeevan Jyoti Bima Yojana</t>
        </is>
      </c>
      <c r="AE6" s="4" t="inlineStr">
        <is>
          <t>6a583ea39e4962da7705dc3603bc57f36c50d4b77073da4ae917374a9e950fe5</t>
        </is>
      </c>
    </row>
    <row r="7" ht="230" customHeight="1">
      <c r="A7" s="8" t="inlineStr">
        <is>
          <t>C02</t>
        </is>
      </c>
      <c r="B7" s="8" t="inlineStr">
        <is>
          <t>Pradhan Mantri Suraksha Bima Yojana</t>
        </is>
      </c>
      <c r="C7" s="8" t="inlineStr">
        <is>
          <t>Central</t>
        </is>
      </c>
      <c r="D7" s="8" t="inlineStr">
        <is>
          <t>India</t>
        </is>
      </c>
      <c r="E7" s="8" t="inlineStr">
        <is>
          <t>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t>
        </is>
      </c>
      <c r="F7" s="8" t="inlineStr">
        <is>
          <t>Not stated in the captured myScheme section.</t>
        </is>
      </c>
      <c r="G7" s="8" t="inlineStr">
        <is>
          <t>Step 01: In order to enrol in PMSBY offline, one can visit the bank branch where one has a savings account or the candidate can visit the official site: https://jansuraksha.gov.in/Forms-PMSBY.aspx to download the form.
Step 02: After downloading the application form , candidate can fill in all the details and submit  them to the bank along with the  required documents.
Step 03: Once it is successfully submitted , subscriber will get an Acknowledgement Slip Cum Certificate of Insurance.
Contact:
State wise tollfree number - https://jansuraksha.gov.in/files/STATEWISETOLLFREE.pdf
National Toll…
Full published text: Application steps.</t>
        </is>
      </c>
      <c r="H7" s="8" t="inlineStr">
        <is>
          <t>Compared with myScheme on 28 Oct 2026. Text reproduced as published; linked destinations not independently verified. Empty or absent sections: Exclusions, Applicant documents. No requirement inferred.</t>
        </is>
      </c>
      <c r="I7" s="5" t="inlineStr">
        <is>
          <t>Open official page</t>
        </is>
      </c>
      <c r="J7" s="9" t="n">
        <v>46323</v>
      </c>
      <c r="K7" s="7" t="inlineStr">
        <is>
          <t>Approved</t>
        </is>
      </c>
      <c r="L7" s="7" t="n"/>
      <c r="M7" s="7" t="n"/>
      <c r="N7" s="8" t="inlineStr">
        <is>
          <t>Banking,Financial Services and Insurance</t>
        </is>
      </c>
      <c r="O7" s="8" t="inlineStr">
        <is>
          <t>Individual</t>
        </is>
      </c>
      <c r="P7" s="8" t="inlineStr">
        <is>
          <t>All</t>
        </is>
      </c>
      <c r="Q7" s="8" t="inlineStr">
        <is>
          <t>Ministry Of Finance</t>
        </is>
      </c>
      <c r="R7" s="8" t="inlineStr">
        <is>
          <t>Department of Financial Service</t>
        </is>
      </c>
      <c r="S7" s="8" t="inlineStr">
        <is>
          <t>pmsby</t>
        </is>
      </c>
      <c r="T7" s="8" t="inlineStr">
        <is>
          <t>MS-C02</t>
        </is>
      </c>
      <c r="U7" s="8" t="inlineStr">
        <is>
          <t>Central</t>
        </is>
      </c>
      <c r="V7" s="9" t="n">
        <v>42133</v>
      </c>
      <c r="W7" s="8" t="n"/>
      <c r="X7" s="8" t="inlineStr">
        <is>
          <t>Available</t>
        </is>
      </c>
      <c r="Y7" s="8" t="inlineStr">
        <is>
          <t>Present</t>
        </is>
      </c>
      <c r="Z7" s="8" t="inlineStr">
        <is>
          <t>Empty or absent in source</t>
        </is>
      </c>
      <c r="AA7" s="8" t="inlineStr">
        <is>
          <t>Offline; Online</t>
        </is>
      </c>
      <c r="AB7" s="8" t="inlineStr">
        <is>
          <t>Empty or absent in source</t>
        </is>
      </c>
      <c r="AC7" s="8" t="inlineStr">
        <is>
          <t>Person age / date of birth
Disability and certification
Household relationships / prior benefits
Jurisdiction
Institution type / accreditation
Time period / history
Temporal condition</t>
        </is>
      </c>
      <c r="AD7" s="8" t="inlineStr">
        <is>
          <t>Pradhan Mantri Suraksha Bima Yojana</t>
        </is>
      </c>
      <c r="AE7" s="8" t="inlineStr">
        <is>
          <t>35fcf7ada0f23dfce9759da90f1ac61d855bf238d21c798fbdc8083d6be9d4a9</t>
        </is>
      </c>
    </row>
    <row r="8" ht="230" customHeight="1">
      <c r="A8" s="4" t="inlineStr">
        <is>
          <t>C03</t>
        </is>
      </c>
      <c r="B8" s="4" t="inlineStr">
        <is>
          <t>Pradhan Mantri Kisan Maandhan Yojana</t>
        </is>
      </c>
      <c r="C8" s="4" t="inlineStr">
        <is>
          <t>Central</t>
        </is>
      </c>
      <c r="D8" s="4" t="inlineStr">
        <is>
          <t>India</t>
        </is>
      </c>
      <c r="E8" s="4" t="inlineStr">
        <is>
          <t>Monthly Pension Benefit:
The subscriber will receive a minimum assured pension of ₹ 3,000/- per month after attaining the age of 60 years.
Family Pension Benefit:
In case of death of the subscriber, the spouse will receive 50% of the pension amount as family pension.
Family pension is applicable only to the spouse.
Government Matching Contribution:
The Government of India will contribute an amount equal to the subscriber’s monthly contribution to the pension fund.
Disablement Benefit:
If the subscriber becomes permanently disabled before the age of 60 years, the spouse can continue the scheme…
Full published text: Source passages → Benefits.</t>
        </is>
      </c>
      <c r="F8" s="4" t="inlineStr">
        <is>
          <t>Aadhaar Card
Savings Bank Account Number along with IFSC Code ( Bank Passbook or Cheque Leaf/book or copy of bank statement as evidence of bank account).</t>
        </is>
      </c>
      <c r="G8" s="4" t="inlineStr">
        <is>
          <t>Step 1: The Eligible SMFs desirous of joining the scheme shall visit the nearest Common Service Centre (CSC).
Step 2: Following are the prerequisites for the enrolment process:
Aadhaar Card
Savings Bank Account Number along with IFSC Code ( Bank Passbook or Cheque Leave/book or copy of bank statement as evidence of bank account ).
Step 3: Initial contribution amount in cash will be made to the Village Level Entrepreneur (VLE).
Step 4: The VLE will key-in the Aadhaar number, Name of subscriber and Date of birth as printed on aadhaar card for authentication.
Step 5: The VLE will complete the…
Full published text: Application steps.</t>
        </is>
      </c>
      <c r="H8" s="4" t="inlineStr">
        <is>
          <t>Compared with myScheme on 28 Oct 2026. Text reproduced as published; linked destinations not independently verified.</t>
        </is>
      </c>
      <c r="I8" s="5" t="inlineStr">
        <is>
          <t>Open official page</t>
        </is>
      </c>
      <c r="J8" s="6" t="n">
        <v>46323</v>
      </c>
      <c r="K8" s="7" t="inlineStr">
        <is>
          <t>Approved</t>
        </is>
      </c>
      <c r="L8" s="7" t="n"/>
      <c r="M8" s="7" t="n"/>
      <c r="N8" s="4" t="inlineStr">
        <is>
          <t>Agriculture,Rural &amp; Environment; Banking,Financial Services and Insurance; Social welfare &amp; Empowerment</t>
        </is>
      </c>
      <c r="O8" s="4" t="inlineStr">
        <is>
          <t>Individual</t>
        </is>
      </c>
      <c r="P8" s="4" t="inlineStr">
        <is>
          <t>Individual</t>
        </is>
      </c>
      <c r="Q8" s="4" t="inlineStr">
        <is>
          <t>Ministry Of Agriculture and Farmers Welfare</t>
        </is>
      </c>
      <c r="R8" s="4" t="inlineStr">
        <is>
          <t>Department of Agriculture &amp; Farmers Welfare</t>
        </is>
      </c>
      <c r="S8" s="4" t="inlineStr">
        <is>
          <t>pmkmdy</t>
        </is>
      </c>
      <c r="T8" s="4" t="inlineStr">
        <is>
          <t>MS-C03</t>
        </is>
      </c>
      <c r="U8" s="4" t="inlineStr">
        <is>
          <t>Central</t>
        </is>
      </c>
      <c r="V8" s="4" t="n"/>
      <c r="W8" s="4" t="n"/>
      <c r="X8" s="4" t="inlineStr">
        <is>
          <t>Available</t>
        </is>
      </c>
      <c r="Y8" s="4" t="inlineStr">
        <is>
          <t>Present</t>
        </is>
      </c>
      <c r="Z8" s="4" t="inlineStr">
        <is>
          <t>Present</t>
        </is>
      </c>
      <c r="AA8" s="4" t="inlineStr">
        <is>
          <t>Online - via CSC</t>
        </is>
      </c>
      <c r="AB8" s="4" t="inlineStr">
        <is>
          <t>Present</t>
        </is>
      </c>
      <c r="AC8" s="4" t="inlineStr">
        <is>
          <t>Person age / date of birth
Income amount, period and subject
Household relationships / prior benefits
Registration / membership
Jurisdiction
Institution type / accreditation
Landholding / ownership
Employment / employer
Benefit cap formula
Time period / history
Negative condition
Temporal condition</t>
        </is>
      </c>
      <c r="AD8" s="4" t="inlineStr">
        <is>
          <t>Pradhan Mantri Kisan Maandhan Yojana</t>
        </is>
      </c>
      <c r="AE8" s="4" t="inlineStr">
        <is>
          <t>b25487a7aeb37ecb315d317c7382f8148e7f0d5b7311f6d6cd240fef902b5ec4</t>
        </is>
      </c>
    </row>
    <row r="9" ht="230" customHeight="1">
      <c r="A9" s="8" t="inlineStr">
        <is>
          <t>C04</t>
        </is>
      </c>
      <c r="B9" s="8" t="inlineStr">
        <is>
          <t>Atal Pension Yojana</t>
        </is>
      </c>
      <c r="C9" s="8" t="inlineStr">
        <is>
          <t>Central</t>
        </is>
      </c>
      <c r="D9" s="8" t="inlineStr">
        <is>
          <t>India</t>
        </is>
      </c>
      <c r="E9" s="8" t="inlineStr">
        <is>
          <t>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Full published text: Source passages → Benefits.</t>
        </is>
      </c>
      <c r="F9" s="8" t="inlineStr">
        <is>
          <t>KYC details are fetched from active Bank/Post Office Savings account.</t>
        </is>
      </c>
      <c r="G9" s="8" t="inlineStr">
        <is>
          <t>Process 1:
One can also open an APY account online using one's Net banking facility.
The applicant can login into his/her internet banking account and search for APY on dashboard.
Customer has to fill basic and Nominee details.
Customer has to give consent for  auto debit of premium from the account and submit the form.
Process 2:
Visit website “
https://enps.nsdl.com/eNPS/NationalPensionSystem.html
 “ and select “Atal Pension Yojana”.
Select “APY Registration”
Fill the basic details in the form. One can complete KYC through 3 options – 
Offline KYC – Where one has to upload XML file of…
Full published text: Application steps.</t>
        </is>
      </c>
      <c r="H9" s="8" t="inlineStr">
        <is>
          <t>Compared with myScheme on 28 Oct 2026. Text reproduced as published; linked destinations not independently verified.</t>
        </is>
      </c>
      <c r="I9" s="5" t="inlineStr">
        <is>
          <t>Open official page</t>
        </is>
      </c>
      <c r="J9" s="9" t="n">
        <v>46323</v>
      </c>
      <c r="K9" s="7" t="inlineStr">
        <is>
          <t>Approved</t>
        </is>
      </c>
      <c r="L9" s="7" t="n"/>
      <c r="M9" s="7" t="n"/>
      <c r="N9" s="8" t="inlineStr">
        <is>
          <t>Banking,Financial Services and Insurance</t>
        </is>
      </c>
      <c r="O9" s="8" t="inlineStr">
        <is>
          <t>Individual</t>
        </is>
      </c>
      <c r="P9" s="8" t="inlineStr">
        <is>
          <t>Individual</t>
        </is>
      </c>
      <c r="Q9" s="8" t="inlineStr">
        <is>
          <t>Ministry Of Finance</t>
        </is>
      </c>
      <c r="R9" s="8" t="inlineStr">
        <is>
          <t>Department of Financial Service</t>
        </is>
      </c>
      <c r="S9" s="8" t="inlineStr">
        <is>
          <t>apy</t>
        </is>
      </c>
      <c r="T9" s="8" t="inlineStr">
        <is>
          <t>MS-C04</t>
        </is>
      </c>
      <c r="U9" s="8" t="inlineStr">
        <is>
          <t>Central</t>
        </is>
      </c>
      <c r="V9" s="9" t="n">
        <v>42133</v>
      </c>
      <c r="W9" s="8" t="n"/>
      <c r="X9" s="8" t="inlineStr">
        <is>
          <t>Available</t>
        </is>
      </c>
      <c r="Y9" s="8" t="inlineStr">
        <is>
          <t>Present</t>
        </is>
      </c>
      <c r="Z9" s="8" t="inlineStr">
        <is>
          <t>Present</t>
        </is>
      </c>
      <c r="AA9" s="8" t="inlineStr">
        <is>
          <t>Online; Offline</t>
        </is>
      </c>
      <c r="AB9" s="8" t="inlineStr">
        <is>
          <t>Present</t>
        </is>
      </c>
      <c r="AC9" s="8" t="inlineStr">
        <is>
          <t>Person age / date of birth
Income amount, period and subject
Registration / membership
Jurisdiction
Employment / employer
Time period / history
Temporal condition</t>
        </is>
      </c>
      <c r="AD9" s="8" t="inlineStr">
        <is>
          <t>Atal Pension Yojana</t>
        </is>
      </c>
      <c r="AE9" s="8" t="inlineStr">
        <is>
          <t>8f3b40d0c9b6a28c56cfbe7ba4b60820a513bd784cc5121dc8a349bf218f820d</t>
        </is>
      </c>
    </row>
    <row r="10" ht="230" customHeight="1">
      <c r="A10" s="4" t="inlineStr">
        <is>
          <t>C05</t>
        </is>
      </c>
      <c r="B10" s="4" t="inlineStr">
        <is>
          <t>Pradhan Mantri Shram Yogi Maan-dhan</t>
        </is>
      </c>
      <c r="C10" s="4" t="inlineStr">
        <is>
          <t>Central</t>
        </is>
      </c>
      <c r="D10" s="4" t="inlineStr">
        <is>
          <t>India</t>
        </is>
      </c>
      <c r="E10" s="4" t="inlineStr">
        <is>
          <t>Financial Assistance
A minimum assured pension of ₹3,000/- per month is provided to the subscriber after attaining the age of 60 years.
A matching contribution is provided by the Central Government on a 50:50 basis, where an equal amount to the subscriber's age-specific contribution (ranging from ₹55/- to ₹200/-) is credited to the pension account.
NOTE:
During the receipt of the pension, if the subscriber dies: The spouse of the beneficiary shall be entitled to receive a family pension equal to 50% of the pension received by the beneficiary.
If a beneficiary has given regular contributions…
Full published text: Source passages → Benefits.</t>
        </is>
      </c>
      <c r="F10" s="4" t="inlineStr">
        <is>
          <t>Aadhaar Card
Savings Bank Account Passbook / Jan-Dhan Account Passbook
Mobile Number
Self-Certification (At the time of enrollment)
Any other documents as required</t>
        </is>
      </c>
      <c r="G10" s="4" t="inlineStr">
        <is>
          <t>Application Process:
Step 1: The interested eligible person must visit the nearest Common Services Centre (CSC) to initiate the registration and enrollment process.
Step 2: The Village Level Entrepreneur (VLE) present at the CSC will key in the Aadhaar number, the exact name of the subscriber as printed on the Aadhaar card, and the date of birth into the system. These details will subsequently be instantly verified with the UIDAI database.
Step 3: The VLE will capture further details of the applicant, including Bank Account details, Mobile Number, Email-id, spouse, and nominee details into…
Full published text: Application steps.</t>
        </is>
      </c>
      <c r="H10" s="4" t="inlineStr">
        <is>
          <t>Compared with myScheme on 28 Oct 2026. Text reproduced as published; linked destinations not independently verified.</t>
        </is>
      </c>
      <c r="I10" s="5" t="inlineStr">
        <is>
          <t>Open official page</t>
        </is>
      </c>
      <c r="J10" s="6" t="n">
        <v>46323</v>
      </c>
      <c r="K10" s="7" t="inlineStr">
        <is>
          <t>Approved</t>
        </is>
      </c>
      <c r="L10" s="7" t="n"/>
      <c r="M10" s="7" t="n"/>
      <c r="N10" s="4" t="inlineStr">
        <is>
          <t>Social welfare &amp; Empowerment</t>
        </is>
      </c>
      <c r="O10" s="4" t="inlineStr">
        <is>
          <t>Family</t>
        </is>
      </c>
      <c r="P10" s="4" t="inlineStr">
        <is>
          <t>Individual</t>
        </is>
      </c>
      <c r="Q10" s="4" t="inlineStr">
        <is>
          <t>Ministry Of Labour and Employment</t>
        </is>
      </c>
      <c r="R10" s="4" t="inlineStr"/>
      <c r="S10" s="4" t="inlineStr">
        <is>
          <t>pm-sym</t>
        </is>
      </c>
      <c r="T10" s="4" t="inlineStr">
        <is>
          <t>MS-C05</t>
        </is>
      </c>
      <c r="U10" s="4" t="inlineStr">
        <is>
          <t>Central</t>
        </is>
      </c>
      <c r="V10" s="4" t="n"/>
      <c r="W10" s="4" t="n"/>
      <c r="X10" s="4" t="inlineStr">
        <is>
          <t>Available</t>
        </is>
      </c>
      <c r="Y10" s="4" t="inlineStr">
        <is>
          <t>Present</t>
        </is>
      </c>
      <c r="Z10" s="4" t="inlineStr">
        <is>
          <t>Present</t>
        </is>
      </c>
      <c r="AA10" s="4" t="inlineStr">
        <is>
          <t>Online - via CSC; Online</t>
        </is>
      </c>
      <c r="AB10" s="4" t="inlineStr">
        <is>
          <t>Present</t>
        </is>
      </c>
      <c r="AC10" s="4" t="inlineStr">
        <is>
          <t>Person age / date of birth
Income amount, period and subject
Household relationships / prior benefits
Project attributes
Registration / membership
Jurisdiction
Employment / employer
Benefit cap formula
Time period / history
Negative condition
Temporal condition
Component / category-specific branch</t>
        </is>
      </c>
      <c r="AD10" s="4" t="inlineStr">
        <is>
          <t>Pradhan Mantri Shram Yogi Maan-dhan</t>
        </is>
      </c>
      <c r="AE10" s="4" t="inlineStr">
        <is>
          <t>fc4e9a2d422049ef00e84c9903f2d976175d652240bb1471a8f6d000d1e12056</t>
        </is>
      </c>
    </row>
    <row r="11" ht="230" customHeight="1">
      <c r="A11" s="8" t="inlineStr">
        <is>
          <t>C06</t>
        </is>
      </c>
      <c r="B11" s="8" t="inlineStr">
        <is>
          <t>Indira Gandhi National Widow Pension Scheme</t>
        </is>
      </c>
      <c r="C11" s="8" t="inlineStr">
        <is>
          <t>Central</t>
        </is>
      </c>
      <c r="D11" s="8" t="inlineStr">
        <is>
          <t>India; Maharashtra implementation</t>
        </is>
      </c>
      <c r="E11" s="8" t="inlineStr">
        <is>
          <t>A pension of Rs.300/- per month is provided to Widows between 40 years and 79 years. For persons who are 80 years and above the pension is Rs.500/- per month.</t>
        </is>
      </c>
      <c r="F11" s="8" t="inlineStr">
        <is>
          <t>Death Certificate of husband – With the name of the surviving wife(widow).
BPL Card.
Age Proof - For age, the birth certificate or school certificate may be relied on. In their absence ration card and EPIC may be considered. If there is no valid document, any Medical Officer of any government hospital may be authorized to issue the age certificate.</t>
        </is>
      </c>
      <c r="G11" s="8" t="inlineStr">
        <is>
          <t>One can download UMANG App or visit website https://web.umang.gov.in/web_new/home
The citizen can login using mobile number and OTP.
Once logged In, citizen can search for NSAP.
Click on “Apply Online”
Fill the basic details, choose the mode of payment of pension, upload photo and click on “Submit”.
Individuals can submit completely filled applications to the Gram Panchayat / Block Office in the rural area and the Municipality / Municipal Council in the urban area, as per eligibility.
A Verification Officer or Verification Team under an authorized officer verifies the applications with…
Full published text: Application steps.</t>
        </is>
      </c>
      <c r="H11" s="8" t="inlineStr">
        <is>
          <t>Compared with myScheme on 28 Oct 2026. Text reproduced as published; linked destinations not independently verified.</t>
        </is>
      </c>
      <c r="I11" s="5" t="inlineStr">
        <is>
          <t>Open official page</t>
        </is>
      </c>
      <c r="J11" s="9" t="n">
        <v>46323</v>
      </c>
      <c r="K11" s="7" t="inlineStr">
        <is>
          <t>Approved</t>
        </is>
      </c>
      <c r="L11" s="7" t="n"/>
      <c r="M11" s="7" t="n"/>
      <c r="N11" s="8" t="inlineStr">
        <is>
          <t>Social welfare &amp; Empowerment; Banking,Financial Services and Insurance; Women and Child</t>
        </is>
      </c>
      <c r="O11" s="8" t="inlineStr">
        <is>
          <t>Individual</t>
        </is>
      </c>
      <c r="P11" s="8" t="inlineStr">
        <is>
          <t>Individual</t>
        </is>
      </c>
      <c r="Q11" s="8" t="inlineStr">
        <is>
          <t>Ministry Of Rural Development</t>
        </is>
      </c>
      <c r="R11" s="8" t="inlineStr">
        <is>
          <t>Department of Rural Development</t>
        </is>
      </c>
      <c r="S11" s="8" t="inlineStr">
        <is>
          <t>ignwps</t>
        </is>
      </c>
      <c r="T11" s="8" t="inlineStr">
        <is>
          <t>MS-C06</t>
        </is>
      </c>
      <c r="U11" s="8" t="inlineStr">
        <is>
          <t>Central</t>
        </is>
      </c>
      <c r="V11" s="9" t="n">
        <v>39934</v>
      </c>
      <c r="W11" s="8" t="n"/>
      <c r="X11" s="8" t="inlineStr">
        <is>
          <t>Available</t>
        </is>
      </c>
      <c r="Y11" s="8" t="inlineStr">
        <is>
          <t>Present</t>
        </is>
      </c>
      <c r="Z11" s="8" t="inlineStr">
        <is>
          <t>Present</t>
        </is>
      </c>
      <c r="AA11" s="8" t="inlineStr">
        <is>
          <t>Online; Offline</t>
        </is>
      </c>
      <c r="AB11" s="8" t="inlineStr">
        <is>
          <t>Present</t>
        </is>
      </c>
      <c r="AC11" s="8" t="inlineStr">
        <is>
          <t>Person age / date of birth
Household relationships / prior benefits
Jurisdiction
Time period / history
Temporal condition</t>
        </is>
      </c>
      <c r="AD11" s="8" t="inlineStr">
        <is>
          <t>Indira Gandhi National Widow Pension Scheme</t>
        </is>
      </c>
      <c r="AE11" s="8" t="inlineStr">
        <is>
          <t>7c399dda201006e9e00eaf79fa1cf40adab7b77656fd619cf336e7d3e76f4cde</t>
        </is>
      </c>
    </row>
    <row r="12" ht="230" customHeight="1">
      <c r="A12" s="4" t="inlineStr">
        <is>
          <t>M01</t>
        </is>
      </c>
      <c r="B12" s="4" t="inlineStr">
        <is>
          <t>Sanjay Gandhi Niradhar Grant Scheme</t>
        </is>
      </c>
      <c r="C12" s="4" t="inlineStr">
        <is>
          <t>State</t>
        </is>
      </c>
      <c r="D12" s="4" t="inlineStr">
        <is>
          <t>Maharashtra</t>
        </is>
      </c>
      <c r="E12" s="4" t="inlineStr">
        <is>
          <t>Financial assistance of ₹ 600/- per month, if there is one beneficiary in the eligible family.
Financial assistance of ₹ 900/- per month, if there is more than one beneficiary in the eligible family.</t>
        </is>
      </c>
      <c r="F12" s="4" t="inlineStr">
        <is>
          <t>Aadhaar Card.
2-Passport Sized Photograph (Signed Across).
Residential Certificate / Domicile Certificate of the State of Maharashtra.
Details of the Bank Account (Bank Name, Branch Name, Address, IFSC, etc).
Any other document required by the District Social Welfare Office.
Medical Certificate OR Certificate of Incapacity/Disease (issued by the Civil Surgeon and Medical Superintendent of the Government Hospital) (In the case of major illness)
Proof of Age
Income Certificate / BPL Card of the Family
Disability Certificate
Transgender Certificate (in case the applicant is Transgender)
Marriage…
Full published text: Applicant documents.</t>
        </is>
      </c>
      <c r="G12" s="4" t="inlineStr">
        <is>
          <t>Step 1: Visit the Collector's Office / Tahsildar Sanjay Gandhi Yojana / Talathi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Collector's Office / Tahsildar Sanjay Gandhi Yojana / Talathi Office.
Step 4: Acquire the receipt/acknowledgment of the successful…
Full published text: Application steps.</t>
        </is>
      </c>
      <c r="H12" s="4" t="inlineStr">
        <is>
          <t>Compared with myScheme on 28 Oct 2026. Text reproduced as published; linked destinations not independently verified. Empty or absent sections: Exclusions. No requirement inferred. myScheme publishes ₹600/₹900; earlier department/district amounts differed. This workbook follows the selected myScheme source.</t>
        </is>
      </c>
      <c r="I12" s="5" t="inlineStr">
        <is>
          <t>Open official page</t>
        </is>
      </c>
      <c r="J12" s="6" t="n">
        <v>46323</v>
      </c>
      <c r="K12" s="7" t="inlineStr">
        <is>
          <t>Approved</t>
        </is>
      </c>
      <c r="L12" s="7" t="n"/>
      <c r="M12" s="7" t="n"/>
      <c r="N12" s="4" t="inlineStr">
        <is>
          <t>Social welfare &amp; Empowerment</t>
        </is>
      </c>
      <c r="O12" s="4" t="inlineStr">
        <is>
          <t>Family</t>
        </is>
      </c>
      <c r="P12" s="4" t="inlineStr">
        <is>
          <t>Family; Individual</t>
        </is>
      </c>
      <c r="Q12" s="4" t="inlineStr"/>
      <c r="R12" s="4" t="inlineStr">
        <is>
          <t>Social Justice and Special Assistance Department</t>
        </is>
      </c>
      <c r="S12" s="4" t="inlineStr">
        <is>
          <t>sgngs</t>
        </is>
      </c>
      <c r="T12" s="4" t="inlineStr">
        <is>
          <t>MS-M01</t>
        </is>
      </c>
      <c r="U12" s="4" t="inlineStr">
        <is>
          <t>State</t>
        </is>
      </c>
      <c r="V12" s="4" t="n"/>
      <c r="W12" s="4" t="n"/>
      <c r="X12" s="4" t="inlineStr">
        <is>
          <t>Available</t>
        </is>
      </c>
      <c r="Y12" s="4" t="inlineStr">
        <is>
          <t>Present</t>
        </is>
      </c>
      <c r="Z12" s="4" t="inlineStr">
        <is>
          <t>Empty or absent in source</t>
        </is>
      </c>
      <c r="AA12" s="4" t="inlineStr">
        <is>
          <t>Offline; Online</t>
        </is>
      </c>
      <c r="AB12" s="4" t="inlineStr">
        <is>
          <t>Present</t>
        </is>
      </c>
      <c r="AC12" s="4" t="inlineStr">
        <is>
          <t>Person age / date of birth
Income amount, period and subject
Disability and certification
Gender / applicant category
Household relationships / prior benefits
Registration / membership
Jurisdiction
Education / enrolment
Landholding / ownership
Time period / history</t>
        </is>
      </c>
      <c r="AD12" s="4" t="inlineStr">
        <is>
          <t>Sanjay Gandhi Niradhar Grant Scheme</t>
        </is>
      </c>
      <c r="AE12" s="4" t="inlineStr">
        <is>
          <t>4614b9c2046247e977b6f5b992c24a3c79f716e7a12f889dc48f83b0fd2fe87c</t>
        </is>
      </c>
    </row>
    <row r="13" ht="230" customHeight="1">
      <c r="A13" s="8" t="inlineStr">
        <is>
          <t>M02</t>
        </is>
      </c>
      <c r="B13" s="8" t="inlineStr">
        <is>
          <t>Shravanbal Seva State Pension Scheme</t>
        </is>
      </c>
      <c r="C13" s="8" t="inlineStr">
        <is>
          <t>State</t>
        </is>
      </c>
      <c r="D13" s="8" t="inlineStr">
        <is>
          <t>Maharashtra</t>
        </is>
      </c>
      <c r="E13" s="8" t="inlineStr">
        <is>
          <t>₹ 600/- per month is given to each beneficiary.
Group (A): The destitute men and women who are 65 years or above in age, and whose family is listed as "Below Poverty Line", are provided a monthly pension of ₹ 600/-. In this pension, ₹ 200/- per month is provided under Indira Gandhi Old Age Pension Scheme (Central Govt.), and ₹ 400/- per month under Shravan Bal State Pension Scheme.
Group (B): The destitute men and women who are 65 years or above in age, whose family is not listed as "Below Poverty Line", and whose annual family income is less than or equal to ₹ 21,000 are provided a monthly…
Full published text: Source passages → Benefits.</t>
        </is>
      </c>
      <c r="F13" s="8" t="inlineStr">
        <is>
          <t>Aadhaar Card.
2-Passport Sized Photograph (Signed Across).
Proof of Age.
Income Certificate / BPL Card of the Family (if applicable)
Residential Certificate / Domicile Certificate of the State of Maharashtra.
Details of the Bank Account (Bank Name, Branch Name, Address, IFSC, etc).
Any other document required by the District Social Welfare Office.</t>
        </is>
      </c>
      <c r="G13" s="8" t="inlineStr">
        <is>
          <t>Registration:
Step 1: Visit the Official Portal of Aaple Sarkar (Maha DBT). On the right pane (green), click "New User? Register Here". You will be directed to the Registration Page.
Step 2: Verify your Email ID and Mobile Number using OTP and then create a Unique Username and Password. (You will also find the link to the Registration Manual on the top right of the page.)
In the "Applicant Detail" section, fill in the following mandatory fields: Salutation, Full Name(English), Full Name(Marathi), Father's Salutation, Father's Name (English), Father's Name(Marathi), Date of Birth, Age, Gender,…
Full published text: Application steps.</t>
        </is>
      </c>
      <c r="H13" s="8" t="inlineStr">
        <is>
          <t>Compared with myScheme on 28 Oct 2026. Text reproduced as published; linked destinations not independently verified. Empty or absent sections: Exclusions. No requirement inferred.</t>
        </is>
      </c>
      <c r="I13" s="5" t="inlineStr">
        <is>
          <t>Open official page</t>
        </is>
      </c>
      <c r="J13" s="9" t="n">
        <v>46323</v>
      </c>
      <c r="K13" s="7" t="inlineStr">
        <is>
          <t>Approved</t>
        </is>
      </c>
      <c r="L13" s="7" t="n"/>
      <c r="M13" s="7" t="n"/>
      <c r="N13" s="8" t="inlineStr">
        <is>
          <t>Social welfare &amp; Empowerment; Banking,Financial Services and Insurance</t>
        </is>
      </c>
      <c r="O13" s="8" t="inlineStr">
        <is>
          <t>Individual</t>
        </is>
      </c>
      <c r="P13" s="8" t="inlineStr">
        <is>
          <t>Individual</t>
        </is>
      </c>
      <c r="Q13" s="8" t="inlineStr"/>
      <c r="R13" s="8" t="inlineStr">
        <is>
          <t>Social Justice and Special Assistance Department</t>
        </is>
      </c>
      <c r="S13" s="8" t="inlineStr">
        <is>
          <t>sbssps</t>
        </is>
      </c>
      <c r="T13" s="8" t="inlineStr">
        <is>
          <t>MS-M02</t>
        </is>
      </c>
      <c r="U13" s="8" t="inlineStr">
        <is>
          <t>State</t>
        </is>
      </c>
      <c r="V13" s="8" t="n"/>
      <c r="W13" s="8" t="n"/>
      <c r="X13" s="8" t="inlineStr">
        <is>
          <t>Available</t>
        </is>
      </c>
      <c r="Y13" s="8" t="inlineStr">
        <is>
          <t>Present</t>
        </is>
      </c>
      <c r="Z13" s="8" t="inlineStr">
        <is>
          <t>Empty or absent in source</t>
        </is>
      </c>
      <c r="AA13" s="8" t="inlineStr">
        <is>
          <t>Online; Offline</t>
        </is>
      </c>
      <c r="AB13" s="8" t="inlineStr">
        <is>
          <t>Present</t>
        </is>
      </c>
      <c r="AC13" s="8" t="inlineStr">
        <is>
          <t>Person age / date of birth
Income amount, period and subject
Disability and certification
Gender / applicant category
Household relationships / prior benefits
Registration / membership
Jurisdiction
Education / enrolment
Landholding / ownership
Time period / history</t>
        </is>
      </c>
      <c r="AD13" s="8" t="inlineStr">
        <is>
          <t>Shravanbal Seva State Pension Scheme</t>
        </is>
      </c>
      <c r="AE13" s="8" t="inlineStr">
        <is>
          <t>0e33c069a22a52d1749ac8a9f3337be60eb5dbda25495ec64cfa1ebcc0e1e5d2</t>
        </is>
      </c>
    </row>
    <row r="14" ht="230" customHeight="1">
      <c r="A14" s="4" t="inlineStr">
        <is>
          <t>M03</t>
        </is>
      </c>
      <c r="B14" s="4" t="inlineStr">
        <is>
          <t>Lek Ladki Yojana</t>
        </is>
      </c>
      <c r="C14" s="4" t="inlineStr">
        <is>
          <t>State</t>
        </is>
      </c>
      <c r="D14" s="4" t="inlineStr">
        <is>
          <t>Maharashtra</t>
        </is>
      </c>
      <c r="E14" s="4" t="inlineStr">
        <is>
          <t>Total INR 101,000 in stages: birth 5,000; class 1 6,000; class 6 7,000; class 11 8,000; age 18 75,000.</t>
        </is>
      </c>
      <c r="F14" s="4" t="inlineStr">
        <is>
          <t>Birth and income certificates; yellow/orange ration card; parent Aadhaar; girl Aadhaar (first-benefit relaxation); bank passbook; stage-specific school, family-planning, voter and unmarried declarations.</t>
        </is>
      </c>
      <c r="G14" s="4" t="inlineStr">
        <is>
          <t>Prescribed form from Anganwadi centre; review GR S24 and stage-specific requirements.</t>
        </is>
      </c>
      <c r="H14" s="4" t="inlineStr">
        <is>
          <t>No matching myScheme record established on 28 Oct 2026. Retained department-source text is not verified against myScheme; exclude from myScheme-only import until mapped.</t>
        </is>
      </c>
      <c r="I14" s="5" t="inlineStr">
        <is>
          <t>Open official page</t>
        </is>
      </c>
      <c r="J14" s="6" t="n">
        <v>46318</v>
      </c>
      <c r="K14" s="7" t="inlineStr">
        <is>
          <t>Not started</t>
        </is>
      </c>
      <c r="L14" s="7" t="n"/>
      <c r="M14" s="7" t="n"/>
      <c r="N14" s="4" t="inlineStr">
        <is>
          <t>Women and Child</t>
        </is>
      </c>
      <c r="O14" s="4" t="inlineStr">
        <is>
          <t>Individual</t>
        </is>
      </c>
      <c r="P14" s="4" t="inlineStr">
        <is>
          <t>Individual</t>
        </is>
      </c>
      <c r="Q14" s="4" t="inlineStr">
        <is>
          <t>Government of Maharashtra</t>
        </is>
      </c>
      <c r="R14" s="4" t="inlineStr">
        <is>
          <t>Women and Child Development</t>
        </is>
      </c>
      <c r="S14" s="4" t="inlineStr">
        <is>
          <t>No matching myScheme record captured</t>
        </is>
      </c>
      <c r="T14" s="4" t="inlineStr">
        <is>
          <t>MS-M03</t>
        </is>
      </c>
      <c r="U14" s="4" t="inlineStr">
        <is>
          <t>State</t>
        </is>
      </c>
      <c r="V14" s="4" t="n"/>
      <c r="W14" s="4" t="n"/>
      <c r="X14" s="4" t="inlineStr">
        <is>
          <t>Not verified</t>
        </is>
      </c>
      <c r="Y14" s="4" t="inlineStr">
        <is>
          <t>Earlier extract; full source capture pending</t>
        </is>
      </c>
      <c r="Z14" s="4" t="inlineStr">
        <is>
          <t>Absent in source</t>
        </is>
      </c>
      <c r="AA14" s="4" t="inlineStr">
        <is>
          <t>See instructions</t>
        </is>
      </c>
      <c r="AB14" s="4" t="inlineStr">
        <is>
          <t>Earlier extract; full source capture pending</t>
        </is>
      </c>
      <c r="AC14" s="4" t="inlineStr">
        <is>
          <t>Person age / date of birth
Income amount, period and subject
Household relationships / prior benefits
Conditional exception
Negative condition
Temporal condition</t>
        </is>
      </c>
      <c r="AD14" s="4" t="inlineStr">
        <is>
          <t>Lek Ladki Yojana</t>
        </is>
      </c>
      <c r="AE14" s="4" t="inlineStr">
        <is>
          <t>8667675258b411529764b51a33310982e871a40fa9477f511a1879ef02fa4ff5</t>
        </is>
      </c>
    </row>
    <row r="15" ht="230" customHeight="1">
      <c r="A15" s="8" t="inlineStr">
        <is>
          <t>M04</t>
        </is>
      </c>
      <c r="B15" s="8" t="inlineStr">
        <is>
          <t>Mukhyamantri Vayoshri Yojana</t>
        </is>
      </c>
      <c r="C15" s="8" t="inlineStr">
        <is>
          <t>State</t>
        </is>
      </c>
      <c r="D15" s="8" t="inlineStr">
        <is>
          <t>Maharashtra</t>
        </is>
      </c>
      <c r="E15" s="8" t="inlineStr">
        <is>
          <t>One-time INR 3,000 for assistive aids/equipment and specified wellbeing/training support, through DBT.</t>
        </is>
      </c>
      <c r="F15" s="8" t="inlineStr">
        <is>
          <t>Aadhaar/enrolment receipt or accepted alternative ID; age/income proof or declaration; bank passbook; two photos; self-declaration of prior equipment benefit.</t>
        </is>
      </c>
      <c r="G15" s="8" t="inlineStr">
        <is>
          <t>District Assistant Commissioner, Social Welfare. Department and district pages list different portal spellings; confirm before use.</t>
        </is>
      </c>
      <c r="H15" s="8" t="inlineStr">
        <is>
          <t>No matching myScheme record established on 28 Oct 2026. Retained department-source text is not verified against myScheme; exclude from myScheme-only import until mapped.</t>
        </is>
      </c>
      <c r="I15" s="5" t="inlineStr">
        <is>
          <t>Open official page</t>
        </is>
      </c>
      <c r="J15" s="9" t="n">
        <v>46318</v>
      </c>
      <c r="K15" s="7" t="inlineStr">
        <is>
          <t>Not started</t>
        </is>
      </c>
      <c r="L15" s="7" t="n"/>
      <c r="M15" s="7" t="n"/>
      <c r="N15" s="8" t="inlineStr">
        <is>
          <t>Social welfare &amp; Empowerment</t>
        </is>
      </c>
      <c r="O15" s="8" t="inlineStr">
        <is>
          <t>Individual</t>
        </is>
      </c>
      <c r="P15" s="8" t="inlineStr">
        <is>
          <t>Individual</t>
        </is>
      </c>
      <c r="Q15" s="8" t="inlineStr">
        <is>
          <t>Government of Maharashtra</t>
        </is>
      </c>
      <c r="R15" s="8" t="inlineStr">
        <is>
          <t>Social Justice and Special Assistance</t>
        </is>
      </c>
      <c r="S15" s="8" t="inlineStr">
        <is>
          <t>No matching myScheme record captured</t>
        </is>
      </c>
      <c r="T15" s="8" t="inlineStr">
        <is>
          <t>MS-M04</t>
        </is>
      </c>
      <c r="U15" s="8" t="inlineStr">
        <is>
          <t>State</t>
        </is>
      </c>
      <c r="V15" s="8" t="n"/>
      <c r="W15" s="8" t="n"/>
      <c r="X15" s="8" t="inlineStr">
        <is>
          <t>Not verified</t>
        </is>
      </c>
      <c r="Y15" s="8" t="inlineStr">
        <is>
          <t>Earlier extract; full source capture pending</t>
        </is>
      </c>
      <c r="Z15" s="8" t="inlineStr">
        <is>
          <t>Absent in source</t>
        </is>
      </c>
      <c r="AA15" s="8" t="inlineStr">
        <is>
          <t>See instructions</t>
        </is>
      </c>
      <c r="AB15" s="8" t="inlineStr">
        <is>
          <t>Earlier extract; full source capture pending</t>
        </is>
      </c>
      <c r="AC15" s="8" t="inlineStr">
        <is>
          <t>Income amount, period and subject
Household relationships / prior benefits
Conditional exception
Time period / history</t>
        </is>
      </c>
      <c r="AD15" s="8" t="inlineStr">
        <is>
          <t>Mukhyamantri Vayoshri Yojana</t>
        </is>
      </c>
      <c r="AE15" s="8" t="inlineStr">
        <is>
          <t>230cad492e7ff5e546fbdf5b217d58219bad51a67aaba4e0ae05ee44320b737d</t>
        </is>
      </c>
    </row>
    <row r="16" ht="230" customHeight="1">
      <c r="A16" s="4" t="inlineStr">
        <is>
          <t>C07</t>
        </is>
      </c>
      <c r="B16" s="4" t="inlineStr">
        <is>
          <t>Rashtriya Krishi Vigyan Puraskar</t>
        </is>
      </c>
      <c r="C16" s="4" t="inlineStr">
        <is>
          <t>Central</t>
        </is>
      </c>
      <c r="D16" s="4" t="inlineStr">
        <is>
          <t>India</t>
        </is>
      </c>
      <c r="E16" s="4" t="inlineStr">
        <is>
          <t>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
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t>
        </is>
      </c>
      <c r="F16" s="4" t="inlineStr">
        <is>
          <t>Filled application
Details of your work
Proof your work helped people/environment
Documents (papers, patents, etc.)
Clean record certificate</t>
        </is>
      </c>
      <c r="G16" s="4" t="inlineStr">
        <is>
          <t>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Full published text: Application steps.</t>
        </is>
      </c>
      <c r="H16" s="4" t="inlineStr">
        <is>
          <t>Compared with myScheme on 28 Oct 2026. Text reproduced as published; linked destinations not independently verified. Empty or absent sections: Exclusions. No requirement inferred.</t>
        </is>
      </c>
      <c r="I16" s="5" t="inlineStr">
        <is>
          <t>Open official page</t>
        </is>
      </c>
      <c r="J16" s="6" t="n">
        <v>46323</v>
      </c>
      <c r="K16" s="7" t="inlineStr">
        <is>
          <t>Approved</t>
        </is>
      </c>
      <c r="L16" s="7" t="inlineStr">
        <is>
          <t>Snehal Patel</t>
        </is>
      </c>
      <c r="M16" s="7" t="inlineStr">
        <is>
          <t>25 Oct 2026: Project owner confirmed C07 is approved and open for applications. Recorded from user confirmation; no new independent source check. Individual rule and linked-document reviews remain separate.</t>
        </is>
      </c>
      <c r="N16" s="4" t="inlineStr">
        <is>
          <t>Agriculture,Rural &amp; Environment</t>
        </is>
      </c>
      <c r="O16" s="4" t="inlineStr">
        <is>
          <t>Individual</t>
        </is>
      </c>
      <c r="P16" s="4" t="inlineStr">
        <is>
          <t>Individual</t>
        </is>
      </c>
      <c r="Q16" s="4" t="inlineStr">
        <is>
          <t>Ministry Of Agriculture and Farmers Welfare</t>
        </is>
      </c>
      <c r="R16" s="4" t="inlineStr">
        <is>
          <t>Department of Agriculture Research and Education</t>
        </is>
      </c>
      <c r="S16" s="4" t="inlineStr">
        <is>
          <t>rkvp</t>
        </is>
      </c>
      <c r="T16" s="4" t="inlineStr">
        <is>
          <t>MS-C07</t>
        </is>
      </c>
      <c r="U16" s="4" t="inlineStr">
        <is>
          <t>Central</t>
        </is>
      </c>
      <c r="V16" s="4" t="n"/>
      <c r="W16" s="4" t="n"/>
      <c r="X16" s="4" t="inlineStr">
        <is>
          <t>Available</t>
        </is>
      </c>
      <c r="Y16" s="4" t="inlineStr">
        <is>
          <t>Present</t>
        </is>
      </c>
      <c r="Z16" s="4" t="inlineStr">
        <is>
          <t>Empty or absent in source</t>
        </is>
      </c>
      <c r="AA16" s="4" t="inlineStr">
        <is>
          <t>Online</t>
        </is>
      </c>
      <c r="AB16" s="4" t="inlineStr">
        <is>
          <t>Present</t>
        </is>
      </c>
      <c r="AC16" s="4" t="inlineStr">
        <is>
          <t>Person age / date of birth
Gender / applicant category
Registration / membership
Institution type / accreditation
Time period / history
Component / category-specific branch</t>
        </is>
      </c>
      <c r="AD16" s="4" t="inlineStr">
        <is>
          <t>Rashtriya Krishi Vigyan Puraskar</t>
        </is>
      </c>
      <c r="AE16" s="4" t="inlineStr">
        <is>
          <t>2e86f237a00f11b4df662d2c8234be068370492da6e794f1a99c61c2b390ee04</t>
        </is>
      </c>
    </row>
    <row r="17" ht="230" customHeight="1">
      <c r="A17" s="8" t="inlineStr">
        <is>
          <t>C08</t>
        </is>
      </c>
      <c r="B17" s="8" t="inlineStr">
        <is>
          <t>Market Development Assistance</t>
        </is>
      </c>
      <c r="C17" s="8" t="inlineStr">
        <is>
          <t>Central</t>
        </is>
      </c>
      <c r="D17" s="8" t="inlineStr">
        <is>
          <t>India</t>
        </is>
      </c>
      <c r="E17" s="8" t="inlineStr">
        <is>
          <t>Market Development Assistance of ₹1,500/- per Metric Tonne is provided for the sale of Fermented Organic Manure, Liquid Fermented Organic Manure, and enriched Phosphate Rich Organic Manure.
A corpus of ₹3,60,00,00,000/- is available for research gap funding, to be utilized only by Central and State Research Institutes or non-private fertilizer cooperatives.
The total budget outlay for the scheme is ₹14,51,82,00,000/- for three years from Financial Year 2023-24 to Financial Year 2025-26.
Disbursal
Assistance is provided only for the quantity sold through Point of Sale machines.
Assistance…
Full published text: Source passages → Benefits.</t>
        </is>
      </c>
      <c r="F17" s="8" t="inlineStr">
        <is>
          <t>Application Stage Documents
Letter Intimating Willingness to Market Organic Fertilizers.
Purchasing Agreement for Supply of Fermented Organic Manure, Liquid Fermented Organic Manure, or Phosphate Rich Organic Manure (Required if marketing through Fertilizer Marketing Companies).
Details of Fertilizer Marketing Companies Document (Annexure-I).
Details of Organic Fertilizer Manufacturer Document (Annexure-II).
Tax Identification Number Certificate of the Company.
Permanent Account Number Card of the Company.
Bank Account Details (Account Number, Indian Financial System Code, Name of Account…
Full published text: Applicant documents.</t>
        </is>
      </c>
      <c r="G17" s="8" t="inlineStr">
        <is>
          <t>Registration Process
Step 1: Accessing the Portal for Pre-requisite Registration
The applicant must access the Unified Galvanizing Organic Bio-Agro Resources Dhan portal of the Department of Drinking Water &amp; Sanitation to register their Bio-Gas or Compressed Bio-Gas manufacturing units.
Step 2: Submitting Details for Registration
The applicant must submit all necessary plant and operational details on the portal to obtain the mandatory registration number required to avail the assistance.
Application Process
Step 3: Intimation of Willingness to the Department
The applicant must submit a…
Full published text: Application steps.</t>
        </is>
      </c>
      <c r="H17" s="8" t="inlineStr">
        <is>
          <t>Compared with myScheme on 28 Oct 2026. Text reproduced as published; linked destinations not independently verified. Empty or absent sections: Exclusions. No requirement inferred.</t>
        </is>
      </c>
      <c r="I17" s="5" t="inlineStr">
        <is>
          <t>Open official page</t>
        </is>
      </c>
      <c r="J17" s="9" t="n">
        <v>46323</v>
      </c>
      <c r="K17" s="7" t="inlineStr">
        <is>
          <t>Approved</t>
        </is>
      </c>
      <c r="L17" s="7" t="inlineStr">
        <is>
          <t>Snehal Patel</t>
        </is>
      </c>
      <c r="M17" s="7" t="inlineStr">
        <is>
          <t>25 Oct 2026: Project owner approved C08. Application availability remains unverified. Recorded from user confirmation; no new independent source check. Individual rule and linked-document reviews remain separate.
25 Oct 2026: Project owner instructed availability be marked Available (open in JSON/ChromaDB). No new independent source check; approval status unchanged.</t>
        </is>
      </c>
      <c r="N17" s="8" t="inlineStr">
        <is>
          <t>Business &amp; Entrepreneurship; Science, IT &amp; Communications</t>
        </is>
      </c>
      <c r="O17" s="8" t="inlineStr">
        <is>
          <t>Individual</t>
        </is>
      </c>
      <c r="P17" s="8" t="inlineStr">
        <is>
          <t>University / Institution; Business Entity</t>
        </is>
      </c>
      <c r="Q17" s="8" t="inlineStr">
        <is>
          <t>Ministry Of Chemicals And Fertilizers</t>
        </is>
      </c>
      <c r="R17" s="8" t="inlineStr">
        <is>
          <t>Department Of Fertilizers</t>
        </is>
      </c>
      <c r="S17" s="8" t="inlineStr">
        <is>
          <t>mda-fert</t>
        </is>
      </c>
      <c r="T17" s="8" t="inlineStr">
        <is>
          <t>MS-C08</t>
        </is>
      </c>
      <c r="U17" s="8" t="inlineStr">
        <is>
          <t>Central</t>
        </is>
      </c>
      <c r="V17" s="8" t="n"/>
      <c r="W17" s="8" t="n"/>
      <c r="X17" s="8" t="inlineStr">
        <is>
          <t>Available</t>
        </is>
      </c>
      <c r="Y17" s="8" t="inlineStr">
        <is>
          <t>Present</t>
        </is>
      </c>
      <c r="Z17" s="8" t="inlineStr">
        <is>
          <t>Empty or absent in source</t>
        </is>
      </c>
      <c r="AA17" s="8" t="inlineStr">
        <is>
          <t>Online</t>
        </is>
      </c>
      <c r="AB17" s="8" t="inlineStr">
        <is>
          <t>Present</t>
        </is>
      </c>
      <c r="AC17" s="8" t="inlineStr">
        <is>
          <t>Person age / date of birth
Registration / membership
Jurisdiction
Transactions / eligible sales
Conditional exception
Time period / history
Temporal condition</t>
        </is>
      </c>
      <c r="AD17" s="8" t="inlineStr">
        <is>
          <t>Market Development Assistance</t>
        </is>
      </c>
      <c r="AE17" s="8" t="inlineStr">
        <is>
          <t>6245ae0408da15f837fbc2f578d28b7bcccf9a72a9358abaf4b3401fe3f36026</t>
        </is>
      </c>
    </row>
    <row r="18" ht="230" customHeight="1">
      <c r="A18" s="4" t="inlineStr">
        <is>
          <t>C09</t>
        </is>
      </c>
      <c r="B18" s="4" t="inlineStr">
        <is>
          <t>PRISM (Promoting Innovations in Individuals, Start-ups and MSMEs): Category-2: Fabrication of Working Model/Process Know-how/Testing &amp; Trial/Patenting/Technology Transfer</t>
        </is>
      </c>
      <c r="C18" s="4" t="inlineStr">
        <is>
          <t>Central</t>
        </is>
      </c>
      <c r="D18" s="4" t="inlineStr">
        <is>
          <t>India</t>
        </is>
      </c>
      <c r="E18" s="4" t="inlineStr">
        <is>
          <t>The maximum support under Category II is ₹20,00,000/- or 90% of the approved project cost, whichever is lower. The approved project cost must be more than ₹5,00,000/- and up to ₹35,00,000/-.
Eligible Components for Support
Research and Development/Design Engineering/Consultancy charges.
Rental charges for laboratory/workshop facilities.
Essential equipment that cannot be taken on rent (reasons for purchase must be given).
Raw material/spares/consumables cost.
Fabrication/synthesis charges.
Manpower cost of technical assistants, not exceeding 20% of the approved project cost.
Testing and…
Full published text: Source passages → Benefits.</t>
        </is>
      </c>
      <c r="F18" s="4" t="inlineStr">
        <is>
          <t>Required During Application/Submission Stage
Proof Of Residence (Issued By Sub-Divisional Magistrate (SDM)/District Magistrate (DM) Or A Copy Of Ration Card Or Any Other Document Regarding Proof Of Residence).
Copy Of Aadhaar Card.
Documentary Proof Of Prior Work (Video, Photo, Press Coverage, etc.).
No Objection Certificate (From Head of Institute/Organization, on institution’s letterhead, for Students and Working Innovators).
Commitment Letter From Institution (Committing that the project will be taken to its logical conclusion by the student/concerned faculty, for Students).
Copy Of The…
Full published text: Applicant documents.</t>
        </is>
      </c>
      <c r="G18" s="4" t="inlineStr">
        <is>
          <t>Proposals can be submitted to the following -
The nearest TePP Outreach cum Cluster Innovation Centres (TOCICs).
The Department of Scientific and Industrial Research (DSIR).
Step 1:
Consultation and Preparation
The innovator should meet coordinators of TePP Outreach cum Cluster Innovation Centres (TOCICs) and take their advice before submitting the application.
The applicant must prepare the application form, ensuring all mandatory details like the Title of the proposed project, Name, Address, Date of Birth, Educational qualification, Annual Income, Permanent Account Number (PAN) (mandatory),…
Full published text: Application steps.</t>
        </is>
      </c>
      <c r="H18" s="4" t="inlineStr">
        <is>
          <t>Compared with myScheme on 28 Oct 2026. Text reproduced as published; linked destinations not independently verified.</t>
        </is>
      </c>
      <c r="I18" s="5" t="inlineStr">
        <is>
          <t>Open official page</t>
        </is>
      </c>
      <c r="J18" s="6" t="n">
        <v>46323</v>
      </c>
      <c r="K18" s="7" t="inlineStr">
        <is>
          <t>Approved</t>
        </is>
      </c>
      <c r="L18" s="7" t="inlineStr">
        <is>
          <t>Snehal Patel</t>
        </is>
      </c>
      <c r="M18" s="7" t="inlineStr">
        <is>
          <t>25 Oct 2026: Project owner approved C09. Application availability remains unverified. Recorded from user confirmation; no new independent source check. Individual rule and linked-document reviews remain separate.
25 Oct 2026: Project owner instructed availability be marked Available (open in JSON/ChromaDB). No new independent source check; approval status unchanged.</t>
        </is>
      </c>
      <c r="N18" s="4" t="inlineStr">
        <is>
          <t>Science, IT &amp; Communications; Business &amp; Entrepreneurship</t>
        </is>
      </c>
      <c r="O18" s="4" t="inlineStr">
        <is>
          <t>Individual</t>
        </is>
      </c>
      <c r="P18" s="4" t="inlineStr">
        <is>
          <t>Individual</t>
        </is>
      </c>
      <c r="Q18" s="4" t="inlineStr">
        <is>
          <t>Ministry Of Science And Technology</t>
        </is>
      </c>
      <c r="R18" s="4" t="inlineStr">
        <is>
          <t>Department of Scientific and Industrial Research</t>
        </is>
      </c>
      <c r="S18" s="4" t="inlineStr">
        <is>
          <t>prism-c2-fwmpkhttptt</t>
        </is>
      </c>
      <c r="T18" s="4" t="inlineStr">
        <is>
          <t>MS-C09</t>
        </is>
      </c>
      <c r="U18" s="4" t="inlineStr">
        <is>
          <t>Central</t>
        </is>
      </c>
      <c r="V18" s="4" t="n"/>
      <c r="W18" s="4" t="n"/>
      <c r="X18" s="4" t="inlineStr">
        <is>
          <t>Available</t>
        </is>
      </c>
      <c r="Y18" s="4" t="inlineStr">
        <is>
          <t>Present</t>
        </is>
      </c>
      <c r="Z18" s="4" t="inlineStr">
        <is>
          <t>Present</t>
        </is>
      </c>
      <c r="AA18" s="4" t="inlineStr">
        <is>
          <t>Offline</t>
        </is>
      </c>
      <c r="AB18" s="4" t="inlineStr">
        <is>
          <t>Present</t>
        </is>
      </c>
      <c r="AC18" s="4" t="inlineStr">
        <is>
          <t>Person age / date of birth
Income amount, period and subject
Project attributes
Institution type / accreditation
Education / enrolment
Employment / employer
Conditional document
Preference, not automatically mandatory
Benefit cap formula
Negative condition
Temporal condition
Component / category-specific branch</t>
        </is>
      </c>
      <c r="AD18" s="4" t="inlineStr">
        <is>
          <t>PRISM (Promoting Innovations in Individuals, Start-ups and MSMEs): Category-2: Fabrication of Working Model/Process Know-how/Testing &amp; Trial/Patenting/Technology Transfer</t>
        </is>
      </c>
      <c r="AE18" s="4" t="inlineStr">
        <is>
          <t>1e8f42c4c5b244c0a4d666fffdfce80d99a03842fc46ac591d1b61b20948b4de</t>
        </is>
      </c>
    </row>
    <row r="19" ht="230" customHeight="1">
      <c r="A19" s="8" t="inlineStr">
        <is>
          <t>C10</t>
        </is>
      </c>
      <c r="B19" s="8" t="inlineStr">
        <is>
          <t>Khadi Gramodyog Vikas Yojana: Khadi Vikas Yojana</t>
        </is>
      </c>
      <c r="C19" s="8" t="inlineStr">
        <is>
          <t>Central</t>
        </is>
      </c>
      <c r="D19" s="8" t="inlineStr">
        <is>
          <t>India</t>
        </is>
      </c>
      <c r="E19" s="8" t="inlineStr">
        <is>
          <t>Assistance provided under different components of Scheme:
Modified Market Development Assistance (MMDA):
Subsidy @ 35% on Prime Cost for Cotton/Muslin, Wool and Polyvastra and @ 20% on Prime Cost for Silk Khadi
Interest Subsidy Eligibility Certificate Scheme (ISEC):
Khadi Institution is required to pay only 4% interest rate. The difference between the actual Interest charged by the Bank and 4% is borne by the KVIC as “Interest Subsidy”.
Work-shed Scheme for Khadi Artisans:
Individual workshed (20 Sq. mtrs): ₹1,20,000/- or 75% of the cost of workshed including toilet (90% for NER), whichever…
Full published text: Source passages → Benefits.</t>
        </is>
      </c>
      <c r="F19" s="8" t="inlineStr">
        <is>
          <t>Aadhaar Card or other government-issued identity proof
Age proof document
Khadi artisan card or Khadi Institution registration certificate
Bank account details
Caste certificate (if applicable)
BPL certificate (if applicable)
Project proposal or work-shed details (if required)</t>
        </is>
      </c>
      <c r="G19" s="8" t="inlineStr">
        <is>
          <t>Step 1: Visit official website to apply under the scheme.
Step 2: On the KVIC online portal and click on “Online Registration of Khadi Institutions.”
Step 3: Fill in all required details of the institution, including name, address, type of registration, authorised person, number of artisans, and infrastructure information, then save the form.
Step 4: After submission, receive a Username, Password, and Unique ID on your registered email and mobile, and download the acknowledgement for reference.
Step 5: Login using your credentials and upload all required documents such as registration…
Full published text: Application steps.</t>
        </is>
      </c>
      <c r="H19" s="8" t="inlineStr">
        <is>
          <t>Compared with myScheme on 28 Oct 2026. Text reproduced as published; linked destinations not independently verified. Empty or absent sections: Exclusions. No requirement inferred.</t>
        </is>
      </c>
      <c r="I19" s="5" t="inlineStr">
        <is>
          <t>Open official page</t>
        </is>
      </c>
      <c r="J19" s="9" t="n">
        <v>46323</v>
      </c>
      <c r="K19" s="7" t="inlineStr">
        <is>
          <t>Approved</t>
        </is>
      </c>
      <c r="L19" s="7" t="inlineStr">
        <is>
          <t>Snehal Patel</t>
        </is>
      </c>
      <c r="M19" s="7" t="inlineStr">
        <is>
          <t>25 Oct 2026: Project owner instructed availability be marked Available (open in JSON/ChromaDB). No new independent source check; approval status unchanged.
25 Oct 2026: Project owner approved the finalized source-information record. Availability: open. Executable rule and resource-link reviews remain separate.</t>
        </is>
      </c>
      <c r="N19" s="8" t="inlineStr">
        <is>
          <t>Business &amp; Entrepreneurship</t>
        </is>
      </c>
      <c r="O19" s="8" t="inlineStr">
        <is>
          <t>Individual</t>
        </is>
      </c>
      <c r="P19" s="8" t="inlineStr">
        <is>
          <t>Business Entity</t>
        </is>
      </c>
      <c r="Q19" s="8" t="inlineStr">
        <is>
          <t>Ministry Of Micro, Small and Medium Enterprises</t>
        </is>
      </c>
      <c r="R19" s="8" t="inlineStr"/>
      <c r="S19" s="8" t="inlineStr">
        <is>
          <t>kvyoj</t>
        </is>
      </c>
      <c r="T19" s="8" t="inlineStr">
        <is>
          <t>MS-C10</t>
        </is>
      </c>
      <c r="U19" s="8" t="inlineStr">
        <is>
          <t>Central</t>
        </is>
      </c>
      <c r="V19" s="8" t="n"/>
      <c r="W19" s="8" t="n"/>
      <c r="X19" s="8" t="inlineStr">
        <is>
          <t>Available</t>
        </is>
      </c>
      <c r="Y19" s="8" t="inlineStr">
        <is>
          <t>Present</t>
        </is>
      </c>
      <c r="Z19" s="8" t="inlineStr">
        <is>
          <t>Empty or absent in source</t>
        </is>
      </c>
      <c r="AA19" s="8" t="inlineStr">
        <is>
          <t>Online</t>
        </is>
      </c>
      <c r="AB19" s="8" t="inlineStr">
        <is>
          <t>Present</t>
        </is>
      </c>
      <c r="AC19" s="8" t="inlineStr">
        <is>
          <t>Person age / date of birth
Social category
Gender / applicant category
Household relationships / prior benefits
Project attributes
Registration / membership
Institution type / accreditation
Credit / repayment
Transactions / eligible sales
Employment / employer
Preference, not automatically mandatory
Benefit cap formula
Time period / history
Temporal condition
Component / category-specific branch</t>
        </is>
      </c>
      <c r="AD19" s="8" t="inlineStr">
        <is>
          <t>Khadi Gramodyog Vikas Yojana: Khadi Vikas Yojana</t>
        </is>
      </c>
      <c r="AE19" s="8" t="inlineStr">
        <is>
          <t>8176375d03a4f1110a9795f0fcc8f604654e25ffe49742a62605bc938131e56f</t>
        </is>
      </c>
    </row>
    <row r="20" ht="230" customHeight="1">
      <c r="A20" s="4" t="inlineStr">
        <is>
          <t>C11</t>
        </is>
      </c>
      <c r="B20" s="4" t="inlineStr">
        <is>
          <t>Stand-Up India</t>
        </is>
      </c>
      <c r="C20" s="4" t="inlineStr">
        <is>
          <t>Central</t>
        </is>
      </c>
      <c r="D20" s="4" t="inlineStr">
        <is>
          <t>India</t>
        </is>
      </c>
      <c r="E20" s="4" t="inlineStr">
        <is>
          <t>Facilitation of composite loan (inclusive of term loan and working capital) between ₹10 Lakhs and ₹100 Lakhs. Rupay debit card to be issued for convenience of the borrower.
The web portal by SIDBI provides hand-holding support through a network of agencies engaged in training, skill development, mentoring, project report preparation, application filling, work shed / utility support services, subsidy schemes etc.</t>
        </is>
      </c>
      <c r="F20" s="4" t="inlineStr">
        <is>
          <t>Proof of Identity: Voter’s ID Card / Passport / Driving License / PAN Card / Signature identification from present bankers of proprietor, partner of director ( if a company)
Proof of Residence: Recent telephone bills, electricity bill, property tax receipt /Passport / voter’s ID Card of Proprietor,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Full published text: Applicant documents.</t>
        </is>
      </c>
      <c r="G20" s="4" t="inlineStr">
        <is>
          <t>Either approach your nearest bank branch to apply (locate your nearest bank here - https://www.rbi.org.in/Scripts/query.aspx )Or Through the Lead District Manager (LDM) (find the address and the email of the LDM of your district here - https://www.standupmitra.in/LDMS#NoBack)
Or Apply Through Portal: www.standupmitra.in
Process:
The first step is to visit the official portal of StandUp India at: https://www.standupmitra.in/Login/Register
Enter the full details of the business location.
Select the category between SC, ST, Woman, and whether the stake held is 51% or higher.
Select the nature of…
Full published text: Application steps.</t>
        </is>
      </c>
      <c r="H20" s="4" t="inlineStr">
        <is>
          <t>Compared with myScheme on 28 Oct 2026. Text reproduced as published; linked destinations not independently verified. Empty or absent sections: Exclusions. No requirement inferred.</t>
        </is>
      </c>
      <c r="I20" s="5" t="inlineStr">
        <is>
          <t>Open official page</t>
        </is>
      </c>
      <c r="J20" s="6" t="n">
        <v>46323</v>
      </c>
      <c r="K20" s="7" t="inlineStr">
        <is>
          <t>Approved</t>
        </is>
      </c>
      <c r="L20" s="7" t="inlineStr">
        <is>
          <t>Snehal Patel</t>
        </is>
      </c>
      <c r="M20" s="7" t="inlineStr">
        <is>
          <t>25 Oct 2026: Project owner approved the finalized source-information record. Availability: closed. Executable rule and resource-link reviews remain separate.</t>
        </is>
      </c>
      <c r="N20" s="4" t="inlineStr">
        <is>
          <t>Business &amp; Entrepreneurship; Banking,Financial Services and Insurance; Social welfare &amp; Empowerment</t>
        </is>
      </c>
      <c r="O20" s="4" t="inlineStr">
        <is>
          <t>Individual</t>
        </is>
      </c>
      <c r="P20" s="4" t="inlineStr">
        <is>
          <t>Individual; Business Entity</t>
        </is>
      </c>
      <c r="Q20" s="4" t="inlineStr">
        <is>
          <t>Ministry Of Finance</t>
        </is>
      </c>
      <c r="R20" s="4" t="inlineStr">
        <is>
          <t>Department of Financial Service</t>
        </is>
      </c>
      <c r="S20" s="4" t="inlineStr">
        <is>
          <t>sui</t>
        </is>
      </c>
      <c r="T20" s="4" t="inlineStr">
        <is>
          <t>MS-C11</t>
        </is>
      </c>
      <c r="U20" s="4" t="inlineStr">
        <is>
          <t>Central</t>
        </is>
      </c>
      <c r="V20" s="6" t="n">
        <v>42465</v>
      </c>
      <c r="W20" s="6" t="n">
        <v>45747</v>
      </c>
      <c r="X20" s="4" t="inlineStr">
        <is>
          <t>Available</t>
        </is>
      </c>
      <c r="Y20" s="4" t="inlineStr">
        <is>
          <t>Present</t>
        </is>
      </c>
      <c r="Z20" s="4" t="inlineStr">
        <is>
          <t>Empty or absent in source</t>
        </is>
      </c>
      <c r="AA20" s="4" t="inlineStr">
        <is>
          <t>Online</t>
        </is>
      </c>
      <c r="AB20" s="4" t="inlineStr">
        <is>
          <t>Present</t>
        </is>
      </c>
      <c r="AC20" s="4" t="inlineStr">
        <is>
          <t>Person age / date of birth
Income amount, period and subject
Social category
Gender / applicant category
Project attributes
Ownership and control
Registration / membership
Jurisdiction
Institution type / accreditation
Credit / repayment
Transactions / eligible sales
Time period / history
Component / category-specific branch</t>
        </is>
      </c>
      <c r="AD20" s="4" t="inlineStr">
        <is>
          <t>Stand-Up India</t>
        </is>
      </c>
      <c r="AE20" s="4" t="inlineStr">
        <is>
          <t>90bd4c3e8be08e4c6f7003a404633e5822658d4383bc690325ec88cdef285e0c</t>
        </is>
      </c>
    </row>
    <row r="21" ht="230" customHeight="1">
      <c r="A21" s="8" t="inlineStr">
        <is>
          <t>C12</t>
        </is>
      </c>
      <c r="B21" s="8" t="inlineStr">
        <is>
          <t>"Marketing Incentive" under the "Handloom Marketing Assistance" Component of the National Handloom Development Programme</t>
        </is>
      </c>
      <c r="C21" s="8" t="inlineStr">
        <is>
          <t>Central</t>
        </is>
      </c>
      <c r="D21" s="8" t="inlineStr">
        <is>
          <t>India</t>
        </is>
      </c>
      <c r="E21" s="8" t="inlineStr">
        <is>
          <t>Financial Assistance Structure
Marketing Incentive Rate: 10% on average sales of handloom products of the last 3 years.
State Level Organizations: Maximum ₹100.00 lakh (Central Government share).
Primary Level Organizations: Maximum ₹15.00 lakh (Central Government share).
Category-wise Maximum Caps
State Level Organizations (Handloom Corporations, Apex Cooperative Societies, National Level Handloom Organizations): ₹1,00,00,000/- Central Government share.
Primary Handloom Weavers Cooperative Societies, Producer Companies, Self Help Groups, Joint Liability Groups, Federations and Other Eligible…
Full published text: Source passages → Benefits.</t>
        </is>
      </c>
      <c r="F21" s="8" t="inlineStr">
        <is>
          <t>At Application Stage
Sales Bills/invoices for Handloom Products (Goods and Services Tax Compliant),
Yarn Purchase Bills (Goods and Services Tax Compliant).
Average Sales Turnover Details of Handloom Products for the Last 3 Years.
Handloom Mark or India Handloom Brand Usage Documentation.
Final Transaction Proof of Product Sale to Consumer.
For State Government Processing
Certificate as Per Prescribed Proforma (Annexure - B9) for Each Individual Claim.
Consolidated Statement of All Claims.
Recommendations of State Level Project Committee.
Sanction Order for Release of State Share.
Documentary…
Full published text: Applicant documents.</t>
        </is>
      </c>
      <c r="G21" s="8" t="inlineStr">
        <is>
          <t>For State Level and Primary Level Organizations
Step 1: Prepare Claim Documentation
Compile sales bills/invoices, yarn purchase bills, and average sales turnover details for the last 3 years ensuring Goods and Services Tax compliance.
Step 2: Complete Application Form
Fill the prescribed proforma (Annexure - B8) with all required details including sales data and beneficiary information.
Step 3: Submit to State Government
Submit the completed Marketing Incentive claim to the concerned State Government with all supporting documents.
Step 4: State Government Verification
State Government will…
Full published text: Application steps.</t>
        </is>
      </c>
      <c r="H21" s="8" t="inlineStr">
        <is>
          <t>Compared with myScheme on 28 Oct 2026. Text reproduced as published; linked destinations not independently verified.</t>
        </is>
      </c>
      <c r="I21" s="5" t="inlineStr">
        <is>
          <t>Open official page</t>
        </is>
      </c>
      <c r="J21" s="9" t="n">
        <v>46323</v>
      </c>
      <c r="K21" s="7" t="inlineStr">
        <is>
          <t>Approved</t>
        </is>
      </c>
      <c r="L21" s="7" t="inlineStr">
        <is>
          <t>Snehal Patel</t>
        </is>
      </c>
      <c r="M21" s="7" t="inlineStr">
        <is>
          <t>25 Oct 2026: Project owner instructed availability be marked Available (open in JSON/ChromaDB). No new independent source check; approval status unchanged.
25 Oct 2026: Project owner approved the finalized source-information record. Availability: open. Executable rule and resource-link reviews remain separate.</t>
        </is>
      </c>
      <c r="N21" s="8" t="inlineStr">
        <is>
          <t>Business &amp; Entrepreneurship</t>
        </is>
      </c>
      <c r="O21" s="8" t="inlineStr">
        <is>
          <t>Individual</t>
        </is>
      </c>
      <c r="P21" s="8" t="inlineStr">
        <is>
          <t>Individual; Self Help Groups (SHGS); Joint Liability Groups (JLGS); Business Entity; Government Organisation; NGO</t>
        </is>
      </c>
      <c r="Q21" s="8" t="inlineStr">
        <is>
          <t>Ministry Of Textiles</t>
        </is>
      </c>
      <c r="R21" s="8" t="inlineStr"/>
      <c r="S21" s="8" t="inlineStr">
        <is>
          <t>mi-hma-nhdp</t>
        </is>
      </c>
      <c r="T21" s="8" t="inlineStr">
        <is>
          <t>MS-C12</t>
        </is>
      </c>
      <c r="U21" s="8" t="inlineStr">
        <is>
          <t>Central</t>
        </is>
      </c>
      <c r="V21" s="8" t="n"/>
      <c r="W21" s="8" t="n"/>
      <c r="X21" s="8" t="inlineStr">
        <is>
          <t>Available</t>
        </is>
      </c>
      <c r="Y21" s="8" t="inlineStr">
        <is>
          <t>Present</t>
        </is>
      </c>
      <c r="Z21" s="8" t="inlineStr">
        <is>
          <t>Present</t>
        </is>
      </c>
      <c r="AA21" s="8" t="inlineStr">
        <is>
          <t>Offline</t>
        </is>
      </c>
      <c r="AB21" s="8" t="inlineStr">
        <is>
          <t>Present</t>
        </is>
      </c>
      <c r="AC21" s="8" t="inlineStr">
        <is>
          <t>Person age / date of birth
Organisation turnover history
Project attributes
Jurisdiction
Transactions / eligible sales
Time period / history
Negative condition
Temporal condition
Component / category-specific branch</t>
        </is>
      </c>
      <c r="AD21" s="8" t="inlineStr">
        <is>
          <t>"Marketing Incentive" under the "Handloom Marketing Assistance" Component of the National Handloom Development Programme</t>
        </is>
      </c>
      <c r="AE21" s="8" t="inlineStr">
        <is>
          <t>558258990ea85734b6b88de10fcb59ecc36eba5bd91d49337d04460cae0b5e59</t>
        </is>
      </c>
    </row>
    <row r="22" ht="230" customHeight="1">
      <c r="A22" s="4" t="inlineStr">
        <is>
          <t>C13</t>
        </is>
      </c>
      <c r="B22" s="4" t="inlineStr">
        <is>
          <t>Kisan Credit Card</t>
        </is>
      </c>
      <c r="C22" s="4" t="inlineStr">
        <is>
          <t>Central</t>
        </is>
      </c>
      <c r="D22" s="4" t="inlineStr">
        <is>
          <t>India</t>
        </is>
      </c>
      <c r="E22" s="4" t="inlineStr">
        <is>
          <t>Fixation of credit limit/Loan amount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
Limit for second &amp; subsequent year: First-year limit for crop cultivation purposes arrived at as above plus 10% of the limit towards cost escalation/increase in the scale…
Full published text: Source passages → Benefits.</t>
        </is>
      </c>
      <c r="F22" s="4" t="inlineStr">
        <is>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t>
        </is>
      </c>
      <c r="G22" s="4" t="inlineStr">
        <is>
          <t>Visit the website of the bank you wish to apply for the kisan credit card scheme.
From the list of options, choose the Kisan Credit Card.
On clicking the option of ‘Apply’, the website will redirect you to the application page.
Fill the form with the required details and click on ‘Submit’.
On doing so, an application reference number will be sent. If you are eligible, the bank will get back to you for the further process within 3-4 working days.
Offline applications can be done by visiting the branch of the bank of your choice or by downloading the application form from the website of the…
Full published text: Application steps.</t>
        </is>
      </c>
      <c r="H22" s="4" t="inlineStr">
        <is>
          <t>Compared with myScheme on 28 Oct 2026. Text reproduced as published; linked destinations not independently verified. Empty or absent sections: Exclusions. No requirement inferred.</t>
        </is>
      </c>
      <c r="I22" s="5" t="inlineStr">
        <is>
          <t>Open official page</t>
        </is>
      </c>
      <c r="J22" s="6" t="n">
        <v>46323</v>
      </c>
      <c r="K22" s="7" t="inlineStr">
        <is>
          <t>Approved</t>
        </is>
      </c>
      <c r="L22" s="7" t="n"/>
      <c r="M22" s="7" t="n"/>
      <c r="N22" s="4" t="inlineStr">
        <is>
          <t>Agriculture,Rural &amp; Environment</t>
        </is>
      </c>
      <c r="O22" s="4" t="inlineStr">
        <is>
          <t>Individual</t>
        </is>
      </c>
      <c r="P22" s="4" t="inlineStr">
        <is>
          <t>Individual</t>
        </is>
      </c>
      <c r="Q22" s="4" t="inlineStr">
        <is>
          <t>Ministry Of Agriculture and Farmers Welfare</t>
        </is>
      </c>
      <c r="R22" s="4" t="inlineStr"/>
      <c r="S22" s="4" t="inlineStr">
        <is>
          <t>kcc</t>
        </is>
      </c>
      <c r="T22" s="4" t="inlineStr">
        <is>
          <t>MS-C13</t>
        </is>
      </c>
      <c r="U22" s="4" t="inlineStr">
        <is>
          <t>Central</t>
        </is>
      </c>
      <c r="V22" s="6" t="n">
        <v>36008</v>
      </c>
      <c r="W22" s="4" t="n"/>
      <c r="X22" s="4" t="inlineStr">
        <is>
          <t>Available</t>
        </is>
      </c>
      <c r="Y22" s="4" t="inlineStr">
        <is>
          <t>Present</t>
        </is>
      </c>
      <c r="Z22" s="4" t="inlineStr">
        <is>
          <t>Empty or absent in source</t>
        </is>
      </c>
      <c r="AA22" s="4" t="inlineStr">
        <is>
          <t>Online; Offline</t>
        </is>
      </c>
      <c r="AB22" s="4" t="inlineStr">
        <is>
          <t>Present</t>
        </is>
      </c>
      <c r="AC22" s="4" t="inlineStr">
        <is>
          <t>Person age / date of birth
Institution type / accreditation
Credit / repayment
Transactions / eligible sales
Landholding / ownership
Time period / history</t>
        </is>
      </c>
      <c r="AD22" s="4" t="inlineStr">
        <is>
          <t>Kisan Credit Card</t>
        </is>
      </c>
      <c r="AE22" s="4" t="inlineStr">
        <is>
          <t>241c8bb1dbc1747e4095f127d2f054f2b4f2691e4337599e03b6a0f05685344e</t>
        </is>
      </c>
    </row>
    <row r="23" ht="230" customHeight="1">
      <c r="A23" s="8" t="inlineStr">
        <is>
          <t>C14</t>
        </is>
      </c>
      <c r="B23" s="8" t="inlineStr">
        <is>
          <t>Pradhan Mantri Fasal Bima Yojna (PMFBY)</t>
        </is>
      </c>
      <c r="C23" s="8" t="inlineStr">
        <is>
          <t>Central</t>
        </is>
      </c>
      <c r="D23" s="8" t="inlineStr">
        <is>
          <t>India</t>
        </is>
      </c>
      <c r="E23" s="8" t="inlineStr">
        <is>
          <t>Affordable Premiums: The maximum premium payable by the farmer will be 2% for the Kharif food and oilseed crops. For rabi food and oilseeds crop, it is 1.5% and for yearly commercial or horticultural crops it will be 5%. The remaining premium is subsidized by the government.
*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Full published text: Source passages → Benefits.</t>
        </is>
      </c>
      <c r="F23" s="8" t="inlineStr">
        <is>
          <t>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is>
      </c>
      <c r="G23" s="8" t="inlineStr">
        <is>
          <t>Step 1: Visit the Official Website of "Pradhan Mantri Fasal Bima Yojana".
Step 2: At the top right corner of the homepage, click "Farmer Corner".
In the popup window, click "Guest Farmer". You will be taken to the Online Registration Form.
*If already registered, skip to Step: 4.
Step 3: In the Registration Form, fill in the following mandatory fields (marked with a red asterisk):
"FARMER DETAILS" Section: Full Name, Passbook Name, Relationship, Relative Name, Mobile No., Age, Caste Category, Gender, Farmer Type, Farmer Category,
"RESIDENTIAL DETAILS" Section: State, District, Sub District,…
Full published text: Application steps.</t>
        </is>
      </c>
      <c r="H23" s="8" t="inlineStr">
        <is>
          <t>Compared with myScheme on 28 Oct 2026. Text reproduced as published; linked destinations not independently verified.</t>
        </is>
      </c>
      <c r="I23" s="5" t="inlineStr">
        <is>
          <t>Open official page</t>
        </is>
      </c>
      <c r="J23" s="9" t="n">
        <v>46323</v>
      </c>
      <c r="K23" s="7" t="inlineStr">
        <is>
          <t>Approved</t>
        </is>
      </c>
      <c r="L23" s="7" t="n"/>
      <c r="M23" s="7" t="n"/>
      <c r="N23" s="8" t="inlineStr">
        <is>
          <t>Agriculture,Rural &amp; Environment; Banking,Financial Services and Insurance</t>
        </is>
      </c>
      <c r="O23" s="8" t="inlineStr">
        <is>
          <t>Individual</t>
        </is>
      </c>
      <c r="P23" s="8" t="inlineStr">
        <is>
          <t>Individual</t>
        </is>
      </c>
      <c r="Q23" s="8" t="inlineStr">
        <is>
          <t>Ministry Of Agriculture and Farmers Welfare</t>
        </is>
      </c>
      <c r="R23" s="8" t="inlineStr"/>
      <c r="S23" s="8" t="inlineStr">
        <is>
          <t>pmfby</t>
        </is>
      </c>
      <c r="T23" s="8" t="inlineStr">
        <is>
          <t>MS-C14</t>
        </is>
      </c>
      <c r="U23" s="8" t="inlineStr">
        <is>
          <t>Central</t>
        </is>
      </c>
      <c r="V23" s="9" t="n">
        <v>42418</v>
      </c>
      <c r="W23" s="8" t="n"/>
      <c r="X23" s="8" t="inlineStr">
        <is>
          <t>Available</t>
        </is>
      </c>
      <c r="Y23" s="8" t="inlineStr">
        <is>
          <t>Present</t>
        </is>
      </c>
      <c r="Z23" s="8" t="inlineStr">
        <is>
          <t>Present</t>
        </is>
      </c>
      <c r="AA23" s="8" t="inlineStr">
        <is>
          <t>Online; Offline; Online - via CSC</t>
        </is>
      </c>
      <c r="AB23" s="8" t="inlineStr">
        <is>
          <t>Present</t>
        </is>
      </c>
      <c r="AC23" s="8" t="inlineStr">
        <is>
          <t>Person age / date of birth
Income amount, period and subject
Registration / membership
Jurisdiction
Credit / repayment
Landholding / ownership
Negative condition
Temporal condition
Component / category-specific branch</t>
        </is>
      </c>
      <c r="AD23" s="8" t="inlineStr">
        <is>
          <t>Pradhan Mantri Fasal Bima Yojna (PMFBY)</t>
        </is>
      </c>
      <c r="AE23" s="8" t="inlineStr">
        <is>
          <t>9029f2b77d695fe4319463961ddd4e539b6a2f4f4f6973260bea292bd578c638</t>
        </is>
      </c>
    </row>
    <row r="24" ht="230" customHeight="1">
      <c r="A24" s="4" t="inlineStr">
        <is>
          <t>C15</t>
        </is>
      </c>
      <c r="B24" s="4" t="inlineStr">
        <is>
          <t>Post Graduate Indira Gandhi Scholarship For Single Girl Child</t>
        </is>
      </c>
      <c r="C24" s="4" t="inlineStr">
        <is>
          <t>Central</t>
        </is>
      </c>
      <c r="D24" s="4" t="inlineStr">
        <is>
          <t>India</t>
        </is>
      </c>
      <c r="E24" s="4" t="inlineStr">
        <is>
          <t>Nature of Assistance Available Under the Scheme
Amount of fellowship: ₹36,200/- per annum for a period of two years only i.e. full duration of a PG course.
3,000 fresh scholarships will be awarded every year and will be paid on DBT mode on annual basis.
Note
No other additional grant will be payable in lieu of hostel charges and medical charges, etc.</t>
        </is>
      </c>
      <c r="F24" s="4" t="inlineStr">
        <is>
          <t>To be submitted by the Student
1. Aadhaar Card
2. Proof of admission into a recognized Master’s degree course in an institute located in India and recognized by the UGC.
3. Joining report (as per format given in Annexure-I)
4. Affidavit regarding Single girl child status (as per format given in Annexure-II)
5. Copy of the Bank Passbook
6. Birth Certificate or Class 10th Marksheet
To be submitted by the Institution
1. A progress Report after the completion of the first year along with the percentage of marks obtained by the candidates needs to be submitted by the institution.
2. Funds…
Full published text: Applicant documents.</t>
        </is>
      </c>
      <c r="G24" s="4" t="inlineStr">
        <is>
          <t>Procedure for Applying
Step-1: The candidates fulfilling the eligibility conditions are required to apply online on the National Scholarship Portal after initiation of the application process and notice to be published on the UGC website.
Step-2: The host institution where the candidate is studying is required to verify the online
application.
Step-3: It is expected from the institutions where students have taken admitted in the first year of PG course, that no tuition fees will be charged by the institute to girl students to pursue PG degree courses in…
Full published text: Application steps.</t>
        </is>
      </c>
      <c r="H24" s="4" t="inlineStr">
        <is>
          <t>Compared with myScheme on 28 Oct 2026. Text reproduced as published; linked destinations not independently verified.</t>
        </is>
      </c>
      <c r="I24" s="5" t="inlineStr">
        <is>
          <t>Open official page</t>
        </is>
      </c>
      <c r="J24" s="6" t="n">
        <v>46323</v>
      </c>
      <c r="K24" s="7" t="inlineStr">
        <is>
          <t>Approved</t>
        </is>
      </c>
      <c r="L24" s="7" t="n"/>
      <c r="M24" s="7" t="n"/>
      <c r="N24" s="4" t="inlineStr">
        <is>
          <t>Education &amp; Learning; Women and Child</t>
        </is>
      </c>
      <c r="O24" s="4" t="inlineStr">
        <is>
          <t>Individual</t>
        </is>
      </c>
      <c r="P24" s="4" t="inlineStr">
        <is>
          <t>Individual</t>
        </is>
      </c>
      <c r="Q24" s="4" t="inlineStr">
        <is>
          <t>Ministry of Education</t>
        </is>
      </c>
      <c r="R24" s="4" t="inlineStr">
        <is>
          <t>Department Of Higher Education</t>
        </is>
      </c>
      <c r="S24" s="4" t="inlineStr">
        <is>
          <t>pg-igssgc</t>
        </is>
      </c>
      <c r="T24" s="4" t="inlineStr">
        <is>
          <t>MS-C15</t>
        </is>
      </c>
      <c r="U24" s="4" t="inlineStr">
        <is>
          <t>Central</t>
        </is>
      </c>
      <c r="V24" s="4" t="n"/>
      <c r="W24" s="4" t="n"/>
      <c r="X24" s="4" t="inlineStr">
        <is>
          <t>Available</t>
        </is>
      </c>
      <c r="Y24" s="4" t="inlineStr">
        <is>
          <t>Present</t>
        </is>
      </c>
      <c r="Z24" s="4" t="inlineStr">
        <is>
          <t>Present</t>
        </is>
      </c>
      <c r="AA24" s="4" t="inlineStr">
        <is>
          <t>Online</t>
        </is>
      </c>
      <c r="AB24" s="4" t="inlineStr">
        <is>
          <t>Present</t>
        </is>
      </c>
      <c r="AC24" s="4" t="inlineStr">
        <is>
          <t>Person age / date of birth
Household relationships / prior benefits
Jurisdiction
Institution type / accreditation
Education / enrolment
Time period / history
Negative condition
Temporal condition</t>
        </is>
      </c>
      <c r="AD24" s="4" t="inlineStr">
        <is>
          <t>Post Graduate Indira Gandhi Scholarship For Single Girl Child</t>
        </is>
      </c>
      <c r="AE24" s="4" t="inlineStr">
        <is>
          <t>1856e0f443c3861784868d3c9caf4cda019c34f22e9a31b6dc728964d6b7c76d</t>
        </is>
      </c>
    </row>
    <row r="25" ht="230" customHeight="1">
      <c r="A25" s="8" t="inlineStr">
        <is>
          <t>C16</t>
        </is>
      </c>
      <c r="B25" s="8" t="inlineStr">
        <is>
          <t>Dr Ambedkar Central Sector Scheme of Interest Subsidy on Educational Loans for Overseas Studies for Other Backward Classes (OBCs) and Economically Backward Classes (EBCs)</t>
        </is>
      </c>
      <c r="C25" s="8" t="inlineStr">
        <is>
          <t>Central</t>
        </is>
      </c>
      <c r="D25" s="8" t="inlineStr">
        <is>
          <t>India</t>
        </is>
      </c>
      <c r="E25" s="8" t="inlineStr">
        <is>
          <t>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
For a student, the eligible loan component shall be the actual loan taken subject to a maximum of ₹ 20,00,000 for the purpose of an Interest subsidy claim.
NOTE 1: After the period of moratorium is over, the interest on the outstanding loan amount shall be paid by the student, in…
Full published text: Source passages → Benefits.</t>
        </is>
      </c>
      <c r="F25" s="8" t="inlineStr">
        <is>
          <t>Passport Sized Photograph
Aadhaar Number
Proof of Educational Qualification
Bonafide Certificate
For the candidate applying under the OBC category, the OBC Caste certificate in the prescribed Performa issued by the competent authority.
Income certificate produced by the student for availing Educational Loan viz. ITR/Form 16/Audited Accounts/Income certificate issued by the authority of the State Government/UT Administration.
Details of the Aadhaar-linked Bank Account.</t>
        </is>
      </c>
      <c r="G25" s="8" t="inlineStr">
        <is>
          <t>Step 1: The interest Subsidy shall be linked with the existing Educational Loan Scheme of the Indian Banks Association (IBA) and restricted to students enrolled for courses at Master, M.Phil and PhD levels.
Step 2: The Nodal Bank will lay down the detailed procedure for processing and sanctioning interest subsidies to eligible students in consultation with the Ministry.
Step 3: The Recommendatory Committee headed by the Joint Secretary in charge of the Backward Classes Division with representatives of the Finance Division, a representative of Nodal Bank and the concerned Director/Deputy…
Full published text: Application steps.</t>
        </is>
      </c>
      <c r="H25" s="8" t="inlineStr">
        <is>
          <t>Compared with myScheme on 28 Oct 2026. Text reproduced as published; linked destinations not independently verified. Empty or absent sections: Exclusions. No requirement inferred.</t>
        </is>
      </c>
      <c r="I25" s="5" t="inlineStr">
        <is>
          <t>Open official page</t>
        </is>
      </c>
      <c r="J25" s="9" t="n">
        <v>46323</v>
      </c>
      <c r="K25" s="7" t="inlineStr">
        <is>
          <t>Approved</t>
        </is>
      </c>
      <c r="L25" s="7" t="n"/>
      <c r="M25" s="7" t="n"/>
      <c r="N25" s="8" t="inlineStr">
        <is>
          <t>Education &amp; Learning; Social welfare &amp; Empowerment; Banking,Financial Services and Insurance</t>
        </is>
      </c>
      <c r="O25" s="8" t="inlineStr">
        <is>
          <t>Individual</t>
        </is>
      </c>
      <c r="P25" s="8" t="inlineStr">
        <is>
          <t>Individual</t>
        </is>
      </c>
      <c r="Q25" s="8" t="inlineStr">
        <is>
          <t>Ministry Of Social Justice and Empowerment</t>
        </is>
      </c>
      <c r="R25" s="8" t="inlineStr">
        <is>
          <t>Department of Social Justice &amp; Empowerment</t>
        </is>
      </c>
      <c r="S25" s="8" t="inlineStr">
        <is>
          <t>dacssiselosobcebc</t>
        </is>
      </c>
      <c r="T25" s="8" t="inlineStr">
        <is>
          <t>MS-C16</t>
        </is>
      </c>
      <c r="U25" s="8" t="inlineStr">
        <is>
          <t>Central</t>
        </is>
      </c>
      <c r="V25" s="8" t="n"/>
      <c r="W25" s="8" t="n"/>
      <c r="X25" s="8" t="inlineStr">
        <is>
          <t>Available</t>
        </is>
      </c>
      <c r="Y25" s="8" t="inlineStr">
        <is>
          <t>Present</t>
        </is>
      </c>
      <c r="Z25" s="8" t="inlineStr">
        <is>
          <t>Empty or absent in source</t>
        </is>
      </c>
      <c r="AA25" s="8" t="inlineStr">
        <is>
          <t>Offline</t>
        </is>
      </c>
      <c r="AB25" s="8" t="inlineStr">
        <is>
          <t>Present</t>
        </is>
      </c>
      <c r="AC25" s="8" t="inlineStr">
        <is>
          <t>Person age / date of birth
Income amount, period and subject
Jurisdiction
Institution type / accreditation
Education / enrolment
Credit / repayment
Employment / employer
Preference, not automatically mandatory
Benefit cap formula
Conditional exception
Temporal condition
Component / category-specific branch</t>
        </is>
      </c>
      <c r="AD25" s="8" t="inlineStr">
        <is>
          <t>Dr Ambedkar Central Sector Scheme of Interest Subsidy on Educational Loans for Overseas Studies for Other Backward Classes (OBCs) and Economically Backward Classes (EBCs)</t>
        </is>
      </c>
      <c r="AE25" s="8" t="inlineStr">
        <is>
          <t>ffa365dc59e0642461deb35e08569030bc28ff047358c26f6b76303827dcd520</t>
        </is>
      </c>
    </row>
    <row r="26" ht="230" customHeight="1">
      <c r="A26" s="4" t="inlineStr">
        <is>
          <t>C17</t>
        </is>
      </c>
      <c r="B26" s="4" t="inlineStr">
        <is>
          <t>Nikshay Poshan Yojana</t>
        </is>
      </c>
      <c r="C26" s="4" t="inlineStr">
        <is>
          <t>Central</t>
        </is>
      </c>
      <c r="D26" s="4" t="inlineStr">
        <is>
          <t>India</t>
        </is>
      </c>
      <c r="E26" s="4" t="inlineStr">
        <is>
          <t>Financial Incentive: An amount of ₹1,000/- per month for each notified TB patient.</t>
        </is>
      </c>
      <c r="F26" s="4" t="inlineStr">
        <is>
          <t>Bank Account Proof
Photocopy of bank passbook (showing account holder name, account number, and IFSC)
Cancelled cheque
Recent bank statement.
Note: The account must be a savings bank account, active, and preferably Aadhaar-linked.
Aadhaar Document (Optional but Recommended)
Copy of Aadhaar Card (if available)
If Aadhaar is not available, you should:
Apply for Aadhaar and submit a copy of the acknowledgement receipt
Consent/Declaration Form (Only in specific cases)
If you wish to receive benefits in a family member’s bank account:
A written consent/authorization form is required (format…
Full published text: Applicant documents.</t>
        </is>
      </c>
      <c r="G26" s="4" t="inlineStr">
        <is>
          <t>Submission of Bank Account Details
Patient need to submit his/her Aadhaar-linked savings bank account to TB health provider.
Supporting documents like a Aadhaar number, passbook, canceled cheque, or bank statement must be collected.
If Patient don't have a bank account:
Open a new account (e.g., via Jan Dhan Yojana/India Post Payments Bank).
Alternatively, Patient may nominate a family member’s account with a written consent (standard format available in the manual).
Registration in Nikshay
Patient bank details will be entered by the TB health staff into the Nikshay system.
Ensure Patient…
Full published text: Application steps.</t>
        </is>
      </c>
      <c r="H26" s="4" t="inlineStr">
        <is>
          <t>Compared with myScheme on 28 Oct 2026. Text reproduced as published; linked destinations not independently verified. Empty or absent sections: Exclusions. No requirement inferred.</t>
        </is>
      </c>
      <c r="I26" s="5" t="inlineStr">
        <is>
          <t>Open official page</t>
        </is>
      </c>
      <c r="J26" s="6" t="n">
        <v>46323</v>
      </c>
      <c r="K26" s="7" t="inlineStr">
        <is>
          <t>Approved</t>
        </is>
      </c>
      <c r="L26" s="7" t="n"/>
      <c r="M26" s="7" t="n"/>
      <c r="N26" s="4" t="inlineStr">
        <is>
          <t>Health &amp; Wellness</t>
        </is>
      </c>
      <c r="O26" s="4" t="inlineStr">
        <is>
          <t>Individual</t>
        </is>
      </c>
      <c r="P26" s="4" t="inlineStr">
        <is>
          <t>All</t>
        </is>
      </c>
      <c r="Q26" s="4" t="inlineStr">
        <is>
          <t>Ministry Of Health &amp; Family Welfare</t>
        </is>
      </c>
      <c r="R26" s="4" t="inlineStr">
        <is>
          <t>Department of Health and Family Welfare</t>
        </is>
      </c>
      <c r="S26" s="4" t="inlineStr">
        <is>
          <t>nikshay</t>
        </is>
      </c>
      <c r="T26" s="4" t="inlineStr">
        <is>
          <t>MS-C17</t>
        </is>
      </c>
      <c r="U26" s="4" t="inlineStr">
        <is>
          <t>Central</t>
        </is>
      </c>
      <c r="V26" s="6" t="n">
        <v>43191</v>
      </c>
      <c r="W26" s="4" t="n"/>
      <c r="X26" s="4" t="inlineStr">
        <is>
          <t>Available</t>
        </is>
      </c>
      <c r="Y26" s="4" t="inlineStr">
        <is>
          <t>Present</t>
        </is>
      </c>
      <c r="Z26" s="4" t="inlineStr">
        <is>
          <t>Empty or absent in source</t>
        </is>
      </c>
      <c r="AA26" s="4" t="inlineStr">
        <is>
          <t>Online</t>
        </is>
      </c>
      <c r="AB26" s="4" t="inlineStr">
        <is>
          <t>Present</t>
        </is>
      </c>
      <c r="AC26" s="4" t="inlineStr">
        <is>
          <t>Person age / date of birth
Household relationships / prior benefits
Registration / membership
Jurisdiction
Temporal condition</t>
        </is>
      </c>
      <c r="AD26" s="4" t="inlineStr">
        <is>
          <t>Nikshay Poshan Yojana</t>
        </is>
      </c>
      <c r="AE26" s="4" t="inlineStr">
        <is>
          <t>265c1bfa97264052955171914213b2bc8a18b9f4e3f579e68d96541960dc1a6f</t>
        </is>
      </c>
    </row>
    <row r="27" ht="230" customHeight="1">
      <c r="A27" s="8" t="inlineStr">
        <is>
          <t>C18</t>
        </is>
      </c>
      <c r="B27" s="8" t="inlineStr">
        <is>
          <t>Pradhan Mantri Surakshit Matritva Abhiyan</t>
        </is>
      </c>
      <c r="C27" s="8" t="inlineStr">
        <is>
          <t>Central</t>
        </is>
      </c>
      <c r="D27" s="8" t="inlineStr">
        <is>
          <t>India</t>
        </is>
      </c>
      <c r="E27" s="8" t="inlineStr">
        <is>
          <t>Medical Services Provided
Comprehensive Antenatal Care: Special Antenatal Care services provided by Obstetrics and Gynaecology specialists, Radiologists, and Physicians at government health facilities.
Minimum Package of Services: A minimum package of investigations and medicines such as Iron Folic Acid and calcium supplements provided to all pregnant women attending Pradhan Mantri Surakshit Matritva Abhiyan clinics.
High Risk Pregnancy Identification: Identification and follow-up of high risk pregnancies with red stickers added to Mother and Child Protection cards.
Fixed Day Service:…
Full published text: Source passages → Benefits.</t>
        </is>
      </c>
      <c r="F27" s="8" t="inlineStr">
        <is>
          <t>At Health Facility Visit
Mother And Child Protection Card (If Available).
Aadhaar Card Or Any Government Issued Identity Proof.
Previous Medical Records (If Any).
Antenatal Care Records From Previous Visits.
Prescription Slips From Previous Consultations (If Applicable).
For Registration at Facility
Address Proof (Ration Card/Voter Identity Card/Utility Bills).
Mobile Number For Communication.
Emergency Contact Details.
Optional Documents
Bank Account Details (For Direct Benefit Transfer if applicable in future).
Husband's Identity Proof (If Required by Local Guidelines).</t>
        </is>
      </c>
      <c r="G27" s="8" t="inlineStr">
        <is>
          <t>Step 1: Identify Nearest Pradhan Mantri Surakshit Matritva Abhiyan Facility
The pregnant woman should visit the Official Portal of PMSMA or download the 'PMSMA' mobile application to find their nearest PMSMA facility using the 'Nearest Facility' search feature.
Step 2: Visit on Designated Day
The beneficiary must visit the identified government health facility (Primary Health Centre, Community Health Centre, District Hospital, or urban health facility) on the 9th of every month. If the 9th falls on Sunday or holiday, services are provided on the next working day.
Step 3: Registration at…
Full published text: Application steps.</t>
        </is>
      </c>
      <c r="H27" s="8" t="inlineStr">
        <is>
          <t>Compared with myScheme on 28 Oct 2026. Text reproduced as published; linked destinations not independently verified. Empty or absent sections: Exclusions. No requirement inferred.</t>
        </is>
      </c>
      <c r="I27" s="5" t="inlineStr">
        <is>
          <t>Open official page</t>
        </is>
      </c>
      <c r="J27" s="9" t="n">
        <v>46323</v>
      </c>
      <c r="K27" s="7" t="inlineStr">
        <is>
          <t>Approved</t>
        </is>
      </c>
      <c r="L27" s="7" t="n"/>
      <c r="M27" s="7" t="n"/>
      <c r="N27" s="8" t="inlineStr">
        <is>
          <t>Health &amp; Wellness; Women and Child</t>
        </is>
      </c>
      <c r="O27" s="8" t="inlineStr">
        <is>
          <t>Individual</t>
        </is>
      </c>
      <c r="P27" s="8" t="inlineStr">
        <is>
          <t>Individual</t>
        </is>
      </c>
      <c r="Q27" s="8" t="inlineStr">
        <is>
          <t>Ministry Of Health &amp; Family Welfare</t>
        </is>
      </c>
      <c r="R27" s="8" t="inlineStr">
        <is>
          <t>Department of Health and Family Welfare</t>
        </is>
      </c>
      <c r="S27" s="8" t="inlineStr">
        <is>
          <t>pmsma</t>
        </is>
      </c>
      <c r="T27" s="8" t="inlineStr">
        <is>
          <t>MS-C18</t>
        </is>
      </c>
      <c r="U27" s="8" t="inlineStr">
        <is>
          <t>Central</t>
        </is>
      </c>
      <c r="V27" s="9" t="n">
        <v>42530</v>
      </c>
      <c r="W27" s="8" t="n"/>
      <c r="X27" s="8" t="inlineStr">
        <is>
          <t>Available</t>
        </is>
      </c>
      <c r="Y27" s="8" t="inlineStr">
        <is>
          <t>Present</t>
        </is>
      </c>
      <c r="Z27" s="8" t="inlineStr">
        <is>
          <t>Empty or absent in source</t>
        </is>
      </c>
      <c r="AA27" s="8" t="inlineStr">
        <is>
          <t>Offline</t>
        </is>
      </c>
      <c r="AB27" s="8" t="inlineStr">
        <is>
          <t>Present</t>
        </is>
      </c>
      <c r="AC27" s="8" t="inlineStr">
        <is>
          <t>Person age / date of birth
Income amount, period and subject
Gender / applicant category
Household relationships / prior benefits
Registration / membership
Jurisdiction</t>
        </is>
      </c>
      <c r="AD27" s="8" t="inlineStr">
        <is>
          <t>Pradhan Mantri Surakshit Matritva Abhiyan</t>
        </is>
      </c>
      <c r="AE27" s="8" t="inlineStr">
        <is>
          <t>4c31c2aab875a96ac06c2bb1692950c7234c3a93c2259fec0aae07f446ba7a1f</t>
        </is>
      </c>
    </row>
    <row r="28" ht="230" customHeight="1">
      <c r="A28" s="4" t="inlineStr">
        <is>
          <t>C19</t>
        </is>
      </c>
      <c r="B28" s="4" t="inlineStr">
        <is>
          <t>PM POSHAN - Prime Minister's Overarching Scheme For Holistic Nourishment</t>
        </is>
      </c>
      <c r="C28" s="4" t="inlineStr">
        <is>
          <t>Central</t>
        </is>
      </c>
      <c r="D28" s="4" t="inlineStr">
        <is>
          <t>India</t>
        </is>
      </c>
      <c r="E28" s="4" t="inlineStr">
        <is>
          <t>Nutrition norm per child per day:
Primary: Calorie – 450; Protein - 12 gms
Upper Primary: Calorie – 700; Protein - 20 gms
Food norms per child per day:
Primary: Food grains - 100 gms; Pulses - 20 gms; Vegetables - 50 gms; Oil &amp; fat - 5 gms, Salt &amp; condiments - As per need.
Upper Primary: Food grains - 150 gms; Pulses - 30 gms; Vegetables - 75 gms; Oil &amp; fat – 7.5 gms, Salt &amp; condiments - As per need.
Under the Scheme, there is the provision of hot cooked meals to children of pre-schools or Bal Vatika (before class I) in primary schools also in addition to the 11.80 crore children of classes I to VIII studying in 11.20 lakh schools.</t>
        </is>
      </c>
      <c r="F28" s="4" t="inlineStr">
        <is>
          <t>No documents are required for availing the benefits of this scheme.</t>
        </is>
      </c>
      <c r="G28" s="4" t="inlineStr">
        <is>
          <t>There is no application process for this scheme. PM POSHAN is equally applicable to all children who are studying in Government and Government – aided schools.</t>
        </is>
      </c>
      <c r="H28" s="4" t="inlineStr">
        <is>
          <t>Compared with myScheme on 28 Oct 2026. Text reproduced as published; linked destinations not independently verified. Empty or absent sections: Exclusions. No requirement inferred.</t>
        </is>
      </c>
      <c r="I28" s="5" t="inlineStr">
        <is>
          <t>Open official page</t>
        </is>
      </c>
      <c r="J28" s="6" t="n">
        <v>46323</v>
      </c>
      <c r="K28" s="7" t="inlineStr">
        <is>
          <t>Approved</t>
        </is>
      </c>
      <c r="L28" s="7" t="n"/>
      <c r="M28" s="7" t="n"/>
      <c r="N28" s="4" t="inlineStr">
        <is>
          <t>Health &amp; Wellness; Social welfare &amp; Empowerment</t>
        </is>
      </c>
      <c r="O28" s="4" t="inlineStr">
        <is>
          <t>Individual</t>
        </is>
      </c>
      <c r="P28" s="4" t="inlineStr">
        <is>
          <t>Individual</t>
        </is>
      </c>
      <c r="Q28" s="4" t="inlineStr">
        <is>
          <t>Ministry of Education</t>
        </is>
      </c>
      <c r="R28" s="4" t="inlineStr">
        <is>
          <t>Department of School Education and Literacy</t>
        </is>
      </c>
      <c r="S28" s="4" t="inlineStr">
        <is>
          <t>pm-poshan</t>
        </is>
      </c>
      <c r="T28" s="4" t="inlineStr">
        <is>
          <t>MS-C19</t>
        </is>
      </c>
      <c r="U28" s="4" t="inlineStr">
        <is>
          <t>Central</t>
        </is>
      </c>
      <c r="V28" s="6" t="n">
        <v>43167</v>
      </c>
      <c r="W28" s="4" t="n"/>
      <c r="X28" s="4" t="inlineStr">
        <is>
          <t>Available</t>
        </is>
      </c>
      <c r="Y28" s="4" t="inlineStr">
        <is>
          <t>Present</t>
        </is>
      </c>
      <c r="Z28" s="4" t="inlineStr">
        <is>
          <t>Empty or absent in source</t>
        </is>
      </c>
      <c r="AA28" s="4" t="inlineStr">
        <is>
          <t>Offline</t>
        </is>
      </c>
      <c r="AB28" s="4" t="inlineStr">
        <is>
          <t>Present</t>
        </is>
      </c>
      <c r="AC28" s="4" t="inlineStr">
        <is>
          <t>Person age / date of birth
Temporal condition</t>
        </is>
      </c>
      <c r="AD28" s="4" t="inlineStr">
        <is>
          <t>PM POSHAN - Prime Minister's Overarching Scheme For Holistic Nourishment</t>
        </is>
      </c>
      <c r="AE28" s="4" t="inlineStr">
        <is>
          <t>2209c13064f8b327da10deca6a8ed9c4f6fe1bc9e8c791eb289647e57c751868</t>
        </is>
      </c>
    </row>
    <row r="29" ht="230" customHeight="1">
      <c r="A29" s="8" t="inlineStr">
        <is>
          <t>C20</t>
        </is>
      </c>
      <c r="B29" s="8" t="inlineStr">
        <is>
          <t>Youth Hostel Scheme</t>
        </is>
      </c>
      <c r="C29" s="8" t="inlineStr">
        <is>
          <t>Central</t>
        </is>
      </c>
      <c r="D29" s="8" t="inlineStr">
        <is>
          <t>India</t>
        </is>
      </c>
      <c r="E29" s="8" t="inlineStr">
        <is>
          <t>Affordable accommodation: Youth hostels offer a much cheaper alternative to hotels and guesthouses.
Social atmosphere: Youth hostels are a great place to meet new people from all over the world.
Cultural experience: Youth hostels are often located in places of cultural interest, giving you the opportunity to learn about the local culture and traditions.
Flexible options: Youth hostels offer a variety of accommodation options, including dormitories, private rooms, and family rooms. You can also choose to book meals at the hostel or cook your own food.</t>
        </is>
      </c>
      <c r="F29" s="8" t="inlineStr">
        <is>
          <t>Completed YHAI membership application form
Passport size photograph
Proof of identity, such as a copy of your passport, driver's license, or Aadhaar card</t>
        </is>
      </c>
      <c r="G29" s="8" t="inlineStr">
        <is>
          <t>Applicant must visit the official website.
Click on "Apply Now" under the Youth Hostel scheme.
Select the user type and scheme name.
Now fill out the require details.
Upload the recent photograph.
Give the consent for the Aadhaar to use as biometric and KYC .</t>
        </is>
      </c>
      <c r="H29" s="8" t="inlineStr">
        <is>
          <t>Compared with myScheme on 28 Oct 2026. Text reproduced as published; linked destinations not independently verified. Empty or absent sections: Exclusions. No requirement inferred.</t>
        </is>
      </c>
      <c r="I29" s="5" t="inlineStr">
        <is>
          <t>Open official page</t>
        </is>
      </c>
      <c r="J29" s="9" t="n">
        <v>46323</v>
      </c>
      <c r="K29" s="7" t="inlineStr">
        <is>
          <t>Approved</t>
        </is>
      </c>
      <c r="L29" s="7" t="n"/>
      <c r="M29" s="7" t="n"/>
      <c r="N29" s="8" t="inlineStr">
        <is>
          <t>Housing &amp; Shelter</t>
        </is>
      </c>
      <c r="O29" s="8" t="inlineStr">
        <is>
          <t>Individual</t>
        </is>
      </c>
      <c r="P29" s="8" t="inlineStr">
        <is>
          <t>Individual</t>
        </is>
      </c>
      <c r="Q29" s="8" t="inlineStr">
        <is>
          <t>Ministry Of Youth Affairs &amp; Sports</t>
        </is>
      </c>
      <c r="R29" s="8" t="inlineStr">
        <is>
          <t>Department of Youth Affairs</t>
        </is>
      </c>
      <c r="S29" s="8" t="inlineStr">
        <is>
          <t>yhs</t>
        </is>
      </c>
      <c r="T29" s="8" t="inlineStr">
        <is>
          <t>MS-C20</t>
        </is>
      </c>
      <c r="U29" s="8" t="inlineStr">
        <is>
          <t>Central</t>
        </is>
      </c>
      <c r="V29" s="9" t="n">
        <v>40289</v>
      </c>
      <c r="W29" s="8" t="n"/>
      <c r="X29" s="8" t="inlineStr">
        <is>
          <t>Available</t>
        </is>
      </c>
      <c r="Y29" s="8" t="inlineStr">
        <is>
          <t>Present</t>
        </is>
      </c>
      <c r="Z29" s="8" t="inlineStr">
        <is>
          <t>Empty or absent in source</t>
        </is>
      </c>
      <c r="AA29" s="8" t="inlineStr">
        <is>
          <t>Online</t>
        </is>
      </c>
      <c r="AB29" s="8" t="inlineStr">
        <is>
          <t>Present</t>
        </is>
      </c>
      <c r="AC29" s="8" t="inlineStr">
        <is>
          <t>Person age / date of birth
Household relationships / prior benefits
Jurisdiction
Education / enrolment</t>
        </is>
      </c>
      <c r="AD29" s="8" t="inlineStr">
        <is>
          <t>Youth Hostel Scheme</t>
        </is>
      </c>
      <c r="AE29" s="8" t="inlineStr">
        <is>
          <t>f6115a0f5fc7842dc8477ade1b6494699683e506d6d01d23e36fba02c4d67880</t>
        </is>
      </c>
    </row>
    <row r="30" ht="230" customHeight="1">
      <c r="A30" s="4" t="inlineStr">
        <is>
          <t>C21</t>
        </is>
      </c>
      <c r="B30" s="4" t="inlineStr">
        <is>
          <t>AVYAY - National Action Plan for Senior Citizens: Health and Shelter for Senior Citizens</t>
        </is>
      </c>
      <c r="C30" s="4" t="inlineStr">
        <is>
          <t>Central</t>
        </is>
      </c>
      <c r="D30" s="4" t="inlineStr">
        <is>
          <t>India</t>
        </is>
      </c>
      <c r="E30" s="4" t="inlineStr">
        <is>
          <t>Grant-in-Aid (GIA) for Senior Citizen Homes (25 beneficiaries)
Annual recurring expenditure grants are provided based on the classification of the city (X, Y, or Z), ranging from ₹25,04,355/- (X Category) to ₹24,38,355/- (Z Category).
Grant-in-Aid (GIA) for Senior Citizen Homes (50 beneficiaries/50 elderly women only)
Annual recurring expenditure grants range from ₹42,11,228/- (X Category) to ₹41,12,228/- (Z Category).
Grant-in-Aid (GIA) for Continuous Care Homes (minimum 20 beneficiaries)
Annual recurring expenditure grants range from ₹30,77,310/- (X Category) to ₹30,11,310/- (Z…
Full published text: Source passages → Benefits.</t>
        </is>
      </c>
      <c r="F30" s="4" t="inlineStr">
        <is>
          <t>Organizational/Legal Documents
Certified Copy of the Registration Certificate Under Societies Registration Act, 1860 Or Charitable Trust Act Etc.
Non-Governmental Organization Memorandum of Association (MOA).
Valid Registration Certificate for the Project (License From the District Authorities).
Copies of Rules, Aims, And Objectives of the Organization.
List of Management/Managing Committee Members.
Valid Managing Committee Details of the Project.
Copy of Permanent Account Number (PAN) Card of the Organization.
Bond Execution, Rule 231(2) &amp; 3 (Required for Implementing Agencies, Not…
Full published text: Applicant documents.</t>
        </is>
      </c>
      <c r="G30" s="4" t="inlineStr">
        <is>
          <t>Step 1: Survey and Notification
The State/Union Territory Government must first conduct a district-wise survey of existing homes and upload the details of Gap Districts or Districts of having insufficient capacity onto the E-anudaan Portal.
If the State/Union Territory Government records that it is unable to establish the Home on its own, the Central Government publishes an open notification inviting applications with wide publicity.
Step 2: Submission of Proposal
New Proposals: All fresh proposals for project sanction must be submitted online on the E-anudaan portal in the prescribed…
Full published text: Application steps.</t>
        </is>
      </c>
      <c r="H30" s="4" t="inlineStr">
        <is>
          <t>Compared with myScheme on 28 Oct 2026. Text reproduced as published; linked destinations not independently verified.</t>
        </is>
      </c>
      <c r="I30" s="5" t="inlineStr">
        <is>
          <t>Open official page</t>
        </is>
      </c>
      <c r="J30" s="6" t="n">
        <v>46323</v>
      </c>
      <c r="K30" s="7" t="inlineStr">
        <is>
          <t>Approved</t>
        </is>
      </c>
      <c r="L30" s="7" t="n"/>
      <c r="M30" s="7" t="n"/>
      <c r="N30" s="4" t="inlineStr">
        <is>
          <t>Housing &amp; Shelter; Social welfare &amp; Empowerment; Health &amp; Wellness</t>
        </is>
      </c>
      <c r="O30" s="4" t="inlineStr">
        <is>
          <t>Individual</t>
        </is>
      </c>
      <c r="P30" s="4" t="inlineStr">
        <is>
          <t>Individual</t>
        </is>
      </c>
      <c r="Q30" s="4" t="inlineStr">
        <is>
          <t>Ministry Of Social Justice and Empowerment</t>
        </is>
      </c>
      <c r="R30" s="4" t="inlineStr">
        <is>
          <t>Department of Social Justice &amp; Empowerment</t>
        </is>
      </c>
      <c r="S30" s="4" t="inlineStr">
        <is>
          <t>avyay-napsc-hssc</t>
        </is>
      </c>
      <c r="T30" s="4" t="inlineStr">
        <is>
          <t>MS-C21</t>
        </is>
      </c>
      <c r="U30" s="4" t="inlineStr">
        <is>
          <t>Central</t>
        </is>
      </c>
      <c r="V30" s="4" t="n"/>
      <c r="W30" s="4" t="n"/>
      <c r="X30" s="4" t="inlineStr">
        <is>
          <t>Available</t>
        </is>
      </c>
      <c r="Y30" s="4" t="inlineStr">
        <is>
          <t>Present</t>
        </is>
      </c>
      <c r="Z30" s="4" t="inlineStr">
        <is>
          <t>Present</t>
        </is>
      </c>
      <c r="AA30" s="4" t="inlineStr">
        <is>
          <t>Online</t>
        </is>
      </c>
      <c r="AB30" s="4" t="inlineStr">
        <is>
          <t>Present</t>
        </is>
      </c>
      <c r="AC30" s="4" t="inlineStr">
        <is>
          <t>Person age / date of birth
Income amount, period and subject
Gender / applicant category
Project attributes
Registration / membership
Jurisdiction
Institution type / accreditation
Preference, not automatically mandatory
Benefit cap formula
Time period / history
Temporal condition
Component / category-specific branch</t>
        </is>
      </c>
      <c r="AD30" s="4" t="inlineStr">
        <is>
          <t>AVYAY - National Action Plan for Senior Citizens: Health and Shelter for Senior Citizens</t>
        </is>
      </c>
      <c r="AE30" s="4" t="inlineStr">
        <is>
          <t>3ca3545470a2f090b3d93853723088be13448e3724f83a43cc689a6a105ca419</t>
        </is>
      </c>
    </row>
    <row r="31" ht="230" customHeight="1">
      <c r="A31" s="8" t="inlineStr">
        <is>
          <t>C22</t>
        </is>
      </c>
      <c r="B31" s="8" t="inlineStr">
        <is>
          <t>Nyaya Mitra Scheme</t>
        </is>
      </c>
      <c r="C31" s="8" t="inlineStr">
        <is>
          <t>Central</t>
        </is>
      </c>
      <c r="D31" s="8" t="inlineStr">
        <is>
          <t>India</t>
        </is>
      </c>
      <c r="E31" s="8" t="inlineStr">
        <is>
          <t>Expeditious disposal of ten to fifteen-year-old pending cases in High Courts and Subordinate Courts, including matrimonial cases, accident claims, and criminal cases.
Active identification of delayed cases through the National Judicial Data Grid.
Provision of legal advice and connection of litigants to the District Legal Services Authority, Common Service Centers Tele Law, other government agencies, and civil society organisations.
Referral of marginalized applicants to Lok Adalats for prioritized dispute resolution.
Assistance towards prison reforms within the district in coordination with…
Full published text: Source passages → Benefits.</t>
        </is>
      </c>
      <c r="F31" s="8" t="inlineStr">
        <is>
          <t>*The following list of documents has been inferred from the eligibility criteria.
Proof of Retirement as a Judicial Officer or Executive Officer.
Proof of Legal Experience or Legal Background.
Pending Case Details and Case History from the National Judicial Data Grid.
Proof of Socio-Economic Status or Income Certificate.
Valid Identity Proof of the Applicant.</t>
        </is>
      </c>
      <c r="G31" s="8" t="inlineStr">
        <is>
          <t>Step 1: The applicant must visit the designated District Facilitation Centres housed within the Common Service Centers of the selected districts to seek legal assistance. The designated Nyaya Mitra actively identifies pending cases through the National Judicial Data Grid and reaches out to the affected parties to initiate support.
Step 2: The applicant must interact with the Nyaya Mitra to undergo a critical analysis of their pending case and understand the specific bottlenecks causing the judicial delay. The Nyaya Mitra then provides necessary legal advice and explores practical solutions in…
Full published text: Application steps.</t>
        </is>
      </c>
      <c r="H31" s="8" t="inlineStr">
        <is>
          <t>Compared with myScheme on 28 Oct 2026. Text reproduced as published; linked destinations not independently verified. Empty or absent sections: Exclusions. No requirement inferred.</t>
        </is>
      </c>
      <c r="I31" s="5" t="inlineStr">
        <is>
          <t>Open official page</t>
        </is>
      </c>
      <c r="J31" s="9" t="n">
        <v>46323</v>
      </c>
      <c r="K31" s="7" t="inlineStr">
        <is>
          <t>Approved</t>
        </is>
      </c>
      <c r="L31" s="7" t="n"/>
      <c r="M31" s="7" t="n"/>
      <c r="N31" s="8" t="inlineStr">
        <is>
          <t>Public Safety,Law &amp; Justice; Social welfare &amp; Empowerment</t>
        </is>
      </c>
      <c r="O31" s="8" t="inlineStr">
        <is>
          <t>Individual</t>
        </is>
      </c>
      <c r="P31" s="8" t="inlineStr">
        <is>
          <t>Individual</t>
        </is>
      </c>
      <c r="Q31" s="8" t="inlineStr">
        <is>
          <t>Ministry Of Law and Justice</t>
        </is>
      </c>
      <c r="R31" s="8" t="inlineStr"/>
      <c r="S31" s="8" t="inlineStr">
        <is>
          <t>nms</t>
        </is>
      </c>
      <c r="T31" s="8" t="inlineStr">
        <is>
          <t>MS-C22</t>
        </is>
      </c>
      <c r="U31" s="8" t="inlineStr">
        <is>
          <t>Central</t>
        </is>
      </c>
      <c r="V31" s="8" t="n"/>
      <c r="W31" s="8" t="n"/>
      <c r="X31" s="8" t="inlineStr">
        <is>
          <t>Available</t>
        </is>
      </c>
      <c r="Y31" s="8" t="inlineStr">
        <is>
          <t>Present</t>
        </is>
      </c>
      <c r="Z31" s="8" t="inlineStr">
        <is>
          <t>Empty or absent in source</t>
        </is>
      </c>
      <c r="AA31" s="8" t="inlineStr">
        <is>
          <t>Offline</t>
        </is>
      </c>
      <c r="AB31" s="8" t="inlineStr">
        <is>
          <t>Present</t>
        </is>
      </c>
      <c r="AC31" s="8" t="inlineStr">
        <is>
          <t>Person age / date of birth
Income amount, period and subject
Jurisdiction
Time period / history
Temporal condition</t>
        </is>
      </c>
      <c r="AD31" s="8" t="inlineStr">
        <is>
          <t>Nyaya Mitra Scheme</t>
        </is>
      </c>
      <c r="AE31" s="8" t="inlineStr">
        <is>
          <t>610abbf9740185aeaef43b29bc1ddc82deeda51b537edcf0cd8afc59cab6bf03</t>
        </is>
      </c>
    </row>
    <row r="32" ht="230" customHeight="1">
      <c r="A32" s="4" t="inlineStr">
        <is>
          <t>C23</t>
        </is>
      </c>
      <c r="B32" s="4" t="inlineStr">
        <is>
          <t>Nari Adalat</t>
        </is>
      </c>
      <c r="C32" s="4" t="inlineStr">
        <is>
          <t>Central</t>
        </is>
      </c>
      <c r="D32" s="4" t="inlineStr">
        <is>
          <t>India</t>
        </is>
      </c>
      <c r="E32" s="4" t="inlineStr">
        <is>
          <t>1)	Accessible and affordable justice
2)	Conflict resolution
3)	Reconciliation
4)	Awareness Generation</t>
        </is>
      </c>
      <c r="F32" s="4" t="inlineStr">
        <is>
          <t>As required/directed by the authority.</t>
        </is>
      </c>
      <c r="G32" s="4" t="inlineStr">
        <is>
          <t>For the application process, please approach the nearest Nari Adalat with your concern. They will guide you through the necessary steps and provide further assistance.
The Scheme is being run in 50 Gram Panchayats Each in 11 Districts (Nalbari, Darrang, Morigaon, Dhubri, Udalguri, South Salmara, Goalpara, Kamrup, Barpeta, Tamulpur, and Baksa) of Assam and 2 Districts (Kupwara and Baramulla) of Jammu and Kashmir on pilot basis.</t>
        </is>
      </c>
      <c r="H32" s="4" t="inlineStr">
        <is>
          <t>Compared with myScheme on 28 Oct 2026. Text reproduced as published; linked destinations not independently verified. Empty or absent sections: Exclusions. No requirement inferred.</t>
        </is>
      </c>
      <c r="I32" s="5" t="inlineStr">
        <is>
          <t>Open official page</t>
        </is>
      </c>
      <c r="J32" s="6" t="n">
        <v>46323</v>
      </c>
      <c r="K32" s="7" t="inlineStr">
        <is>
          <t>Approved</t>
        </is>
      </c>
      <c r="L32" s="7" t="n"/>
      <c r="M32" s="7" t="n"/>
      <c r="N32" s="4" t="inlineStr">
        <is>
          <t>Public Safety,Law &amp; Justice; Social welfare &amp; Empowerment</t>
        </is>
      </c>
      <c r="O32" s="4" t="inlineStr">
        <is>
          <t>Individual</t>
        </is>
      </c>
      <c r="P32" s="4" t="inlineStr">
        <is>
          <t>Individual; Family; Self Help Groups (SHGS); Village</t>
        </is>
      </c>
      <c r="Q32" s="4" t="inlineStr">
        <is>
          <t>Ministry of Women and Child Development</t>
        </is>
      </c>
      <c r="R32" s="4" t="inlineStr"/>
      <c r="S32" s="4" t="inlineStr">
        <is>
          <t>nari-adalat</t>
        </is>
      </c>
      <c r="T32" s="4" t="inlineStr">
        <is>
          <t>MS-C23</t>
        </is>
      </c>
      <c r="U32" s="4" t="inlineStr">
        <is>
          <t>Central</t>
        </is>
      </c>
      <c r="V32" s="4" t="n"/>
      <c r="W32" s="4" t="n"/>
      <c r="X32" s="4" t="inlineStr">
        <is>
          <t>Available</t>
        </is>
      </c>
      <c r="Y32" s="4" t="inlineStr">
        <is>
          <t>Present</t>
        </is>
      </c>
      <c r="Z32" s="4" t="inlineStr">
        <is>
          <t>Empty or absent in source</t>
        </is>
      </c>
      <c r="AA32" s="4" t="inlineStr">
        <is>
          <t>Offline</t>
        </is>
      </c>
      <c r="AB32" s="4" t="inlineStr">
        <is>
          <t>Present</t>
        </is>
      </c>
      <c r="AC32" s="4" t="inlineStr">
        <is>
          <t>Person age / date of birth
Gender / applicant category
Jurisdiction
Institution type / accreditation
Landholding / ownership
Temporal condition</t>
        </is>
      </c>
      <c r="AD32" s="4" t="inlineStr">
        <is>
          <t>Nari Adalat</t>
        </is>
      </c>
      <c r="AE32" s="4" t="inlineStr">
        <is>
          <t>deb0d84d7f674af581509b95ededf43ee1b01188e7bc1c82d7578ce1c0e2b4ad</t>
        </is>
      </c>
    </row>
    <row r="33" ht="230" customHeight="1">
      <c r="A33" s="8" t="inlineStr">
        <is>
          <t>C24</t>
        </is>
      </c>
      <c r="B33" s="8" t="inlineStr">
        <is>
          <t>National Post Doctoral Fellowship</t>
        </is>
      </c>
      <c r="C33" s="8" t="inlineStr">
        <is>
          <t>Central</t>
        </is>
      </c>
      <c r="D33" s="8" t="inlineStr">
        <is>
          <t>India</t>
        </is>
      </c>
      <c r="E33" s="8" t="inlineStr">
        <is>
          <t>The fellows will be entitled to receive the grants as given below:
Sl. No.
Budget Head
Amount
1
Fellowship
₹55,000/- per month (consolidated) and ₹35,000/- per month for candidates who have submitted the thesis but degree not awarded
2
Research Grant
₹2,00,000/- per annum
3
Overheads
₹1,00,000/- per annum
Note 01: Research grants can be used for minor equipment, consumables, contingencies, and domestic travel. There is no provision for providing research personnel support under this scheme. The Fellow is expected to undertake the research objectives by himself/herself during the entire…
Full published text: Source passages → Benefits.</t>
        </is>
      </c>
      <c r="F33" s="8" t="inlineStr">
        <is>
          <t>Bio-data (under user profile section)
Age Proof Certificate
Qualification Certificate
Category Certificate (in case of Age Relaxation)
Undertaking Certificate by the applicant
Endorsement Certificate from the Mentor &amp; Host Institute
Short CV of the mentor (see online portal for its format)
CV of Mentor
Plagiarism undertaking</t>
        </is>
      </c>
      <c r="G33" s="8" t="inlineStr">
        <is>
          <t>Application Process:
Step 01: The call for applications for SERB-N PDF will be notified through the website www.serbonline.in and https://serb.gov.in/
Step 02: The application form along with a research proposal highlighting the objectives of the research work to be undertaken should be submitted online through the website www.serbonline.in
Step 03: Applicants should first register on the online website, click here to register
Step 04: After login, applicants are required to fill all the mandatory fields in the Profile Detail section under User Profile. which includes Bio-data, Photos,…
Full published text: Application steps.</t>
        </is>
      </c>
      <c r="H33" s="8" t="inlineStr">
        <is>
          <t>Compared with myScheme on 28 Oct 2026. Text reproduced as published; linked destinations not independently verified. Empty or absent sections: Exclusions. No requirement inferred.</t>
        </is>
      </c>
      <c r="I33" s="5" t="inlineStr">
        <is>
          <t>Open official page</t>
        </is>
      </c>
      <c r="J33" s="9" t="n">
        <v>46323</v>
      </c>
      <c r="K33" s="7" t="inlineStr">
        <is>
          <t>Approved</t>
        </is>
      </c>
      <c r="L33" s="7" t="n"/>
      <c r="M33" s="7" t="n"/>
      <c r="N33" s="8" t="inlineStr">
        <is>
          <t>Science, IT &amp; Communications</t>
        </is>
      </c>
      <c r="O33" s="8" t="inlineStr">
        <is>
          <t>Individual</t>
        </is>
      </c>
      <c r="P33" s="8" t="inlineStr">
        <is>
          <t>Individual</t>
        </is>
      </c>
      <c r="Q33" s="8" t="inlineStr">
        <is>
          <t>Ministry Of Science And Technology</t>
        </is>
      </c>
      <c r="R33" s="8" t="inlineStr">
        <is>
          <t>Department Of Science &amp; Technology</t>
        </is>
      </c>
      <c r="S33" s="8" t="inlineStr">
        <is>
          <t>n-pdf</t>
        </is>
      </c>
      <c r="T33" s="8" t="inlineStr">
        <is>
          <t>MS-C24</t>
        </is>
      </c>
      <c r="U33" s="8" t="inlineStr">
        <is>
          <t>Central</t>
        </is>
      </c>
      <c r="V33" s="8" t="n"/>
      <c r="W33" s="8" t="n"/>
      <c r="X33" s="8" t="inlineStr">
        <is>
          <t>Available</t>
        </is>
      </c>
      <c r="Y33" s="8" t="inlineStr">
        <is>
          <t>Present</t>
        </is>
      </c>
      <c r="Z33" s="8" t="inlineStr">
        <is>
          <t>Empty or absent in source</t>
        </is>
      </c>
      <c r="AA33" s="8" t="inlineStr">
        <is>
          <t>Online</t>
        </is>
      </c>
      <c r="AB33" s="8" t="inlineStr">
        <is>
          <t>Present</t>
        </is>
      </c>
      <c r="AC33" s="8" t="inlineStr">
        <is>
          <t>Person age / date of birth
Income amount, period and subject
Social category
Gender / applicant category
Project attributes
Registration / membership
Jurisdiction
Institution type / accreditation
Conditional document
Conditional exception
Time period / history
Negative condition
Temporal condition
Component / category-specific branch</t>
        </is>
      </c>
      <c r="AD33" s="8" t="inlineStr">
        <is>
          <t>National Post Doctoral Fellowship</t>
        </is>
      </c>
      <c r="AE33" s="8" t="inlineStr">
        <is>
          <t>5c066ab4d2733cf451feed8ebe76a5469c906e9b49957c139e940215a4dc55c3</t>
        </is>
      </c>
    </row>
    <row r="34" ht="230" customHeight="1">
      <c r="A34" s="4" t="inlineStr">
        <is>
          <t>C25</t>
        </is>
      </c>
      <c r="B34" s="4" t="inlineStr">
        <is>
          <t>Women’s Instinct for Developing and Ushering in Scientific Heights &amp; Innovation</t>
        </is>
      </c>
      <c r="C34" s="4" t="inlineStr">
        <is>
          <t>Central</t>
        </is>
      </c>
      <c r="D34" s="4" t="inlineStr">
        <is>
          <t>India</t>
        </is>
      </c>
      <c r="E34" s="4" t="inlineStr">
        <is>
          <t>Category A:
1.	The Programme provides fellowship to the Principal Investigator @₹75,000/- per month, One Research Assistant, Research Grant of ₹5.0 Lakh per year and Institutional overhead charges @₹1.00 lakh per annum.
Category B:
1.	The Programme provides fellowship to the Principal Investigator @₹85,000/- per month, One Research Assistant, Research Grant of ₹5.0 Lakh per year and Institutional overhead charges @₹1.00 lakh per annum.
Co-Investigator (Co-I):
'WIDUSHI' fellow should choose a permanent faculty as Co-I (male/female) of the project for academic and administrative support in…
Full published text: Source passages → Benefits.</t>
        </is>
      </c>
      <c r="F34" s="4" t="inlineStr">
        <is>
          <t>Identity proof i.e. Aadhaar Card, PAN Card
SC/ ST/ OBC/PH Certificate (if claiming age relaxation)
Educational certificates
Proof of age
Proof of research experience
List/details of publications
Details of Scholarships, Medals, Fellowships, Awards, Distinctions or Honors received during academic career
Detailed Bio-data of Principal Investigator and Co-Investigator including last 5 year’s publications in cited journals.
Details of the R&amp;D Project
Certification by the Head of the Institute
Certificate from the Investigator
Any other relevant information</t>
        </is>
      </c>
      <c r="G34" s="4" t="inlineStr">
        <is>
          <t>Registration Process:
Step 01: The proposal submission is open throughout the year.
Step 02: The proposal format is available at https://dst.gov.in/, https://onlinedst.gov.in/ and https://online-wosa.gov.in/ under WISE-KIRAN Division.
Step 03: Log on to https://onlinedst.gov.in/ to access the home page of the “DST e-PMS Portal”.
Step 04: Click on “New PI Registration” and fill in the requisite details for New user registration. In the ‘Personal Information’ section, fill- department, Institute, and Institute Address as per the Host Institute identified for the WIDUSHI programme.
Step 05:…
Full published text: Application steps.</t>
        </is>
      </c>
      <c r="H34" s="4" t="inlineStr">
        <is>
          <t>Compared with myScheme on 28 Oct 2026. Text reproduced as published; linked destinations not independently verified. Empty or absent sections: Exclusions. No requirement inferred.</t>
        </is>
      </c>
      <c r="I34" s="5" t="inlineStr">
        <is>
          <t>Open official page</t>
        </is>
      </c>
      <c r="J34" s="6" t="n">
        <v>46323</v>
      </c>
      <c r="K34" s="7" t="inlineStr">
        <is>
          <t>Approved</t>
        </is>
      </c>
      <c r="L34" s="7" t="n"/>
      <c r="M34" s="7" t="n"/>
      <c r="N34" s="4" t="inlineStr">
        <is>
          <t>Women and Child; Science, IT &amp; Communications</t>
        </is>
      </c>
      <c r="O34" s="4" t="inlineStr">
        <is>
          <t>Individual</t>
        </is>
      </c>
      <c r="P34" s="4" t="inlineStr">
        <is>
          <t>Individual</t>
        </is>
      </c>
      <c r="Q34" s="4" t="inlineStr">
        <is>
          <t>Ministry Of Science And Technology</t>
        </is>
      </c>
      <c r="R34" s="4" t="inlineStr">
        <is>
          <t>Department Of Science &amp; Technology</t>
        </is>
      </c>
      <c r="S34" s="4" t="inlineStr">
        <is>
          <t>widushi</t>
        </is>
      </c>
      <c r="T34" s="4" t="inlineStr">
        <is>
          <t>MS-C25</t>
        </is>
      </c>
      <c r="U34" s="4" t="inlineStr">
        <is>
          <t>Central</t>
        </is>
      </c>
      <c r="V34" s="4" t="n"/>
      <c r="W34" s="4" t="n"/>
      <c r="X34" s="4" t="inlineStr">
        <is>
          <t>Available</t>
        </is>
      </c>
      <c r="Y34" s="4" t="inlineStr">
        <is>
          <t>Present</t>
        </is>
      </c>
      <c r="Z34" s="4" t="inlineStr">
        <is>
          <t>Empty or absent in source</t>
        </is>
      </c>
      <c r="AA34" s="4" t="inlineStr">
        <is>
          <t>Online</t>
        </is>
      </c>
      <c r="AB34" s="4" t="inlineStr">
        <is>
          <t>Present</t>
        </is>
      </c>
      <c r="AC34" s="4" t="inlineStr">
        <is>
          <t>Person age / date of birth
Gender / applicant category
Project attributes
Registration / membership
Institution type / accreditation
Employment / employer
Conditional exception
Time period / history
Negative condition
Temporal condition
Component / category-specific branch</t>
        </is>
      </c>
      <c r="AD34" s="4" t="inlineStr">
        <is>
          <t>Women’s Instinct for Developing and Ushering in Scientific Heights &amp; Innovation</t>
        </is>
      </c>
      <c r="AE34" s="4" t="inlineStr">
        <is>
          <t>281bc0083982ac6b56b6ecaa09829409f43b1317460f698566fdc355264b0f4a</t>
        </is>
      </c>
    </row>
    <row r="35" ht="230" customHeight="1">
      <c r="A35" s="8" t="inlineStr">
        <is>
          <t>C26</t>
        </is>
      </c>
      <c r="B35" s="8" t="inlineStr">
        <is>
          <t>Teachers Associateship for Research Excellence</t>
        </is>
      </c>
      <c r="C35" s="8" t="inlineStr">
        <is>
          <t>Central</t>
        </is>
      </c>
      <c r="D35" s="8" t="inlineStr">
        <is>
          <t>India</t>
        </is>
      </c>
      <c r="E35" s="8" t="inlineStr">
        <is>
          <t>Research fellowship of ₹60,000/- per year (in addition to the researcher’s own salary) will be provided subject to completion of a minimum of 90 days of research work per year in the host institution.
Research grant of ₹5 lakhs per annum (50% each to host and parent institution) and overheads (as per SERB norms) will be provided.</t>
        </is>
      </c>
      <c r="F35" s="8" t="inlineStr">
        <is>
          <t>1.	Passport size photograph
2.	Biodata of the applicant (under the user profile section)
3.	Other technical details of the proposal
4.	Certificate from the Investigator
5.	Endorsement certificate from the Head of Parent Institution
6.	Endorsement Letter from the Head of the host Institution
7.	CV of the Mentor
8.	Category certificate
9.	Age proof certificate
10.	Joining report
11.	Mandatory 90 days attendance certificate by the end of the financial year
12.	Plagiarism undertaking</t>
        </is>
      </c>
      <c r="G35" s="8" t="inlineStr">
        <is>
          <t>Step 01: The call for proposals will be notified through the website www.serbonline.in and www.serb.gov.in
Step 02: Applicant(s) should first register on the online website.  Click here to register
Step 03: After login, the applicant(s) are required to fill all the mandatory fields in the Profile Detail section under User Profile, which includes Bio-data, Photo, and Institute Address, etc.
Step 04: Summary of the project proposal; Project Title (max 500 characters), Abstract of the proposed work (max 3000 characters), Keywords (max 6), Objectives of the project (max 1500 characters), Expected…
Full published text: Application steps.</t>
        </is>
      </c>
      <c r="H35" s="8" t="inlineStr">
        <is>
          <t>Compared with myScheme on 28 Oct 2026. Text reproduced as published; linked destinations not independently verified. Empty or absent sections: Exclusions. No requirement inferred.</t>
        </is>
      </c>
      <c r="I35" s="5" t="inlineStr">
        <is>
          <t>Open official page</t>
        </is>
      </c>
      <c r="J35" s="9" t="n">
        <v>46323</v>
      </c>
      <c r="K35" s="7" t="inlineStr">
        <is>
          <t>Approved</t>
        </is>
      </c>
      <c r="L35" s="7" t="n"/>
      <c r="M35" s="7" t="n"/>
      <c r="N35" s="8" t="inlineStr">
        <is>
          <t>Science, IT &amp; Communications</t>
        </is>
      </c>
      <c r="O35" s="8" t="inlineStr">
        <is>
          <t>Individual</t>
        </is>
      </c>
      <c r="P35" s="8" t="inlineStr">
        <is>
          <t>Individual</t>
        </is>
      </c>
      <c r="Q35" s="8" t="inlineStr">
        <is>
          <t>Ministry Of Science And Technology</t>
        </is>
      </c>
      <c r="R35" s="8" t="inlineStr">
        <is>
          <t>Department Of Science &amp; Technology</t>
        </is>
      </c>
      <c r="S35" s="8" t="inlineStr">
        <is>
          <t>tare</t>
        </is>
      </c>
      <c r="T35" s="8" t="inlineStr">
        <is>
          <t>MS-C26</t>
        </is>
      </c>
      <c r="U35" s="8" t="inlineStr">
        <is>
          <t>Central</t>
        </is>
      </c>
      <c r="V35" s="8" t="n"/>
      <c r="W35" s="8" t="n"/>
      <c r="X35" s="8" t="inlineStr">
        <is>
          <t>Available</t>
        </is>
      </c>
      <c r="Y35" s="8" t="inlineStr">
        <is>
          <t>Present</t>
        </is>
      </c>
      <c r="Z35" s="8" t="inlineStr">
        <is>
          <t>Empty or absent in source</t>
        </is>
      </c>
      <c r="AA35" s="8" t="inlineStr">
        <is>
          <t>Online</t>
        </is>
      </c>
      <c r="AB35" s="8" t="inlineStr">
        <is>
          <t>Present</t>
        </is>
      </c>
      <c r="AC35" s="8" t="inlineStr">
        <is>
          <t>Person age / date of birth
Social category
Gender / applicant category
Project attributes
Jurisdiction
Institution type / accreditation
Preference, not automatically mandatory
Conditional exception
Time period / history
Negative condition
Temporal condition
Component / category-specific branch</t>
        </is>
      </c>
      <c r="AD35" s="8" t="inlineStr">
        <is>
          <t>Teachers Associateship for Research Excellence</t>
        </is>
      </c>
      <c r="AE35" s="8" t="inlineStr">
        <is>
          <t>db2b865922fd017c4146c7146981acef0a89450c354d5d65dada20f9d8625d67</t>
        </is>
      </c>
    </row>
    <row r="36" ht="230" customHeight="1">
      <c r="A36" s="4" t="inlineStr">
        <is>
          <t>C27</t>
        </is>
      </c>
      <c r="B36" s="4" t="inlineStr">
        <is>
          <t>Pradhan Mantri Virasat ka Samvardhan</t>
        </is>
      </c>
      <c r="C36" s="4" t="inlineStr">
        <is>
          <t>Central</t>
        </is>
      </c>
      <c r="D36" s="4" t="inlineStr">
        <is>
          <t>India</t>
        </is>
      </c>
      <c r="E36" s="4" t="inlineStr">
        <is>
          <t>1)	Skill training (both traditional and modern)
2)	Education support (8th std, 10th std. and 12th std.)
3)	Leadership and entrepreneurship support for women
4)	Stipend support to trainees</t>
        </is>
      </c>
      <c r="F36" s="4" t="inlineStr">
        <is>
          <t>1)	Aadhaar card and aadhar linked bank account.
2)	EWS Certificate for non-minority candidates.
3)     Educational Qualification in line with the training programme being applied for.</t>
        </is>
      </c>
      <c r="G36" s="4" t="inlineStr">
        <is>
          <t>Step 01: Register/Login
Visit the SIDH Portal (https://www.skillindiadigital.gov.in/), register as a Learner/Participant (Candidate) or log in if already registered, and complete e-KYC using your personal details.
Step 02:Profile Setup
Create your account password/PIN, verify your mobile number via OTP, and ensure all profile details (name, date of birth, and contact information) are accurate and updated.
Step 03:Explore Schemes &amp; Courses
Access your dashboard and search for PM VIKAS and job roles. Use filters such as scheme, mode, and sector to find suitable courses or batches.
Step 04:Show…
Full published text: Application steps.</t>
        </is>
      </c>
      <c r="H36" s="4" t="inlineStr">
        <is>
          <t>Compared with myScheme on 28 Oct 2026. Text reproduced as published; linked destinations not independently verified. Empty or absent sections: Exclusions. No requirement inferred.</t>
        </is>
      </c>
      <c r="I36" s="5" t="inlineStr">
        <is>
          <t>Open official page</t>
        </is>
      </c>
      <c r="J36" s="6" t="n">
        <v>46323</v>
      </c>
      <c r="K36" s="7" t="inlineStr">
        <is>
          <t>Approved</t>
        </is>
      </c>
      <c r="L36" s="7" t="n"/>
      <c r="M36" s="7" t="n"/>
      <c r="N36" s="4" t="inlineStr">
        <is>
          <t>Skills &amp; Employment; Social welfare &amp; Empowerment; Education &amp; Learning; Business &amp; Entrepreneurship</t>
        </is>
      </c>
      <c r="O36" s="4" t="inlineStr">
        <is>
          <t>Individual</t>
        </is>
      </c>
      <c r="P36" s="4" t="inlineStr">
        <is>
          <t>Individual; Artists</t>
        </is>
      </c>
      <c r="Q36" s="4" t="inlineStr">
        <is>
          <t>Ministry Of Minority Affairs</t>
        </is>
      </c>
      <c r="R36" s="4" t="inlineStr"/>
      <c r="S36" s="4" t="inlineStr">
        <is>
          <t>pm-vikas</t>
        </is>
      </c>
      <c r="T36" s="4" t="inlineStr">
        <is>
          <t>MS-C27</t>
        </is>
      </c>
      <c r="U36" s="4" t="inlineStr">
        <is>
          <t>Central</t>
        </is>
      </c>
      <c r="V36" s="4" t="n"/>
      <c r="W36" s="4" t="n"/>
      <c r="X36" s="4" t="inlineStr">
        <is>
          <t>Available</t>
        </is>
      </c>
      <c r="Y36" s="4" t="inlineStr">
        <is>
          <t>Present</t>
        </is>
      </c>
      <c r="Z36" s="4" t="inlineStr">
        <is>
          <t>Empty or absent in source</t>
        </is>
      </c>
      <c r="AA36" s="4" t="inlineStr">
        <is>
          <t>Online</t>
        </is>
      </c>
      <c r="AB36" s="4" t="inlineStr">
        <is>
          <t>Present</t>
        </is>
      </c>
      <c r="AC36" s="4" t="inlineStr">
        <is>
          <t>Person age / date of birth
Income amount, period and subject
Disability and certification
Gender / applicant category
Registration / membership
Employment / employer
Time period / history
Temporal condition
Component / category-specific branch</t>
        </is>
      </c>
      <c r="AD36" s="4" t="inlineStr">
        <is>
          <t>Pradhan Mantri Virasat ka Samvardhan</t>
        </is>
      </c>
      <c r="AE36" s="4" t="inlineStr">
        <is>
          <t>7c3ca7ef75ac697068fcb6050e0f22ba8c381d835ad69d1ed0d2b7f50841b25e</t>
        </is>
      </c>
    </row>
    <row r="37" ht="230" customHeight="1">
      <c r="A37" s="8" t="inlineStr">
        <is>
          <t>C28</t>
        </is>
      </c>
      <c r="B37" s="8" t="inlineStr">
        <is>
          <t>Agnipath Yojana</t>
        </is>
      </c>
      <c r="C37" s="8" t="inlineStr">
        <is>
          <t>Central</t>
        </is>
      </c>
      <c r="D37" s="8" t="inlineStr">
        <is>
          <t>India</t>
        </is>
      </c>
      <c r="E37" s="8" t="inlineStr">
        <is>
          <t>Agniveers will be given an attractive customized monthly package along with Risk and Hardship allowances as applicable in the three services. On completion of the engagement period of four years, Agniveers will be paid a one-time ‘SevaNidhi’ package which shall comprise their contribution including accrued interest thereon and a matching contribution from the Government equal to the accumulated amount of their contribution including interest as indicated below:
Year
Customized Package (Monthly) 
[All figures in ₹ (Monthly Contribution)]
In-Hand (70%)
 [All figures in ₹ (Monthly…
Full published text: Source passages → Benefits.</t>
        </is>
      </c>
      <c r="F37" s="8" t="inlineStr">
        <is>
          <t>Proof of Identity i.e. Aadhaar Card
Proof of Address
Proof of Highest Educational Qualifications
Proof of Medical Category
Passport-size photograph
Domicile Certificate
The applicants will have to submit a written pledge that they were not involved in the violent protests against the Agnipath scheme.
Note: The list of documents required is tentative, the ministry shall release the complete list of the required documents in the public domain in the future.</t>
        </is>
      </c>
      <c r="G37" s="8" t="inlineStr">
        <is>
          <t>Enrolment will be undertaken through an online centralized system for all three services with specialized rallies and campus interviews from recognized technical institutes such as Industrial Training Institutes and National Skills Qualifications Framework, among others.
Enrolment will be based on an ‘All India All Class’ basis.
The candidates will be recruited as per the existing pattern of selection into the Armed Forces.
Indian Army: Official Website
Indian Navy: Official Website
Indian Air Force: Official Website</t>
        </is>
      </c>
      <c r="H37" s="8" t="inlineStr">
        <is>
          <t>Compared with myScheme on 28 Oct 2026. Text reproduced as published; linked destinations not independently verified.</t>
        </is>
      </c>
      <c r="I37" s="5" t="inlineStr">
        <is>
          <t>Open official page</t>
        </is>
      </c>
      <c r="J37" s="9" t="n">
        <v>46323</v>
      </c>
      <c r="K37" s="7" t="inlineStr">
        <is>
          <t>Approved</t>
        </is>
      </c>
      <c r="L37" s="7" t="n"/>
      <c r="M37" s="7" t="n"/>
      <c r="N37" s="8" t="inlineStr">
        <is>
          <t>Skills &amp; Employment</t>
        </is>
      </c>
      <c r="O37" s="8" t="inlineStr">
        <is>
          <t>Individual</t>
        </is>
      </c>
      <c r="P37" s="8" t="inlineStr">
        <is>
          <t>Individual</t>
        </is>
      </c>
      <c r="Q37" s="8" t="inlineStr">
        <is>
          <t>Ministry Of Defence</t>
        </is>
      </c>
      <c r="R37" s="8" t="inlineStr"/>
      <c r="S37" s="8" t="inlineStr">
        <is>
          <t>ay</t>
        </is>
      </c>
      <c r="T37" s="8" t="inlineStr">
        <is>
          <t>MS-C28</t>
        </is>
      </c>
      <c r="U37" s="8" t="inlineStr">
        <is>
          <t>Central</t>
        </is>
      </c>
      <c r="V37" s="9" t="n">
        <v>44726</v>
      </c>
      <c r="W37" s="8" t="n"/>
      <c r="X37" s="8" t="inlineStr">
        <is>
          <t>Available</t>
        </is>
      </c>
      <c r="Y37" s="8" t="inlineStr">
        <is>
          <t>Present</t>
        </is>
      </c>
      <c r="Z37" s="8" t="inlineStr">
        <is>
          <t>Present</t>
        </is>
      </c>
      <c r="AA37" s="8" t="inlineStr">
        <is>
          <t>Online</t>
        </is>
      </c>
      <c r="AB37" s="8" t="inlineStr">
        <is>
          <t>Present</t>
        </is>
      </c>
      <c r="AC37" s="8" t="inlineStr">
        <is>
          <t>Person age / date of birth
Income amount, period and subject
Employment / employer
Time period / history
Temporal condition
Component / category-specific branch</t>
        </is>
      </c>
      <c r="AD37" s="8" t="inlineStr">
        <is>
          <t>Agnipath Yojana</t>
        </is>
      </c>
      <c r="AE37" s="8" t="inlineStr">
        <is>
          <t>f53d5aa40cf0b9439a70f6bb6e782828b5687cf51a84010b552a3ad45d9d135b</t>
        </is>
      </c>
    </row>
    <row r="38" ht="230" customHeight="1">
      <c r="A38" s="4" t="inlineStr">
        <is>
          <t>C29</t>
        </is>
      </c>
      <c r="B38" s="4" t="inlineStr">
        <is>
          <t>Indira Gandhi National Disability Pension Scheme</t>
        </is>
      </c>
      <c r="C38" s="4" t="inlineStr">
        <is>
          <t>Central</t>
        </is>
      </c>
      <c r="D38" s="4" t="inlineStr">
        <is>
          <t>India</t>
        </is>
      </c>
      <c r="E38" s="4" t="inlineStr">
        <is>
          <t>A pension of Rs.300/- per month is provided to Divyangjan between 18-79 years.
A pension of Rs.500/- per month will be provided to Divyangjan aged 80 years and above.</t>
        </is>
      </c>
      <c r="F38" s="4" t="inlineStr">
        <is>
          <t>BPL Card
Aadhaar card
Age Proof - For age, the birth certificate or school certificate may be relied on. In their absence ration card and EPIC may be considered. If there is no valid document, any Medical Officer of any government hospital may be authorized to issue the age certificate.
Disability certificate:- Disability certificate (80% and More) issued from Chief Medical Officer, Community Health Centre or Primary Health Centre will be accepted.
Passport Size Photographs.</t>
        </is>
      </c>
      <c r="G38" s="4" t="inlineStr">
        <is>
          <t>One can download UMANG App or visit website https://web.umang.gov.in/web_new/home
The citizen can login using mobile number and OTP.
Once logged In, citizen can search for NSAP.
Click on “Apply Online”
Fill the basic details, choose the mode of payment of pension, upload photo and click on “Submit”.
Individuals can submit completely filled applications to the Gram Panchayat / Block Office in the rural area and the Municipality / Municipal Council in the urban area, as per eligibility.
A Verification Officer or Verification Team under an authorized officer verifies the applications with…
Full published text: Application steps.</t>
        </is>
      </c>
      <c r="H38" s="4" t="inlineStr">
        <is>
          <t>Compared with myScheme on 28 Oct 2026. Text reproduced as published; linked destinations not independently verified. Empty or absent sections: Exclusions. No requirement inferred.</t>
        </is>
      </c>
      <c r="I38" s="5" t="inlineStr">
        <is>
          <t>Open official page</t>
        </is>
      </c>
      <c r="J38" s="6" t="n">
        <v>46323</v>
      </c>
      <c r="K38" s="7" t="inlineStr">
        <is>
          <t>Approved</t>
        </is>
      </c>
      <c r="L38" s="7" t="n"/>
      <c r="M38" s="7" t="n"/>
      <c r="N38" s="4" t="inlineStr">
        <is>
          <t>Banking,Financial Services and Insurance; Social welfare &amp; Empowerment</t>
        </is>
      </c>
      <c r="O38" s="4" t="inlineStr">
        <is>
          <t>Individual</t>
        </is>
      </c>
      <c r="P38" s="4" t="inlineStr">
        <is>
          <t>Individual</t>
        </is>
      </c>
      <c r="Q38" s="4" t="inlineStr">
        <is>
          <t>Ministry Of Rural Development</t>
        </is>
      </c>
      <c r="R38" s="4" t="inlineStr"/>
      <c r="S38" s="4" t="inlineStr">
        <is>
          <t>igndps</t>
        </is>
      </c>
      <c r="T38" s="4" t="inlineStr">
        <is>
          <t>MS-C29</t>
        </is>
      </c>
      <c r="U38" s="4" t="inlineStr">
        <is>
          <t>Central</t>
        </is>
      </c>
      <c r="V38" s="6" t="n">
        <v>39934</v>
      </c>
      <c r="W38" s="4" t="n"/>
      <c r="X38" s="4" t="inlineStr">
        <is>
          <t>Available</t>
        </is>
      </c>
      <c r="Y38" s="4" t="inlineStr">
        <is>
          <t>Present</t>
        </is>
      </c>
      <c r="Z38" s="4" t="inlineStr">
        <is>
          <t>Empty or absent in source</t>
        </is>
      </c>
      <c r="AA38" s="4" t="inlineStr">
        <is>
          <t>Online; Offline</t>
        </is>
      </c>
      <c r="AB38" s="4" t="inlineStr">
        <is>
          <t>Present</t>
        </is>
      </c>
      <c r="AC38" s="4" t="inlineStr">
        <is>
          <t>Person age / date of birth
Disability and certification
Jurisdiction
Time period / history
Temporal condition</t>
        </is>
      </c>
      <c r="AD38" s="4" t="inlineStr">
        <is>
          <t>Indira Gandhi National Disability Pension Scheme</t>
        </is>
      </c>
      <c r="AE38" s="4" t="inlineStr">
        <is>
          <t>2bdc71e16d85e7fed3dc1decdb90df879a3b5e5973f9e93b451b35eed67f3c0f</t>
        </is>
      </c>
    </row>
    <row r="39" ht="230" customHeight="1">
      <c r="A39" s="8" t="inlineStr">
        <is>
          <t>C30</t>
        </is>
      </c>
      <c r="B39" s="8" t="inlineStr">
        <is>
          <t>Persons With Disabilities Scheme In Colleges: Higher Education For Persons With Special Needs</t>
        </is>
      </c>
      <c r="C39" s="8" t="inlineStr">
        <is>
          <t>Central</t>
        </is>
      </c>
      <c r="D39" s="8" t="inlineStr">
        <is>
          <t>India</t>
        </is>
      </c>
      <c r="E39" s="8" t="inlineStr">
        <is>
          <t>Provision of Facilities and Financial assistance
The HEPSN scheme has three components. They are enumerated as follows:
Component 1: Establishment of Enabling Units for differently-abled Persons 
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
1. Facilitate admission of differently-abled persons in various courses;
2. Provide guidance and counseling to…
Full published text: Source passages → Benefits.</t>
        </is>
      </c>
      <c r="F39" s="8" t="inlineStr">
        <is>
          <t>Aadhaar Card.
2-Passport Sized Photograph (Signed Across).
Residential Certificate.
Disability Certificate.
Details of the Bank Account (Bank Name, Branch Name, Address, IFSC, etc).
Proof of the Latest Educational Qualification (Passing Certificate or Marksheet)
Bonafide Certificate from the School/College
Any other document required by the College or the District Social Welfare Office.</t>
        </is>
      </c>
      <c r="G39" s="8" t="inlineStr">
        <is>
          <t>Application for specific projects should be sent in the prescribed Proforma For financial assistance under the scheme to assist for college to facilitate higher Education for Person (HEPSN) Scheme on Page number 6 along with the College Development proposal.
Procedure for release of grant
Component 1. 
Honorarium to the coordinator and other budgetary provisions @ Rs.50,000/- per year will be released for the 1st year after approval of the proposal. Subsequent grants will be released on the basis of an audited utilization certificate and statement of expenditure. 
Component 2.
 The grant will…
Full published text: Application steps.</t>
        </is>
      </c>
      <c r="H39" s="8" t="inlineStr">
        <is>
          <t>Compared with myScheme on 28 Oct 2026. Text reproduced as published; linked destinations not independently verified. Empty or absent sections: Exclusions. No requirement inferred.</t>
        </is>
      </c>
      <c r="I39" s="5" t="inlineStr">
        <is>
          <t>Open official page</t>
        </is>
      </c>
      <c r="J39" s="9" t="n">
        <v>46323</v>
      </c>
      <c r="K39" s="7" t="inlineStr">
        <is>
          <t>Approved</t>
        </is>
      </c>
      <c r="L39" s="7" t="n"/>
      <c r="M39" s="7" t="n"/>
      <c r="N39" s="8" t="inlineStr">
        <is>
          <t>Education &amp; Learning; Social welfare &amp; Empowerment</t>
        </is>
      </c>
      <c r="O39" s="8" t="inlineStr">
        <is>
          <t>Individual</t>
        </is>
      </c>
      <c r="P39" s="8" t="inlineStr">
        <is>
          <t>Individual</t>
        </is>
      </c>
      <c r="Q39" s="8" t="inlineStr">
        <is>
          <t>Ministry Of Social Justice and Empowerment</t>
        </is>
      </c>
      <c r="R39" s="8" t="inlineStr">
        <is>
          <t>Department of Social Justice &amp; Empowerment</t>
        </is>
      </c>
      <c r="S39" s="8" t="inlineStr">
        <is>
          <t>hepsn</t>
        </is>
      </c>
      <c r="T39" s="8" t="inlineStr">
        <is>
          <t>MS-C30</t>
        </is>
      </c>
      <c r="U39" s="8" t="inlineStr">
        <is>
          <t>Central</t>
        </is>
      </c>
      <c r="V39" s="8" t="n"/>
      <c r="W39" s="8" t="n"/>
      <c r="X39" s="8" t="inlineStr">
        <is>
          <t>Available</t>
        </is>
      </c>
      <c r="Y39" s="8" t="inlineStr">
        <is>
          <t>Present</t>
        </is>
      </c>
      <c r="Z39" s="8" t="inlineStr">
        <is>
          <t>Empty or absent in source</t>
        </is>
      </c>
      <c r="AA39" s="8" t="inlineStr">
        <is>
          <t>Offline</t>
        </is>
      </c>
      <c r="AB39" s="8" t="inlineStr">
        <is>
          <t>Present</t>
        </is>
      </c>
      <c r="AC39" s="8" t="inlineStr">
        <is>
          <t>Person age / date of birth
Disability and certification
Project attributes
Jurisdiction
Institution type / accreditation
Education / enrolment
Employment / employer
Temporal condition</t>
        </is>
      </c>
      <c r="AD39" s="8" t="inlineStr">
        <is>
          <t>Persons With Disabilities Scheme In Colleges: Higher Education For Persons With Special Needs</t>
        </is>
      </c>
      <c r="AE39" s="8" t="inlineStr">
        <is>
          <t>a5d3e6b4141c06b51efbf8246b93b092c56566082676780c1cd9778641024b08</t>
        </is>
      </c>
    </row>
    <row r="40" ht="230" customHeight="1">
      <c r="A40" s="4" t="inlineStr">
        <is>
          <t>C31</t>
        </is>
      </c>
      <c r="B40" s="4" t="inlineStr">
        <is>
          <t>Scheme For Financial Assistance For Veteran Artists</t>
        </is>
      </c>
      <c r="C40" s="4" t="inlineStr">
        <is>
          <t>Central</t>
        </is>
      </c>
      <c r="D40" s="4" t="inlineStr">
        <is>
          <t>India</t>
        </is>
      </c>
      <c r="E40" s="4" t="inlineStr">
        <is>
          <t>Under the scheme, a total allowance of ₹6000/- per month will be given to an eligible beneficiary.
In case of the death of a beneficiary getting an artist pension, the financial assistance may be transferred, at the discretion of the Central Government, in the name of the spouse of the beneficiary till life.
Note 01: The monthly allowance contributed by the State Government/UT Administration concerned shall be at least ₹500/- per month per beneficiary.
Note 02: The monthly allowance contributed by the Central Government shall not exceed ₹5500/- per month per beneficiary.
Note 03: Out of…
Full published text: Source passages → Benefits.</t>
        </is>
      </c>
      <c r="F40" s="4" t="inlineStr">
        <is>
          <t>A recent (not older than six months) clear &amp; colored passport-size photograph of the applicant to be affixed on the specified place in the application form;
Self-attested copy of any one document from the following listed documents for address proof:- Aadhaar Card issued by Unique Identification Authority of India(UIDAI); Elector’s photo identity card; Passport; Driving License; Electricity Bill; Landline telephone or broadband connection bill; Water Bill; Consumer gas connection card or book or piped gas bill; Bank account statement, Domicile certificate issued by the Government; Passport of…
Full published text: Applicant documents.</t>
        </is>
      </c>
      <c r="G40" s="4" t="inlineStr">
        <is>
          <t>Application Procedure:
The application may be made online through using the Registration/login Page of "Culture Scheme Monitoring System (CSMS)" on the website of the Ministry of Culture under the heading of "MOC Schemes Application".
Selection of Applicants for Award of Artists Pension:
Step 01: The applications of eligible artists found to be complete in all respects will be placed before Expert Committee constituted by the Ministry of Culture under the Scheme after getting physical inspection/verification of the applicants done by officer(s) of the Ministry of Culture or one of the…
Full published text: Application steps.</t>
        </is>
      </c>
      <c r="H40" s="4" t="inlineStr">
        <is>
          <t>Compared with myScheme on 28 Oct 2026. Text reproduced as published; linked destinations not independently verified. Empty or absent sections: Exclusions. No requirement inferred.</t>
        </is>
      </c>
      <c r="I40" s="5" t="inlineStr">
        <is>
          <t>Open official page</t>
        </is>
      </c>
      <c r="J40" s="6" t="n">
        <v>46323</v>
      </c>
      <c r="K40" s="7" t="inlineStr">
        <is>
          <t>Approved</t>
        </is>
      </c>
      <c r="L40" s="7" t="n"/>
      <c r="M40" s="7" t="n"/>
      <c r="N40" s="4" t="inlineStr">
        <is>
          <t>Sports &amp; Culture; Social welfare &amp; Empowerment</t>
        </is>
      </c>
      <c r="O40" s="4" t="inlineStr">
        <is>
          <t>Individual</t>
        </is>
      </c>
      <c r="P40" s="4" t="inlineStr">
        <is>
          <t>Individual</t>
        </is>
      </c>
      <c r="Q40" s="4" t="inlineStr">
        <is>
          <t>Ministry Of Culture</t>
        </is>
      </c>
      <c r="R40" s="4" t="inlineStr"/>
      <c r="S40" s="4" t="inlineStr">
        <is>
          <t>sfava</t>
        </is>
      </c>
      <c r="T40" s="4" t="inlineStr">
        <is>
          <t>MS-C31</t>
        </is>
      </c>
      <c r="U40" s="4" t="inlineStr">
        <is>
          <t>Central</t>
        </is>
      </c>
      <c r="V40" s="4" t="n"/>
      <c r="W40" s="4" t="n"/>
      <c r="X40" s="4" t="inlineStr">
        <is>
          <t>Available</t>
        </is>
      </c>
      <c r="Y40" s="4" t="inlineStr">
        <is>
          <t>Present</t>
        </is>
      </c>
      <c r="Z40" s="4" t="inlineStr">
        <is>
          <t>Empty or absent in source</t>
        </is>
      </c>
      <c r="AA40" s="4" t="inlineStr">
        <is>
          <t>Online; Offline</t>
        </is>
      </c>
      <c r="AB40" s="4" t="inlineStr">
        <is>
          <t>Present</t>
        </is>
      </c>
      <c r="AC40" s="4" t="inlineStr">
        <is>
          <t>Person age / date of birth
Income amount, period and subject
Registration / membership
Jurisdiction
Landholding / ownership
Time period / history
Negative condition
Temporal condition</t>
        </is>
      </c>
      <c r="AD40" s="4" t="inlineStr">
        <is>
          <t>Scheme For Financial Assistance For Veteran Artists</t>
        </is>
      </c>
      <c r="AE40" s="4" t="inlineStr">
        <is>
          <t>f9d1bef9733967a25f442eba72b45c4b334e3e5c5a2f1dfda9508e3a7c048f88</t>
        </is>
      </c>
    </row>
    <row r="41" ht="230" customHeight="1">
      <c r="A41" s="8" t="inlineStr">
        <is>
          <t>C32</t>
        </is>
      </c>
      <c r="B41" s="8" t="inlineStr">
        <is>
          <t>Free Education For Sports Medal Winners / Participants Of National/ International Events</t>
        </is>
      </c>
      <c r="C41" s="8" t="inlineStr">
        <is>
          <t>Central</t>
        </is>
      </c>
      <c r="D41" s="8" t="inlineStr">
        <is>
          <t>India</t>
        </is>
      </c>
      <c r="E41" s="8" t="inlineStr">
        <is>
          <t>Medals at Olympics, World Championship (more than 20 countries)
Tuition Fee and Other Funds: Bachelor's degree: Actual; PG: Actual; Diploma: Actual; PG Degree: Actual; M. Phil: ₹ 7500/- per month + Actual; Ph.D.: As per with JRF scale (UGC); MBA or
other professional courses (*): ₹ 7500/- per month + Actual.
Hostel Facilities (Boarding and Lodging): Actual
Allowances for special courses abroad: As per Govt of India’s norms
Kit: ₹ 15000 per annum
Participations at Olympics, World Championship (more than 20 countries); Medal at Common Wealth, Asian, Afro-Asian Games
Tuition Fee and Other Funds:…
Full published text: Source passages → Benefits.</t>
        </is>
      </c>
      <c r="F41" s="8" t="inlineStr">
        <is>
          <t>To Be Submitted by the Candidate through University/College -
1. The candidate is required to submit an application in the prescribed format for availing of the scholarship.
2. A Certificate of the participation/medal winner as per the eligibility mentioned above as proof (Attested By Registrar/Principal).
To Be Submitted by the concerned University/College/Institution to the UGC -
Every year University/Institution will submit a complete statement of the following:
1. Statement giving the names of the students selected for the scholarship along with their receipt of the scholarship amount.
2.…
Full published text: Applicant documents.</t>
        </is>
      </c>
      <c r="G41" s="8" t="inlineStr">
        <is>
          <t>Step 1: Download the prescribed application form (Refer Page No. 5 ).
Step 2: Fill in the application form with accurate details.
Step 3: Attach a certificate of participation or medal-winning as proof of eligibility, attested by the Registrar or Principal of your institution.
Step 4: Verify the form and attached documents for completeness and accuracy.
Step 5: Submit the completed application form and required documents to the designated authority.</t>
        </is>
      </c>
      <c r="H41" s="8" t="inlineStr">
        <is>
          <t>Compared with myScheme on 28 Oct 2026. Text reproduced as published; linked destinations not independently verified.</t>
        </is>
      </c>
      <c r="I41" s="5" t="inlineStr">
        <is>
          <t>Open official page</t>
        </is>
      </c>
      <c r="J41" s="9" t="n">
        <v>46323</v>
      </c>
      <c r="K41" s="7" t="inlineStr">
        <is>
          <t>Approved</t>
        </is>
      </c>
      <c r="L41" s="7" t="n"/>
      <c r="M41" s="7" t="n"/>
      <c r="N41" s="8" t="inlineStr">
        <is>
          <t>Education &amp; Learning; Sports &amp; Culture</t>
        </is>
      </c>
      <c r="O41" s="8" t="inlineStr">
        <is>
          <t>Individual</t>
        </is>
      </c>
      <c r="P41" s="8" t="inlineStr">
        <is>
          <t>Individual</t>
        </is>
      </c>
      <c r="Q41" s="8" t="inlineStr">
        <is>
          <t>Ministry of Education</t>
        </is>
      </c>
      <c r="R41" s="8" t="inlineStr">
        <is>
          <t>Department Of Higher Education</t>
        </is>
      </c>
      <c r="S41" s="8" t="inlineStr">
        <is>
          <t>fesmwpnie</t>
        </is>
      </c>
      <c r="T41" s="8" t="inlineStr">
        <is>
          <t>MS-C32</t>
        </is>
      </c>
      <c r="U41" s="8" t="inlineStr">
        <is>
          <t>Central</t>
        </is>
      </c>
      <c r="V41" s="8" t="n"/>
      <c r="W41" s="8" t="n"/>
      <c r="X41" s="8" t="inlineStr">
        <is>
          <t>Available</t>
        </is>
      </c>
      <c r="Y41" s="8" t="inlineStr">
        <is>
          <t>Present</t>
        </is>
      </c>
      <c r="Z41" s="8" t="inlineStr">
        <is>
          <t>Present</t>
        </is>
      </c>
      <c r="AA41" s="8" t="inlineStr">
        <is>
          <t>Online</t>
        </is>
      </c>
      <c r="AB41" s="8" t="inlineStr">
        <is>
          <t>Present</t>
        </is>
      </c>
      <c r="AC41" s="8" t="inlineStr">
        <is>
          <t>Person age / date of birth
Jurisdiction
Institution type / accreditation
Education / enrolment
Time period / history
Negative condition
Temporal condition</t>
        </is>
      </c>
      <c r="AD41" s="8" t="inlineStr">
        <is>
          <t>Free Education For Sports Medal Winners / Participants Of National/ International Events</t>
        </is>
      </c>
      <c r="AE41" s="8" t="inlineStr">
        <is>
          <t>67ab4e80e5becb8a71d564878fb2d208eb5895141b7e5c3bfafb79499e7dea55</t>
        </is>
      </c>
    </row>
    <row r="42" ht="230" customHeight="1">
      <c r="A42" s="4" t="inlineStr">
        <is>
          <t>C33</t>
        </is>
      </c>
      <c r="B42" s="4" t="inlineStr">
        <is>
          <t>GST Exemption Certificate Scheme</t>
        </is>
      </c>
      <c r="C42" s="4" t="inlineStr">
        <is>
          <t>Central</t>
        </is>
      </c>
      <c r="D42" s="4" t="inlineStr">
        <is>
          <t>India</t>
        </is>
      </c>
      <c r="E42" s="4" t="inlineStr">
        <is>
          <t>A concession of 10% on GST can be availed through this certificate and zero cess would be applicable. A person availing of this certificate will have to pay 18% GST &amp; no cess instead of 28% GST &amp; applicable cess on the purchase of a car.
The certificate is issued within a month of receipt of the application complete in all respects.
The certificate is valid for a period of 6 months from the date of issuance.</t>
        </is>
      </c>
      <c r="F42" s="4" t="inlineStr">
        <is>
          <t>Aadhar Card
PAN Card
Unique Disability ID card (UDID) (issued by the Ministry of Social Justice and Empowerment, Govt. of India) or Disability certificate (issued by Central Govt./State Govt./District Govt. bearing the proper signature and seal of the issuing authority wherein their name and registration no. should be mentioned)
Income Tax Return filed for the last three years.
Self-Declaration stating that he has not availed this concession in the last five years and he will not dispose of the vehicle after availing the GST concession for a period of 5 years from the date of purchase in the…
Full published text: Applicant documents.</t>
        </is>
      </c>
      <c r="G42" s="4" t="inlineStr">
        <is>
          <t>Interested and eligible applicants may send their applications in the prescribed format along with all required documents to the following address: The Under Secretary (AEI Section), Department of Heavy Industry, Udyog Bhavan, Room No 428, New Delhi 110011, Tel: 011-23061490
The applicant would inform DHI about the purchase of the vehicle and the Registration number of the vehicle to the Department of Heavy Industry within a period of 30 days from the date of registration of the vehicle.
Step 1: Home Page
Visit the official website at https://dhigecs.heavyindustry.gov.in/ using any web…
Full published text: Application steps.</t>
        </is>
      </c>
      <c r="H42" s="4" t="inlineStr">
        <is>
          <t>Compared with myScheme on 28 Oct 2026. Text reproduced as published; linked destinations not independently verified. Empty or absent sections: Exclusions. No requirement inferred.</t>
        </is>
      </c>
      <c r="I42" s="5" t="inlineStr">
        <is>
          <t>Open official page</t>
        </is>
      </c>
      <c r="J42" s="6" t="n">
        <v>46323</v>
      </c>
      <c r="K42" s="7" t="inlineStr">
        <is>
          <t>Approved</t>
        </is>
      </c>
      <c r="L42" s="7" t="n"/>
      <c r="M42" s="7" t="n"/>
      <c r="N42" s="4" t="inlineStr">
        <is>
          <t>Transport &amp; Infrastructure; Social welfare &amp; Empowerment; Utility &amp; Sanitation</t>
        </is>
      </c>
      <c r="O42" s="4" t="inlineStr">
        <is>
          <t>Individual</t>
        </is>
      </c>
      <c r="P42" s="4" t="inlineStr">
        <is>
          <t>Individual</t>
        </is>
      </c>
      <c r="Q42" s="4" t="inlineStr">
        <is>
          <t>Ministry of Heavy Industries</t>
        </is>
      </c>
      <c r="R42" s="4" t="inlineStr">
        <is>
          <t>Department Of Heavy Industry</t>
        </is>
      </c>
      <c r="S42" s="4" t="inlineStr">
        <is>
          <t>gstecs</t>
        </is>
      </c>
      <c r="T42" s="4" t="inlineStr">
        <is>
          <t>MS-C33</t>
        </is>
      </c>
      <c r="U42" s="4" t="inlineStr">
        <is>
          <t>Central</t>
        </is>
      </c>
      <c r="V42" s="4" t="n"/>
      <c r="W42" s="4" t="n"/>
      <c r="X42" s="4" t="inlineStr">
        <is>
          <t>Available</t>
        </is>
      </c>
      <c r="Y42" s="4" t="inlineStr">
        <is>
          <t>Present</t>
        </is>
      </c>
      <c r="Z42" s="4" t="inlineStr">
        <is>
          <t>Empty or absent in source</t>
        </is>
      </c>
      <c r="AA42" s="4" t="inlineStr">
        <is>
          <t>Offline; Online</t>
        </is>
      </c>
      <c r="AB42" s="4" t="inlineStr">
        <is>
          <t>Present</t>
        </is>
      </c>
      <c r="AC42" s="4" t="inlineStr">
        <is>
          <t>Person age / date of birth
Income amount, period and subject
Disability and certification
Registration / membership
Jurisdiction
Time period / history
Temporal condition</t>
        </is>
      </c>
      <c r="AD42" s="4" t="inlineStr">
        <is>
          <t>GST Exemption Certificate Scheme</t>
        </is>
      </c>
      <c r="AE42" s="4" t="inlineStr">
        <is>
          <t>8bc30e694a633b4fd4bb1b5bb7a0e1d4ae5e9d0f5ce98d75738f889b53bf834f</t>
        </is>
      </c>
    </row>
    <row r="43" ht="230" customHeight="1">
      <c r="A43" s="8" t="inlineStr">
        <is>
          <t>C34</t>
        </is>
      </c>
      <c r="B43" s="8" t="inlineStr">
        <is>
          <t>National Energy Conservation Award</t>
        </is>
      </c>
      <c r="C43" s="8" t="inlineStr">
        <is>
          <t>Central</t>
        </is>
      </c>
      <c r="D43" s="8" t="inlineStr">
        <is>
          <t>India</t>
        </is>
      </c>
      <c r="E43" s="8" t="inlineStr">
        <is>
          <t>Certificate &amp; Trophy</t>
        </is>
      </c>
      <c r="F43" s="8" t="inlineStr">
        <is>
          <t>Organization registration certificate
Energy consumption data/report
Proof of energy-saving initiatives
Supporting documents or reports
Any other papers asked by the Awards team.</t>
        </is>
      </c>
      <c r="G43" s="8" t="inlineStr">
        <is>
          <t>Registration:
Step 1: Visit the official website and click on the Registration button.
Step 2: Select your category: Individual or Organization.
Step 3: Fill in the required details:
Individual: Name, Date of Birth, Nominator Type, Mobile, Email, Aadhaar Number.
Organization: Type, Authorized Person Name, Date of Birth, Organization Description, Designation, Mobile, Email, Aadhaar Number.
Step 4: Click Submit to complete registration.
Apply:
Step 1: Log in to the portal using your registered credentials.
Step 2: Select the scheme from the list of awards and click "Nominate / Apply Now".
Step…
Full published text: Application steps.</t>
        </is>
      </c>
      <c r="H43" s="8" t="inlineStr">
        <is>
          <t>Compared with myScheme on 28 Oct 2026. Text reproduced as published; linked destinations not independently verified.</t>
        </is>
      </c>
      <c r="I43" s="5" t="inlineStr">
        <is>
          <t>Open official page</t>
        </is>
      </c>
      <c r="J43" s="9" t="n">
        <v>46323</v>
      </c>
      <c r="K43" s="7" t="inlineStr">
        <is>
          <t>Approved</t>
        </is>
      </c>
      <c r="L43" s="7" t="n"/>
      <c r="M43" s="7" t="n"/>
      <c r="N43" s="8" t="inlineStr">
        <is>
          <t>Transport &amp; Infrastructure; Business &amp; Entrepreneurship</t>
        </is>
      </c>
      <c r="O43" s="8" t="inlineStr">
        <is>
          <t>Individual</t>
        </is>
      </c>
      <c r="P43" s="8" t="inlineStr">
        <is>
          <t>Individual</t>
        </is>
      </c>
      <c r="Q43" s="8" t="inlineStr">
        <is>
          <t>Ministry Of Power</t>
        </is>
      </c>
      <c r="R43" s="8" t="inlineStr"/>
      <c r="S43" s="8" t="inlineStr">
        <is>
          <t>neca</t>
        </is>
      </c>
      <c r="T43" s="8" t="inlineStr">
        <is>
          <t>MS-C34</t>
        </is>
      </c>
      <c r="U43" s="8" t="inlineStr">
        <is>
          <t>Central</t>
        </is>
      </c>
      <c r="V43" s="8" t="n"/>
      <c r="W43" s="8" t="n"/>
      <c r="X43" s="8" t="inlineStr">
        <is>
          <t>Available</t>
        </is>
      </c>
      <c r="Y43" s="8" t="inlineStr">
        <is>
          <t>Present</t>
        </is>
      </c>
      <c r="Z43" s="8" t="inlineStr">
        <is>
          <t>Present</t>
        </is>
      </c>
      <c r="AA43" s="8" t="inlineStr">
        <is>
          <t>Online</t>
        </is>
      </c>
      <c r="AB43" s="8" t="inlineStr">
        <is>
          <t>Present</t>
        </is>
      </c>
      <c r="AC43" s="8" t="inlineStr">
        <is>
          <t>Person age / date of birth
Registration / membership
Institution type / accreditation
Negative condition
Component / category-specific branch</t>
        </is>
      </c>
      <c r="AD43" s="8" t="inlineStr">
        <is>
          <t>National Energy Conservation Award</t>
        </is>
      </c>
      <c r="AE43" s="8" t="inlineStr">
        <is>
          <t>aa340d6f01bf6db5b21b990802914ad45fd7c619f5dc9e059f97b01cb3e2c523</t>
        </is>
      </c>
    </row>
    <row r="44" ht="230" customHeight="1">
      <c r="A44" s="4" t="inlineStr">
        <is>
          <t>C35</t>
        </is>
      </c>
      <c r="B44" s="4" t="inlineStr">
        <is>
          <t>Marketing Development Assistance Scheme</t>
        </is>
      </c>
      <c r="C44" s="4" t="inlineStr">
        <is>
          <t>Central</t>
        </is>
      </c>
      <c r="D44" s="4" t="inlineStr">
        <is>
          <t>India</t>
        </is>
      </c>
      <c r="E44" s="4" t="inlineStr">
        <is>
          <t>For Tourism Service Providers
Financial support for study tours, and participation in travel shows/exhibitions/road shows in overseas markets (organized by the Ministry of Tourism) will be provided up to a maximum of ₹3,50,000/- per case/tour.
     Sr. No.
Particulars
Extent of Support 
1
Economy class airfare for travel between India to another country and from there to a group of countries by air/rail.
90%
2
Cost of built-up/furnished stall, electricity and water charges, participation fee, etc., at travel fair/exhibitions held overseas.
90%
3
Lodging expenses on overseas tour 
Max. 5…
Full published text: Source passages → Benefits.</t>
        </is>
      </c>
      <c r="F44" s="4" t="inlineStr">
        <is>
          <t>For Prior Approval:
Proof of TSP approval by Ministry of Tourism or State/UT Tourism Department.
Declaration/Undertaking of no investigation or debarment.
FEE certificate certified by a Chartered Accountant.
For Reimbursement:
Financial assistance details of the past three years.
Air tickets and boarding passes or passport pages with immigration stamps.
Tour report (maximum 250 words).
Original receipts and proof of payments for air tickets, booth setup, participation fees, and lodging.</t>
        </is>
      </c>
      <c r="G44" s="4" t="inlineStr">
        <is>
          <t>Prior Approval:
Step 01: The TSP/SG/UT shall obtain Prior Approval from the Ministry of Tourism, Government of India, before undertaking a tour overseas.
Step 02: The applicants download the prior approval application form Annexure-I.
Step 03: In the application form, fill in all the mandatory fields, and attach copies of all the mandatory documents (self-attest, if required).
Step 04: Submit the duly filled and signed application form at least 21 days before the tour to the Assistant Director General (Overseas Marketing) via email at mda-tourism@gov.in.
Reimbursement Claims:
After…
Full published text: Application steps.</t>
        </is>
      </c>
      <c r="H44" s="4" t="inlineStr">
        <is>
          <t>Compared with myScheme on 28 Oct 2026. Text reproduced as published; linked destinations not independently verified. Empty or absent sections: Exclusions. No requirement inferred.</t>
        </is>
      </c>
      <c r="I44" s="5" t="inlineStr">
        <is>
          <t>Open official page</t>
        </is>
      </c>
      <c r="J44" s="6" t="n">
        <v>46323</v>
      </c>
      <c r="K44" s="7" t="inlineStr">
        <is>
          <t>Approved</t>
        </is>
      </c>
      <c r="L44" s="7" t="n"/>
      <c r="M44" s="7" t="n"/>
      <c r="N44" s="4" t="inlineStr">
        <is>
          <t>Travel &amp; Tourism; Business &amp; Entrepreneurship</t>
        </is>
      </c>
      <c r="O44" s="4" t="inlineStr">
        <is>
          <t>Individual</t>
        </is>
      </c>
      <c r="P44" s="4" t="inlineStr">
        <is>
          <t>Business Entity</t>
        </is>
      </c>
      <c r="Q44" s="4" t="inlineStr">
        <is>
          <t>Ministry Of Tourism</t>
        </is>
      </c>
      <c r="R44" s="4" t="inlineStr">
        <is>
          <t>Ministry of Tourism</t>
        </is>
      </c>
      <c r="S44" s="4" t="inlineStr">
        <is>
          <t>mdas</t>
        </is>
      </c>
      <c r="T44" s="4" t="inlineStr">
        <is>
          <t>MS-C35</t>
        </is>
      </c>
      <c r="U44" s="4" t="inlineStr">
        <is>
          <t>Central</t>
        </is>
      </c>
      <c r="V44" s="6" t="n">
        <v>44630</v>
      </c>
      <c r="W44" s="4" t="n"/>
      <c r="X44" s="4" t="inlineStr">
        <is>
          <t>Available</t>
        </is>
      </c>
      <c r="Y44" s="4" t="inlineStr">
        <is>
          <t>Present</t>
        </is>
      </c>
      <c r="Z44" s="4" t="inlineStr">
        <is>
          <t>Empty or absent in source</t>
        </is>
      </c>
      <c r="AA44" s="4" t="inlineStr">
        <is>
          <t>Online</t>
        </is>
      </c>
      <c r="AB44" s="4" t="inlineStr">
        <is>
          <t>Present</t>
        </is>
      </c>
      <c r="AC44" s="4" t="inlineStr">
        <is>
          <t>Person age / date of birth
Jurisdiction
Transactions / eligible sales
Employment / employer
Time period / history
Temporal condition</t>
        </is>
      </c>
      <c r="AD44" s="4" t="inlineStr">
        <is>
          <t>Marketing Development Assistance Scheme</t>
        </is>
      </c>
      <c r="AE44" s="4" t="inlineStr">
        <is>
          <t>c67e587f50def61d609547c24abfbd52c867c85221f569900af067f2503f9b2c</t>
        </is>
      </c>
    </row>
    <row r="45" ht="230" customHeight="1">
      <c r="A45" s="8" t="inlineStr">
        <is>
          <t>C36</t>
        </is>
      </c>
      <c r="B45" s="8" t="inlineStr">
        <is>
          <t>AICTE-INAE Travel Grant Scheme For Engineering Students From AICTE Approved Engineering College/Institution</t>
        </is>
      </c>
      <c r="C45" s="8" t="inlineStr">
        <is>
          <t>Central</t>
        </is>
      </c>
      <c r="D45" s="8" t="inlineStr">
        <is>
          <t>India</t>
        </is>
      </c>
      <c r="E45" s="8" t="inlineStr">
        <is>
          <t>Financial Support
The reimbursement of 100% Registration Fee, Visa Fee including travel insurance up to ₹5000.
The reimbursement of 50% of the actual Airfare or discounted /concessional air tickets along with local transport from the airport to the venue for presentation, in case not claimed from any other source.
Actual fare not exceeding AC II-Class train fare will be admissible for travel from the Technical Institution to the nearest airport and back in India).
The maximum financial support per student for all the above reimbursements is limited to ₹1,00,000.</t>
        </is>
      </c>
      <c r="F45" s="8" t="inlineStr">
        <is>
          <t>Curriculum Vitae containing the Date of Birth and Age, Awards, Scholarships, Educational Qualification, Research Experience, and List of Publications.
Passport Size Photograph.
A copy of the Letter of Acceptance from the organizers of the event.
Abstract/Full text of paperas submitted for the event.
A brief on the Project Impact of the paper presented.
A brief on Expected Outcome from the paper presented.
A scanned copy of the Certificate by the student.
A scanned copy of the Endorsement by the Head of the Institution.</t>
        </is>
      </c>
      <c r="G45" s="8" t="inlineStr">
        <is>
          <t>Procedure to Apply
The application should be sent at least eight weeks prior to the date of presentation of the research paper through email at inaehq@inae.in and hard copy as well at the following address:
Executive Director Indian National Academy of Engineering (INAE) Unit No 604-609
6th Floor, Tower A, SPAZE I-Tech Park, Sector-49, Sohna Road, Gurgaon - 122 018
Phone: 0124-4239480 Fax: 0124-4239481
Website: www.inae.in</t>
        </is>
      </c>
      <c r="H45" s="8" t="inlineStr">
        <is>
          <t>Compared with myScheme on 28 Oct 2026. Text reproduced as published; linked destinations not independently verified. Empty or absent sections: Exclusions. No requirement inferred.</t>
        </is>
      </c>
      <c r="I45" s="5" t="inlineStr">
        <is>
          <t>Open official page</t>
        </is>
      </c>
      <c r="J45" s="9" t="n">
        <v>46323</v>
      </c>
      <c r="K45" s="7" t="inlineStr">
        <is>
          <t>Approved</t>
        </is>
      </c>
      <c r="L45" s="7" t="n"/>
      <c r="M45" s="7" t="n"/>
      <c r="N45" s="8" t="inlineStr">
        <is>
          <t>Education &amp; Learning; Travel &amp; Tourism</t>
        </is>
      </c>
      <c r="O45" s="8" t="inlineStr">
        <is>
          <t>Individual</t>
        </is>
      </c>
      <c r="P45" s="8" t="inlineStr">
        <is>
          <t>Individual</t>
        </is>
      </c>
      <c r="Q45" s="8" t="inlineStr">
        <is>
          <t>Ministry of Education</t>
        </is>
      </c>
      <c r="R45" s="8" t="inlineStr">
        <is>
          <t>Department Of Higher Education</t>
        </is>
      </c>
      <c r="S45" s="8" t="inlineStr">
        <is>
          <t>ai-tgses</t>
        </is>
      </c>
      <c r="T45" s="8" t="inlineStr">
        <is>
          <t>MS-C36</t>
        </is>
      </c>
      <c r="U45" s="8" t="inlineStr">
        <is>
          <t>Central</t>
        </is>
      </c>
      <c r="V45" s="8" t="n"/>
      <c r="W45" s="8" t="n"/>
      <c r="X45" s="8" t="inlineStr">
        <is>
          <t>Available</t>
        </is>
      </c>
      <c r="Y45" s="8" t="inlineStr">
        <is>
          <t>Present</t>
        </is>
      </c>
      <c r="Z45" s="8" t="inlineStr">
        <is>
          <t>Empty or absent in source</t>
        </is>
      </c>
      <c r="AA45" s="8" t="inlineStr">
        <is>
          <t>Online</t>
        </is>
      </c>
      <c r="AB45" s="8" t="inlineStr">
        <is>
          <t>Present</t>
        </is>
      </c>
      <c r="AC45" s="8" t="inlineStr">
        <is>
          <t>Person age / date of birth
Project attributes
Registration / membership
Institution type / accreditation
Education / enrolment
Time period / history</t>
        </is>
      </c>
      <c r="AD45" s="8" t="inlineStr">
        <is>
          <t>AICTE-INAE Travel Grant Scheme For Engineering Students From AICTE Approved Engineering College/Institution</t>
        </is>
      </c>
      <c r="AE45" s="8" t="inlineStr">
        <is>
          <t>c9ddf1f8f674cd5144d45f90761b6ebfb681b9e6aa6700d9d8ee7416ce844e7f</t>
        </is>
      </c>
    </row>
    <row r="46" ht="230" customHeight="1">
      <c r="A46" s="4" t="inlineStr">
        <is>
          <t>C37</t>
        </is>
      </c>
      <c r="B46" s="4" t="inlineStr">
        <is>
          <t>Pilgrimage Rejuvenation and Spiritual Augmentation Drive (PRASHAD)</t>
        </is>
      </c>
      <c r="C46" s="4" t="inlineStr">
        <is>
          <t>Central</t>
        </is>
      </c>
      <c r="D46" s="4" t="inlineStr">
        <is>
          <t>India</t>
        </is>
      </c>
      <c r="E46" s="4" t="inlineStr">
        <is>
          <t>The scheme offers a range of benefits for its beneficiaries, which include local communities, tourists, and stakeholders involved in the tourism sector:
Improved Infrastructure
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
Employment Opportunities
The development of tourism infrastructure and…
Full published text: Source passages → Benefits.</t>
        </is>
      </c>
      <c r="F46" s="4" t="inlineStr">
        <is>
          <t>There are no document requirements for this scheme.</t>
        </is>
      </c>
      <c r="G46" s="4" t="inlineStr">
        <is>
          <t>The citizens need not apply to this scheme.</t>
        </is>
      </c>
      <c r="H46" s="4" t="inlineStr">
        <is>
          <t>Compared with myScheme on 28 Oct 2026. Text reproduced as published; linked destinations not independently verified. Empty or absent sections: Exclusions. No requirement inferred.</t>
        </is>
      </c>
      <c r="I46" s="5" t="inlineStr">
        <is>
          <t>Open official page</t>
        </is>
      </c>
      <c r="J46" s="6" t="n">
        <v>46323</v>
      </c>
      <c r="K46" s="7" t="inlineStr">
        <is>
          <t>Approved</t>
        </is>
      </c>
      <c r="L46" s="7" t="n"/>
      <c r="M46" s="7" t="n"/>
      <c r="N46" s="4" t="inlineStr">
        <is>
          <t>Transport &amp; Infrastructure; Travel &amp; Tourism</t>
        </is>
      </c>
      <c r="O46" s="4" t="inlineStr">
        <is>
          <t>Infra</t>
        </is>
      </c>
      <c r="P46" s="4" t="inlineStr">
        <is>
          <t>Government Organisation; State Government</t>
        </is>
      </c>
      <c r="Q46" s="4" t="inlineStr">
        <is>
          <t>Ministry Of Tourism</t>
        </is>
      </c>
      <c r="R46" s="4" t="inlineStr"/>
      <c r="S46" s="4" t="inlineStr">
        <is>
          <t>prashad</t>
        </is>
      </c>
      <c r="T46" s="4" t="inlineStr">
        <is>
          <t>MS-C37</t>
        </is>
      </c>
      <c r="U46" s="4" t="inlineStr">
        <is>
          <t>Central</t>
        </is>
      </c>
      <c r="V46" s="4" t="n"/>
      <c r="W46" s="4" t="n"/>
      <c r="X46" s="4" t="inlineStr">
        <is>
          <t>Available</t>
        </is>
      </c>
      <c r="Y46" s="4" t="inlineStr">
        <is>
          <t>Present</t>
        </is>
      </c>
      <c r="Z46" s="4" t="inlineStr">
        <is>
          <t>Empty or absent in source</t>
        </is>
      </c>
      <c r="AA46" s="4" t="inlineStr">
        <is>
          <t>Offline</t>
        </is>
      </c>
      <c r="AB46" s="4" t="inlineStr">
        <is>
          <t>Present</t>
        </is>
      </c>
      <c r="AC46" s="4" t="inlineStr">
        <is>
          <t>Person age / date of birth
Income amount, period and subject
Project attributes
Jurisdiction
Landholding / ownership
Employment / employer</t>
        </is>
      </c>
      <c r="AD46" s="4" t="inlineStr">
        <is>
          <t>Pilgrimage Rejuvenation and Spiritual Augmentation Drive (PRASHAD)</t>
        </is>
      </c>
      <c r="AE46" s="4" t="inlineStr">
        <is>
          <t>bd74d2557e175755c7b67a919139a7f6ab634f71dd491ac7dd0a9c05bec9198f</t>
        </is>
      </c>
    </row>
    <row r="47" ht="230" customHeight="1">
      <c r="A47" s="8" t="inlineStr">
        <is>
          <t>C38</t>
        </is>
      </c>
      <c r="B47" s="8" t="inlineStr">
        <is>
          <t>Pratyaksh Hanstantrit Labh / Direct Benefits Transfer For LPG</t>
        </is>
      </c>
      <c r="C47" s="8" t="inlineStr">
        <is>
          <t>Central</t>
        </is>
      </c>
      <c r="D47" s="8" t="inlineStr">
        <is>
          <t>India</t>
        </is>
      </c>
      <c r="E47" s="8" t="inlineStr">
        <is>
          <t>Direct Subsidy Transfer: LPG consumers receive subsidies directly in their bank accounts automatically.
Improved Availability: Enhanced market availability of new LPG connections for genuine consumers.
Health Benefits: Replaces unclean cooking fuels, reducing indoor pollution and preventing respiratory diseases among women and children in rural areas.</t>
        </is>
      </c>
      <c r="F47" s="8" t="inlineStr">
        <is>
          <t>Form 1 -  Submit a copy of the Aadhaar letter to the LPG distributor or bank
Form 2 - Aadhaar letter, in addition to residential proof, to be submitted to the LPG distributor
Form 3 -  A copy of a current refill slip consisting of a 17-digit LPG ID number
Form 4 - A copy of a bank passbook's front page and a canceled cheque</t>
        </is>
      </c>
      <c r="G47" s="8" t="inlineStr">
        <is>
          <t>Through Bank:
Step 1: Visit your bank branch where you hold an account.
Step 2:Carry a copy of your Aadhaar card along with the original for verification.
Step 3:Request the bank staff to link your Aadhaar number with your bank account.
Step 4:Fill out the Aadhaar linking form provided by the bank and submit it along with a copy of your Aadhaar card.
Step 5: The bank will notify you upon successful linking.
Through LPG Distributor:
Step 1: Visit your LPG distributor's office.
Step 2: Carry a copy of your Aadhaar card and the original for verification.
Step 3: Provide your LPG Consumer Number…
Full published text: Application steps.</t>
        </is>
      </c>
      <c r="H47" s="8" t="inlineStr">
        <is>
          <t>Compared with myScheme on 28 Oct 2026. Text reproduced as published; linked destinations not independently verified. Empty or absent sections: Exclusions. No requirement inferred.</t>
        </is>
      </c>
      <c r="I47" s="5" t="inlineStr">
        <is>
          <t>Open official page</t>
        </is>
      </c>
      <c r="J47" s="9" t="n">
        <v>46323</v>
      </c>
      <c r="K47" s="7" t="inlineStr">
        <is>
          <t>Approved</t>
        </is>
      </c>
      <c r="L47" s="7" t="n"/>
      <c r="M47" s="7" t="n"/>
      <c r="N47" s="8" t="inlineStr">
        <is>
          <t>Utility &amp; Sanitation</t>
        </is>
      </c>
      <c r="O47" s="8" t="inlineStr">
        <is>
          <t>Individual</t>
        </is>
      </c>
      <c r="P47" s="8" t="inlineStr">
        <is>
          <t>Individual</t>
        </is>
      </c>
      <c r="Q47" s="8" t="inlineStr">
        <is>
          <t>Ministry Of Petroleum and Natural Gas</t>
        </is>
      </c>
      <c r="R47" s="8" t="inlineStr"/>
      <c r="S47" s="8" t="inlineStr">
        <is>
          <t>pahal-dbtl</t>
        </is>
      </c>
      <c r="T47" s="8" t="inlineStr">
        <is>
          <t>MS-C38</t>
        </is>
      </c>
      <c r="U47" s="8" t="inlineStr">
        <is>
          <t>Central</t>
        </is>
      </c>
      <c r="V47" s="9" t="n">
        <v>41958</v>
      </c>
      <c r="W47" s="8" t="n"/>
      <c r="X47" s="8" t="inlineStr">
        <is>
          <t>Available</t>
        </is>
      </c>
      <c r="Y47" s="8" t="inlineStr">
        <is>
          <t>Present</t>
        </is>
      </c>
      <c r="Z47" s="8" t="inlineStr">
        <is>
          <t>Empty or absent in source</t>
        </is>
      </c>
      <c r="AA47" s="8" t="inlineStr">
        <is>
          <t>Offline</t>
        </is>
      </c>
      <c r="AB47" s="8" t="inlineStr">
        <is>
          <t>Present</t>
        </is>
      </c>
      <c r="AC47" s="8" t="inlineStr">
        <is>
          <t>Person age / date of birth
Income amount, period and subject
Gender / applicant category
Benefit cap formula
Temporal condition</t>
        </is>
      </c>
      <c r="AD47" s="8" t="inlineStr">
        <is>
          <t>Pratyaksh Hanstantrit Labh / Direct Benefits Transfer For LPG</t>
        </is>
      </c>
      <c r="AE47" s="8" t="inlineStr">
        <is>
          <t>483e350cbcf5d7c8956b18351ada4a6c90678fc5de74a577756b8c7a1b6ba9c1</t>
        </is>
      </c>
    </row>
    <row r="48" ht="230" customHeight="1">
      <c r="A48" s="4" t="inlineStr">
        <is>
          <t>C39</t>
        </is>
      </c>
      <c r="B48" s="4" t="inlineStr">
        <is>
          <t>Atal Bhujal Yojana</t>
        </is>
      </c>
      <c r="C48" s="4" t="inlineStr">
        <is>
          <t>Central</t>
        </is>
      </c>
      <c r="D48" s="4" t="inlineStr">
        <is>
          <t>India</t>
        </is>
      </c>
      <c r="E48" s="4" t="inlineStr">
        <is>
          <t>The scheme provides an overall financial outlay of ₹60,00,00,00,000/- over five years, which includes ₹30,00,00,00,000/- as a loan from the World Bank and ₹30,00,00,00,000/- as a matching contribution from the Government of India.
The Institutional Strengthening and Capacity Building Component offers ₹14,00,00,00,000/- for training, community mobilization, and the procurement of equipment such as Digital Water Level Recorders, rain gauges, and water quality testing kits.
The Incentive Component provides ₹46,00,00,00,000/- in financial rewards to states and Gram Panchayats for achieving…
Full published text: Source passages → Benefits.</t>
        </is>
      </c>
      <c r="F48" s="4" t="inlineStr">
        <is>
          <t>At The Application And Planning Stage
Demographic Data And Beneficiary Census Report.
Gram Panchayat Level Water Budget Document.
Gram Panchayat Level Water Security Plan.
Gram Sabha Resolution Approving The Water Security Plan.
Record Of Minutes Of Community-Level Meetings.
Attendance Sheets Of The Gram Sabha (Ensuring At Least 20 Percent Women Members).
At The Benefit Disbursal And Monitoring Stage
Audited Financial Statements Of The Gram Panchayat.
Monthly Expenditure Statements With Supporting Documentation.
Utilization Certificates For The Received Scheme Funds.</t>
        </is>
      </c>
      <c r="G48" s="4" t="inlineStr">
        <is>
          <t>Step 1:
Accessing The Portal And Submitting Baseline Data
The applicant must access the official Management Information System portal developed for Atal Bhujal Yojana to enter the required baseline data. The designated community resource persons must regularly feed the collected groundwater level, rainfall, and water quality data into the digital application to facilitate accurate water budgeting.
Step 2:
Submitting The Water Security Plan For Approval
The applicant must convene a community meeting to review the water budget and pass a formal resolution approving the finalized Water Security…
Full published text: Application steps.</t>
        </is>
      </c>
      <c r="H48" s="4" t="inlineStr">
        <is>
          <t>Compared with myScheme on 28 Oct 2026. Text reproduced as published; linked destinations not independently verified.</t>
        </is>
      </c>
      <c r="I48" s="5" t="inlineStr">
        <is>
          <t>Open official page</t>
        </is>
      </c>
      <c r="J48" s="6" t="n">
        <v>46323</v>
      </c>
      <c r="K48" s="7" t="inlineStr">
        <is>
          <t>Approved</t>
        </is>
      </c>
      <c r="L48" s="7" t="n"/>
      <c r="M48" s="7" t="n"/>
      <c r="N48" s="4" t="inlineStr">
        <is>
          <t>Utility &amp; Sanitation; Transport &amp; Infrastructure</t>
        </is>
      </c>
      <c r="O48" s="4" t="inlineStr">
        <is>
          <t>Individual</t>
        </is>
      </c>
      <c r="P48" s="4" t="inlineStr">
        <is>
          <t>Individual; Village</t>
        </is>
      </c>
      <c r="Q48" s="4" t="inlineStr">
        <is>
          <t>Ministry Of Water Resources,River Development &amp; Ganga Rejuvenation</t>
        </is>
      </c>
      <c r="R48" s="4" t="inlineStr"/>
      <c r="S48" s="4" t="inlineStr">
        <is>
          <t>aby-mojs</t>
        </is>
      </c>
      <c r="T48" s="4" t="inlineStr">
        <is>
          <t>MS-C39</t>
        </is>
      </c>
      <c r="U48" s="4" t="inlineStr">
        <is>
          <t>Central</t>
        </is>
      </c>
      <c r="V48" s="4" t="n"/>
      <c r="W48" s="4" t="n"/>
      <c r="X48" s="4" t="inlineStr">
        <is>
          <t>Available</t>
        </is>
      </c>
      <c r="Y48" s="4" t="inlineStr">
        <is>
          <t>Present</t>
        </is>
      </c>
      <c r="Z48" s="4" t="inlineStr">
        <is>
          <t>Present</t>
        </is>
      </c>
      <c r="AA48" s="4" t="inlineStr">
        <is>
          <t>Online</t>
        </is>
      </c>
      <c r="AB48" s="4" t="inlineStr">
        <is>
          <t>Present</t>
        </is>
      </c>
      <c r="AC48" s="4" t="inlineStr">
        <is>
          <t>Person age / date of birth
Gender / applicant category
Project attributes
Registration / membership
Jurisdiction
Institution type / accreditation
Credit / repayment
Landholding / ownership
Employment / employer
Time period / history
Temporal condition</t>
        </is>
      </c>
      <c r="AD48" s="4" t="inlineStr">
        <is>
          <t>Atal Bhujal Yojana</t>
        </is>
      </c>
      <c r="AE48" s="4" t="inlineStr">
        <is>
          <t>5776a732b253ebbe496eb789a381e72258953426153a0c29e2baff45f8e7c298</t>
        </is>
      </c>
    </row>
    <row r="49" ht="230" customHeight="1">
      <c r="A49" s="8" t="inlineStr">
        <is>
          <t>M05</t>
        </is>
      </c>
      <c r="B49" s="8" t="inlineStr">
        <is>
          <t>State Post-metric Scholarship For Disabled</t>
        </is>
      </c>
      <c r="C49" s="8" t="inlineStr">
        <is>
          <t>State</t>
        </is>
      </c>
      <c r="D49" s="8" t="inlineStr">
        <is>
          <t>Maharashtra</t>
        </is>
      </c>
      <c r="E49" s="8" t="inlineStr">
        <is>
          <t>A. Maintenance Allowance
Group A: Degree Course in Medical, Engineering, Agricultural, Veterinary, and Postgraduate Degree Courses.
Rate of Scholarship for Hosteller (in ₹ per month): 1200/-
Rate of Scholarship for Day Scholar (in ₹ per month): 550/-
Group B: Diploma course in Medical, Engineering, Agricultural, and Veterinary.
Rate of Scholarship for Hosteller (in ₹ per month): 820/-
Rate of Scholarship for Day Scholar (in ₹ per month): 530/-
Group C: Post Graduate Course in Arts, Science, Commerce, and Diploma in Professional Education.
Rate of Scholarship for Hosteller (in ₹ per month):…
Full published text: Source passages → Benefits.</t>
        </is>
      </c>
      <c r="F49" s="8" t="inlineStr">
        <is>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Proof of Passing Class 10th.
Bonafide Certificate from the School/College
Proof of Pursuance of a Post-Matric Qualification (Fee Receipt, etc)
Any other document required by the School/College or the District Social Welfare Office.</t>
        </is>
      </c>
      <c r="G49" s="8" t="inlineStr">
        <is>
          <t>Step 1: Request a hard copy of the format of the application form for the scheme from the concerned authority at your school/college.
Step 2: In the application form, fill in all the mandatory fields, paste the passport-sized photograph (signed across), and attach all the (self-attested) mandatory documents.
Step 3: Submit the duly filled and signed application form along with the documents to the concerned authority at your school/college.
Step 4: Acquire the receipt/acknowledgment of the successful submission of the application form from the concerned authority at your school/college.</t>
        </is>
      </c>
      <c r="H49" s="8" t="inlineStr">
        <is>
          <t>Compared with myScheme on 28 Oct 2026. Text reproduced as published; linked destinations not independently verified. Empty or absent sections: Exclusions. No requirement inferred.</t>
        </is>
      </c>
      <c r="I49" s="5" t="inlineStr">
        <is>
          <t>Open official page</t>
        </is>
      </c>
      <c r="J49" s="9" t="n">
        <v>46323</v>
      </c>
      <c r="K49" s="7" t="inlineStr">
        <is>
          <t>Approved</t>
        </is>
      </c>
      <c r="L49" s="7" t="n"/>
      <c r="M49" s="7" t="n"/>
      <c r="N49" s="8" t="inlineStr">
        <is>
          <t>Education &amp; Learning; Social welfare &amp; Empowerment</t>
        </is>
      </c>
      <c r="O49" s="8" t="inlineStr">
        <is>
          <t>Individual</t>
        </is>
      </c>
      <c r="P49" s="8" t="inlineStr">
        <is>
          <t>Individual</t>
        </is>
      </c>
      <c r="Q49" s="8" t="inlineStr"/>
      <c r="R49" s="8" t="inlineStr">
        <is>
          <t>Social Justice and Special Assistance Department</t>
        </is>
      </c>
      <c r="S49" s="8" t="inlineStr">
        <is>
          <t>spmsd</t>
        </is>
      </c>
      <c r="T49" s="8" t="inlineStr">
        <is>
          <t>MS-M05</t>
        </is>
      </c>
      <c r="U49" s="8" t="inlineStr">
        <is>
          <t>State</t>
        </is>
      </c>
      <c r="V49" s="8" t="n"/>
      <c r="W49" s="8" t="n"/>
      <c r="X49" s="8" t="inlineStr">
        <is>
          <t>Available</t>
        </is>
      </c>
      <c r="Y49" s="8" t="inlineStr">
        <is>
          <t>Present</t>
        </is>
      </c>
      <c r="Z49" s="8" t="inlineStr">
        <is>
          <t>Empty or absent in source</t>
        </is>
      </c>
      <c r="AA49" s="8" t="inlineStr">
        <is>
          <t>Offline</t>
        </is>
      </c>
      <c r="AB49" s="8" t="inlineStr">
        <is>
          <t>Present</t>
        </is>
      </c>
      <c r="AC49" s="8" t="inlineStr">
        <is>
          <t>Person age / date of birth
Income amount, period and subject
Disability and certification
Project attributes
Jurisdiction
Education / enrolment
Component / category-specific branch</t>
        </is>
      </c>
      <c r="AD49" s="8" t="inlineStr">
        <is>
          <t>State Post-metric Scholarship For Disabled</t>
        </is>
      </c>
      <c r="AE49" s="8" t="inlineStr">
        <is>
          <t>b94d6a7d5f70425a03b07d50aeb7339618023769a2ee0481986ab0da975c5f23</t>
        </is>
      </c>
    </row>
    <row r="50" ht="230" customHeight="1">
      <c r="A50" s="4" t="inlineStr">
        <is>
          <t>M06</t>
        </is>
      </c>
      <c r="B50" s="4" t="inlineStr">
        <is>
          <t>Homes For Intellectually Impaired Persons</t>
        </is>
      </c>
      <c r="C50" s="4" t="inlineStr">
        <is>
          <t>State</t>
        </is>
      </c>
      <c r="D50" s="4" t="inlineStr">
        <is>
          <t>Maharashtra</t>
        </is>
      </c>
      <c r="E50" s="4" t="inlineStr">
        <is>
          <t>The Mentally Deficient Children who are in need of care and protection are admitted into shelter homes.
There are free facilities of food, shelter, and care &amp; protection are provided in these homes.</t>
        </is>
      </c>
      <c r="F50" s="4" t="inlineStr">
        <is>
          <t>Aadhaar Card.
2-Passport Sized Photograph (Signed Across).
Proof of Age (Birth Certificate, etc).
Residential Certificate / Domicile Certificate of the State of Maharashtra.
Disability Certificate.
Details of the Bank Account (Bank Name, Branch Name, Address, IFSC, etc).
Any other document required by the Child Welfare Committee.</t>
        </is>
      </c>
      <c r="G50" s="4" t="inlineStr">
        <is>
          <t>Step 1: Visit the Child Welfare Committee,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at the office of the concerned Child Welfare Committee.
Step 4: Acquire the receipt/acknowledgment of the successful submission of the application form from the office.</t>
        </is>
      </c>
      <c r="H50" s="4" t="inlineStr">
        <is>
          <t>Compared with myScheme on 28 Oct 2026. Text reproduced as published; linked destinations not independently verified. Empty or absent sections: Exclusions. No requirement inferred.</t>
        </is>
      </c>
      <c r="I50" s="5" t="inlineStr">
        <is>
          <t>Open official page</t>
        </is>
      </c>
      <c r="J50" s="6" t="n">
        <v>46323</v>
      </c>
      <c r="K50" s="7" t="inlineStr">
        <is>
          <t>Approved</t>
        </is>
      </c>
      <c r="L50" s="7" t="n"/>
      <c r="M50" s="7" t="n"/>
      <c r="N50" s="4" t="inlineStr">
        <is>
          <t>Housing &amp; Shelter; Social welfare &amp; Empowerment</t>
        </is>
      </c>
      <c r="O50" s="4" t="inlineStr">
        <is>
          <t>Individual</t>
        </is>
      </c>
      <c r="P50" s="4" t="inlineStr">
        <is>
          <t>Individual</t>
        </is>
      </c>
      <c r="Q50" s="4" t="inlineStr"/>
      <c r="R50" s="4" t="inlineStr">
        <is>
          <t>Social Justice and Special Assistance Department</t>
        </is>
      </c>
      <c r="S50" s="4" t="inlineStr">
        <is>
          <t>hiip</t>
        </is>
      </c>
      <c r="T50" s="4" t="inlineStr">
        <is>
          <t>MS-M06</t>
        </is>
      </c>
      <c r="U50" s="4" t="inlineStr">
        <is>
          <t>State</t>
        </is>
      </c>
      <c r="V50" s="4" t="n"/>
      <c r="W50" s="4" t="n"/>
      <c r="X50" s="4" t="inlineStr">
        <is>
          <t>Available</t>
        </is>
      </c>
      <c r="Y50" s="4" t="inlineStr">
        <is>
          <t>Present</t>
        </is>
      </c>
      <c r="Z50" s="4" t="inlineStr">
        <is>
          <t>Empty or absent in source</t>
        </is>
      </c>
      <c r="AA50" s="4" t="inlineStr">
        <is>
          <t>Offline</t>
        </is>
      </c>
      <c r="AB50" s="4" t="inlineStr">
        <is>
          <t>Present</t>
        </is>
      </c>
      <c r="AC50" s="4" t="inlineStr">
        <is>
          <t>Person age / date of birth
Income amount, period and subject
Disability and certification
Jurisdiction
Component / category-specific branch</t>
        </is>
      </c>
      <c r="AD50" s="4" t="inlineStr">
        <is>
          <t>Homes For Intellectually Impaired Persons</t>
        </is>
      </c>
      <c r="AE50" s="4" t="inlineStr">
        <is>
          <t>150cae359a0e28c12e1ae84c9b6eba3cea3cabb0f9fbfc233f74dde7d4be783b</t>
        </is>
      </c>
    </row>
    <row r="51" ht="230" customHeight="1">
      <c r="A51" s="8" t="inlineStr">
        <is>
          <t>M07</t>
        </is>
      </c>
      <c r="B51" s="8" t="inlineStr">
        <is>
          <t>LIDCOM Gattai Stall Scheme</t>
        </is>
      </c>
      <c r="C51" s="8" t="inlineStr">
        <is>
          <t>State</t>
        </is>
      </c>
      <c r="D51" s="8" t="inlineStr">
        <is>
          <t>Maharashtra</t>
        </is>
      </c>
      <c r="E51" s="8" t="inlineStr">
        <is>
          <t>The scheme provides a 100% subsidy for the erection of a Tin Stall of Size 4’ x 5’ x 6.5’ costing ₹16,367/- per stall and ₹500/- incidental charges.</t>
        </is>
      </c>
      <c r="F51" s="8" t="inlineStr">
        <is>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 of LIDCOM.</t>
        </is>
      </c>
      <c r="G51" s="8" t="inlineStr">
        <is>
          <t>Step 1: Take the format of the application form from the District Office of LIDCOM.
Step 2: Fill in all the mandatory fields, paste the passport-sized photograph (signed across), and attach all the (self-attested) mandatory documents.
Step 3: Submit the duly filled and signed application form along with the documents to the District Office.
Step 4: Acquire the receipt/acknowledgment of the successful submission of the application form from the District Office.</t>
        </is>
      </c>
      <c r="H51" s="8" t="inlineStr">
        <is>
          <t>Compared with myScheme on 28 Oct 2026. Text reproduced as published; linked destinations not independently verified. Empty or absent sections: Exclusions. No requirement inferred.</t>
        </is>
      </c>
      <c r="I51" s="5" t="inlineStr">
        <is>
          <t>Open official page</t>
        </is>
      </c>
      <c r="J51" s="9" t="n">
        <v>46323</v>
      </c>
      <c r="K51" s="7" t="inlineStr">
        <is>
          <t>Approved</t>
        </is>
      </c>
      <c r="L51" s="7" t="n"/>
      <c r="M51" s="7" t="n"/>
      <c r="N51" s="8" t="inlineStr">
        <is>
          <t>Business &amp; Entrepreneurship; Banking,Financial Services and Insurance; Social welfare &amp; Empowerment</t>
        </is>
      </c>
      <c r="O51" s="8" t="inlineStr">
        <is>
          <t>Individual</t>
        </is>
      </c>
      <c r="P51" s="8" t="inlineStr">
        <is>
          <t>Individual</t>
        </is>
      </c>
      <c r="Q51" s="8" t="inlineStr"/>
      <c r="R51" s="8" t="inlineStr">
        <is>
          <t>Social Justice and Special Assistance Department</t>
        </is>
      </c>
      <c r="S51" s="8" t="inlineStr">
        <is>
          <t>lgss</t>
        </is>
      </c>
      <c r="T51" s="8" t="inlineStr">
        <is>
          <t>MS-M07</t>
        </is>
      </c>
      <c r="U51" s="8" t="inlineStr">
        <is>
          <t>State</t>
        </is>
      </c>
      <c r="V51" s="8" t="n"/>
      <c r="W51" s="8" t="n"/>
      <c r="X51" s="8" t="inlineStr">
        <is>
          <t>Available</t>
        </is>
      </c>
      <c r="Y51" s="8" t="inlineStr">
        <is>
          <t>Present</t>
        </is>
      </c>
      <c r="Z51" s="8" t="inlineStr">
        <is>
          <t>Empty or absent in source</t>
        </is>
      </c>
      <c r="AA51" s="8" t="inlineStr">
        <is>
          <t>Offline</t>
        </is>
      </c>
      <c r="AB51" s="8" t="inlineStr">
        <is>
          <t>Present</t>
        </is>
      </c>
      <c r="AC51" s="8" t="inlineStr">
        <is>
          <t>Person age / date of birth
Income amount, period and subject
Social category
Household relationships / prior benefits
Jurisdiction
Credit / repayment
Time period / history</t>
        </is>
      </c>
      <c r="AD51" s="8" t="inlineStr">
        <is>
          <t>LIDCOM Gattai Stall Scheme</t>
        </is>
      </c>
      <c r="AE51" s="8" t="inlineStr">
        <is>
          <t>8461c67b2d5392b03430b13ec15b2cdd7c6b61bacb73db64e9a806a4698784bd</t>
        </is>
      </c>
    </row>
    <row r="52" ht="230" customHeight="1">
      <c r="A52" s="4" t="inlineStr">
        <is>
          <t>M08</t>
        </is>
      </c>
      <c r="B52" s="4" t="inlineStr">
        <is>
          <t>Mahila Kisan Yojana (Maharashtra)</t>
        </is>
      </c>
      <c r="C52" s="4" t="inlineStr">
        <is>
          <t>State</t>
        </is>
      </c>
      <c r="D52" s="4" t="inlineStr">
        <is>
          <t>Maharashtra</t>
        </is>
      </c>
      <c r="E52" s="4" t="inlineStr">
        <is>
          <t>Total Loan Amount: The scheme provides financial assistance of ₹50,000 for eligible female beneficiaries.
Subsidy Provided: A subsidy of ₹10,000 is granted, reducing the effective loan burden on the beneficiary
Loan Component: The remaining ₹40,000 is provided as a loan with an affordable interest rate of 5% per annum.</t>
        </is>
      </c>
      <c r="F52" s="4" t="inlineStr">
        <is>
          <t>Completed application form from the LIDCOM District Office.
Recent passport-size photograph.
Valid Income Certificate (issued by an authorized government officer).
Caste Certificate (Charmakar Community).
Proof of Residence (Maharashtra).
7/12 Land Extract:
Applicant’s name, joint name with husband, or husband’s name (with affidavit) for agricultural loans.
Knowledge or experience proof relevant to the proposed business/project.</t>
        </is>
      </c>
      <c r="G52" s="4" t="inlineStr">
        <is>
          <t>Step 1: The interested applicant should visit (during office hours) the District Office of  Leather Industries Development Corporation of Maharashtra (LIDCOM),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Full published text: Application steps.</t>
        </is>
      </c>
      <c r="H52" s="4" t="inlineStr">
        <is>
          <t>Compared with myScheme on 28 Oct 2026. Text reproduced as published; linked destinations not independently verified. Empty or absent sections: Exclusions. No requirement inferred.</t>
        </is>
      </c>
      <c r="I52" s="5" t="inlineStr">
        <is>
          <t>Open official page</t>
        </is>
      </c>
      <c r="J52" s="6" t="n">
        <v>46323</v>
      </c>
      <c r="K52" s="7" t="inlineStr">
        <is>
          <t>Approved</t>
        </is>
      </c>
      <c r="L52" s="7" t="n"/>
      <c r="M52" s="7" t="n"/>
      <c r="N52" s="4" t="inlineStr">
        <is>
          <t>Social welfare &amp; Empowerment; Skills &amp; Employment; Women and Child</t>
        </is>
      </c>
      <c r="O52" s="4" t="inlineStr">
        <is>
          <t>Individual</t>
        </is>
      </c>
      <c r="P52" s="4" t="inlineStr">
        <is>
          <t>Individual</t>
        </is>
      </c>
      <c r="Q52" s="4" t="inlineStr"/>
      <c r="R52" s="4" t="inlineStr">
        <is>
          <t>Social Justice and Special Assistance Department</t>
        </is>
      </c>
      <c r="S52" s="4" t="inlineStr">
        <is>
          <t>mkym</t>
        </is>
      </c>
      <c r="T52" s="4" t="inlineStr">
        <is>
          <t>MS-M08</t>
        </is>
      </c>
      <c r="U52" s="4" t="inlineStr">
        <is>
          <t>State/ UT</t>
        </is>
      </c>
      <c r="V52" s="4" t="n"/>
      <c r="W52" s="4" t="n"/>
      <c r="X52" s="4" t="inlineStr">
        <is>
          <t>Available</t>
        </is>
      </c>
      <c r="Y52" s="4" t="inlineStr">
        <is>
          <t>Present</t>
        </is>
      </c>
      <c r="Z52" s="4" t="inlineStr">
        <is>
          <t>Empty or absent in source</t>
        </is>
      </c>
      <c r="AA52" s="4" t="inlineStr">
        <is>
          <t>Offline</t>
        </is>
      </c>
      <c r="AB52" s="4" t="inlineStr">
        <is>
          <t>Present</t>
        </is>
      </c>
      <c r="AC52" s="4" t="inlineStr">
        <is>
          <t>Person age / date of birth
Income amount, period and subject
Social category
Project attributes
Credit / repayment
Landholding / ownership
Time period / history
Temporal condition</t>
        </is>
      </c>
      <c r="AD52" s="4" t="inlineStr">
        <is>
          <t>Mahila Kisan Yojana (Maharashtra)</t>
        </is>
      </c>
      <c r="AE52" s="4" t="inlineStr">
        <is>
          <t>c1034a4d83fb0e5032c9b99140b41fdd01136d990290c445b380ce7e9d19bcf5</t>
        </is>
      </c>
    </row>
    <row r="53" ht="230" customHeight="1">
      <c r="A53" s="8" t="inlineStr">
        <is>
          <t>M09</t>
        </is>
      </c>
      <c r="B53" s="8" t="inlineStr">
        <is>
          <t>Mahila Samridhi Yojana (Maharashtra)</t>
        </is>
      </c>
      <c r="C53" s="8" t="inlineStr">
        <is>
          <t>State</t>
        </is>
      </c>
      <c r="D53" s="8" t="inlineStr">
        <is>
          <t>Maharashtra</t>
        </is>
      </c>
      <c r="E53" s="8" t="inlineStr">
        <is>
          <t>Loan ranging from ₹25,000/- to ₹50,000/- is provided at a low interest rate of 4% per annum.</t>
        </is>
      </c>
      <c r="F53" s="8" t="inlineStr">
        <is>
          <t>The applicant must provide an income and caste certificate issued by an authorized government officer.</t>
        </is>
      </c>
      <c r="G53" s="8" t="inlineStr">
        <is>
          <t>Step 1: The interested applicant should visit (during office hours) the District Office of LIDCOM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District Office of LIDCOM.
Step 4: Request a receipt or…
Full published text: Application steps.</t>
        </is>
      </c>
      <c r="H53" s="8" t="inlineStr">
        <is>
          <t>Compared with myScheme on 28 Oct 2026. Text reproduced as published; linked destinations not independently verified. Empty or absent sections: Exclusions. No requirement inferred.</t>
        </is>
      </c>
      <c r="I53" s="5" t="inlineStr">
        <is>
          <t>Open official page</t>
        </is>
      </c>
      <c r="J53" s="9" t="n">
        <v>46323</v>
      </c>
      <c r="K53" s="7" t="inlineStr">
        <is>
          <t>Approved</t>
        </is>
      </c>
      <c r="L53" s="7" t="n"/>
      <c r="M53" s="7" t="n"/>
      <c r="N53" s="8" t="inlineStr">
        <is>
          <t>Banking,Financial Services and Insurance; Women and Child</t>
        </is>
      </c>
      <c r="O53" s="8" t="inlineStr">
        <is>
          <t>Individual</t>
        </is>
      </c>
      <c r="P53" s="8" t="inlineStr">
        <is>
          <t>Individual</t>
        </is>
      </c>
      <c r="Q53" s="8" t="inlineStr"/>
      <c r="R53" s="8" t="inlineStr">
        <is>
          <t>Social Justice and Special Assistance Department</t>
        </is>
      </c>
      <c r="S53" s="8" t="inlineStr">
        <is>
          <t>msym</t>
        </is>
      </c>
      <c r="T53" s="8" t="inlineStr">
        <is>
          <t>MS-M09</t>
        </is>
      </c>
      <c r="U53" s="8" t="inlineStr">
        <is>
          <t>State/ UT</t>
        </is>
      </c>
      <c r="V53" s="8" t="n"/>
      <c r="W53" s="8" t="n"/>
      <c r="X53" s="8" t="inlineStr">
        <is>
          <t>Available</t>
        </is>
      </c>
      <c r="Y53" s="8" t="inlineStr">
        <is>
          <t>Present</t>
        </is>
      </c>
      <c r="Z53" s="8" t="inlineStr">
        <is>
          <t>Empty or absent in source</t>
        </is>
      </c>
      <c r="AA53" s="8" t="inlineStr">
        <is>
          <t>Offline</t>
        </is>
      </c>
      <c r="AB53" s="8" t="inlineStr">
        <is>
          <t>Present</t>
        </is>
      </c>
      <c r="AC53" s="8" t="inlineStr">
        <is>
          <t>Person age / date of birth
Income amount, period and subject
Social category
Gender / applicant category
Credit / repayment
Preference, not automatically mandatory
Conditional exception
Time period / history</t>
        </is>
      </c>
      <c r="AD53" s="8" t="inlineStr">
        <is>
          <t>Mahila Samridhi Yojana (Maharashtra)</t>
        </is>
      </c>
      <c r="AE53" s="8" t="inlineStr">
        <is>
          <t>3555bc315e95216d2e7d754ff74adf082de90d888dae3cb9513d6322e068f1f7</t>
        </is>
      </c>
    </row>
    <row r="54" ht="230" customHeight="1">
      <c r="A54" s="4" t="inlineStr">
        <is>
          <t>M10</t>
        </is>
      </c>
      <c r="B54" s="4" t="inlineStr">
        <is>
          <t>Financial Assistance For Aids And Appliances For Disabled Persons</t>
        </is>
      </c>
      <c r="C54" s="4" t="inlineStr">
        <is>
          <t>State</t>
        </is>
      </c>
      <c r="D54" s="4" t="inlineStr">
        <is>
          <t>Maharashtra</t>
        </is>
      </c>
      <c r="E54" s="4" t="inlineStr">
        <is>
          <t>For Hearing Handicapped: Hearing Aids.
For Orthopedically Handicapped: Crutches, Tricycles, Calipers, Wheel Chair.
For Visually Handicapped: Tape Recorders and Blank Cassettes for Education Purposes Up to Cost of ₹3,000/-.</t>
        </is>
      </c>
      <c r="F54" s="4" t="inlineStr">
        <is>
          <t>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is>
      </c>
      <c r="G54" s="4" t="inlineStr">
        <is>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is>
      </c>
      <c r="H54" s="4" t="inlineStr">
        <is>
          <t>Compared with myScheme on 28 Oct 2026. Text reproduced as published; linked destinations not independently verified. Empty or absent sections: Exclusions. No requirement inferred.</t>
        </is>
      </c>
      <c r="I54" s="5" t="inlineStr">
        <is>
          <t>Open official page</t>
        </is>
      </c>
      <c r="J54" s="6" t="n">
        <v>46323</v>
      </c>
      <c r="K54" s="7" t="inlineStr">
        <is>
          <t>Approved</t>
        </is>
      </c>
      <c r="L54" s="7" t="n"/>
      <c r="M54" s="7" t="n"/>
      <c r="N54" s="4" t="inlineStr">
        <is>
          <t>Social welfare &amp; Empowerment</t>
        </is>
      </c>
      <c r="O54" s="4" t="inlineStr">
        <is>
          <t>Individual</t>
        </is>
      </c>
      <c r="P54" s="4" t="inlineStr">
        <is>
          <t>Individual</t>
        </is>
      </c>
      <c r="Q54" s="4" t="inlineStr"/>
      <c r="R54" s="4" t="inlineStr">
        <is>
          <t>Social Justice and Special Assistance Department</t>
        </is>
      </c>
      <c r="S54" s="4" t="inlineStr">
        <is>
          <t>faaadp</t>
        </is>
      </c>
      <c r="T54" s="4" t="inlineStr">
        <is>
          <t>MS-M10</t>
        </is>
      </c>
      <c r="U54" s="4" t="inlineStr">
        <is>
          <t>State</t>
        </is>
      </c>
      <c r="V54" s="4" t="n"/>
      <c r="W54" s="4" t="n"/>
      <c r="X54" s="4" t="inlineStr">
        <is>
          <t>Available</t>
        </is>
      </c>
      <c r="Y54" s="4" t="inlineStr">
        <is>
          <t>Present</t>
        </is>
      </c>
      <c r="Z54" s="4" t="inlineStr">
        <is>
          <t>Empty or absent in source</t>
        </is>
      </c>
      <c r="AA54" s="4" t="inlineStr">
        <is>
          <t>Offline</t>
        </is>
      </c>
      <c r="AB54" s="4" t="inlineStr">
        <is>
          <t>Present</t>
        </is>
      </c>
      <c r="AC54" s="4" t="inlineStr">
        <is>
          <t>Person age / date of birth
Income amount, period and subject
Disability and certification
Jurisdiction
Component / category-specific branch</t>
        </is>
      </c>
      <c r="AD54" s="4" t="inlineStr">
        <is>
          <t>Financial Assistance For Aids And Appliances For Disabled Persons</t>
        </is>
      </c>
      <c r="AE54" s="4" t="inlineStr">
        <is>
          <t>72a47e365429cd73183544e54c99651ada6bf671d1ab5862b7f23f715fd02a39</t>
        </is>
      </c>
    </row>
    <row r="55" ht="230" customHeight="1">
      <c r="A55" s="8" t="inlineStr">
        <is>
          <t>M11</t>
        </is>
      </c>
      <c r="B55" s="8" t="inlineStr">
        <is>
          <t>Financial Assistance To Disabled For Self Employment</t>
        </is>
      </c>
      <c r="C55" s="8" t="inlineStr">
        <is>
          <t>State</t>
        </is>
      </c>
      <c r="D55" s="8" t="inlineStr">
        <is>
          <t>Maharashtra</t>
        </is>
      </c>
      <c r="E55" s="8" t="inlineStr">
        <is>
          <t>Financial Assistance of up to ₹1,50,000/- is provided. 80% loan amount is provided by the Nationalized Bank.
20% subsidy of up to ₹30,000/- is provided by the Department of Social Justice &amp; Special Assistance.</t>
        </is>
      </c>
      <c r="F55" s="8" t="inlineStr">
        <is>
          <t>Aadhaar Card.
Proof of Age (Birth Certificate, Marksheet of Class 10th/12th, etc).
2-Passport Sized Photograph (Signed Across).
Residential Certificate / Domicile Certificate of the State of Maharashtra.
Disability Certificate.
Income Certificate.
Details of the Bank Account (Bank Name, Branch Name, Address, IFSC, etc).
Any other document required by the District Social Welfare Office.</t>
        </is>
      </c>
      <c r="G55" s="8" t="inlineStr">
        <is>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is>
      </c>
      <c r="H55" s="8" t="inlineStr">
        <is>
          <t>Compared with myScheme on 28 Oct 2026. Text reproduced as published; linked destinations not independently verified. Empty or absent sections: Exclusions. No requirement inferred.</t>
        </is>
      </c>
      <c r="I55" s="5" t="inlineStr">
        <is>
          <t>Open official page</t>
        </is>
      </c>
      <c r="J55" s="9" t="n">
        <v>46323</v>
      </c>
      <c r="K55" s="7" t="inlineStr">
        <is>
          <t>Approved</t>
        </is>
      </c>
      <c r="L55" s="7" t="n"/>
      <c r="M55" s="7" t="n"/>
      <c r="N55" s="8" t="inlineStr">
        <is>
          <t>Skills &amp; Employment; Social welfare &amp; Empowerment; Business &amp; Entrepreneurship</t>
        </is>
      </c>
      <c r="O55" s="8" t="inlineStr">
        <is>
          <t>Individual</t>
        </is>
      </c>
      <c r="P55" s="8" t="inlineStr">
        <is>
          <t>Individual</t>
        </is>
      </c>
      <c r="Q55" s="8" t="inlineStr"/>
      <c r="R55" s="8" t="inlineStr">
        <is>
          <t>Social Justice and Special Assistance Department</t>
        </is>
      </c>
      <c r="S55" s="8" t="inlineStr">
        <is>
          <t>fadse</t>
        </is>
      </c>
      <c r="T55" s="8" t="inlineStr">
        <is>
          <t>MS-M11</t>
        </is>
      </c>
      <c r="U55" s="8" t="inlineStr">
        <is>
          <t>State</t>
        </is>
      </c>
      <c r="V55" s="8" t="n"/>
      <c r="W55" s="8" t="n"/>
      <c r="X55" s="8" t="inlineStr">
        <is>
          <t>Not verified</t>
        </is>
      </c>
      <c r="Y55" s="8" t="inlineStr">
        <is>
          <t>Present</t>
        </is>
      </c>
      <c r="Z55" s="8" t="inlineStr">
        <is>
          <t>Empty or absent in source</t>
        </is>
      </c>
      <c r="AA55" s="8" t="inlineStr">
        <is>
          <t>Offline</t>
        </is>
      </c>
      <c r="AB55" s="8" t="inlineStr">
        <is>
          <t>Present</t>
        </is>
      </c>
      <c r="AC55" s="8" t="inlineStr">
        <is>
          <t>Person age / date of birth
Income amount, period and subject
Disability and certification
Project attributes
Jurisdiction
Credit / repayment
Employment / employer
Time period / history
Component / category-specific branch</t>
        </is>
      </c>
      <c r="AD55" s="8" t="inlineStr">
        <is>
          <t>Financial Assistance To Disabled For Self Employment</t>
        </is>
      </c>
      <c r="AE55" s="8" t="inlineStr">
        <is>
          <t>8915f15c98f2ffdcc1f11036a69e43dd1cc60889950bef006e7b9ed179d71e29</t>
        </is>
      </c>
    </row>
    <row r="56" ht="230" customHeight="1">
      <c r="A56" s="4" t="inlineStr">
        <is>
          <t>M12</t>
        </is>
      </c>
      <c r="B56" s="4" t="inlineStr">
        <is>
          <t>Ramai Awas (Gharkul) Scheme for SC &amp; Nav-Buddha (Urban and Rural)</t>
        </is>
      </c>
      <c r="C56" s="4" t="inlineStr">
        <is>
          <t>State</t>
        </is>
      </c>
      <c r="D56" s="4" t="inlineStr">
        <is>
          <t>Maharashtra</t>
        </is>
      </c>
      <c r="E56" s="4" t="inlineStr">
        <is>
          <t>The benefits vary with the area that the beneficiary resides in -
Rural Area: ₹ 1,00,000/- (Beneficiary's share is Nil)
Municipal Area: ₹ 1,50,000/- (Beneficiary's share is 7.5%)
Municipal Corporation: ₹ 2,00,000/- (Beneficiary's share is 10%)</t>
        </is>
      </c>
      <c r="F56" s="4" t="inlineStr">
        <is>
          <t>Residential / Domicile Certificate.
Caste Certificate.
Aadhaar Card
Address Proof.
Identity Card.
Passport Size Photo.</t>
        </is>
      </c>
      <c r="G56" s="4" t="inlineStr">
        <is>
          <t>Step 1: The interested applicant should visit (during office hours) one of the following officers and request a hard copy of the prescribed format of the application form from the concerned authority -
Assistant Commissioner, Social Welfare Office
Project Director, District Rural Development Agency
District Council / Municipal Commissioner
Step 2: In the application form, fill in all the mandatory fields, paste the passport-sized photograph (signed across, if required), and attach copies of all the mandatory documents (self-attest, if required).
Step 3: Submit the duly filled and signed…
Full published text: Application steps.</t>
        </is>
      </c>
      <c r="H56" s="4" t="inlineStr">
        <is>
          <t>Compared with myScheme on 28 Oct 2026. Text reproduced as published; linked destinations not independently verified. Empty or absent sections: Exclusions. No requirement inferred.</t>
        </is>
      </c>
      <c r="I56" s="5" t="inlineStr">
        <is>
          <t>Open official page</t>
        </is>
      </c>
      <c r="J56" s="6" t="n">
        <v>46323</v>
      </c>
      <c r="K56" s="7" t="inlineStr">
        <is>
          <t>Approved</t>
        </is>
      </c>
      <c r="L56" s="7" t="n"/>
      <c r="M56" s="7" t="n"/>
      <c r="N56" s="4" t="inlineStr">
        <is>
          <t>Housing &amp; Shelter; Social welfare &amp; Empowerment</t>
        </is>
      </c>
      <c r="O56" s="4" t="inlineStr">
        <is>
          <t>Individual</t>
        </is>
      </c>
      <c r="P56" s="4" t="inlineStr">
        <is>
          <t>Individual</t>
        </is>
      </c>
      <c r="Q56" s="4" t="inlineStr"/>
      <c r="R56" s="4" t="inlineStr">
        <is>
          <t>Social Justice and Special Assistance Department</t>
        </is>
      </c>
      <c r="S56" s="4" t="inlineStr">
        <is>
          <t>rassnb</t>
        </is>
      </c>
      <c r="T56" s="4" t="inlineStr">
        <is>
          <t>MS-M12</t>
        </is>
      </c>
      <c r="U56" s="4" t="inlineStr">
        <is>
          <t>State</t>
        </is>
      </c>
      <c r="V56" s="4" t="n"/>
      <c r="W56" s="4" t="n"/>
      <c r="X56" s="4" t="inlineStr">
        <is>
          <t>Available</t>
        </is>
      </c>
      <c r="Y56" s="4" t="inlineStr">
        <is>
          <t>Present</t>
        </is>
      </c>
      <c r="Z56" s="4" t="inlineStr">
        <is>
          <t>Empty or absent in source</t>
        </is>
      </c>
      <c r="AA56" s="4" t="inlineStr">
        <is>
          <t>Online</t>
        </is>
      </c>
      <c r="AB56" s="4" t="inlineStr">
        <is>
          <t>Present</t>
        </is>
      </c>
      <c r="AC56" s="4" t="inlineStr">
        <is>
          <t>Person age / date of birth
Income amount, period and subject
Social category
Household relationships / prior benefits
Project attributes
Landholding / ownership
Conditional exception
Time period / history
Temporal condition</t>
        </is>
      </c>
      <c r="AD56" s="4" t="inlineStr">
        <is>
          <t>Ramai Awas (Gharkul) Scheme for SC &amp; Nav-Buddha (Urban and Rural)</t>
        </is>
      </c>
      <c r="AE56" s="4" t="inlineStr">
        <is>
          <t>70d4cb3b29566550b793523fc5ea08d9ddb908eb38d5cdbe15feffcb00f70d17</t>
        </is>
      </c>
    </row>
    <row r="57" ht="230" customHeight="1">
      <c r="A57" s="8" t="inlineStr">
        <is>
          <t>M13</t>
        </is>
      </c>
      <c r="B57" s="8" t="inlineStr">
        <is>
          <t>Namo Shetkari Mahasanman Nidhi Yojana</t>
        </is>
      </c>
      <c r="C57" s="8" t="inlineStr">
        <is>
          <t>State</t>
        </is>
      </c>
      <c r="D57" s="8" t="inlineStr">
        <is>
          <t>Maharashtra</t>
        </is>
      </c>
      <c r="E57" s="8" t="inlineStr">
        <is>
          <t>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 NSMNY at each instalment.
6) Eligible farmers will get Rs. 12,000/- in a year from both PM KISAN &amp; NSMNY schems.
7) Farmers will be benefited through DBT.
8) The benefit of the NSMNY will be credited only in…
Full published text: Source passages → Benefits.</t>
        </is>
      </c>
      <c r="F57" s="8" t="inlineStr">
        <is>
          <t>1.	Aadhar Card,
2.	7/12,
3.	8-A,
4.	Ferfar,
5.	Ration card etc</t>
        </is>
      </c>
      <c r="G57" s="8" t="inlineStr">
        <is>
          <t>Step 01: Self Registration on PMKISAN Portal
Step 02: Verification of eligibility of registered beneficiary.
Step 03: Approval at Taluka Nodal Officer level.
Step 04: Approval at District Nodal Officer level.
Step 05: Final Approval at State Nodal Officer level.
Note : - No need of approval at district and state level in case of direct registration at TNO login.</t>
        </is>
      </c>
      <c r="H57" s="8" t="inlineStr">
        <is>
          <t>Compared with myScheme on 28 Oct 2026. Text reproduced as published; linked destinations not independently verified.</t>
        </is>
      </c>
      <c r="I57" s="5" t="inlineStr">
        <is>
          <t>Open official page</t>
        </is>
      </c>
      <c r="J57" s="9" t="n">
        <v>46323</v>
      </c>
      <c r="K57" s="7" t="inlineStr">
        <is>
          <t>Approved</t>
        </is>
      </c>
      <c r="L57" s="7" t="n"/>
      <c r="M57" s="7" t="n"/>
      <c r="N57" s="8" t="inlineStr">
        <is>
          <t>Agriculture,Rural &amp; Environment</t>
        </is>
      </c>
      <c r="O57" s="8" t="inlineStr">
        <is>
          <t>Individual</t>
        </is>
      </c>
      <c r="P57" s="8" t="inlineStr">
        <is>
          <t>Individual</t>
        </is>
      </c>
      <c r="Q57" s="8" t="inlineStr"/>
      <c r="R57" s="8" t="inlineStr">
        <is>
          <t>Agriculture Department</t>
        </is>
      </c>
      <c r="S57" s="8" t="inlineStr">
        <is>
          <t>namo-shetkari-mahasanman-nidhi-yojana</t>
        </is>
      </c>
      <c r="T57" s="8" t="inlineStr">
        <is>
          <t>MS-M13</t>
        </is>
      </c>
      <c r="U57" s="8" t="inlineStr">
        <is>
          <t>State/ UT</t>
        </is>
      </c>
      <c r="V57" s="9" t="n">
        <v>45017</v>
      </c>
      <c r="W57" s="8" t="n"/>
      <c r="X57" s="8" t="inlineStr">
        <is>
          <t>Available</t>
        </is>
      </c>
      <c r="Y57" s="8" t="inlineStr">
        <is>
          <t>Present</t>
        </is>
      </c>
      <c r="Z57" s="8" t="inlineStr">
        <is>
          <t>Present</t>
        </is>
      </c>
      <c r="AA57" s="8" t="inlineStr">
        <is>
          <t>Online</t>
        </is>
      </c>
      <c r="AB57" s="8" t="inlineStr">
        <is>
          <t>Present</t>
        </is>
      </c>
      <c r="AC57" s="8" t="inlineStr">
        <is>
          <t>Person age / date of birth
Income amount, period and subject
Household relationships / prior benefits
Registration / membership
Jurisdiction
Institution type / accreditation
Landholding / ownership
Employment / employer
Negative condition</t>
        </is>
      </c>
      <c r="AD57" s="8" t="inlineStr">
        <is>
          <t>Namo Shetkari Mahasanman Nidhi Yojana</t>
        </is>
      </c>
      <c r="AE57" s="8" t="inlineStr">
        <is>
          <t>01fda9a00e27057144bb97f36fd12ef5cb76dc6894baf621c0208b173687962f</t>
        </is>
      </c>
    </row>
    <row r="58" ht="230" customHeight="1">
      <c r="A58" s="4" t="inlineStr">
        <is>
          <t>M14</t>
        </is>
      </c>
      <c r="B58" s="4" t="inlineStr">
        <is>
          <t>CHIEF MINISTER  EMPLOYMENT GENERATION  PROGRAMME (CMEGP)</t>
        </is>
      </c>
      <c r="C58" s="4" t="inlineStr">
        <is>
          <t>State</t>
        </is>
      </c>
      <c r="D58" s="4" t="inlineStr">
        <is>
          <t>Maharashtra</t>
        </is>
      </c>
      <c r="E58" s="4" t="inlineStr">
        <is>
          <t>Categories of beneficiaries under CMEGP
Beneficiary’s Contribution (of project cost)
Rate of subsidy (of project cost)
Area (location of project/unit)
Urban
Rural
General Category
10%
15%
25%
Special Category (includes SC / ST /Women/ Ex- servicemen / differently abled/VJNT/OBC/Minority)
5%
25%
35%</t>
        </is>
      </c>
      <c r="F58" s="4" t="inlineStr">
        <is>
          <t>1)	Passport size photo
2)	Aadhar card
3)	Domicile certificate
4)	Educational cetifiacate
5)	Undertaking form
6)	Project profile
7)	Caste certificate(If applicable)
8)	Special categary certificate(If applicable)
9)	Pan card
10)	Populatuion certificate (Only for rural applicant)
11)	Clearance /approved certificate (bank)(If Working capital is zero for project cost more than 5 lac)</t>
        </is>
      </c>
      <c r="G58" s="4" t="inlineStr">
        <is>
          <t>Step 01:  Fill online application on portal https://maha-cmegp.gov.in
Step 02: District level Scrutiny and Coordination Sub-Committee (DLSCC) constituted under the Chairmanship of respective GM, DICs will scrutinize the applications and prepare a primary list of eligible applicants.
Step 03: primary eligible applicants list will be approved by DLTFC and then forwarded to bank.
Step 04: Bank Sanctioning &amp;  Entrepreneurship Development Programme (EDP)  training &amp;  Disbursment
Step 05: Subsidy claim by Bank to GM
Step 06: Approval of claim by HO and disbursement of margin money viz. nodal…
Full published text: Application steps.</t>
        </is>
      </c>
      <c r="H58" s="4" t="inlineStr">
        <is>
          <t>Compared with myScheme on 28 Oct 2026. Text reproduced as published; linked destinations not independently verified.</t>
        </is>
      </c>
      <c r="I58" s="5" t="inlineStr">
        <is>
          <t>Open official page</t>
        </is>
      </c>
      <c r="J58" s="6" t="n">
        <v>46323</v>
      </c>
      <c r="K58" s="7" t="inlineStr">
        <is>
          <t>Approved</t>
        </is>
      </c>
      <c r="L58" s="7" t="n"/>
      <c r="M58" s="7" t="n"/>
      <c r="N58" s="4" t="inlineStr">
        <is>
          <t>Business &amp; Entrepreneurship; Skills &amp; Employment; Social welfare &amp; Empowerment</t>
        </is>
      </c>
      <c r="O58" s="4" t="inlineStr">
        <is>
          <t>Individual</t>
        </is>
      </c>
      <c r="P58" s="4" t="inlineStr">
        <is>
          <t>All</t>
        </is>
      </c>
      <c r="Q58" s="4" t="inlineStr"/>
      <c r="R58" s="4" t="inlineStr">
        <is>
          <t>Industries Department</t>
        </is>
      </c>
      <c r="S58" s="4" t="inlineStr">
        <is>
          <t>cmegp</t>
        </is>
      </c>
      <c r="T58" s="4" t="inlineStr">
        <is>
          <t>MS-M14</t>
        </is>
      </c>
      <c r="U58" s="4" t="inlineStr">
        <is>
          <t>State/ UT</t>
        </is>
      </c>
      <c r="V58" s="6" t="n">
        <v>43678</v>
      </c>
      <c r="W58" s="6" t="n">
        <v>45504</v>
      </c>
      <c r="X58" s="4" t="inlineStr">
        <is>
          <t>Closed</t>
        </is>
      </c>
      <c r="Y58" s="4" t="inlineStr">
        <is>
          <t>Present</t>
        </is>
      </c>
      <c r="Z58" s="4" t="inlineStr">
        <is>
          <t>Present</t>
        </is>
      </c>
      <c r="AA58" s="4" t="inlineStr">
        <is>
          <t>Online</t>
        </is>
      </c>
      <c r="AB58" s="4" t="inlineStr">
        <is>
          <t>Present</t>
        </is>
      </c>
      <c r="AC58" s="4" t="inlineStr">
        <is>
          <t>Person age / date of birth
Income amount, period and subject
Social category
Gender / applicant category
Household relationships / prior benefits
Project attributes
Jurisdiction
Credit / repayment
Employment / employer
Conditional exception
Time period / history
Negative condition
Temporal condition
Component / category-specific branch</t>
        </is>
      </c>
      <c r="AD58" s="4" t="inlineStr">
        <is>
          <t>CHIEF MINISTER  EMPLOYMENT GENERATION  PROGRAMME (CMEGP)</t>
        </is>
      </c>
      <c r="AE58" s="4" t="inlineStr">
        <is>
          <t>57cd7d5088f933007887211ca5f9c35aafc5255330af310d2277096410f61a8a</t>
        </is>
      </c>
    </row>
    <row r="59" ht="230" customHeight="1">
      <c r="A59" s="8" t="inlineStr">
        <is>
          <t>M15</t>
        </is>
      </c>
      <c r="B59" s="8" t="inlineStr">
        <is>
          <t>Nanaji Deshmukh Krishi Sanjivani Prakalp</t>
        </is>
      </c>
      <c r="C59" s="8" t="inlineStr">
        <is>
          <t>State</t>
        </is>
      </c>
      <c r="D59" s="8" t="inlineStr">
        <is>
          <t>Maharashtra</t>
        </is>
      </c>
      <c r="E59" s="8" t="inlineStr">
        <is>
          <t>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t>
        </is>
      </c>
      <c r="F59" s="8" t="inlineStr">
        <is>
          <t>1)	Aadhaar Number
2)	Land details – 8A &amp; 7/12 extract
3)	Cast certificate (for applicants from SC ST communities)
4)	Landless certificate (for landless farmers &amp; labourers)
5)	Death certificate of husband (for Widows)
6)	Divorce certificate (for divorcee female)</t>
        </is>
      </c>
      <c r="G59" s="8" t="inlineStr">
        <is>
          <t>Application Link: https://dbt.mahapocra.gov.in
Step 01: Registration
Step 02: Application
Step 03: Pre-sanction by Agriculture officer
Step 04: Work completion by farmer
Step 05: Payment request by farmer
Step 06: Payment approval by the project
Step 07: Payment disbursement in Aadhaar linked bank account of the beneficiary farmer</t>
        </is>
      </c>
      <c r="H59" s="8" t="inlineStr">
        <is>
          <t>Compared with myScheme on 28 Oct 2026. Text reproduced as published; linked destinations not independently verified.</t>
        </is>
      </c>
      <c r="I59" s="5" t="inlineStr">
        <is>
          <t>Open official page</t>
        </is>
      </c>
      <c r="J59" s="9" t="n">
        <v>46323</v>
      </c>
      <c r="K59" s="7" t="inlineStr">
        <is>
          <t>Approved</t>
        </is>
      </c>
      <c r="L59" s="7" t="n"/>
      <c r="M59" s="7" t="n"/>
      <c r="N59" s="8" t="inlineStr">
        <is>
          <t>Agriculture,Rural &amp; Environment</t>
        </is>
      </c>
      <c r="O59" s="8" t="inlineStr">
        <is>
          <t>Individual</t>
        </is>
      </c>
      <c r="P59" s="8" t="inlineStr">
        <is>
          <t>Individual</t>
        </is>
      </c>
      <c r="Q59" s="8" t="inlineStr"/>
      <c r="R59" s="8" t="inlineStr">
        <is>
          <t>Agriculture Department</t>
        </is>
      </c>
      <c r="S59" s="8" t="inlineStr">
        <is>
          <t>pocra</t>
        </is>
      </c>
      <c r="T59" s="8" t="inlineStr">
        <is>
          <t>MS-M15</t>
        </is>
      </c>
      <c r="U59" s="8" t="inlineStr">
        <is>
          <t>State/ UT</t>
        </is>
      </c>
      <c r="V59" s="9" t="n">
        <v>43117</v>
      </c>
      <c r="W59" s="8" t="n"/>
      <c r="X59" s="8" t="inlineStr">
        <is>
          <t>Available</t>
        </is>
      </c>
      <c r="Y59" s="8" t="inlineStr">
        <is>
          <t>Present</t>
        </is>
      </c>
      <c r="Z59" s="8" t="inlineStr">
        <is>
          <t>Present</t>
        </is>
      </c>
      <c r="AA59" s="8" t="inlineStr">
        <is>
          <t>Online</t>
        </is>
      </c>
      <c r="AB59" s="8" t="inlineStr">
        <is>
          <t>Present</t>
        </is>
      </c>
      <c r="AC59" s="8" t="inlineStr">
        <is>
          <t>Person age / date of birth
Income amount, period and subject
Disability and certification
Gender / applicant category
Household relationships / prior benefits
Project attributes
Registration / membership
Jurisdiction
Institution type / accreditation
Credit / repayment
Landholding / ownership
Time period / history
Negative condition
Temporal condition</t>
        </is>
      </c>
      <c r="AD59" s="8" t="inlineStr">
        <is>
          <t>Nanaji Deshmukh Krishi Sanjivani Prakalp</t>
        </is>
      </c>
      <c r="AE59" s="8" t="inlineStr">
        <is>
          <t>58f8560799e48adca18a9d8bb9c4c91e00dc66c2bb55bb59af7e171bf5998543</t>
        </is>
      </c>
    </row>
    <row r="60" ht="230" customHeight="1">
      <c r="A60" s="4" t="inlineStr">
        <is>
          <t>M16</t>
        </is>
      </c>
      <c r="B60" s="4" t="inlineStr">
        <is>
          <t>Medical Assistance for the Treatment of Critical Illness</t>
        </is>
      </c>
      <c r="C60" s="4" t="inlineStr">
        <is>
          <t>State</t>
        </is>
      </c>
      <c r="D60" s="4" t="inlineStr">
        <is>
          <t>Maharashtra</t>
        </is>
      </c>
      <c r="E60" s="4" t="inlineStr">
        <is>
          <t>Financial assistance of ₹1,00,000/- is provided for medical treatment.</t>
        </is>
      </c>
      <c r="F60" s="4" t="inlineStr">
        <is>
          <t>Passport-size Photo.
Aadhaar Card.
Identity Card of Maharashtra Building and Other Construction Workers Welfare Board.
Bank Passbook.
Medical Certificate (issued by competent medical authorities about serious illness).
Medical Treatment Papers.
Proof of Residence (One of Aadhaar Card/Passport/Driving Licence/Ration Sheet/Last Month's Electricity Bill/Gram Panchayat Certificate).</t>
        </is>
      </c>
      <c r="G60" s="4" t="inlineStr">
        <is>
          <t>Step-1: The interested applicant downloads the application form from the MBOCWW official website.
Step-2: In the application form, fill in all the mandatory fields, and attach copies of all the mandatory documents (self-attest, if required).
Step-3: Submit the duly filled and signed application form along with the documents to the Labor Commissioner / Government Labor Officer.
Step-4: Request a receipt or acknowledgment from the concerned authority to whom the application has been submitted. Ensure that the receipt contains essential details such as the date and time of submission, and a unique identification number (if applicable).</t>
        </is>
      </c>
      <c r="H60" s="4" t="inlineStr">
        <is>
          <t>Compared with myScheme on 28 Oct 2026. Text reproduced as published; linked destinations not independently verified. Empty or absent sections: Exclusions. No requirement inferred.</t>
        </is>
      </c>
      <c r="I60" s="5" t="inlineStr">
        <is>
          <t>Open official page</t>
        </is>
      </c>
      <c r="J60" s="6" t="n">
        <v>46323</v>
      </c>
      <c r="K60" s="7" t="inlineStr">
        <is>
          <t>Approved</t>
        </is>
      </c>
      <c r="L60" s="7" t="n"/>
      <c r="M60" s="7" t="n"/>
      <c r="N60" s="4" t="inlineStr">
        <is>
          <t>Health &amp; Wellness</t>
        </is>
      </c>
      <c r="O60" s="4" t="inlineStr">
        <is>
          <t>Individual</t>
        </is>
      </c>
      <c r="P60" s="4" t="inlineStr">
        <is>
          <t>Individual</t>
        </is>
      </c>
      <c r="Q60" s="4" t="inlineStr"/>
      <c r="R60" s="4" t="inlineStr">
        <is>
          <t>Labour Department</t>
        </is>
      </c>
      <c r="S60" s="4" t="inlineStr">
        <is>
          <t>matci</t>
        </is>
      </c>
      <c r="T60" s="4" t="inlineStr">
        <is>
          <t>MS-M16</t>
        </is>
      </c>
      <c r="U60" s="4" t="inlineStr">
        <is>
          <t>State/ UT</t>
        </is>
      </c>
      <c r="V60" s="4" t="n"/>
      <c r="W60" s="4" t="n"/>
      <c r="X60" s="4" t="inlineStr">
        <is>
          <t>Available</t>
        </is>
      </c>
      <c r="Y60" s="4" t="inlineStr">
        <is>
          <t>Present</t>
        </is>
      </c>
      <c r="Z60" s="4" t="inlineStr">
        <is>
          <t>Empty or absent in source</t>
        </is>
      </c>
      <c r="AA60" s="4" t="inlineStr">
        <is>
          <t>Offline</t>
        </is>
      </c>
      <c r="AB60" s="4" t="inlineStr">
        <is>
          <t>Present</t>
        </is>
      </c>
      <c r="AC60" s="4" t="inlineStr">
        <is>
          <t>Person age / date of birth
Household relationships / prior benefits
Registration / membership
Temporal condition</t>
        </is>
      </c>
      <c r="AD60" s="4" t="inlineStr">
        <is>
          <t>Medical Assistance for the Treatment of Critical Illness</t>
        </is>
      </c>
      <c r="AE60" s="4" t="inlineStr">
        <is>
          <t>bf3cf03f5be162eb16692207e2d5b054565bcafa26a4d308672b82cbda6072f2</t>
        </is>
      </c>
    </row>
    <row r="61" ht="230" customHeight="1">
      <c r="A61" s="8" t="inlineStr">
        <is>
          <t>M17</t>
        </is>
      </c>
      <c r="B61" s="8" t="inlineStr">
        <is>
          <t>Grant In Aid To Old Age Home</t>
        </is>
      </c>
      <c r="C61" s="8" t="inlineStr">
        <is>
          <t>State</t>
        </is>
      </c>
      <c r="D61" s="8" t="inlineStr">
        <is>
          <t>Maharashtra</t>
        </is>
      </c>
      <c r="E61" s="8" t="inlineStr">
        <is>
          <t>In this scheme, grants are provided to the NGOs for accommodating old men and women, destitute, and disabled victims, into Old age Homes, and providing them with facilities such as food, accommodation, resort, Free lodging &amp; Boarding &amp; Medical Assistance, etc.</t>
        </is>
      </c>
      <c r="F61" s="8" t="inlineStr">
        <is>
          <t>Aadhaar Card.
2-Passport Sized Photograph (Signed Across).
Residential Certificate / Domicile Certificate of the State of Maharashtra.
Details of the Bank Account (Bank Name, Branch Name, Address, IFSC, etc).
Proof of Age (Birth Certificate, etc).
Any other document required by the District Social Welfare Office.</t>
        </is>
      </c>
      <c r="G61" s="8" t="inlineStr">
        <is>
          <t>Step 1: Visit the District Social Welfare Office, and request a hard copy of the format of the application form for the scheme from the concerned authority.
Step 2: In the application form, fill in all the mandatory fields, paste the passport-sized photograph (signed across), and attach all the (self-attested) mandatory documents.
Step 3: Submit the duly filled and signed application form along with the documents to the Assistant Commissioner, District Social Welfare Office.
Step 4: Acquire the receipt/acknowledgment of the successful submission of the application form from the District Social Welfare Office.</t>
        </is>
      </c>
      <c r="H61" s="8" t="inlineStr">
        <is>
          <t>Compared with myScheme on 28 Oct 2026. Text reproduced as published; linked destinations not independently verified. Empty or absent sections: Exclusions. No requirement inferred.</t>
        </is>
      </c>
      <c r="I61" s="5" t="inlineStr">
        <is>
          <t>Open official page</t>
        </is>
      </c>
      <c r="J61" s="9" t="n">
        <v>46323</v>
      </c>
      <c r="K61" s="7" t="inlineStr">
        <is>
          <t>Approved</t>
        </is>
      </c>
      <c r="L61" s="7" t="n"/>
      <c r="M61" s="7" t="n"/>
      <c r="N61" s="8" t="inlineStr">
        <is>
          <t>Housing &amp; Shelter; Social welfare &amp; Empowerment</t>
        </is>
      </c>
      <c r="O61" s="8" t="inlineStr">
        <is>
          <t>Individual</t>
        </is>
      </c>
      <c r="P61" s="8" t="inlineStr">
        <is>
          <t>NGO; Individual</t>
        </is>
      </c>
      <c r="Q61" s="8" t="inlineStr"/>
      <c r="R61" s="8" t="inlineStr">
        <is>
          <t>Social Justice and Special Assistance Department</t>
        </is>
      </c>
      <c r="S61" s="8" t="inlineStr">
        <is>
          <t>gaoah</t>
        </is>
      </c>
      <c r="T61" s="8" t="inlineStr">
        <is>
          <t>MS-M17</t>
        </is>
      </c>
      <c r="U61" s="8" t="inlineStr">
        <is>
          <t>State</t>
        </is>
      </c>
      <c r="V61" s="8" t="n"/>
      <c r="W61" s="8" t="n"/>
      <c r="X61" s="8" t="inlineStr">
        <is>
          <t>Available</t>
        </is>
      </c>
      <c r="Y61" s="8" t="inlineStr">
        <is>
          <t>Present</t>
        </is>
      </c>
      <c r="Z61" s="8" t="inlineStr">
        <is>
          <t>Empty or absent in source</t>
        </is>
      </c>
      <c r="AA61" s="8" t="inlineStr">
        <is>
          <t>Offline</t>
        </is>
      </c>
      <c r="AB61" s="8" t="inlineStr">
        <is>
          <t>Present</t>
        </is>
      </c>
      <c r="AC61" s="8" t="inlineStr">
        <is>
          <t>Person age / date of birth
Income amount, period and subject
Disability and certification
Gender / applicant category
Registration / membership
Jurisdiction
Time period / history
Component / category-specific branch</t>
        </is>
      </c>
      <c r="AD61" s="8" t="inlineStr">
        <is>
          <t>Grant In Aid To Old Age Home</t>
        </is>
      </c>
      <c r="AE61" s="8" t="inlineStr">
        <is>
          <t>cc52e2adfa345f72b805fcc5aeaafc4feaf4238f1757575c96bdca994701825c</t>
        </is>
      </c>
    </row>
    <row r="62" ht="230" customHeight="1">
      <c r="A62" s="4" t="inlineStr">
        <is>
          <t>M18</t>
        </is>
      </c>
      <c r="B62" s="4" t="inlineStr">
        <is>
          <t>Training Of Motor Driving To VJNT, SBS &amp; OBC</t>
        </is>
      </c>
      <c r="C62" s="4" t="inlineStr">
        <is>
          <t>State</t>
        </is>
      </c>
      <c r="D62" s="4" t="inlineStr">
        <is>
          <t>Maharashtra</t>
        </is>
      </c>
      <c r="E62" s="4" t="inlineStr">
        <is>
          <t>1)	If the trainee is not living at headquarters during the training period, the institution should pay Rs.300/-  for Driver and Rs.150/- for the Conductor trainee as a stipend.</t>
        </is>
      </c>
      <c r="F62" s="4" t="inlineStr">
        <is>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Bank Account Details.
Passport-sized Photograph.</t>
        </is>
      </c>
      <c r="G62" s="4" t="inlineStr">
        <is>
          <t>Step 1: Visit the Official Website of Mahadbt Portal.
Step 2: Click on "New Applicant Registration". Register using your Name, Mobile Number, and Email ID. Create a Username and Password. Your Mobile Number and Email ID will be verified via OTP.
Note: The username should contain only alphabets and numbers. The username should be greater than 4 characters and less than 15 characters.
Note: Password Length should be a minimum of 8 characters and a maximum of 20 characters. Password must contain at least 1 UpperCase Alphabet, 1 Lowercase Alphabet, 1 Number, and 1 Special Character.
Step 3: Now…
Full published text: Application steps.</t>
        </is>
      </c>
      <c r="H62" s="4" t="inlineStr">
        <is>
          <t>Compared with myScheme on 28 Oct 2026. Text reproduced as published; linked destinations not independently verified. Empty or absent sections: Exclusions. No requirement inferred.</t>
        </is>
      </c>
      <c r="I62" s="5" t="inlineStr">
        <is>
          <t>Open official page</t>
        </is>
      </c>
      <c r="J62" s="6" t="n">
        <v>46323</v>
      </c>
      <c r="K62" s="7" t="inlineStr">
        <is>
          <t>Approved</t>
        </is>
      </c>
      <c r="L62" s="7" t="n"/>
      <c r="M62" s="7" t="n"/>
      <c r="N62" s="4" t="inlineStr">
        <is>
          <t>Social welfare &amp; Empowerment; Education &amp; Learning</t>
        </is>
      </c>
      <c r="O62" s="4" t="inlineStr">
        <is>
          <t>Individual</t>
        </is>
      </c>
      <c r="P62" s="4" t="inlineStr">
        <is>
          <t>Individual</t>
        </is>
      </c>
      <c r="Q62" s="4" t="inlineStr"/>
      <c r="R62" s="4" t="inlineStr">
        <is>
          <t>Social Justice and Special Assistance Department</t>
        </is>
      </c>
      <c r="S62" s="4" t="inlineStr">
        <is>
          <t>tmdvso</t>
        </is>
      </c>
      <c r="T62" s="4" t="inlineStr">
        <is>
          <t>MS-M18</t>
        </is>
      </c>
      <c r="U62" s="4" t="inlineStr">
        <is>
          <t>State</t>
        </is>
      </c>
      <c r="V62" s="4" t="n"/>
      <c r="W62" s="4" t="n"/>
      <c r="X62" s="4" t="inlineStr">
        <is>
          <t>Available</t>
        </is>
      </c>
      <c r="Y62" s="4" t="inlineStr">
        <is>
          <t>Present</t>
        </is>
      </c>
      <c r="Z62" s="4" t="inlineStr">
        <is>
          <t>Empty or absent in source</t>
        </is>
      </c>
      <c r="AA62" s="4" t="inlineStr">
        <is>
          <t>Online</t>
        </is>
      </c>
      <c r="AB62" s="4" t="inlineStr">
        <is>
          <t>Present</t>
        </is>
      </c>
      <c r="AC62" s="4" t="inlineStr">
        <is>
          <t>Person age / date of birth
Income amount, period and subject
Registration / membership
Institution type / accreditation
Education / enrolment
Employment / employer
Component / category-specific branch</t>
        </is>
      </c>
      <c r="AD62" s="4" t="inlineStr">
        <is>
          <t>Training Of Motor Driving To VJNT, SBS &amp; OBC</t>
        </is>
      </c>
      <c r="AE62" s="4" t="inlineStr">
        <is>
          <t>ef817fa63e3ef56f93f17743381c1cd43ef482659e7469a256ace99f5762a609</t>
        </is>
      </c>
    </row>
    <row r="63" ht="230" customHeight="1">
      <c r="A63" s="8" t="inlineStr">
        <is>
          <t>M19</t>
        </is>
      </c>
      <c r="B63" s="8" t="inlineStr">
        <is>
          <t>Mukhyamantri - Majhi Ladki Bahin Yojana</t>
        </is>
      </c>
      <c r="C63" s="8" t="inlineStr">
        <is>
          <t>State</t>
        </is>
      </c>
      <c r="D63" s="8" t="inlineStr">
        <is>
          <t>Maharashtra</t>
        </is>
      </c>
      <c r="E63" s="8" t="inlineStr">
        <is>
          <t>Financial Assistance of ₹1,500/- per month.</t>
        </is>
      </c>
      <c r="F63" s="8" t="inlineStr">
        <is>
          <t>Photograph of the Beneficiary Woman
Aadhaar Card
Domicile Certificate (If the Domicile Certificate is not available, any one of the following can be submitted: Ration Card issued before 15 years, Voter ID card issued before 15 years, Birth Certificate, or School Leaving Certificate).
For Women Born Abroad (Submit the Husband's Ration Card issued before 15 years, Voter ID card issued before 15 years, Birth Certificate, School Leaving Certificate, or Domicile Certificate).
Income Certificate (Not required if the woman has a Yellow or Orange Ration Card. Required if the woman has a White Ration…
Full published text: Applicant documents.</t>
        </is>
      </c>
      <c r="G63" s="8" t="inlineStr">
        <is>
          <t>Registration Process:
Step 01: The interested applicant visit the official website.
Step 02: Select "Applicant Login" and click on "Create Account."
Step 03: Complete the registration form with the following details: Full Name as per Aadhaar, Mobile No, Password, Confirm Password, District, Taluka, Village, Municipal Corporation / Council, Authorized Person &amp; Accept Terms and Conditions.
Step 04: Enter the Captcha code and click "Sign-up." You will receive an OTP.
Step 05: Enter the OTP and the Captcha code again.
Step 06: Click "Verify the OTP" to receive a message confirming that your login…
Full published text: Application steps.</t>
        </is>
      </c>
      <c r="H63" s="8" t="inlineStr">
        <is>
          <t>Compared with myScheme on 28 Oct 2026. Text reproduced as published; linked destinations not independently verified.</t>
        </is>
      </c>
      <c r="I63" s="5" t="inlineStr">
        <is>
          <t>Open official page</t>
        </is>
      </c>
      <c r="J63" s="9" t="n">
        <v>46323</v>
      </c>
      <c r="K63" s="7" t="inlineStr">
        <is>
          <t>Approved</t>
        </is>
      </c>
      <c r="L63" s="7" t="n"/>
      <c r="M63" s="7" t="n"/>
      <c r="N63" s="8" t="inlineStr">
        <is>
          <t>Social welfare &amp; Empowerment; Women and Child</t>
        </is>
      </c>
      <c r="O63" s="8" t="inlineStr">
        <is>
          <t>Individual</t>
        </is>
      </c>
      <c r="P63" s="8" t="inlineStr">
        <is>
          <t>Individual</t>
        </is>
      </c>
      <c r="Q63" s="8" t="inlineStr"/>
      <c r="R63" s="8" t="inlineStr">
        <is>
          <t>Women and Child Development Department</t>
        </is>
      </c>
      <c r="S63" s="8" t="inlineStr">
        <is>
          <t>mmlby</t>
        </is>
      </c>
      <c r="T63" s="8" t="inlineStr">
        <is>
          <t>MS-M19</t>
        </is>
      </c>
      <c r="U63" s="8" t="inlineStr">
        <is>
          <t>State/ UT</t>
        </is>
      </c>
      <c r="V63" s="9" t="n">
        <v>45471</v>
      </c>
      <c r="W63" s="8" t="n"/>
      <c r="X63" s="8" t="inlineStr">
        <is>
          <t>Available</t>
        </is>
      </c>
      <c r="Y63" s="8" t="inlineStr">
        <is>
          <t>Present</t>
        </is>
      </c>
      <c r="Z63" s="8" t="inlineStr">
        <is>
          <t>Present</t>
        </is>
      </c>
      <c r="AA63" s="8" t="inlineStr">
        <is>
          <t>Online</t>
        </is>
      </c>
      <c r="AB63" s="8" t="inlineStr">
        <is>
          <t>Present</t>
        </is>
      </c>
      <c r="AC63" s="8" t="inlineStr">
        <is>
          <t>Person age / date of birth
Income amount, period and subject
Gender / applicant category
Household relationships / prior benefits
Registration / membership
Jurisdiction
Employment / employer
Time period / history
Negative condition
Temporal condition</t>
        </is>
      </c>
      <c r="AD63" s="8" t="inlineStr">
        <is>
          <t>Mukhyamantri - Majhi Ladki Bahin Yojana</t>
        </is>
      </c>
      <c r="AE63" s="8" t="inlineStr">
        <is>
          <t>8107d50158637d0592b95712f2d97275ff1447dfd399f775dc04c9284732a8d4</t>
        </is>
      </c>
    </row>
    <row r="64" ht="230" customHeight="1">
      <c r="A64" s="4" t="inlineStr">
        <is>
          <t>M20</t>
        </is>
      </c>
      <c r="B64" s="4" t="inlineStr">
        <is>
          <t>Mahatma Jyotirao Phule Jan Arogya Yojana</t>
        </is>
      </c>
      <c r="C64" s="4" t="inlineStr">
        <is>
          <t>State</t>
        </is>
      </c>
      <c r="D64" s="4" t="inlineStr">
        <is>
          <t>Maharashtra</t>
        </is>
      </c>
      <c r="E64" s="4" t="inlineStr">
        <is>
          <t>Health Coverage for Categories A to E (Excluding D): ₹5 lakhs per family per year on a floater basis under both schemes.
Health Coverage for Category D: ₹1 lakh per person per year.
Medical Benefits
• For categories A to E (Excluding D) - 1356 Health Benefits Packages under 34 specialities.
• For category D – 184 Health Benefits Packages for Road accident patients.
Follow-up treatment
262 Health Benefits Packages for both schemes (for categories A to E)
Treatment Reserved for Govt. Hospitals
119 Health Benefits Packages for both the schemes (for categories A to E)
Benefits under Health…
Full published text: Source passages → Benefits.</t>
        </is>
      </c>
      <c r="F64" s="4" t="inlineStr">
        <is>
          <t>List of valid photo ID proofs to be accepted along with document of eligible criteria:
1. Aadhaar Card or Aadhaar Registration Slip with a photo of the beneficiary. An Aadhaar Card would be insisted upon as an identification document and in the absence of an Aadhaar card/number; any document that is accepted for issuance of an Aadhaar card will also be accepted.
2. Pan Card
3. Voter ID
4. Driving License
5. School/College Id
6. Passport
7. Freedom Fighter ID card
8. Health Card of RGJAY / MJPJAY
9. Handicap Certificate
10. Nationalized Bank Passbook with Photo
11. Senior citizen card issued…
Full published text: Applicant documents.</t>
        </is>
      </c>
      <c r="G64" s="4" t="inlineStr">
        <is>
          <t>Step 1: The interested applicant should visit the  any Govt./Pvt. network hospital in State, and request the hard copy of the prescribed format of the application form from the concerned authority.
Step 2: In the application form, fill in all the mandatory fields, paste the passport-sized photograph (signed across, if required), and attach copies of all the mandatory documents (self-attest, if required).
Step 3: Submit the duly filled and signed application form along with the documents, within the prescribed period (if any), to the authority.
Step 4: Request a receipt or acknowledgement from…
Full published text: Application steps.</t>
        </is>
      </c>
      <c r="H64" s="4" t="inlineStr">
        <is>
          <t>Compared with myScheme on 28 Oct 2026. Text reproduced as published; linked destinations not independently verified. Empty or absent sections: Exclusions. No requirement inferred.</t>
        </is>
      </c>
      <c r="I64" s="5" t="inlineStr">
        <is>
          <t>Open official page</t>
        </is>
      </c>
      <c r="J64" s="6" t="n">
        <v>46323</v>
      </c>
      <c r="K64" s="7" t="inlineStr">
        <is>
          <t>Approved</t>
        </is>
      </c>
      <c r="L64" s="7" t="n"/>
      <c r="M64" s="7" t="n"/>
      <c r="N64" s="4" t="inlineStr">
        <is>
          <t>Health &amp; Wellness</t>
        </is>
      </c>
      <c r="O64" s="4" t="inlineStr">
        <is>
          <t>Family</t>
        </is>
      </c>
      <c r="P64" s="4" t="inlineStr">
        <is>
          <t>Individual</t>
        </is>
      </c>
      <c r="Q64" s="4" t="inlineStr"/>
      <c r="R64" s="4" t="inlineStr">
        <is>
          <t>Public Health and Family Welfare Department</t>
        </is>
      </c>
      <c r="S64" s="4" t="inlineStr">
        <is>
          <t>mjpjay</t>
        </is>
      </c>
      <c r="T64" s="4" t="inlineStr">
        <is>
          <t>MS-M20</t>
        </is>
      </c>
      <c r="U64" s="4" t="inlineStr">
        <is>
          <t>State/ UT</t>
        </is>
      </c>
      <c r="V64" s="4" t="n"/>
      <c r="W64" s="4" t="n"/>
      <c r="X64" s="4" t="inlineStr">
        <is>
          <t>Available</t>
        </is>
      </c>
      <c r="Y64" s="4" t="inlineStr">
        <is>
          <t>Present</t>
        </is>
      </c>
      <c r="Z64" s="4" t="inlineStr">
        <is>
          <t>Empty or absent in source</t>
        </is>
      </c>
      <c r="AA64" s="4" t="inlineStr">
        <is>
          <t>Offline</t>
        </is>
      </c>
      <c r="AB64" s="4" t="inlineStr">
        <is>
          <t>Present</t>
        </is>
      </c>
      <c r="AC64" s="4" t="inlineStr">
        <is>
          <t>Person age / date of birth
Income amount, period and subject
Gender / applicant category
Household relationships / prior benefits
Registration / membership
Jurisdiction
Education / enrolment
Employment / employer
Negative condition
Component / category-specific branch</t>
        </is>
      </c>
      <c r="AD64" s="4" t="inlineStr">
        <is>
          <t>Mahatma Jyotirao Phule Jan Arogya Yojana</t>
        </is>
      </c>
      <c r="AE64" s="4" t="inlineStr">
        <is>
          <t>dcae286f015dee340752ab8469bf1077279be9c348618004fc824be976d9d00e</t>
        </is>
      </c>
    </row>
    <row r="65" ht="230" customHeight="1">
      <c r="A65" s="8" t="inlineStr">
        <is>
          <t>M21</t>
        </is>
      </c>
      <c r="B65" s="8" t="inlineStr">
        <is>
          <t>Mukhyamantri Yuva Karya Prashikshan Yojana</t>
        </is>
      </c>
      <c r="C65" s="8" t="inlineStr">
        <is>
          <t>State</t>
        </is>
      </c>
      <c r="D65" s="8" t="inlineStr">
        <is>
          <t>Maharashtra</t>
        </is>
      </c>
      <c r="E65" s="8" t="inlineStr">
        <is>
          <t>Stipend:
12th Pass - 6,000/-
ITI / Diploma - 8,000/-
Degree / Post Graduation - 10,000/-
Note: Stipends are transferred directly to trainees' bank accounts linked with Aadhaar.</t>
        </is>
      </c>
      <c r="F65" s="8" t="inlineStr">
        <is>
          <t>Passport-size Photograph
Aadhaar Card
Bank Passbook or Cancelled Cheque
Living Certificate
Birth Certificate
Education Certificate
Domicile Certificate or SSC Passing Certificate</t>
        </is>
      </c>
      <c r="G65" s="8" t="inlineStr">
        <is>
          <t>Registration Process for Candidate:
Go to the official CMYKPY website for job seeker registration and click on “Intern Login”.
Use your Aadhaar number as the username for your account.
Fill in your full name, date of birth, gender, email, and mobile number.
Create a secure password and confirm it.
After completing all required fields, submit the registration form to finish the process.
Log In Process:
Fill Your Aadhar Number as a User Name and Password.
Complete your profile details, and fill in the personal, address, qualification, and bank details.
Upload the photo, qualification document,…
Full published text: Application steps.</t>
        </is>
      </c>
      <c r="H65" s="8" t="inlineStr">
        <is>
          <t>Compared with myScheme on 28 Oct 2026. Text reproduced as published; linked destinations not independently verified. Empty or absent sections: Exclusions. No requirement inferred.</t>
        </is>
      </c>
      <c r="I65" s="5" t="inlineStr">
        <is>
          <t>Open official page</t>
        </is>
      </c>
      <c r="J65" s="9" t="n">
        <v>46323</v>
      </c>
      <c r="K65" s="7" t="inlineStr">
        <is>
          <t>Approved</t>
        </is>
      </c>
      <c r="L65" s="7" t="n"/>
      <c r="M65" s="7" t="n"/>
      <c r="N65" s="8" t="inlineStr">
        <is>
          <t>Skills &amp; Employment</t>
        </is>
      </c>
      <c r="O65" s="8" t="inlineStr">
        <is>
          <t>Infra</t>
        </is>
      </c>
      <c r="P65" s="8" t="inlineStr">
        <is>
          <t>Individual</t>
        </is>
      </c>
      <c r="Q65" s="8" t="inlineStr"/>
      <c r="R65" s="8" t="inlineStr">
        <is>
          <t>Skill Development and Entrepreneurship Department</t>
        </is>
      </c>
      <c r="S65" s="8" t="inlineStr">
        <is>
          <t>mmykpy</t>
        </is>
      </c>
      <c r="T65" s="8" t="inlineStr">
        <is>
          <t>MS-M21</t>
        </is>
      </c>
      <c r="U65" s="8" t="inlineStr">
        <is>
          <t>State/ UT</t>
        </is>
      </c>
      <c r="V65" s="8" t="n"/>
      <c r="W65" s="8" t="n"/>
      <c r="X65" s="8" t="inlineStr">
        <is>
          <t>Not verified</t>
        </is>
      </c>
      <c r="Y65" s="8" t="inlineStr">
        <is>
          <t>Present</t>
        </is>
      </c>
      <c r="Z65" s="8" t="inlineStr">
        <is>
          <t>Empty or absent in source</t>
        </is>
      </c>
      <c r="AA65" s="8" t="inlineStr">
        <is>
          <t>Online</t>
        </is>
      </c>
      <c r="AB65" s="8" t="inlineStr">
        <is>
          <t>Present</t>
        </is>
      </c>
      <c r="AC65" s="8" t="inlineStr">
        <is>
          <t>Person age / date of birth
Registration / membership
Employment / employer
Temporal condition</t>
        </is>
      </c>
      <c r="AD65" s="8" t="inlineStr">
        <is>
          <t>Mukhyamantri Yuva Karya Prashikshan Yojana</t>
        </is>
      </c>
      <c r="AE65" s="8" t="inlineStr">
        <is>
          <t>91a37a49997b382218b5d9f034e4a59455dfd7977fd77f17e1a7a67659bc76c9</t>
        </is>
      </c>
    </row>
  </sheetData>
  <conditionalFormatting sqref="K6:K65">
    <cfRule type="containsText" priority="1" operator="containsText" dxfId="0" stopIfTrue="1" text="Approved">
      <formula>NOT(ISERROR(SEARCH("Approved",K6)))</formula>
    </cfRule>
  </conditionalFormatting>
  <dataValidations count="1">
    <dataValidation sqref="K6:K65" showDropDown="0" showInputMessage="1" showErrorMessage="1" allowBlank="1" type="list">
      <formula1>"Not started,In review,Approved,Needs correction,Not applicable,Excluded"</formula1>
    </dataValidation>
  </dataValidations>
  <hyperlinks>
    <hyperlink xmlns:r="http://schemas.openxmlformats.org/officeDocument/2006/relationships" ref="I6" r:id="rId1"/>
    <hyperlink xmlns:r="http://schemas.openxmlformats.org/officeDocument/2006/relationships" ref="I7" r:id="rId2"/>
    <hyperlink xmlns:r="http://schemas.openxmlformats.org/officeDocument/2006/relationships" ref="I8" r:id="rId3"/>
    <hyperlink xmlns:r="http://schemas.openxmlformats.org/officeDocument/2006/relationships" ref="I9" r:id="rId4"/>
    <hyperlink xmlns:r="http://schemas.openxmlformats.org/officeDocument/2006/relationships" ref="I10" r:id="rId5"/>
    <hyperlink xmlns:r="http://schemas.openxmlformats.org/officeDocument/2006/relationships" ref="I11" r:id="rId6"/>
    <hyperlink xmlns:r="http://schemas.openxmlformats.org/officeDocument/2006/relationships" ref="I12" r:id="rId7"/>
    <hyperlink xmlns:r="http://schemas.openxmlformats.org/officeDocument/2006/relationships" ref="I13" r:id="rId8"/>
    <hyperlink xmlns:r="http://schemas.openxmlformats.org/officeDocument/2006/relationships" ref="I14" r:id="rId9"/>
    <hyperlink xmlns:r="http://schemas.openxmlformats.org/officeDocument/2006/relationships" ref="I15" r:id="rId10"/>
    <hyperlink xmlns:r="http://schemas.openxmlformats.org/officeDocument/2006/relationships" ref="I16" r:id="rId11"/>
    <hyperlink xmlns:r="http://schemas.openxmlformats.org/officeDocument/2006/relationships" ref="I17" r:id="rId12"/>
    <hyperlink xmlns:r="http://schemas.openxmlformats.org/officeDocument/2006/relationships" ref="I18" r:id="rId13"/>
    <hyperlink xmlns:r="http://schemas.openxmlformats.org/officeDocument/2006/relationships" ref="I19" r:id="rId14"/>
    <hyperlink xmlns:r="http://schemas.openxmlformats.org/officeDocument/2006/relationships" ref="I20" r:id="rId15"/>
    <hyperlink xmlns:r="http://schemas.openxmlformats.org/officeDocument/2006/relationships" ref="I21" r:id="rId16"/>
    <hyperlink xmlns:r="http://schemas.openxmlformats.org/officeDocument/2006/relationships" ref="I22" r:id="rId17"/>
    <hyperlink xmlns:r="http://schemas.openxmlformats.org/officeDocument/2006/relationships" ref="I23" r:id="rId18"/>
    <hyperlink xmlns:r="http://schemas.openxmlformats.org/officeDocument/2006/relationships" ref="I24" r:id="rId19"/>
    <hyperlink xmlns:r="http://schemas.openxmlformats.org/officeDocument/2006/relationships" ref="I25" r:id="rId20"/>
    <hyperlink xmlns:r="http://schemas.openxmlformats.org/officeDocument/2006/relationships" ref="I26" r:id="rId21"/>
    <hyperlink xmlns:r="http://schemas.openxmlformats.org/officeDocument/2006/relationships" ref="I27" r:id="rId22"/>
    <hyperlink xmlns:r="http://schemas.openxmlformats.org/officeDocument/2006/relationships" ref="I28" r:id="rId23"/>
    <hyperlink xmlns:r="http://schemas.openxmlformats.org/officeDocument/2006/relationships" ref="I29" r:id="rId24"/>
    <hyperlink xmlns:r="http://schemas.openxmlformats.org/officeDocument/2006/relationships" ref="I30" r:id="rId25"/>
    <hyperlink xmlns:r="http://schemas.openxmlformats.org/officeDocument/2006/relationships" ref="I31" r:id="rId26"/>
    <hyperlink xmlns:r="http://schemas.openxmlformats.org/officeDocument/2006/relationships" ref="I32" r:id="rId27"/>
    <hyperlink xmlns:r="http://schemas.openxmlformats.org/officeDocument/2006/relationships" ref="I33" r:id="rId28"/>
    <hyperlink xmlns:r="http://schemas.openxmlformats.org/officeDocument/2006/relationships" ref="I34" r:id="rId29"/>
    <hyperlink xmlns:r="http://schemas.openxmlformats.org/officeDocument/2006/relationships" ref="I35" r:id="rId30"/>
    <hyperlink xmlns:r="http://schemas.openxmlformats.org/officeDocument/2006/relationships" ref="I36" r:id="rId31"/>
    <hyperlink xmlns:r="http://schemas.openxmlformats.org/officeDocument/2006/relationships" ref="I37" r:id="rId32"/>
    <hyperlink xmlns:r="http://schemas.openxmlformats.org/officeDocument/2006/relationships" ref="I38" r:id="rId33"/>
    <hyperlink xmlns:r="http://schemas.openxmlformats.org/officeDocument/2006/relationships" ref="I39" r:id="rId34"/>
    <hyperlink xmlns:r="http://schemas.openxmlformats.org/officeDocument/2006/relationships" ref="I40"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7" r:id="rId42"/>
    <hyperlink xmlns:r="http://schemas.openxmlformats.org/officeDocument/2006/relationships" ref="I48" r:id="rId43"/>
    <hyperlink xmlns:r="http://schemas.openxmlformats.org/officeDocument/2006/relationships" ref="I49" r:id="rId44"/>
    <hyperlink xmlns:r="http://schemas.openxmlformats.org/officeDocument/2006/relationships" ref="I50" r:id="rId45"/>
    <hyperlink xmlns:r="http://schemas.openxmlformats.org/officeDocument/2006/relationships" ref="I51" r:id="rId46"/>
    <hyperlink xmlns:r="http://schemas.openxmlformats.org/officeDocument/2006/relationships" ref="I52" r:id="rId47"/>
    <hyperlink xmlns:r="http://schemas.openxmlformats.org/officeDocument/2006/relationships" ref="I53" r:id="rId48"/>
    <hyperlink xmlns:r="http://schemas.openxmlformats.org/officeDocument/2006/relationships" ref="I54" r:id="rId49"/>
    <hyperlink xmlns:r="http://schemas.openxmlformats.org/officeDocument/2006/relationships" ref="I55" r:id="rId50"/>
    <hyperlink xmlns:r="http://schemas.openxmlformats.org/officeDocument/2006/relationships" ref="I56" r:id="rId51"/>
    <hyperlink xmlns:r="http://schemas.openxmlformats.org/officeDocument/2006/relationships" ref="I57" r:id="rId52"/>
    <hyperlink xmlns:r="http://schemas.openxmlformats.org/officeDocument/2006/relationships" ref="I58" r:id="rId53"/>
    <hyperlink xmlns:r="http://schemas.openxmlformats.org/officeDocument/2006/relationships" ref="I59" r:id="rId54"/>
    <hyperlink xmlns:r="http://schemas.openxmlformats.org/officeDocument/2006/relationships" ref="I60" r:id="rId55"/>
    <hyperlink xmlns:r="http://schemas.openxmlformats.org/officeDocument/2006/relationships" ref="I61" r:id="rId56"/>
    <hyperlink xmlns:r="http://schemas.openxmlformats.org/officeDocument/2006/relationships" ref="I62" r:id="rId57"/>
    <hyperlink xmlns:r="http://schemas.openxmlformats.org/officeDocument/2006/relationships" ref="I63" r:id="rId58"/>
    <hyperlink xmlns:r="http://schemas.openxmlformats.org/officeDocument/2006/relationships" ref="I64" r:id="rId59"/>
    <hyperlink xmlns:r="http://schemas.openxmlformats.org/officeDocument/2006/relationships" ref="I65" r:id="rId60"/>
  </hyperlinks>
  <pageMargins left="0.7" right="0.7" top="0.75" bottom="0.75" header="0.3" footer="0.3"/>
  <pageSetup orientation="landscape" paperSize="9" fitToHeight="0"/>
  <tableParts count="1">
    <tablePart xmlns:r="http://schemas.openxmlformats.org/officeDocument/2006/relationships" r:id="rId61"/>
  </tableParts>
</worksheet>
</file>

<file path=xl/worksheets/sheet2.xml><?xml version="1.0" encoding="utf-8"?>
<worksheet xmlns="http://schemas.openxmlformats.org/spreadsheetml/2006/main">
  <sheetPr>
    <outlinePr summaryBelow="1" summaryRight="1"/>
    <pageSetUpPr fitToPage="1"/>
  </sheetPr>
  <dimension ref="A2:P532"/>
  <sheetViews>
    <sheetView showGridLines="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3.7109375" customWidth="1" min="1" max="1"/>
    <col width="48.7109375" customWidth="1" min="2" max="2"/>
    <col width="24.7109375" customWidth="1" min="3" max="3"/>
    <col width="30.7109375" customWidth="1" min="4" max="4"/>
    <col width="90.7109375" customWidth="1" min="5" max="5"/>
    <col width="42.7109375" customWidth="1" min="6" max="6"/>
    <col width="65.7109375" customWidth="1" min="7" max="7"/>
    <col width="22.7109375" customWidth="1" min="8" max="8"/>
    <col width="70.7109375" customWidth="1" min="9" max="9"/>
    <col width="22.7109375" customWidth="1" min="10" max="10"/>
    <col width="70.7109375" customWidth="1" min="11" max="11"/>
    <col width="50.7109375" customWidth="1" min="12" max="12"/>
    <col width="38.7109375" customWidth="1" min="13" max="13"/>
    <col width="35.7109375" customWidth="1" min="14" max="14"/>
    <col width="20.7109375" customWidth="1" min="15" max="15"/>
    <col width="60.7109375" customWidth="1" min="16" max="16"/>
  </cols>
  <sheetData>
    <row r="2" ht="28" customHeight="1">
      <c r="A2" s="1" t="inlineStr">
        <is>
          <t>Eligibility conditions and exclusions</t>
        </is>
      </c>
    </row>
    <row r="3" ht="22" customHeight="1">
      <c r="A3" s="2" t="inlineStr">
        <is>
          <t>myScheme eligibility and exclusions. Legacy department-only duplicate rows removed for mapped schemes; unmatched schemes remain flagged.</t>
        </is>
      </c>
    </row>
    <row r="5" ht="45" customHeight="1">
      <c r="A5" s="3" t="inlineStr">
        <is>
          <t>Scheme ID</t>
        </is>
      </c>
      <c r="B5" s="3" t="inlineStr">
        <is>
          <t>Scheme</t>
        </is>
      </c>
      <c r="C5" s="3" t="inlineStr">
        <is>
          <t>Rule / source row ID</t>
        </is>
      </c>
      <c r="D5" s="3" t="inlineStr">
        <is>
          <t>Condition type</t>
        </is>
      </c>
      <c r="E5" s="3" t="inlineStr">
        <is>
          <t>Eligibility / restriction</t>
        </is>
      </c>
      <c r="F5" s="3" t="inlineStr">
        <is>
          <t>Source and passage</t>
        </is>
      </c>
      <c r="G5" s="3" t="inlineStr">
        <is>
          <t>Source context / interpretation</t>
        </is>
      </c>
      <c r="H5" s="3" t="inlineStr">
        <is>
          <t>Review status</t>
        </is>
      </c>
      <c r="I5" s="3" t="inlineStr">
        <is>
          <t>Reviewer corrections</t>
        </is>
      </c>
      <c r="J5" s="3" t="inlineStr">
        <is>
          <t>Section</t>
        </is>
      </c>
      <c r="K5" s="3" t="inlineStr">
        <is>
          <t>Original source path</t>
        </is>
      </c>
      <c r="L5" s="3" t="inlineStr">
        <is>
          <t>Version ID</t>
        </is>
      </c>
      <c r="M5" s="3" t="inlineStr">
        <is>
          <t>Representation</t>
        </is>
      </c>
      <c r="N5" s="3" t="inlineStr">
        <is>
          <t>Subject / scope mapping</t>
        </is>
      </c>
      <c r="O5" s="3" t="inlineStr">
        <is>
          <t>Continuation part</t>
        </is>
      </c>
      <c r="P5" s="3" t="inlineStr">
        <is>
          <t>Proposed field / operator</t>
        </is>
      </c>
    </row>
    <row r="6" ht="45" customHeight="1">
      <c r="A6" s="4" t="inlineStr">
        <is>
          <t>M03</t>
        </is>
      </c>
      <c r="B6" s="4" t="inlineStr">
        <is>
          <t>Lek Ladki Yojana</t>
        </is>
      </c>
      <c r="C6" s="4" t="inlineStr">
        <is>
          <t>M03-01</t>
        </is>
      </c>
      <c r="D6" s="4" t="inlineStr">
        <is>
          <t>Birth date</t>
        </is>
      </c>
      <c r="E6" s="4" t="inlineStr">
        <is>
          <t>Girl born on or after 1 Apr 2023.</t>
        </is>
      </c>
      <c r="F6" s="4" t="inlineStr">
        <is>
          <t>S24: PDF p2, A1</t>
        </is>
      </c>
      <c r="G6" s="4" t="n"/>
      <c r="H6" s="7" t="inlineStr">
        <is>
          <t>Not started</t>
        </is>
      </c>
      <c r="I6" s="7" t="n"/>
      <c r="J6" s="4" t="inlineStr">
        <is>
          <t>Earlier draft extraction</t>
        </is>
      </c>
      <c r="K6" s="4" t="inlineStr"/>
      <c r="L6" s="4" t="inlineStr"/>
      <c r="M6" s="4" t="inlineStr">
        <is>
          <t>Legacy review record</t>
        </is>
      </c>
      <c r="N6" s="7" t="inlineStr">
        <is>
          <t>Subject/scope not yet approved</t>
        </is>
      </c>
      <c r="O6" s="7" t="n"/>
      <c r="P6" s="7" t="n"/>
    </row>
    <row r="7" ht="45" customHeight="1">
      <c r="A7" s="4" t="inlineStr">
        <is>
          <t>M03</t>
        </is>
      </c>
      <c r="B7" s="4" t="inlineStr">
        <is>
          <t>Lek Ladki Yojana</t>
        </is>
      </c>
      <c r="C7" s="4" t="inlineStr">
        <is>
          <t>M03-02</t>
        </is>
      </c>
      <c r="D7" s="4" t="inlineStr">
        <is>
          <t>Household</t>
        </is>
      </c>
      <c r="E7" s="4" t="inlineStr">
        <is>
          <t>Yellow/orange ration-card family resident in Maharashtra; beneficiary bank account in Maharashtra.</t>
        </is>
      </c>
      <c r="F7" s="4" t="inlineStr">
        <is>
          <t>S24: p2 A1,A5,A6</t>
        </is>
      </c>
      <c r="G7" s="4" t="n"/>
      <c r="H7" s="7" t="inlineStr">
        <is>
          <t>Not started</t>
        </is>
      </c>
      <c r="I7" s="7" t="n"/>
      <c r="J7" s="4" t="inlineStr">
        <is>
          <t>Earlier draft extraction</t>
        </is>
      </c>
      <c r="K7" s="4" t="inlineStr"/>
      <c r="L7" s="4" t="inlineStr"/>
      <c r="M7" s="4" t="inlineStr">
        <is>
          <t>Legacy review record</t>
        </is>
      </c>
      <c r="N7" s="7" t="inlineStr">
        <is>
          <t>Subject/scope not yet approved</t>
        </is>
      </c>
      <c r="O7" s="7" t="n"/>
      <c r="P7" s="7" t="n"/>
    </row>
    <row r="8" ht="45" customHeight="1">
      <c r="A8" s="4" t="inlineStr">
        <is>
          <t>M03</t>
        </is>
      </c>
      <c r="B8" s="4" t="inlineStr">
        <is>
          <t>Lek Ladki Yojana</t>
        </is>
      </c>
      <c r="C8" s="4" t="inlineStr">
        <is>
          <t>M03-03</t>
        </is>
      </c>
      <c r="D8" s="4" t="inlineStr">
        <is>
          <t>Income</t>
        </is>
      </c>
      <c r="E8" s="4" t="inlineStr">
        <is>
          <t>Annual family income no greater than INR 100,000.</t>
        </is>
      </c>
      <c r="F8" s="4" t="inlineStr">
        <is>
          <t>S24: p2 A7</t>
        </is>
      </c>
      <c r="G8" s="4" t="n"/>
      <c r="H8" s="7" t="inlineStr">
        <is>
          <t>Not started</t>
        </is>
      </c>
      <c r="I8" s="7" t="n"/>
      <c r="J8" s="4" t="inlineStr">
        <is>
          <t>Earlier draft extraction</t>
        </is>
      </c>
      <c r="K8" s="4" t="inlineStr"/>
      <c r="L8" s="4" t="inlineStr"/>
      <c r="M8" s="4" t="inlineStr">
        <is>
          <t>Legacy review record</t>
        </is>
      </c>
      <c r="N8" s="7" t="inlineStr">
        <is>
          <t>Subject/scope not yet approved</t>
        </is>
      </c>
      <c r="O8" s="7" t="n"/>
      <c r="P8" s="7" t="n"/>
    </row>
    <row r="9" ht="45" customHeight="1">
      <c r="A9" s="4" t="inlineStr">
        <is>
          <t>M03</t>
        </is>
      </c>
      <c r="B9" s="4" t="inlineStr">
        <is>
          <t>Lek Ladki Yojana</t>
        </is>
      </c>
      <c r="C9" s="4" t="inlineStr">
        <is>
          <t>M03-04</t>
        </is>
      </c>
      <c r="D9" s="4" t="inlineStr">
        <is>
          <t>Birth order</t>
        </is>
      </c>
      <c r="E9" s="4" t="inlineStr">
        <is>
          <t>One or two daughters covered; daughter covered in a one-son/one-daughter family.</t>
        </is>
      </c>
      <c r="F9" s="4" t="inlineStr">
        <is>
          <t>S24: p2 A1</t>
        </is>
      </c>
      <c r="G9" s="4" t="n"/>
      <c r="H9" s="7" t="inlineStr">
        <is>
          <t>Not started</t>
        </is>
      </c>
      <c r="I9" s="7" t="n"/>
      <c r="J9" s="4" t="inlineStr">
        <is>
          <t>Earlier draft extraction</t>
        </is>
      </c>
      <c r="K9" s="4" t="inlineStr"/>
      <c r="L9" s="4" t="inlineStr"/>
      <c r="M9" s="4" t="inlineStr">
        <is>
          <t>Legacy review record</t>
        </is>
      </c>
      <c r="N9" s="7" t="inlineStr">
        <is>
          <t>Subject/scope not yet approved</t>
        </is>
      </c>
      <c r="O9" s="7" t="n"/>
      <c r="P9" s="7" t="n"/>
    </row>
    <row r="10" ht="45" customHeight="1">
      <c r="A10" s="4" t="inlineStr">
        <is>
          <t>M03</t>
        </is>
      </c>
      <c r="B10" s="4" t="inlineStr">
        <is>
          <t>Lek Ladki Yojana</t>
        </is>
      </c>
      <c r="C10" s="4" t="inlineStr">
        <is>
          <t>M03-05</t>
        </is>
      </c>
      <c r="D10" s="4" t="inlineStr">
        <is>
          <t>Twins</t>
        </is>
      </c>
      <c r="E10" s="4" t="inlineStr">
        <is>
          <t>Second-delivery twins: eligible girl(s) covered, with parental family-planning surgery requirement thereafter.</t>
        </is>
      </c>
      <c r="F10" s="4" t="inlineStr">
        <is>
          <t>S24: p2 A3</t>
        </is>
      </c>
      <c r="G10" s="4" t="n"/>
      <c r="H10" s="7" t="inlineStr">
        <is>
          <t>Not started</t>
        </is>
      </c>
      <c r="I10" s="7" t="n"/>
      <c r="J10" s="4" t="inlineStr">
        <is>
          <t>Earlier draft extraction</t>
        </is>
      </c>
      <c r="K10" s="4" t="inlineStr"/>
      <c r="L10" s="4" t="inlineStr"/>
      <c r="M10" s="4" t="inlineStr">
        <is>
          <t>Legacy review record</t>
        </is>
      </c>
      <c r="N10" s="7" t="inlineStr">
        <is>
          <t>Subject/scope not yet approved</t>
        </is>
      </c>
      <c r="O10" s="7" t="n"/>
      <c r="P10" s="7" t="n"/>
    </row>
    <row r="11" ht="45" customHeight="1">
      <c r="A11" s="4" t="inlineStr">
        <is>
          <t>M03</t>
        </is>
      </c>
      <c r="B11" s="4" t="inlineStr">
        <is>
          <t>Lek Ladki Yojana</t>
        </is>
      </c>
      <c r="C11" s="4" t="inlineStr">
        <is>
          <t>M03-06</t>
        </is>
      </c>
      <c r="D11" s="4" t="inlineStr">
        <is>
          <t>Existing child</t>
        </is>
      </c>
      <c r="E11" s="4" t="inlineStr">
        <is>
          <t>A child born before 1 Apr 2023 does not exclude a later second daughter/twin daughters, subject to family-planning condition.</t>
        </is>
      </c>
      <c r="F11" s="4" t="inlineStr">
        <is>
          <t>S24: p2 A4</t>
        </is>
      </c>
      <c r="G11" s="4" t="n"/>
      <c r="H11" s="7" t="inlineStr">
        <is>
          <t>Not started</t>
        </is>
      </c>
      <c r="I11" s="7" t="n"/>
      <c r="J11" s="4" t="inlineStr">
        <is>
          <t>Earlier draft extraction</t>
        </is>
      </c>
      <c r="K11" s="4" t="inlineStr"/>
      <c r="L11" s="4" t="inlineStr"/>
      <c r="M11" s="4" t="inlineStr">
        <is>
          <t>Legacy review record</t>
        </is>
      </c>
      <c r="N11" s="7" t="inlineStr">
        <is>
          <t>Subject/scope not yet approved</t>
        </is>
      </c>
      <c r="O11" s="7" t="n"/>
      <c r="P11" s="7" t="n"/>
    </row>
    <row r="12" ht="45" customHeight="1">
      <c r="A12" s="4" t="inlineStr">
        <is>
          <t>M03</t>
        </is>
      </c>
      <c r="B12" s="4" t="inlineStr">
        <is>
          <t>Lek Ladki Yojana</t>
        </is>
      </c>
      <c r="C12" s="4" t="inlineStr">
        <is>
          <t>M03-07</t>
        </is>
      </c>
      <c r="D12" s="4" t="inlineStr">
        <is>
          <t>Certificate timing</t>
        </is>
      </c>
      <c r="E12" s="4" t="inlineStr">
        <is>
          <t>Family-planning certificate for first child’s third instalment or second child’s second instalment.</t>
        </is>
      </c>
      <c r="F12" s="4" t="inlineStr">
        <is>
          <t>S24: p2 A2</t>
        </is>
      </c>
      <c r="G12" s="4" t="inlineStr">
        <is>
          <t>Beed checklist wording differs; use GR for review.</t>
        </is>
      </c>
      <c r="H12" s="7" t="inlineStr">
        <is>
          <t>Not started</t>
        </is>
      </c>
      <c r="I12" s="7" t="n"/>
      <c r="J12" s="4" t="inlineStr">
        <is>
          <t>Earlier draft extraction</t>
        </is>
      </c>
      <c r="K12" s="4" t="inlineStr"/>
      <c r="L12" s="4" t="inlineStr"/>
      <c r="M12" s="4" t="inlineStr">
        <is>
          <t>Legacy review record</t>
        </is>
      </c>
      <c r="N12" s="7" t="inlineStr">
        <is>
          <t>Subject/scope not yet approved</t>
        </is>
      </c>
      <c r="O12" s="7" t="n"/>
      <c r="P12" s="7" t="n"/>
    </row>
    <row r="13" ht="45" customHeight="1">
      <c r="A13" s="4" t="inlineStr">
        <is>
          <t>M03</t>
        </is>
      </c>
      <c r="B13" s="4" t="inlineStr">
        <is>
          <t>Lek Ladki Yojana</t>
        </is>
      </c>
      <c r="C13" s="4" t="inlineStr">
        <is>
          <t>M03-08</t>
        </is>
      </c>
      <c r="D13" s="4" t="inlineStr">
        <is>
          <t>Stage condition</t>
        </is>
      </c>
      <c r="E13" s="4" t="inlineStr">
        <is>
          <t>Relevant school attendance certificate at education stages; final benefit requires age 18, voter-list proof and unmarried declaration.</t>
        </is>
      </c>
      <c r="F13" s="4" t="inlineStr">
        <is>
          <t>S23: Documents; S24: documents B</t>
        </is>
      </c>
      <c r="G13" s="4" t="inlineStr">
        <is>
          <t>Verify current annexures for each stage.</t>
        </is>
      </c>
      <c r="H13" s="7" t="inlineStr">
        <is>
          <t>Not started</t>
        </is>
      </c>
      <c r="I13" s="7" t="n"/>
      <c r="J13" s="4" t="inlineStr">
        <is>
          <t>Earlier draft extraction</t>
        </is>
      </c>
      <c r="K13" s="4" t="inlineStr"/>
      <c r="L13" s="4" t="inlineStr"/>
      <c r="M13" s="4" t="inlineStr">
        <is>
          <t>Legacy review record</t>
        </is>
      </c>
      <c r="N13" s="7" t="inlineStr">
        <is>
          <t>Subject/scope not yet approved</t>
        </is>
      </c>
      <c r="O13" s="7" t="n"/>
      <c r="P13" s="7" t="n"/>
    </row>
    <row r="14" ht="45" customHeight="1">
      <c r="A14" s="4" t="inlineStr">
        <is>
          <t>M03</t>
        </is>
      </c>
      <c r="B14" s="4" t="inlineStr">
        <is>
          <t>Lek Ladki Yojana</t>
        </is>
      </c>
      <c r="C14" s="4" t="inlineStr">
        <is>
          <t>M03-09</t>
        </is>
      </c>
      <c r="D14" s="4" t="inlineStr">
        <is>
          <t>Identity exception</t>
        </is>
      </c>
      <c r="E14" s="4" t="inlineStr">
        <is>
          <t>Girl’s Aadhaar requirement relaxed for first benefit.</t>
        </is>
      </c>
      <c r="F14" s="4" t="inlineStr">
        <is>
          <t>S23: Documents</t>
        </is>
      </c>
      <c r="G14" s="4" t="inlineStr">
        <is>
          <t>Do not block newborn solely for missing Aadhaar.</t>
        </is>
      </c>
      <c r="H14" s="7" t="inlineStr">
        <is>
          <t>Not started</t>
        </is>
      </c>
      <c r="I14" s="7" t="n"/>
      <c r="J14" s="4" t="inlineStr">
        <is>
          <t>Earlier draft extraction</t>
        </is>
      </c>
      <c r="K14" s="4" t="inlineStr"/>
      <c r="L14" s="4" t="inlineStr"/>
      <c r="M14" s="4" t="inlineStr">
        <is>
          <t>Legacy review record</t>
        </is>
      </c>
      <c r="N14" s="7" t="inlineStr">
        <is>
          <t>Subject/scope not yet approved</t>
        </is>
      </c>
      <c r="O14" s="7" t="n"/>
      <c r="P14" s="7" t="n"/>
    </row>
    <row r="15" ht="45" customHeight="1">
      <c r="A15" s="4" t="inlineStr">
        <is>
          <t>M04</t>
        </is>
      </c>
      <c r="B15" s="4" t="inlineStr">
        <is>
          <t>Mukhyamantri Vayoshri Yojana</t>
        </is>
      </c>
      <c r="C15" s="4" t="inlineStr">
        <is>
          <t>M04-01</t>
        </is>
      </c>
      <c r="D15" s="4" t="inlineStr">
        <is>
          <t>Residence and age</t>
        </is>
      </c>
      <c r="E15" s="4" t="inlineStr">
        <is>
          <t>Maharashtra senior citizen who completed 65 years by 31 Dec 2023 under original GR.</t>
        </is>
      </c>
      <c r="F15" s="4" t="inlineStr">
        <is>
          <t>S27: PDF p4 section 8; S28</t>
        </is>
      </c>
      <c r="G15" s="4" t="inlineStr">
        <is>
          <t>Do not silently replace fixed cut-off with today’s age.</t>
        </is>
      </c>
      <c r="H15" s="7" t="inlineStr">
        <is>
          <t>Not started</t>
        </is>
      </c>
      <c r="I15" s="7" t="n"/>
      <c r="J15" s="4" t="inlineStr">
        <is>
          <t>Earlier draft extraction</t>
        </is>
      </c>
      <c r="K15" s="4" t="inlineStr"/>
      <c r="L15" s="4" t="inlineStr"/>
      <c r="M15" s="4" t="inlineStr">
        <is>
          <t>Legacy review record</t>
        </is>
      </c>
      <c r="N15" s="7" t="inlineStr">
        <is>
          <t>Subject/scope not yet approved</t>
        </is>
      </c>
      <c r="O15" s="7" t="n"/>
      <c r="P15" s="7" t="n"/>
    </row>
    <row r="16" ht="45" customHeight="1">
      <c r="A16" s="4" t="inlineStr">
        <is>
          <t>M04</t>
        </is>
      </c>
      <c r="B16" s="4" t="inlineStr">
        <is>
          <t>Mukhyamantri Vayoshri Yojana</t>
        </is>
      </c>
      <c r="C16" s="4" t="inlineStr">
        <is>
          <t>M04-02</t>
        </is>
      </c>
      <c r="D16" s="4" t="inlineStr">
        <is>
          <t>Identity</t>
        </is>
      </c>
      <c r="E16" s="4" t="inlineStr">
        <is>
          <t>Aadhaar or enrolment evidence; GR permits independent identity documents where Aadhaar is absent.</t>
        </is>
      </c>
      <c r="F16" s="4" t="inlineStr">
        <is>
          <t>S27: p4 section 8</t>
        </is>
      </c>
      <c r="G16" s="4" t="inlineStr">
        <is>
          <t>Department short page is less detailed.</t>
        </is>
      </c>
      <c r="H16" s="7" t="inlineStr">
        <is>
          <t>Not started</t>
        </is>
      </c>
      <c r="I16" s="7" t="n"/>
      <c r="J16" s="4" t="inlineStr">
        <is>
          <t>Earlier draft extraction</t>
        </is>
      </c>
      <c r="K16" s="4" t="inlineStr"/>
      <c r="L16" s="4" t="inlineStr"/>
      <c r="M16" s="4" t="inlineStr">
        <is>
          <t>Legacy review record</t>
        </is>
      </c>
      <c r="N16" s="7" t="inlineStr">
        <is>
          <t>Subject/scope not yet approved</t>
        </is>
      </c>
      <c r="O16" s="7" t="n"/>
      <c r="P16" s="7" t="n"/>
    </row>
    <row r="17" ht="45" customHeight="1">
      <c r="A17" s="4" t="inlineStr">
        <is>
          <t>M04</t>
        </is>
      </c>
      <c r="B17" s="4" t="inlineStr">
        <is>
          <t>Mukhyamantri Vayoshri Yojana</t>
        </is>
      </c>
      <c r="C17" s="4" t="inlineStr">
        <is>
          <t>M04-03</t>
        </is>
      </c>
      <c r="D17" s="4" t="inlineStr">
        <is>
          <t>Income</t>
        </is>
      </c>
      <c r="E17" s="4" t="inlineStr">
        <is>
          <t>Family annual income within INR 200,000; income self-declaration required.</t>
        </is>
      </c>
      <c r="F17" s="4" t="inlineStr">
        <is>
          <t>S26: main conditions</t>
        </is>
      </c>
      <c r="G17" s="4" t="inlineStr">
        <is>
          <t>Confirm strict/inclusive boundary from current GR.</t>
        </is>
      </c>
      <c r="H17" s="7" t="inlineStr">
        <is>
          <t>Not started</t>
        </is>
      </c>
      <c r="I17" s="7" t="n"/>
      <c r="J17" s="4" t="inlineStr">
        <is>
          <t>Earlier draft extraction</t>
        </is>
      </c>
      <c r="K17" s="4" t="inlineStr"/>
      <c r="L17" s="4" t="inlineStr"/>
      <c r="M17" s="4" t="inlineStr">
        <is>
          <t>Legacy review record</t>
        </is>
      </c>
      <c r="N17" s="7" t="inlineStr">
        <is>
          <t>Subject/scope not yet approved</t>
        </is>
      </c>
      <c r="O17" s="7" t="n"/>
      <c r="P17" s="7" t="n"/>
    </row>
    <row r="18" ht="45" customHeight="1">
      <c r="A18" s="4" t="inlineStr">
        <is>
          <t>M04</t>
        </is>
      </c>
      <c r="B18" s="4" t="inlineStr">
        <is>
          <t>Mukhyamantri Vayoshri Yojana</t>
        </is>
      </c>
      <c r="C18" s="4" t="inlineStr">
        <is>
          <t>M04-04</t>
        </is>
      </c>
      <c r="D18" s="4" t="inlineStr">
        <is>
          <t>Prior benefit</t>
        </is>
      </c>
      <c r="E18" s="4" t="inlineStr">
        <is>
          <t>No same equipment received free from a government source, local body or government-controlled undertaking in previous 3 years.</t>
        </is>
      </c>
      <c r="F18" s="4" t="inlineStr">
        <is>
          <t>S26: main conditions</t>
        </is>
      </c>
      <c r="G18" s="4" t="n"/>
      <c r="H18" s="7" t="inlineStr">
        <is>
          <t>Not started</t>
        </is>
      </c>
      <c r="I18" s="7" t="n"/>
      <c r="J18" s="4" t="inlineStr">
        <is>
          <t>Earlier draft extraction</t>
        </is>
      </c>
      <c r="K18" s="4" t="inlineStr"/>
      <c r="L18" s="4" t="inlineStr"/>
      <c r="M18" s="4" t="inlineStr">
        <is>
          <t>Legacy review record</t>
        </is>
      </c>
      <c r="N18" s="7" t="inlineStr">
        <is>
          <t>Subject/scope not yet approved</t>
        </is>
      </c>
      <c r="O18" s="7" t="n"/>
      <c r="P18" s="7" t="n"/>
    </row>
    <row r="19" ht="45" customHeight="1">
      <c r="A19" s="4" t="inlineStr">
        <is>
          <t>M04</t>
        </is>
      </c>
      <c r="B19" s="4" t="inlineStr">
        <is>
          <t>Mukhyamantri Vayoshri Yojana</t>
        </is>
      </c>
      <c r="C19" s="4" t="inlineStr">
        <is>
          <t>M04-05</t>
        </is>
      </c>
      <c r="D19" s="4" t="inlineStr">
        <is>
          <t>Exception</t>
        </is>
      </c>
      <c r="E19" s="4" t="inlineStr">
        <is>
          <t>Replacement of defective/non-functional equipment may be permitted as an exception.</t>
        </is>
      </c>
      <c r="F19" s="4" t="inlineStr">
        <is>
          <t>S26: main conditions</t>
        </is>
      </c>
      <c r="G19" s="4" t="inlineStr">
        <is>
          <t>Caseworker review required.</t>
        </is>
      </c>
      <c r="H19" s="7" t="inlineStr">
        <is>
          <t>Not started</t>
        </is>
      </c>
      <c r="I19" s="7" t="n"/>
      <c r="J19" s="4" t="inlineStr">
        <is>
          <t>Earlier draft extraction</t>
        </is>
      </c>
      <c r="K19" s="4" t="inlineStr"/>
      <c r="L19" s="4" t="inlineStr"/>
      <c r="M19" s="4" t="inlineStr">
        <is>
          <t>Legacy review record</t>
        </is>
      </c>
      <c r="N19" s="7" t="inlineStr">
        <is>
          <t>Subject/scope not yet approved</t>
        </is>
      </c>
      <c r="O19" s="7" t="n"/>
      <c r="P19" s="7" t="n"/>
    </row>
    <row r="20" ht="45" customHeight="1">
      <c r="A20" s="4" t="inlineStr">
        <is>
          <t>M04</t>
        </is>
      </c>
      <c r="B20" s="4" t="inlineStr">
        <is>
          <t>Mukhyamantri Vayoshri Yojana</t>
        </is>
      </c>
      <c r="C20" s="4" t="inlineStr">
        <is>
          <t>M04-06</t>
        </is>
      </c>
      <c r="D20" s="4" t="inlineStr">
        <is>
          <t>Payment</t>
        </is>
      </c>
      <c r="E20" s="4" t="inlineStr">
        <is>
          <t>Individual Aadhaar-linked savings account used for DBT.</t>
        </is>
      </c>
      <c r="F20" s="4" t="inlineStr">
        <is>
          <t>S27: PDF p2 benefit mechanism</t>
        </is>
      </c>
      <c r="G20" s="4" t="inlineStr">
        <is>
          <t>Check identity alternative versus payment onboarding.</t>
        </is>
      </c>
      <c r="H20" s="7" t="inlineStr">
        <is>
          <t>Not started</t>
        </is>
      </c>
      <c r="I20" s="7" t="n"/>
      <c r="J20" s="4" t="inlineStr">
        <is>
          <t>Earlier draft extraction</t>
        </is>
      </c>
      <c r="K20" s="4" t="inlineStr"/>
      <c r="L20" s="4" t="inlineStr"/>
      <c r="M20" s="4" t="inlineStr">
        <is>
          <t>Legacy review record</t>
        </is>
      </c>
      <c r="N20" s="7" t="inlineStr">
        <is>
          <t>Subject/scope not yet approved</t>
        </is>
      </c>
      <c r="O20" s="7" t="n"/>
      <c r="P20" s="7" t="n"/>
    </row>
    <row r="21" ht="45" customHeight="1">
      <c r="A21" s="4" t="inlineStr">
        <is>
          <t>C01</t>
        </is>
      </c>
      <c r="B21" s="4" t="inlineStr">
        <is>
          <t>Pradhan Mantri Jeevan Jyoti Bima Yojana</t>
        </is>
      </c>
      <c r="C21" s="4" t="inlineStr">
        <is>
          <t>C01-SRC001</t>
        </is>
      </c>
      <c r="D21" s="4" t="inlineStr">
        <is>
          <t>Eligibility text</t>
        </is>
      </c>
      <c r="E21" s="4" t="inlineStr">
        <is>
          <t>The age of the applicant must be between 18 to 50 Years.</t>
        </is>
      </c>
      <c r="F21" s="4" t="inlineStr">
        <is>
          <t>MS-C01 / C01-P0005</t>
        </is>
      </c>
      <c r="G21" s="4" t="inlineStr"/>
      <c r="H21" s="7" t="inlineStr">
        <is>
          <t>Approved</t>
        </is>
      </c>
      <c r="I21" s="7" t="n"/>
      <c r="J21" s="4" t="inlineStr">
        <is>
          <t>Eligibility</t>
        </is>
      </c>
      <c r="K21" s="4" t="inlineStr">
        <is>
          <t>en.eligibilityCriteria.eligibilityDescription[0].children[0]</t>
        </is>
      </c>
      <c r="L21" s="4" t="inlineStr">
        <is>
          <t>C01@20261028-6a583ea3</t>
        </is>
      </c>
      <c r="M21" s="4" t="inlineStr">
        <is>
          <t>Source extract; not executable</t>
        </is>
      </c>
      <c r="N21" s="7" t="inlineStr">
        <is>
          <t>Unassigned</t>
        </is>
      </c>
      <c r="O21" s="7" t="inlineStr">
        <is>
          <t>1/1</t>
        </is>
      </c>
      <c r="P21" s="7" t="n"/>
    </row>
    <row r="22" ht="45" customHeight="1">
      <c r="A22" s="4" t="inlineStr">
        <is>
          <t>C01</t>
        </is>
      </c>
      <c r="B22" s="4" t="inlineStr">
        <is>
          <t>Pradhan Mantri Jeevan Jyoti Bima Yojana</t>
        </is>
      </c>
      <c r="C22" s="4" t="inlineStr">
        <is>
          <t>C01-SRC002</t>
        </is>
      </c>
      <c r="D22" s="4" t="inlineStr">
        <is>
          <t>Eligibility text</t>
        </is>
      </c>
      <c r="E22" s="4" t="inlineStr">
        <is>
          <t>The applicant must hold an individual bank / post office account.</t>
        </is>
      </c>
      <c r="F22" s="4" t="inlineStr">
        <is>
          <t>MS-C01 / C01-P0006</t>
        </is>
      </c>
      <c r="G22" s="4" t="inlineStr"/>
      <c r="H22" s="7" t="inlineStr">
        <is>
          <t>Approved</t>
        </is>
      </c>
      <c r="I22" s="7" t="n"/>
      <c r="J22" s="4" t="inlineStr">
        <is>
          <t>Eligibility</t>
        </is>
      </c>
      <c r="K22" s="4" t="inlineStr">
        <is>
          <t>en.eligibilityCriteria.eligibilityDescription[0].children[1]</t>
        </is>
      </c>
      <c r="L22" s="4" t="inlineStr">
        <is>
          <t>C01@20261028-6a583ea3</t>
        </is>
      </c>
      <c r="M22" s="4" t="inlineStr">
        <is>
          <t>Source extract; not executable</t>
        </is>
      </c>
      <c r="N22" s="7" t="inlineStr">
        <is>
          <t>Unassigned</t>
        </is>
      </c>
      <c r="O22" s="7" t="inlineStr">
        <is>
          <t>1/1</t>
        </is>
      </c>
      <c r="P22" s="7" t="n"/>
    </row>
    <row r="23" ht="45" customHeight="1">
      <c r="A23" s="4" t="inlineStr">
        <is>
          <t>C01</t>
        </is>
      </c>
      <c r="B23" s="4" t="inlineStr">
        <is>
          <t>Pradhan Mantri Jeevan Jyoti Bima Yojana</t>
        </is>
      </c>
      <c r="C23" s="4" t="inlineStr">
        <is>
          <t>C01-EMPTY-Exclusions</t>
        </is>
      </c>
      <c r="D23" s="4" t="inlineStr">
        <is>
          <t>Exclusions</t>
        </is>
      </c>
      <c r="E23" s="4" t="inlineStr">
        <is>
          <t>Not stated in the captured source. Do not infer no restrictions.</t>
        </is>
      </c>
      <c r="F23" s="4" t="inlineStr">
        <is>
          <t>MS-C01</t>
        </is>
      </c>
      <c r="G23" s="4" t="inlineStr">
        <is>
          <t>Full official guidelines required.</t>
        </is>
      </c>
      <c r="H23" s="7" t="inlineStr">
        <is>
          <t>Approved</t>
        </is>
      </c>
      <c r="I23" s="7" t="n"/>
      <c r="J23" s="4" t="inlineStr">
        <is>
          <t>Exclusions</t>
        </is>
      </c>
      <c r="K23" s="4" t="inlineStr"/>
      <c r="L23" s="4" t="inlineStr">
        <is>
          <t>C01@20261028-6a583ea3</t>
        </is>
      </c>
      <c r="M23" s="4" t="inlineStr">
        <is>
          <t>Empty or absent in source</t>
        </is>
      </c>
      <c r="N23" s="7" t="inlineStr">
        <is>
          <t>Unassigned</t>
        </is>
      </c>
      <c r="O23" s="7" t="n"/>
      <c r="P23" s="7" t="n"/>
    </row>
    <row r="24" ht="66.88" customHeight="1">
      <c r="A24" s="4" t="inlineStr">
        <is>
          <t>C02</t>
        </is>
      </c>
      <c r="B24" s="4" t="inlineStr">
        <is>
          <t>Pradhan Mantri Suraksha Bima Yojana</t>
        </is>
      </c>
      <c r="C24" s="4" t="inlineStr">
        <is>
          <t>C02-SRC001</t>
        </is>
      </c>
      <c r="D24" s="4" t="inlineStr">
        <is>
          <t>Eligibility text</t>
        </is>
      </c>
      <c r="E24" s="4" t="inlineStr">
        <is>
          <t>Individual bank account holders of participating banks aged between 18 years (completed) and 70 years (age nearer birthday) who give their consent to join / enable auto-debit, will be enrolled into the scheme.</t>
        </is>
      </c>
      <c r="F24" s="4" t="inlineStr">
        <is>
          <t>MS-C02 / C02-P0014</t>
        </is>
      </c>
      <c r="G24" s="4" t="inlineStr"/>
      <c r="H24" s="7" t="inlineStr">
        <is>
          <t>Approved</t>
        </is>
      </c>
      <c r="I24" s="7" t="n"/>
      <c r="J24" s="4" t="inlineStr">
        <is>
          <t>Eligibility</t>
        </is>
      </c>
      <c r="K24" s="4" t="inlineStr">
        <is>
          <t>en.eligibilityCriteria.eligibilityDescription[0]</t>
        </is>
      </c>
      <c r="L24" s="4" t="inlineStr">
        <is>
          <t>C02@20261028-35fcf7ad</t>
        </is>
      </c>
      <c r="M24" s="4" t="inlineStr">
        <is>
          <t>Source extract; not executable</t>
        </is>
      </c>
      <c r="N24" s="7" t="inlineStr">
        <is>
          <t>Unassigned</t>
        </is>
      </c>
      <c r="O24" s="7" t="inlineStr">
        <is>
          <t>1/1</t>
        </is>
      </c>
      <c r="P24" s="7" t="n"/>
    </row>
    <row r="25" ht="45" customHeight="1">
      <c r="A25" s="4" t="inlineStr">
        <is>
          <t>C02</t>
        </is>
      </c>
      <c r="B25" s="4" t="inlineStr">
        <is>
          <t>Pradhan Mantri Suraksha Bima Yojana</t>
        </is>
      </c>
      <c r="C25" s="4" t="inlineStr">
        <is>
          <t>C02-EMPTY-Exclusions</t>
        </is>
      </c>
      <c r="D25" s="4" t="inlineStr">
        <is>
          <t>Exclusions</t>
        </is>
      </c>
      <c r="E25" s="4" t="inlineStr">
        <is>
          <t>Not stated in the captured source. Do not infer no restrictions.</t>
        </is>
      </c>
      <c r="F25" s="4" t="inlineStr">
        <is>
          <t>MS-C02</t>
        </is>
      </c>
      <c r="G25" s="4" t="inlineStr">
        <is>
          <t>Full official guidelines required.</t>
        </is>
      </c>
      <c r="H25" s="7" t="inlineStr">
        <is>
          <t>Approved</t>
        </is>
      </c>
      <c r="I25" s="7" t="n"/>
      <c r="J25" s="4" t="inlineStr">
        <is>
          <t>Exclusions</t>
        </is>
      </c>
      <c r="K25" s="4" t="inlineStr"/>
      <c r="L25" s="4" t="inlineStr">
        <is>
          <t>C02@20261028-35fcf7ad</t>
        </is>
      </c>
      <c r="M25" s="4" t="inlineStr">
        <is>
          <t>Empty or absent in source</t>
        </is>
      </c>
      <c r="N25" s="7" t="inlineStr">
        <is>
          <t>Unassigned</t>
        </is>
      </c>
      <c r="O25" s="7" t="n"/>
      <c r="P25" s="7" t="n"/>
    </row>
    <row r="26" ht="45" customHeight="1">
      <c r="A26" s="4" t="inlineStr">
        <is>
          <t>C03</t>
        </is>
      </c>
      <c r="B26" s="4" t="inlineStr">
        <is>
          <t>Pradhan Mantri Kisan Maandhan Yojana</t>
        </is>
      </c>
      <c r="C26" s="4" t="inlineStr">
        <is>
          <t>C03-SRC001</t>
        </is>
      </c>
      <c r="D26" s="4" t="inlineStr">
        <is>
          <t>Eligibility text</t>
        </is>
      </c>
      <c r="E26" s="4" t="inlineStr">
        <is>
          <t>The applicant should be a Small or Marginal Farmer.</t>
        </is>
      </c>
      <c r="F26" s="4" t="inlineStr">
        <is>
          <t>MS-C03 / C03-P0017</t>
        </is>
      </c>
      <c r="G26" s="4" t="inlineStr"/>
      <c r="H26" s="7" t="inlineStr">
        <is>
          <t>Approved</t>
        </is>
      </c>
      <c r="I26" s="7" t="n"/>
      <c r="J26" s="4" t="inlineStr">
        <is>
          <t>Eligibility</t>
        </is>
      </c>
      <c r="K26" s="4" t="inlineStr">
        <is>
          <t>en.eligibilityCriteria.eligibilityDescription[0].children[0].children[0]</t>
        </is>
      </c>
      <c r="L26" s="4" t="inlineStr">
        <is>
          <t>C03@20261028-b25487a7</t>
        </is>
      </c>
      <c r="M26" s="4" t="inlineStr">
        <is>
          <t>Source extract; not executable</t>
        </is>
      </c>
      <c r="N26" s="7" t="inlineStr">
        <is>
          <t>Unassigned</t>
        </is>
      </c>
      <c r="O26" s="7" t="inlineStr">
        <is>
          <t>1/1</t>
        </is>
      </c>
      <c r="P26" s="7" t="n"/>
    </row>
    <row r="27" ht="45" customHeight="1">
      <c r="A27" s="4" t="inlineStr">
        <is>
          <t>C03</t>
        </is>
      </c>
      <c r="B27" s="4" t="inlineStr">
        <is>
          <t>Pradhan Mantri Kisan Maandhan Yojana</t>
        </is>
      </c>
      <c r="C27" s="4" t="inlineStr">
        <is>
          <t>C03-SRC002</t>
        </is>
      </c>
      <c r="D27" s="4" t="inlineStr">
        <is>
          <t>Eligibility text</t>
        </is>
      </c>
      <c r="E27" s="4" t="inlineStr">
        <is>
          <t>The applicant should have cultivable landholding up to 2 hectares as per State or Union Territory land records.</t>
        </is>
      </c>
      <c r="F27" s="4" t="inlineStr">
        <is>
          <t>MS-C03 / C03-P0018</t>
        </is>
      </c>
      <c r="G27" s="4" t="inlineStr"/>
      <c r="H27" s="7" t="inlineStr">
        <is>
          <t>Approved</t>
        </is>
      </c>
      <c r="I27" s="7" t="n"/>
      <c r="J27" s="4" t="inlineStr">
        <is>
          <t>Eligibility</t>
        </is>
      </c>
      <c r="K27" s="4" t="inlineStr">
        <is>
          <t>en.eligibilityCriteria.eligibilityDescription[0].children[0].children[1]</t>
        </is>
      </c>
      <c r="L27" s="4" t="inlineStr">
        <is>
          <t>C03@20261028-b25487a7</t>
        </is>
      </c>
      <c r="M27" s="4" t="inlineStr">
        <is>
          <t>Source extract; not executable</t>
        </is>
      </c>
      <c r="N27" s="7" t="inlineStr">
        <is>
          <t>Unassigned</t>
        </is>
      </c>
      <c r="O27" s="7" t="inlineStr">
        <is>
          <t>1/1</t>
        </is>
      </c>
      <c r="P27" s="7" t="n"/>
    </row>
    <row r="28" ht="45" customHeight="1">
      <c r="A28" s="4" t="inlineStr">
        <is>
          <t>C03</t>
        </is>
      </c>
      <c r="B28" s="4" t="inlineStr">
        <is>
          <t>Pradhan Mantri Kisan Maandhan Yojana</t>
        </is>
      </c>
      <c r="C28" s="4" t="inlineStr">
        <is>
          <t>C03-SRC003</t>
        </is>
      </c>
      <c r="D28" s="4" t="inlineStr">
        <is>
          <t>Eligibility text</t>
        </is>
      </c>
      <c r="E28" s="4" t="inlineStr">
        <is>
          <t>The applicant should be between 18 and 40 years of age at the time of entry.</t>
        </is>
      </c>
      <c r="F28" s="4" t="inlineStr">
        <is>
          <t>MS-C03 / C03-P0019</t>
        </is>
      </c>
      <c r="G28" s="4" t="inlineStr"/>
      <c r="H28" s="7" t="inlineStr">
        <is>
          <t>Approved</t>
        </is>
      </c>
      <c r="I28" s="7" t="n"/>
      <c r="J28" s="4" t="inlineStr">
        <is>
          <t>Eligibility</t>
        </is>
      </c>
      <c r="K28" s="4" t="inlineStr">
        <is>
          <t>en.eligibilityCriteria.eligibilityDescription[0].children[0].children[2]</t>
        </is>
      </c>
      <c r="L28" s="4" t="inlineStr">
        <is>
          <t>C03@20261028-b25487a7</t>
        </is>
      </c>
      <c r="M28" s="4" t="inlineStr">
        <is>
          <t>Source extract; not executable</t>
        </is>
      </c>
      <c r="N28" s="7" t="inlineStr">
        <is>
          <t>Unassigned</t>
        </is>
      </c>
      <c r="O28" s="7" t="inlineStr">
        <is>
          <t>1/1</t>
        </is>
      </c>
      <c r="P28" s="7" t="n"/>
    </row>
    <row r="29" ht="45" customHeight="1">
      <c r="A29" s="4" t="inlineStr">
        <is>
          <t>C03</t>
        </is>
      </c>
      <c r="B29" s="4" t="inlineStr">
        <is>
          <t>Pradhan Mantri Kisan Maandhan Yojana</t>
        </is>
      </c>
      <c r="C29" s="4" t="inlineStr">
        <is>
          <t>C03-SRC004</t>
        </is>
      </c>
      <c r="D29" s="4" t="inlineStr">
        <is>
          <t>Eligibility text</t>
        </is>
      </c>
      <c r="E29" s="4" t="inlineStr">
        <is>
          <t>The applicant’s name should appear in land records as on 01.08.2019.</t>
        </is>
      </c>
      <c r="F29" s="4" t="inlineStr">
        <is>
          <t>MS-C03 / C03-P0020</t>
        </is>
      </c>
      <c r="G29" s="4" t="inlineStr"/>
      <c r="H29" s="7" t="inlineStr">
        <is>
          <t>Approved</t>
        </is>
      </c>
      <c r="I29" s="7" t="n"/>
      <c r="J29" s="4" t="inlineStr">
        <is>
          <t>Eligibility</t>
        </is>
      </c>
      <c r="K29" s="4" t="inlineStr">
        <is>
          <t>en.eligibilityCriteria.eligibilityDescription[0].children[0].children[3]</t>
        </is>
      </c>
      <c r="L29" s="4" t="inlineStr">
        <is>
          <t>C03@20261028-b25487a7</t>
        </is>
      </c>
      <c r="M29" s="4" t="inlineStr">
        <is>
          <t>Source extract; not executable</t>
        </is>
      </c>
      <c r="N29" s="7" t="inlineStr">
        <is>
          <t>Unassigned</t>
        </is>
      </c>
      <c r="O29" s="7" t="inlineStr">
        <is>
          <t>1/1</t>
        </is>
      </c>
      <c r="P29" s="7" t="n"/>
    </row>
    <row r="30" ht="45" customHeight="1">
      <c r="A30" s="4" t="inlineStr">
        <is>
          <t>C03</t>
        </is>
      </c>
      <c r="B30" s="4" t="inlineStr">
        <is>
          <t>Pradhan Mantri Kisan Maandhan Yojana</t>
        </is>
      </c>
      <c r="C30" s="4" t="inlineStr">
        <is>
          <t>C03-SRC005</t>
        </is>
      </c>
      <c r="D30" s="4" t="inlineStr">
        <is>
          <t>Eligibility text</t>
        </is>
      </c>
      <c r="E30" s="4" t="inlineStr">
        <is>
          <t>The applicant should possess an Aadhaar card.</t>
        </is>
      </c>
      <c r="F30" s="4" t="inlineStr">
        <is>
          <t>MS-C03 / C03-P0021</t>
        </is>
      </c>
      <c r="G30" s="4" t="inlineStr"/>
      <c r="H30" s="7" t="inlineStr">
        <is>
          <t>Approved</t>
        </is>
      </c>
      <c r="I30" s="7" t="n"/>
      <c r="J30" s="4" t="inlineStr">
        <is>
          <t>Eligibility</t>
        </is>
      </c>
      <c r="K30" s="4" t="inlineStr">
        <is>
          <t>en.eligibilityCriteria.eligibilityDescription[0].children[0].children[4]</t>
        </is>
      </c>
      <c r="L30" s="4" t="inlineStr">
        <is>
          <t>C03@20261028-b25487a7</t>
        </is>
      </c>
      <c r="M30" s="4" t="inlineStr">
        <is>
          <t>Source extract; not executable</t>
        </is>
      </c>
      <c r="N30" s="7" t="inlineStr">
        <is>
          <t>Unassigned</t>
        </is>
      </c>
      <c r="O30" s="7" t="inlineStr">
        <is>
          <t>1/1</t>
        </is>
      </c>
      <c r="P30" s="7" t="n"/>
    </row>
    <row r="31" ht="45" customHeight="1">
      <c r="A31" s="4" t="inlineStr">
        <is>
          <t>C03</t>
        </is>
      </c>
      <c r="B31" s="4" t="inlineStr">
        <is>
          <t>Pradhan Mantri Kisan Maandhan Yojana</t>
        </is>
      </c>
      <c r="C31" s="4" t="inlineStr">
        <is>
          <t>C03-SRC006</t>
        </is>
      </c>
      <c r="D31" s="4" t="inlineStr">
        <is>
          <t>Eligibility text</t>
        </is>
      </c>
      <c r="E31" s="4" t="inlineStr">
        <is>
          <t>The applicant should have a savings bank account or PM-KISAN account.</t>
        </is>
      </c>
      <c r="F31" s="4" t="inlineStr">
        <is>
          <t>MS-C03 / C03-P0022</t>
        </is>
      </c>
      <c r="G31" s="4" t="inlineStr"/>
      <c r="H31" s="7" t="inlineStr">
        <is>
          <t>Approved</t>
        </is>
      </c>
      <c r="I31" s="7" t="n"/>
      <c r="J31" s="4" t="inlineStr">
        <is>
          <t>Eligibility</t>
        </is>
      </c>
      <c r="K31" s="4" t="inlineStr">
        <is>
          <t>en.eligibilityCriteria.eligibilityDescription[0].children[0].children[5]</t>
        </is>
      </c>
      <c r="L31" s="4" t="inlineStr">
        <is>
          <t>C03@20261028-b25487a7</t>
        </is>
      </c>
      <c r="M31" s="4" t="inlineStr">
        <is>
          <t>Source extract; not executable</t>
        </is>
      </c>
      <c r="N31" s="7" t="inlineStr">
        <is>
          <t>Unassigned</t>
        </is>
      </c>
      <c r="O31" s="7" t="inlineStr">
        <is>
          <t>1/1</t>
        </is>
      </c>
      <c r="P31" s="7" t="n"/>
    </row>
    <row r="32" ht="60.16" customHeight="1">
      <c r="A32" s="4" t="inlineStr">
        <is>
          <t>C03</t>
        </is>
      </c>
      <c r="B32" s="4" t="inlineStr">
        <is>
          <t>Pradhan Mantri Kisan Maandhan Yojana</t>
        </is>
      </c>
      <c r="C32" s="4" t="inlineStr">
        <is>
          <t>C03-SRC007</t>
        </is>
      </c>
      <c r="D32" s="4" t="inlineStr">
        <is>
          <t>Exclusion text</t>
        </is>
      </c>
      <c r="E32" s="4" t="inlineStr">
        <is>
          <t>SMFs covered under any other statuary social security schemes such as National Pension Scheme (NPS), Employees’ State Insurance Corporation scheme, Employees’ Fund Organization Scheme etc.</t>
        </is>
      </c>
      <c r="F32" s="4" t="inlineStr">
        <is>
          <t>MS-C03 / C03-P0023</t>
        </is>
      </c>
      <c r="G32" s="4" t="inlineStr"/>
      <c r="H32" s="7" t="inlineStr">
        <is>
          <t>Approved</t>
        </is>
      </c>
      <c r="I32" s="7" t="n"/>
      <c r="J32" s="4" t="inlineStr">
        <is>
          <t>Exclusions</t>
        </is>
      </c>
      <c r="K32" s="4" t="inlineStr">
        <is>
          <t>en.schemeContent.exclusions[0].children[0]</t>
        </is>
      </c>
      <c r="L32" s="4" t="inlineStr">
        <is>
          <t>C03@20261028-b25487a7</t>
        </is>
      </c>
      <c r="M32" s="4" t="inlineStr">
        <is>
          <t>Source extract; not executable</t>
        </is>
      </c>
      <c r="N32" s="7" t="inlineStr">
        <is>
          <t>Unassigned</t>
        </is>
      </c>
      <c r="O32" s="7" t="inlineStr">
        <is>
          <t>1/1</t>
        </is>
      </c>
      <c r="P32" s="7" t="n"/>
    </row>
    <row r="33" ht="50.24" customHeight="1">
      <c r="A33" s="4" t="inlineStr">
        <is>
          <t>C03</t>
        </is>
      </c>
      <c r="B33" s="4" t="inlineStr">
        <is>
          <t>Pradhan Mantri Kisan Maandhan Yojana</t>
        </is>
      </c>
      <c r="C33" s="4" t="inlineStr">
        <is>
          <t>C03-SRC008</t>
        </is>
      </c>
      <c r="D33" s="4" t="inlineStr">
        <is>
          <t>Exclusion text</t>
        </is>
      </c>
      <c r="E33" s="4" t="inlineStr">
        <is>
          <t>Farmers who have opted for Pradhan Mantri Shram Yogi Maandhan Yojana and Pradhan Mantri Vyapari Maandhan administered by the Ministry of Labour &amp; Employment.</t>
        </is>
      </c>
      <c r="F33" s="4" t="inlineStr">
        <is>
          <t>MS-C03 / C03-P0024</t>
        </is>
      </c>
      <c r="G33" s="4" t="inlineStr"/>
      <c r="H33" s="7" t="inlineStr">
        <is>
          <t>Approved</t>
        </is>
      </c>
      <c r="I33" s="7" t="n"/>
      <c r="J33" s="4" t="inlineStr">
        <is>
          <t>Exclusions</t>
        </is>
      </c>
      <c r="K33" s="4" t="inlineStr">
        <is>
          <t>en.schemeContent.exclusions[0].children[1]</t>
        </is>
      </c>
      <c r="L33" s="4" t="inlineStr">
        <is>
          <t>C03@20261028-b25487a7</t>
        </is>
      </c>
      <c r="M33" s="4" t="inlineStr">
        <is>
          <t>Source extract; not executable</t>
        </is>
      </c>
      <c r="N33" s="7" t="inlineStr">
        <is>
          <t>Unassigned</t>
        </is>
      </c>
      <c r="O33" s="7" t="inlineStr">
        <is>
          <t>1/1</t>
        </is>
      </c>
      <c r="P33" s="7" t="n"/>
    </row>
    <row r="34" ht="45" customHeight="1">
      <c r="A34" s="4" t="inlineStr">
        <is>
          <t>C03</t>
        </is>
      </c>
      <c r="B34" s="4" t="inlineStr">
        <is>
          <t>Pradhan Mantri Kisan Maandhan Yojana</t>
        </is>
      </c>
      <c r="C34" s="4" t="inlineStr">
        <is>
          <t>C03-SRC009</t>
        </is>
      </c>
      <c r="D34" s="4" t="inlineStr">
        <is>
          <t>Exclusion text</t>
        </is>
      </c>
      <c r="E34" s="4" t="inlineStr">
        <is>
          <t>Further, the following categories of beneficiaries of higher economic status shall not be eligible for benefits under the scheme:</t>
        </is>
      </c>
      <c r="F34" s="4" t="inlineStr">
        <is>
          <t>MS-C03 / C03-P0025</t>
        </is>
      </c>
      <c r="G34" s="4" t="inlineStr"/>
      <c r="H34" s="7" t="inlineStr">
        <is>
          <t>Approved</t>
        </is>
      </c>
      <c r="I34" s="7" t="n"/>
      <c r="J34" s="4" t="inlineStr">
        <is>
          <t>Exclusions</t>
        </is>
      </c>
      <c r="K34" s="4" t="inlineStr">
        <is>
          <t>en.schemeContent.exclusions[0].children[2]</t>
        </is>
      </c>
      <c r="L34" s="4" t="inlineStr">
        <is>
          <t>C03@20261028-b25487a7</t>
        </is>
      </c>
      <c r="M34" s="4" t="inlineStr">
        <is>
          <t>Source extract; not executable</t>
        </is>
      </c>
      <c r="N34" s="7" t="inlineStr">
        <is>
          <t>Unassigned</t>
        </is>
      </c>
      <c r="O34" s="7" t="inlineStr">
        <is>
          <t>1/1</t>
        </is>
      </c>
      <c r="P34" s="7" t="n"/>
    </row>
    <row r="35" ht="45" customHeight="1">
      <c r="A35" s="4" t="inlineStr">
        <is>
          <t>C03</t>
        </is>
      </c>
      <c r="B35" s="4" t="inlineStr">
        <is>
          <t>Pradhan Mantri Kisan Maandhan Yojana</t>
        </is>
      </c>
      <c r="C35" s="4" t="inlineStr">
        <is>
          <t>C03-SRC010</t>
        </is>
      </c>
      <c r="D35" s="4" t="inlineStr">
        <is>
          <t>Exclusion text</t>
        </is>
      </c>
      <c r="E35" s="4" t="inlineStr">
        <is>
          <t>All Institutional Landholders.</t>
        </is>
      </c>
      <c r="F35" s="4" t="inlineStr">
        <is>
          <t>MS-C03 / C03-P0026</t>
        </is>
      </c>
      <c r="G35" s="4" t="inlineStr"/>
      <c r="H35" s="7" t="inlineStr">
        <is>
          <t>Approved</t>
        </is>
      </c>
      <c r="I35" s="7" t="n"/>
      <c r="J35" s="4" t="inlineStr">
        <is>
          <t>Exclusions</t>
        </is>
      </c>
      <c r="K35" s="4" t="inlineStr">
        <is>
          <t>en.schemeContent.exclusions[0].children[3].children[0]</t>
        </is>
      </c>
      <c r="L35" s="4" t="inlineStr">
        <is>
          <t>C03@20261028-b25487a7</t>
        </is>
      </c>
      <c r="M35" s="4" t="inlineStr">
        <is>
          <t>Source extract; not executable</t>
        </is>
      </c>
      <c r="N35" s="7" t="inlineStr">
        <is>
          <t>Unassigned</t>
        </is>
      </c>
      <c r="O35" s="7" t="inlineStr">
        <is>
          <t>1/1</t>
        </is>
      </c>
      <c r="P35" s="7" t="n"/>
    </row>
    <row r="36" ht="45" customHeight="1">
      <c r="A36" s="4" t="inlineStr">
        <is>
          <t>C03</t>
        </is>
      </c>
      <c r="B36" s="4" t="inlineStr">
        <is>
          <t>Pradhan Mantri Kisan Maandhan Yojana</t>
        </is>
      </c>
      <c r="C36" s="4" t="inlineStr">
        <is>
          <t>C03-SRC011</t>
        </is>
      </c>
      <c r="D36" s="4" t="inlineStr">
        <is>
          <t>Exclusion text</t>
        </is>
      </c>
      <c r="E36" s="4" t="inlineStr">
        <is>
          <t>Former and present holders of constitutional posts.</t>
        </is>
      </c>
      <c r="F36" s="4" t="inlineStr">
        <is>
          <t>MS-C03 / C03-P0027</t>
        </is>
      </c>
      <c r="G36" s="4" t="inlineStr"/>
      <c r="H36" s="7" t="inlineStr">
        <is>
          <t>Approved</t>
        </is>
      </c>
      <c r="I36" s="7" t="n"/>
      <c r="J36" s="4" t="inlineStr">
        <is>
          <t>Exclusions</t>
        </is>
      </c>
      <c r="K36" s="4" t="inlineStr">
        <is>
          <t>en.schemeContent.exclusions[0].children[3].children[1]</t>
        </is>
      </c>
      <c r="L36" s="4" t="inlineStr">
        <is>
          <t>C03@20261028-b25487a7</t>
        </is>
      </c>
      <c r="M36" s="4" t="inlineStr">
        <is>
          <t>Source extract; not executable</t>
        </is>
      </c>
      <c r="N36" s="7" t="inlineStr">
        <is>
          <t>Unassigned</t>
        </is>
      </c>
      <c r="O36" s="7" t="inlineStr">
        <is>
          <t>1/1</t>
        </is>
      </c>
      <c r="P36" s="7" t="n"/>
    </row>
    <row r="37" ht="85.12" customHeight="1">
      <c r="A37" s="4" t="inlineStr">
        <is>
          <t>C03</t>
        </is>
      </c>
      <c r="B37" s="4" t="inlineStr">
        <is>
          <t>Pradhan Mantri Kisan Maandhan Yojana</t>
        </is>
      </c>
      <c r="C37" s="4" t="inlineStr">
        <is>
          <t>C03-SRC012</t>
        </is>
      </c>
      <c r="D37" s="4" t="inlineStr">
        <is>
          <t>Exclusion text</t>
        </is>
      </c>
      <c r="E37" s="4" t="inlineStr">
        <is>
          <t>Former and present Ministers/ State Ministers and former/present Members of Lok Sabha/ Rajya Sabha/ State Legislative Assemblies/ State Legislative Councils, former and present Mayors of Municipal Corporations, former and present Chairpersons of District Panchayats.</t>
        </is>
      </c>
      <c r="F37" s="4" t="inlineStr">
        <is>
          <t>MS-C03 / C03-P0028</t>
        </is>
      </c>
      <c r="G37" s="4" t="inlineStr"/>
      <c r="H37" s="7" t="inlineStr">
        <is>
          <t>Approved</t>
        </is>
      </c>
      <c r="I37" s="7" t="n"/>
      <c r="J37" s="4" t="inlineStr">
        <is>
          <t>Exclusions</t>
        </is>
      </c>
      <c r="K37" s="4" t="inlineStr">
        <is>
          <t>en.schemeContent.exclusions[0].children[3].children[2]</t>
        </is>
      </c>
      <c r="L37" s="4" t="inlineStr">
        <is>
          <t>C03@20261028-b25487a7</t>
        </is>
      </c>
      <c r="M37" s="4" t="inlineStr">
        <is>
          <t>Source extract; not executable</t>
        </is>
      </c>
      <c r="N37" s="7" t="inlineStr">
        <is>
          <t>Unassigned</t>
        </is>
      </c>
      <c r="O37" s="7" t="inlineStr">
        <is>
          <t>1/1</t>
        </is>
      </c>
      <c r="P37" s="7" t="n"/>
    </row>
    <row r="38" ht="104" customHeight="1">
      <c r="A38" s="4" t="inlineStr">
        <is>
          <t>C03</t>
        </is>
      </c>
      <c r="B38" s="4" t="inlineStr">
        <is>
          <t>Pradhan Mantri Kisan Maandhan Yojana</t>
        </is>
      </c>
      <c r="C38" s="4" t="inlineStr">
        <is>
          <t>C03-SRC013</t>
        </is>
      </c>
      <c r="D38" s="4" t="inlineStr">
        <is>
          <t>Exclusion text</t>
        </is>
      </c>
      <c r="E38" s="4" t="inlineStr">
        <is>
          <t>All serving or retired officers and employees of Central/ State Government Ministries/ Offices/Departments and their field units, Central or State PSEs and Attached offices/ Autonomous Institutions under Government as well as regular employees of the Local Bodies (Excluding Multi Tasking Staff / Class IV/Group D employees).</t>
        </is>
      </c>
      <c r="F38" s="4" t="inlineStr">
        <is>
          <t>MS-C03 / C03-P0029</t>
        </is>
      </c>
      <c r="G38" s="4" t="inlineStr"/>
      <c r="H38" s="7" t="inlineStr">
        <is>
          <t>Approved</t>
        </is>
      </c>
      <c r="I38" s="7" t="n"/>
      <c r="J38" s="4" t="inlineStr">
        <is>
          <t>Exclusions</t>
        </is>
      </c>
      <c r="K38" s="4" t="inlineStr">
        <is>
          <t>en.schemeContent.exclusions[0].children[3].children[3]</t>
        </is>
      </c>
      <c r="L38" s="4" t="inlineStr">
        <is>
          <t>C03@20261028-b25487a7</t>
        </is>
      </c>
      <c r="M38" s="4" t="inlineStr">
        <is>
          <t>Source extract; not executable</t>
        </is>
      </c>
      <c r="N38" s="7" t="inlineStr">
        <is>
          <t>Unassigned</t>
        </is>
      </c>
      <c r="O38" s="7" t="inlineStr">
        <is>
          <t>1/1</t>
        </is>
      </c>
      <c r="P38" s="7" t="n"/>
    </row>
    <row r="39" ht="74.88" customHeight="1">
      <c r="A39" s="4" t="inlineStr">
        <is>
          <t>C03</t>
        </is>
      </c>
      <c r="B39" s="4" t="inlineStr">
        <is>
          <t>Pradhan Mantri Kisan Maandhan Yojana</t>
        </is>
      </c>
      <c r="C39" s="4" t="inlineStr">
        <is>
          <t>C03-SRC014</t>
        </is>
      </c>
      <c r="D39" s="4" t="inlineStr">
        <is>
          <t>Exclusion text</t>
        </is>
      </c>
      <c r="E39" s="4" t="inlineStr">
        <is>
          <t>All Persons who paid Income Tax in the last assessment year Professionals like Doctors, Engineers, Lawyers, Chartered Accountants, and Architects registered with Professional bodies and carrying out profession by undertaking practice.</t>
        </is>
      </c>
      <c r="F39" s="4" t="inlineStr">
        <is>
          <t>MS-C03 / C03-P0030</t>
        </is>
      </c>
      <c r="G39" s="4" t="inlineStr"/>
      <c r="H39" s="7" t="inlineStr">
        <is>
          <t>Approved</t>
        </is>
      </c>
      <c r="I39" s="7" t="n"/>
      <c r="J39" s="4" t="inlineStr">
        <is>
          <t>Exclusions</t>
        </is>
      </c>
      <c r="K39" s="4" t="inlineStr">
        <is>
          <t>en.schemeContent.exclusions[0].children[3].children[4]</t>
        </is>
      </c>
      <c r="L39" s="4" t="inlineStr">
        <is>
          <t>C03@20261028-b25487a7</t>
        </is>
      </c>
      <c r="M39" s="4" t="inlineStr">
        <is>
          <t>Source extract; not executable</t>
        </is>
      </c>
      <c r="N39" s="7" t="inlineStr">
        <is>
          <t>Unassigned</t>
        </is>
      </c>
      <c r="O39" s="7" t="inlineStr">
        <is>
          <t>1/1</t>
        </is>
      </c>
      <c r="P39" s="7" t="n"/>
    </row>
    <row r="40" ht="45" customHeight="1">
      <c r="A40" s="4" t="inlineStr">
        <is>
          <t>C04</t>
        </is>
      </c>
      <c r="B40" s="4" t="inlineStr">
        <is>
          <t>Atal Pension Yojana</t>
        </is>
      </c>
      <c r="C40" s="4" t="inlineStr">
        <is>
          <t>C04-SRC001</t>
        </is>
      </c>
      <c r="D40" s="4" t="inlineStr">
        <is>
          <t>Eligibility text</t>
        </is>
      </c>
      <c r="E40" s="4" t="inlineStr">
        <is>
          <t>Age of joining and contribution period</t>
        </is>
      </c>
      <c r="F40" s="4" t="inlineStr">
        <is>
          <t>MS-C04 / C04-P0023</t>
        </is>
      </c>
      <c r="G40" s="4" t="inlineStr"/>
      <c r="H40" s="7" t="inlineStr">
        <is>
          <t>Approved</t>
        </is>
      </c>
      <c r="I40" s="7" t="n"/>
      <c r="J40" s="4" t="inlineStr">
        <is>
          <t>Eligibility</t>
        </is>
      </c>
      <c r="K40" s="4" t="inlineStr">
        <is>
          <t>en.eligibilityCriteria.eligibilityDescription[0].children[0]</t>
        </is>
      </c>
      <c r="L40" s="4" t="inlineStr">
        <is>
          <t>C04@20261028-8f3b40d0</t>
        </is>
      </c>
      <c r="M40" s="4" t="inlineStr">
        <is>
          <t>Source extract; not executable</t>
        </is>
      </c>
      <c r="N40" s="7" t="inlineStr">
        <is>
          <t>Unassigned</t>
        </is>
      </c>
      <c r="O40" s="7" t="inlineStr">
        <is>
          <t>1/1</t>
        </is>
      </c>
      <c r="P40" s="7" t="n"/>
    </row>
    <row r="41" ht="45" customHeight="1">
      <c r="A41" s="4" t="inlineStr">
        <is>
          <t>C04</t>
        </is>
      </c>
      <c r="B41" s="4" t="inlineStr">
        <is>
          <t>Atal Pension Yojana</t>
        </is>
      </c>
      <c r="C41" s="4" t="inlineStr">
        <is>
          <t>C04-SRC002</t>
        </is>
      </c>
      <c r="D41" s="4" t="inlineStr">
        <is>
          <t>Eligibility text</t>
        </is>
      </c>
      <c r="E41" s="4" t="inlineStr">
        <is>
          <t>The minimum age of joining APY is 18 years and maximum is 40 years.</t>
        </is>
      </c>
      <c r="F41" s="4" t="inlineStr">
        <is>
          <t>MS-C04 / C04-P0024</t>
        </is>
      </c>
      <c r="G41" s="4" t="inlineStr"/>
      <c r="H41" s="7" t="inlineStr">
        <is>
          <t>Approved</t>
        </is>
      </c>
      <c r="I41" s="7" t="n"/>
      <c r="J41" s="4" t="inlineStr">
        <is>
          <t>Eligibility</t>
        </is>
      </c>
      <c r="K41" s="4" t="inlineStr">
        <is>
          <t>en.eligibilityCriteria.eligibilityDescription[1].children[0]</t>
        </is>
      </c>
      <c r="L41" s="4" t="inlineStr">
        <is>
          <t>C04@20261028-8f3b40d0</t>
        </is>
      </c>
      <c r="M41" s="4" t="inlineStr">
        <is>
          <t>Source extract; not executable</t>
        </is>
      </c>
      <c r="N41" s="7" t="inlineStr">
        <is>
          <t>Unassigned</t>
        </is>
      </c>
      <c r="O41" s="7" t="inlineStr">
        <is>
          <t>1/1</t>
        </is>
      </c>
      <c r="P41" s="7" t="n"/>
    </row>
    <row r="42" ht="45" customHeight="1">
      <c r="A42" s="4" t="inlineStr">
        <is>
          <t>C04</t>
        </is>
      </c>
      <c r="B42" s="4" t="inlineStr">
        <is>
          <t>Atal Pension Yojana</t>
        </is>
      </c>
      <c r="C42" s="4" t="inlineStr">
        <is>
          <t>C04-SRC003</t>
        </is>
      </c>
      <c r="D42" s="4" t="inlineStr">
        <is>
          <t>Eligibility text</t>
        </is>
      </c>
      <c r="E42" s="4" t="inlineStr">
        <is>
          <t>The age of exit and start of pension is 60 years.</t>
        </is>
      </c>
      <c r="F42" s="4" t="inlineStr">
        <is>
          <t>MS-C04 / C04-P0025</t>
        </is>
      </c>
      <c r="G42" s="4" t="inlineStr"/>
      <c r="H42" s="7" t="inlineStr">
        <is>
          <t>Approved</t>
        </is>
      </c>
      <c r="I42" s="7" t="n"/>
      <c r="J42" s="4" t="inlineStr">
        <is>
          <t>Eligibility</t>
        </is>
      </c>
      <c r="K42" s="4" t="inlineStr">
        <is>
          <t>en.eligibilityCriteria.eligibilityDescription[1].children[1]</t>
        </is>
      </c>
      <c r="L42" s="4" t="inlineStr">
        <is>
          <t>C04@20261028-8f3b40d0</t>
        </is>
      </c>
      <c r="M42" s="4" t="inlineStr">
        <is>
          <t>Source extract; not executable</t>
        </is>
      </c>
      <c r="N42" s="7" t="inlineStr">
        <is>
          <t>Unassigned</t>
        </is>
      </c>
      <c r="O42" s="7" t="inlineStr">
        <is>
          <t>1/1</t>
        </is>
      </c>
      <c r="P42" s="7" t="n"/>
    </row>
    <row r="43" ht="67.52" customHeight="1">
      <c r="A43" s="4" t="inlineStr">
        <is>
          <t>C04</t>
        </is>
      </c>
      <c r="B43" s="4" t="inlineStr">
        <is>
          <t>Atal Pension Yojana</t>
        </is>
      </c>
      <c r="C43" s="4" t="inlineStr">
        <is>
          <t>C04-SRC004</t>
        </is>
      </c>
      <c r="D43" s="4" t="inlineStr">
        <is>
          <t>Eligibility text</t>
        </is>
      </c>
      <c r="E43" s="4" t="inlineStr">
        <is>
          <t>Subscriber contribution to APY shall be made through the facility of ‘auto-debit’ of the prescribed contribution amount from the savings bank account of the subscriber on monthly, quarterly or half-yearly basis.</t>
        </is>
      </c>
      <c r="F43" s="4" t="inlineStr">
        <is>
          <t>MS-C04 / C04-P0026</t>
        </is>
      </c>
      <c r="G43" s="4" t="inlineStr"/>
      <c r="H43" s="7" t="inlineStr">
        <is>
          <t>Approved</t>
        </is>
      </c>
      <c r="I43" s="7" t="n"/>
      <c r="J43" s="4" t="inlineStr">
        <is>
          <t>Eligibility</t>
        </is>
      </c>
      <c r="K43" s="4" t="inlineStr">
        <is>
          <t>en.eligibilityCriteria.eligibilityDescription[1].children[2]</t>
        </is>
      </c>
      <c r="L43" s="4" t="inlineStr">
        <is>
          <t>C04@20261028-8f3b40d0</t>
        </is>
      </c>
      <c r="M43" s="4" t="inlineStr">
        <is>
          <t>Source extract; not executable</t>
        </is>
      </c>
      <c r="N43" s="7" t="inlineStr">
        <is>
          <t>Unassigned</t>
        </is>
      </c>
      <c r="O43" s="7" t="inlineStr">
        <is>
          <t>1/1</t>
        </is>
      </c>
      <c r="P43" s="7" t="n"/>
    </row>
    <row r="44" ht="45" customHeight="1">
      <c r="A44" s="4" t="inlineStr">
        <is>
          <t>C04</t>
        </is>
      </c>
      <c r="B44" s="4" t="inlineStr">
        <is>
          <t>Atal Pension Yojana</t>
        </is>
      </c>
      <c r="C44" s="4" t="inlineStr">
        <is>
          <t>C04-SRC005</t>
        </is>
      </c>
      <c r="D44" s="4" t="inlineStr">
        <is>
          <t>Eligibility text</t>
        </is>
      </c>
      <c r="E44" s="4" t="inlineStr">
        <is>
          <t>The subscribers are required to contribute the prescribed contribution amount from the age of joining APY till the age of  60 years.</t>
        </is>
      </c>
      <c r="F44" s="4" t="inlineStr">
        <is>
          <t>MS-C04 / C04-P0027</t>
        </is>
      </c>
      <c r="G44" s="4" t="inlineStr"/>
      <c r="H44" s="7" t="inlineStr">
        <is>
          <t>Approved</t>
        </is>
      </c>
      <c r="I44" s="7" t="n"/>
      <c r="J44" s="4" t="inlineStr">
        <is>
          <t>Eligibility</t>
        </is>
      </c>
      <c r="K44" s="4" t="inlineStr">
        <is>
          <t>en.eligibilityCriteria.eligibilityDescription[1].children[3]</t>
        </is>
      </c>
      <c r="L44" s="4" t="inlineStr">
        <is>
          <t>C04@20261028-8f3b40d0</t>
        </is>
      </c>
      <c r="M44" s="4" t="inlineStr">
        <is>
          <t>Source extract; not executable</t>
        </is>
      </c>
      <c r="N44" s="7" t="inlineStr">
        <is>
          <t>Unassigned</t>
        </is>
      </c>
      <c r="O44" s="7" t="inlineStr">
        <is>
          <t>1/1</t>
        </is>
      </c>
      <c r="P44" s="7" t="n"/>
    </row>
    <row r="45" ht="45" customHeight="1">
      <c r="A45" s="4" t="inlineStr">
        <is>
          <t>C04</t>
        </is>
      </c>
      <c r="B45" s="4" t="inlineStr">
        <is>
          <t>Atal Pension Yojana</t>
        </is>
      </c>
      <c r="C45" s="4" t="inlineStr">
        <is>
          <t>C04-SRC006</t>
        </is>
      </c>
      <c r="D45" s="4" t="inlineStr">
        <is>
          <t>Source heading</t>
        </is>
      </c>
      <c r="E45" s="4" t="inlineStr">
        <is>
          <t>From 1st October, 2022, any citizen who is or has been an income tax payer, shall  not be eligible to join  APY.</t>
        </is>
      </c>
      <c r="F45" s="4" t="inlineStr">
        <is>
          <t>MS-C04 / C04-P0028</t>
        </is>
      </c>
      <c r="G45" s="4" t="inlineStr">
        <is>
          <t>From 1st October, 2022, any citizen who is or has been an income tax payer, shall  not be eligible to join  APY.</t>
        </is>
      </c>
      <c r="H45" s="7" t="inlineStr">
        <is>
          <t>Approved</t>
        </is>
      </c>
      <c r="I45" s="7" t="n"/>
      <c r="J45" s="4" t="inlineStr">
        <is>
          <t>Exclusions</t>
        </is>
      </c>
      <c r="K45" s="4" t="inlineStr">
        <is>
          <t>en.schemeContent.exclusions[0].children[0]</t>
        </is>
      </c>
      <c r="L45" s="4" t="inlineStr">
        <is>
          <t>C04@20261028-8f3b40d0</t>
        </is>
      </c>
      <c r="M45" s="4" t="inlineStr">
        <is>
          <t>Source extract; not executable</t>
        </is>
      </c>
      <c r="N45" s="7" t="inlineStr">
        <is>
          <t>Unassigned</t>
        </is>
      </c>
      <c r="O45" s="7" t="inlineStr">
        <is>
          <t>1/1</t>
        </is>
      </c>
      <c r="P45" s="7" t="n"/>
    </row>
    <row r="46" ht="45" customHeight="1">
      <c r="A46" s="4" t="inlineStr">
        <is>
          <t>C05</t>
        </is>
      </c>
      <c r="B46" s="4" t="inlineStr">
        <is>
          <t>Pradhan Mantri Shram Yogi Maan-dhan</t>
        </is>
      </c>
      <c r="C46" s="4" t="inlineStr">
        <is>
          <t>C05-SRC001</t>
        </is>
      </c>
      <c r="D46" s="4" t="inlineStr">
        <is>
          <t>Eligibility text</t>
        </is>
      </c>
      <c r="E46" s="4" t="inlineStr">
        <is>
          <t>The applicant must be an unorganized worker, construction workers, domestic workers, cobbler etc.</t>
        </is>
      </c>
      <c r="F46" s="4" t="inlineStr">
        <is>
          <t>MS-C05 / C05-P0012</t>
        </is>
      </c>
      <c r="G46" s="4" t="inlineStr"/>
      <c r="H46" s="7" t="inlineStr">
        <is>
          <t>Approved</t>
        </is>
      </c>
      <c r="I46" s="7" t="n"/>
      <c r="J46" s="4" t="inlineStr">
        <is>
          <t>Eligibility</t>
        </is>
      </c>
      <c r="K46" s="4" t="inlineStr">
        <is>
          <t>en.eligibilityCriteria.eligibilityDescription[0].children[0]</t>
        </is>
      </c>
      <c r="L46" s="4" t="inlineStr">
        <is>
          <t>C05@20261028-fc4e9a2d</t>
        </is>
      </c>
      <c r="M46" s="4" t="inlineStr">
        <is>
          <t>Source extract; not executable</t>
        </is>
      </c>
      <c r="N46" s="7" t="inlineStr">
        <is>
          <t>Unassigned</t>
        </is>
      </c>
      <c r="O46" s="7" t="inlineStr">
        <is>
          <t>1/1</t>
        </is>
      </c>
      <c r="P46" s="7" t="n"/>
    </row>
    <row r="47" ht="45" customHeight="1">
      <c r="A47" s="4" t="inlineStr">
        <is>
          <t>C05</t>
        </is>
      </c>
      <c r="B47" s="4" t="inlineStr">
        <is>
          <t>Pradhan Mantri Shram Yogi Maan-dhan</t>
        </is>
      </c>
      <c r="C47" s="4" t="inlineStr">
        <is>
          <t>C05-SRC002</t>
        </is>
      </c>
      <c r="D47" s="4" t="inlineStr">
        <is>
          <t>Eligibility text</t>
        </is>
      </c>
      <c r="E47" s="4" t="inlineStr">
        <is>
          <t>The applicant must have an entry age between 18 and 40 years.</t>
        </is>
      </c>
      <c r="F47" s="4" t="inlineStr">
        <is>
          <t>MS-C05 / C05-P0013</t>
        </is>
      </c>
      <c r="G47" s="4" t="inlineStr"/>
      <c r="H47" s="7" t="inlineStr">
        <is>
          <t>Approved</t>
        </is>
      </c>
      <c r="I47" s="7" t="n"/>
      <c r="J47" s="4" t="inlineStr">
        <is>
          <t>Eligibility</t>
        </is>
      </c>
      <c r="K47" s="4" t="inlineStr">
        <is>
          <t>en.eligibilityCriteria.eligibilityDescription[0].children[1]</t>
        </is>
      </c>
      <c r="L47" s="4" t="inlineStr">
        <is>
          <t>C05@20261028-fc4e9a2d</t>
        </is>
      </c>
      <c r="M47" s="4" t="inlineStr">
        <is>
          <t>Source extract; not executable</t>
        </is>
      </c>
      <c r="N47" s="7" t="inlineStr">
        <is>
          <t>Unassigned</t>
        </is>
      </c>
      <c r="O47" s="7" t="inlineStr">
        <is>
          <t>1/1</t>
        </is>
      </c>
      <c r="P47" s="7" t="n"/>
    </row>
    <row r="48" ht="45" customHeight="1">
      <c r="A48" s="4" t="inlineStr">
        <is>
          <t>C05</t>
        </is>
      </c>
      <c r="B48" s="4" t="inlineStr">
        <is>
          <t>Pradhan Mantri Shram Yogi Maan-dhan</t>
        </is>
      </c>
      <c r="C48" s="4" t="inlineStr">
        <is>
          <t>C05-SRC003</t>
        </is>
      </c>
      <c r="D48" s="4" t="inlineStr">
        <is>
          <t>Eligibility text</t>
        </is>
      </c>
      <c r="E48" s="4" t="inlineStr">
        <is>
          <t>The applicant must have a monthly income of ₹15,000/- or less.</t>
        </is>
      </c>
      <c r="F48" s="4" t="inlineStr">
        <is>
          <t>MS-C05 / C05-P0014</t>
        </is>
      </c>
      <c r="G48" s="4" t="inlineStr"/>
      <c r="H48" s="7" t="inlineStr">
        <is>
          <t>Approved</t>
        </is>
      </c>
      <c r="I48" s="7" t="n"/>
      <c r="J48" s="4" t="inlineStr">
        <is>
          <t>Eligibility</t>
        </is>
      </c>
      <c r="K48" s="4" t="inlineStr">
        <is>
          <t>en.eligibilityCriteria.eligibilityDescription[0].children[2]</t>
        </is>
      </c>
      <c r="L48" s="4" t="inlineStr">
        <is>
          <t>C05@20261028-fc4e9a2d</t>
        </is>
      </c>
      <c r="M48" s="4" t="inlineStr">
        <is>
          <t>Source extract; not executable</t>
        </is>
      </c>
      <c r="N48" s="7" t="inlineStr">
        <is>
          <t>Unassigned</t>
        </is>
      </c>
      <c r="O48" s="7" t="inlineStr">
        <is>
          <t>1/1</t>
        </is>
      </c>
      <c r="P48" s="7" t="n"/>
    </row>
    <row r="49" ht="45" customHeight="1">
      <c r="A49" s="4" t="inlineStr">
        <is>
          <t>C05</t>
        </is>
      </c>
      <c r="B49" s="4" t="inlineStr">
        <is>
          <t>Pradhan Mantri Shram Yogi Maan-dhan</t>
        </is>
      </c>
      <c r="C49" s="4" t="inlineStr">
        <is>
          <t>C05-SRC004</t>
        </is>
      </c>
      <c r="D49" s="4" t="inlineStr">
        <is>
          <t>Eligibility text</t>
        </is>
      </c>
      <c r="E49" s="4" t="inlineStr">
        <is>
          <t>The applicant must possess a Savings Bank Account or Jan Dhan account number with an Indian Financial System Code.</t>
        </is>
      </c>
      <c r="F49" s="4" t="inlineStr">
        <is>
          <t>MS-C05 / C05-P0015</t>
        </is>
      </c>
      <c r="G49" s="4" t="inlineStr"/>
      <c r="H49" s="7" t="inlineStr">
        <is>
          <t>Approved</t>
        </is>
      </c>
      <c r="I49" s="7" t="n"/>
      <c r="J49" s="4" t="inlineStr">
        <is>
          <t>Eligibility</t>
        </is>
      </c>
      <c r="K49" s="4" t="inlineStr">
        <is>
          <t>en.eligibilityCriteria.eligibilityDescription[0].children[3]</t>
        </is>
      </c>
      <c r="L49" s="4" t="inlineStr">
        <is>
          <t>C05@20261028-fc4e9a2d</t>
        </is>
      </c>
      <c r="M49" s="4" t="inlineStr">
        <is>
          <t>Source extract; not executable</t>
        </is>
      </c>
      <c r="N49" s="7" t="inlineStr">
        <is>
          <t>Unassigned</t>
        </is>
      </c>
      <c r="O49" s="7" t="inlineStr">
        <is>
          <t>1/1</t>
        </is>
      </c>
      <c r="P49" s="7" t="n"/>
    </row>
    <row r="50" ht="45" customHeight="1">
      <c r="A50" s="4" t="inlineStr">
        <is>
          <t>C05</t>
        </is>
      </c>
      <c r="B50" s="4" t="inlineStr">
        <is>
          <t>Pradhan Mantri Shram Yogi Maan-dhan</t>
        </is>
      </c>
      <c r="C50" s="4" t="inlineStr">
        <is>
          <t>C05-SRC005</t>
        </is>
      </c>
      <c r="D50" s="4" t="inlineStr">
        <is>
          <t>Exclusion text</t>
        </is>
      </c>
      <c r="E50" s="4" t="inlineStr">
        <is>
          <t>The applicant must not be -</t>
        </is>
      </c>
      <c r="F50" s="4" t="inlineStr">
        <is>
          <t>MS-C05 / C05-P0016</t>
        </is>
      </c>
      <c r="G50" s="4" t="inlineStr"/>
      <c r="H50" s="7" t="inlineStr">
        <is>
          <t>Approved</t>
        </is>
      </c>
      <c r="I50" s="7" t="n"/>
      <c r="J50" s="4" t="inlineStr">
        <is>
          <t>Exclusions</t>
        </is>
      </c>
      <c r="K50" s="4" t="inlineStr">
        <is>
          <t>en.schemeContent.exclusions[0]</t>
        </is>
      </c>
      <c r="L50" s="4" t="inlineStr">
        <is>
          <t>C05@20261028-fc4e9a2d</t>
        </is>
      </c>
      <c r="M50" s="4" t="inlineStr">
        <is>
          <t>Source extract; not executable</t>
        </is>
      </c>
      <c r="N50" s="7" t="inlineStr">
        <is>
          <t>Unassigned</t>
        </is>
      </c>
      <c r="O50" s="7" t="inlineStr">
        <is>
          <t>1/1</t>
        </is>
      </c>
      <c r="P50" s="7" t="n"/>
    </row>
    <row r="51" ht="45" customHeight="1">
      <c r="A51" s="4" t="inlineStr">
        <is>
          <t>C05</t>
        </is>
      </c>
      <c r="B51" s="4" t="inlineStr">
        <is>
          <t>Pradhan Mantri Shram Yogi Maan-dhan</t>
        </is>
      </c>
      <c r="C51" s="4" t="inlineStr">
        <is>
          <t>C05-SRC006</t>
        </is>
      </c>
      <c r="D51" s="4" t="inlineStr">
        <is>
          <t>Exclusion text</t>
        </is>
      </c>
      <c r="E51" s="4" t="inlineStr">
        <is>
          <t>An income tax payer.</t>
        </is>
      </c>
      <c r="F51" s="4" t="inlineStr">
        <is>
          <t>MS-C05 / C05-P0017</t>
        </is>
      </c>
      <c r="G51" s="4" t="inlineStr"/>
      <c r="H51" s="7" t="inlineStr">
        <is>
          <t>Approved</t>
        </is>
      </c>
      <c r="I51" s="7" t="n"/>
      <c r="J51" s="4" t="inlineStr">
        <is>
          <t>Exclusions</t>
        </is>
      </c>
      <c r="K51" s="4" t="inlineStr">
        <is>
          <t>en.schemeContent.exclusions[1].children[0]</t>
        </is>
      </c>
      <c r="L51" s="4" t="inlineStr">
        <is>
          <t>C05@20261028-fc4e9a2d</t>
        </is>
      </c>
      <c r="M51" s="4" t="inlineStr">
        <is>
          <t>Source extract; not executable</t>
        </is>
      </c>
      <c r="N51" s="7" t="inlineStr">
        <is>
          <t>Unassigned</t>
        </is>
      </c>
      <c r="O51" s="7" t="inlineStr">
        <is>
          <t>1/1</t>
        </is>
      </c>
      <c r="P51" s="7" t="n"/>
    </row>
    <row r="52" ht="45" customHeight="1">
      <c r="A52" s="4" t="inlineStr">
        <is>
          <t>C05</t>
        </is>
      </c>
      <c r="B52" s="4" t="inlineStr">
        <is>
          <t>Pradhan Mantri Shram Yogi Maan-dhan</t>
        </is>
      </c>
      <c r="C52" s="4" t="inlineStr">
        <is>
          <t>C05-SRC007</t>
        </is>
      </c>
      <c r="D52" s="4" t="inlineStr">
        <is>
          <t>Exclusion text</t>
        </is>
      </c>
      <c r="E52" s="4" t="inlineStr">
        <is>
          <t>Engaged in the organized sector.</t>
        </is>
      </c>
      <c r="F52" s="4" t="inlineStr">
        <is>
          <t>MS-C05 / C05-P0018</t>
        </is>
      </c>
      <c r="G52" s="4" t="inlineStr"/>
      <c r="H52" s="7" t="inlineStr">
        <is>
          <t>Approved</t>
        </is>
      </c>
      <c r="I52" s="7" t="n"/>
      <c r="J52" s="4" t="inlineStr">
        <is>
          <t>Exclusions</t>
        </is>
      </c>
      <c r="K52" s="4" t="inlineStr">
        <is>
          <t>en.schemeContent.exclusions[1].children[1]</t>
        </is>
      </c>
      <c r="L52" s="4" t="inlineStr">
        <is>
          <t>C05@20261028-fc4e9a2d</t>
        </is>
      </c>
      <c r="M52" s="4" t="inlineStr">
        <is>
          <t>Source extract; not executable</t>
        </is>
      </c>
      <c r="N52" s="7" t="inlineStr">
        <is>
          <t>Unassigned</t>
        </is>
      </c>
      <c r="O52" s="7" t="inlineStr">
        <is>
          <t>1/1</t>
        </is>
      </c>
      <c r="P52" s="7" t="n"/>
    </row>
    <row r="53" ht="45" customHeight="1">
      <c r="A53" s="4" t="inlineStr">
        <is>
          <t>C05</t>
        </is>
      </c>
      <c r="B53" s="4" t="inlineStr">
        <is>
          <t>Pradhan Mantri Shram Yogi Maan-dhan</t>
        </is>
      </c>
      <c r="C53" s="4" t="inlineStr">
        <is>
          <t>C05-SRC008</t>
        </is>
      </c>
      <c r="D53" s="4" t="inlineStr">
        <is>
          <t>Exclusion text</t>
        </is>
      </c>
      <c r="E53" s="4" t="inlineStr">
        <is>
          <t>Holding membership in the Employees' Provident Fund Organization scheme.</t>
        </is>
      </c>
      <c r="F53" s="4" t="inlineStr">
        <is>
          <t>MS-C05 / C05-P0019</t>
        </is>
      </c>
      <c r="G53" s="4" t="inlineStr"/>
      <c r="H53" s="7" t="inlineStr">
        <is>
          <t>Approved</t>
        </is>
      </c>
      <c r="I53" s="7" t="n"/>
      <c r="J53" s="4" t="inlineStr">
        <is>
          <t>Exclusions</t>
        </is>
      </c>
      <c r="K53" s="4" t="inlineStr">
        <is>
          <t>en.schemeContent.exclusions[1].children[2]</t>
        </is>
      </c>
      <c r="L53" s="4" t="inlineStr">
        <is>
          <t>C05@20261028-fc4e9a2d</t>
        </is>
      </c>
      <c r="M53" s="4" t="inlineStr">
        <is>
          <t>Source extract; not executable</t>
        </is>
      </c>
      <c r="N53" s="7" t="inlineStr">
        <is>
          <t>Unassigned</t>
        </is>
      </c>
      <c r="O53" s="7" t="inlineStr">
        <is>
          <t>1/1</t>
        </is>
      </c>
      <c r="P53" s="7" t="n"/>
    </row>
    <row r="54" ht="45" customHeight="1">
      <c r="A54" s="4" t="inlineStr">
        <is>
          <t>C05</t>
        </is>
      </c>
      <c r="B54" s="4" t="inlineStr">
        <is>
          <t>Pradhan Mantri Shram Yogi Maan-dhan</t>
        </is>
      </c>
      <c r="C54" s="4" t="inlineStr">
        <is>
          <t>C05-SRC009</t>
        </is>
      </c>
      <c r="D54" s="4" t="inlineStr">
        <is>
          <t>Exclusion text</t>
        </is>
      </c>
      <c r="E54" s="4" t="inlineStr">
        <is>
          <t>Holding membership in the National Pension Scheme.</t>
        </is>
      </c>
      <c r="F54" s="4" t="inlineStr">
        <is>
          <t>MS-C05 / C05-P0020</t>
        </is>
      </c>
      <c r="G54" s="4" t="inlineStr"/>
      <c r="H54" s="7" t="inlineStr">
        <is>
          <t>Approved</t>
        </is>
      </c>
      <c r="I54" s="7" t="n"/>
      <c r="J54" s="4" t="inlineStr">
        <is>
          <t>Exclusions</t>
        </is>
      </c>
      <c r="K54" s="4" t="inlineStr">
        <is>
          <t>en.schemeContent.exclusions[1].children[3]</t>
        </is>
      </c>
      <c r="L54" s="4" t="inlineStr">
        <is>
          <t>C05@20261028-fc4e9a2d</t>
        </is>
      </c>
      <c r="M54" s="4" t="inlineStr">
        <is>
          <t>Source extract; not executable</t>
        </is>
      </c>
      <c r="N54" s="7" t="inlineStr">
        <is>
          <t>Unassigned</t>
        </is>
      </c>
      <c r="O54" s="7" t="inlineStr">
        <is>
          <t>1/1</t>
        </is>
      </c>
      <c r="P54" s="7" t="n"/>
    </row>
    <row r="55" ht="45" customHeight="1">
      <c r="A55" s="4" t="inlineStr">
        <is>
          <t>C05</t>
        </is>
      </c>
      <c r="B55" s="4" t="inlineStr">
        <is>
          <t>Pradhan Mantri Shram Yogi Maan-dhan</t>
        </is>
      </c>
      <c r="C55" s="4" t="inlineStr">
        <is>
          <t>C05-SRC010</t>
        </is>
      </c>
      <c r="D55" s="4" t="inlineStr">
        <is>
          <t>Exclusion text</t>
        </is>
      </c>
      <c r="E55" s="4" t="inlineStr">
        <is>
          <t>Holding membership in the Employees' State Insurance Corporation scheme.</t>
        </is>
      </c>
      <c r="F55" s="4" t="inlineStr">
        <is>
          <t>MS-C05 / C05-P0021</t>
        </is>
      </c>
      <c r="G55" s="4" t="inlineStr"/>
      <c r="H55" s="7" t="inlineStr">
        <is>
          <t>Approved</t>
        </is>
      </c>
      <c r="I55" s="7" t="n"/>
      <c r="J55" s="4" t="inlineStr">
        <is>
          <t>Exclusions</t>
        </is>
      </c>
      <c r="K55" s="4" t="inlineStr">
        <is>
          <t>en.schemeContent.exclusions[1].children[4]</t>
        </is>
      </c>
      <c r="L55" s="4" t="inlineStr">
        <is>
          <t>C05@20261028-fc4e9a2d</t>
        </is>
      </c>
      <c r="M55" s="4" t="inlineStr">
        <is>
          <t>Source extract; not executable</t>
        </is>
      </c>
      <c r="N55" s="7" t="inlineStr">
        <is>
          <t>Unassigned</t>
        </is>
      </c>
      <c r="O55" s="7" t="inlineStr">
        <is>
          <t>1/1</t>
        </is>
      </c>
      <c r="P55" s="7" t="n"/>
    </row>
    <row r="56" ht="45" customHeight="1">
      <c r="A56" s="4" t="inlineStr">
        <is>
          <t>C05</t>
        </is>
      </c>
      <c r="B56" s="4" t="inlineStr">
        <is>
          <t>Pradhan Mantri Shram Yogi Maan-dhan</t>
        </is>
      </c>
      <c r="C56" s="4" t="inlineStr">
        <is>
          <t>C05-SRC011</t>
        </is>
      </c>
      <c r="D56" s="4" t="inlineStr">
        <is>
          <t>Exclusion text</t>
        </is>
      </c>
      <c r="E56" s="4" t="inlineStr">
        <is>
          <t>Not a member of NPS-Traders scheme.</t>
        </is>
      </c>
      <c r="F56" s="4" t="inlineStr">
        <is>
          <t>MS-C05 / C05-P0022</t>
        </is>
      </c>
      <c r="G56" s="4" t="inlineStr"/>
      <c r="H56" s="7" t="inlineStr">
        <is>
          <t>Approved</t>
        </is>
      </c>
      <c r="I56" s="7" t="n"/>
      <c r="J56" s="4" t="inlineStr">
        <is>
          <t>Exclusions</t>
        </is>
      </c>
      <c r="K56" s="4" t="inlineStr">
        <is>
          <t>en.schemeContent.exclusions[1].children[5]</t>
        </is>
      </c>
      <c r="L56" s="4" t="inlineStr">
        <is>
          <t>C05@20261028-fc4e9a2d</t>
        </is>
      </c>
      <c r="M56" s="4" t="inlineStr">
        <is>
          <t>Source extract; not executable</t>
        </is>
      </c>
      <c r="N56" s="7" t="inlineStr">
        <is>
          <t>Unassigned</t>
        </is>
      </c>
      <c r="O56" s="7" t="inlineStr">
        <is>
          <t>1/1</t>
        </is>
      </c>
      <c r="P56" s="7" t="n"/>
    </row>
    <row r="57" ht="45" customHeight="1">
      <c r="A57" s="4" t="inlineStr">
        <is>
          <t>C06</t>
        </is>
      </c>
      <c r="B57" s="4" t="inlineStr">
        <is>
          <t>Indira Gandhi National Widow Pension Scheme</t>
        </is>
      </c>
      <c r="C57" s="4" t="inlineStr">
        <is>
          <t>C06-SRC001</t>
        </is>
      </c>
      <c r="D57" s="4" t="inlineStr">
        <is>
          <t>Eligibility text</t>
        </is>
      </c>
      <c r="E57" s="4" t="inlineStr">
        <is>
          <t>The eligibility criteria under Indira Gandhi National Widow Pension Scheme (IGNWPS) is:-</t>
        </is>
      </c>
      <c r="F57" s="4" t="inlineStr">
        <is>
          <t>MS-C06 / C06-P0003</t>
        </is>
      </c>
      <c r="G57" s="4" t="inlineStr"/>
      <c r="H57" s="7" t="inlineStr">
        <is>
          <t>Approved</t>
        </is>
      </c>
      <c r="I57" s="7" t="n"/>
      <c r="J57" s="4" t="inlineStr">
        <is>
          <t>Eligibility</t>
        </is>
      </c>
      <c r="K57" s="4" t="inlineStr">
        <is>
          <t>en.eligibilityCriteria.eligibilityDescription[0]</t>
        </is>
      </c>
      <c r="L57" s="4" t="inlineStr">
        <is>
          <t>C06@20261028-7c399dda</t>
        </is>
      </c>
      <c r="M57" s="4" t="inlineStr">
        <is>
          <t>Source extract; not executable</t>
        </is>
      </c>
      <c r="N57" s="7" t="inlineStr">
        <is>
          <t>Unassigned</t>
        </is>
      </c>
      <c r="O57" s="7" t="inlineStr">
        <is>
          <t>1/1</t>
        </is>
      </c>
      <c r="P57" s="7" t="n"/>
    </row>
    <row r="58" ht="45" customHeight="1">
      <c r="A58" s="4" t="inlineStr">
        <is>
          <t>C06</t>
        </is>
      </c>
      <c r="B58" s="4" t="inlineStr">
        <is>
          <t>Indira Gandhi National Widow Pension Scheme</t>
        </is>
      </c>
      <c r="C58" s="4" t="inlineStr">
        <is>
          <t>C06-SRC002</t>
        </is>
      </c>
      <c r="D58" s="4" t="inlineStr">
        <is>
          <t>Eligibility text</t>
        </is>
      </c>
      <c r="E58" s="4" t="inlineStr">
        <is>
          <t>The applicant must be a widow in the age group of 40-79 years.</t>
        </is>
      </c>
      <c r="F58" s="4" t="inlineStr">
        <is>
          <t>MS-C06 / C06-P0004</t>
        </is>
      </c>
      <c r="G58" s="4" t="inlineStr"/>
      <c r="H58" s="7" t="inlineStr">
        <is>
          <t>Approved</t>
        </is>
      </c>
      <c r="I58" s="7" t="n"/>
      <c r="J58" s="4" t="inlineStr">
        <is>
          <t>Eligibility</t>
        </is>
      </c>
      <c r="K58" s="4" t="inlineStr">
        <is>
          <t>en.eligibilityCriteria.eligibilityDescription[2].children[0]</t>
        </is>
      </c>
      <c r="L58" s="4" t="inlineStr">
        <is>
          <t>C06@20261028-7c399dda</t>
        </is>
      </c>
      <c r="M58" s="4" t="inlineStr">
        <is>
          <t>Source extract; not executable</t>
        </is>
      </c>
      <c r="N58" s="7" t="inlineStr">
        <is>
          <t>Unassigned</t>
        </is>
      </c>
      <c r="O58" s="7" t="inlineStr">
        <is>
          <t>1/1</t>
        </is>
      </c>
      <c r="P58" s="7" t="n"/>
    </row>
    <row r="59" ht="45" customHeight="1">
      <c r="A59" s="4" t="inlineStr">
        <is>
          <t>C06</t>
        </is>
      </c>
      <c r="B59" s="4" t="inlineStr">
        <is>
          <t>Indira Gandhi National Widow Pension Scheme</t>
        </is>
      </c>
      <c r="C59" s="4" t="inlineStr">
        <is>
          <t>C06-SRC003</t>
        </is>
      </c>
      <c r="D59" s="4" t="inlineStr">
        <is>
          <t>Eligibility text</t>
        </is>
      </c>
      <c r="E59" s="4" t="inlineStr">
        <is>
          <t>The applicant should belong to a household living below the poverty line according to the criteria prescribed by the Govt. of India</t>
        </is>
      </c>
      <c r="F59" s="4" t="inlineStr">
        <is>
          <t>MS-C06 / C06-P0005</t>
        </is>
      </c>
      <c r="G59" s="4" t="inlineStr"/>
      <c r="H59" s="7" t="inlineStr">
        <is>
          <t>Approved</t>
        </is>
      </c>
      <c r="I59" s="7" t="n"/>
      <c r="J59" s="4" t="inlineStr">
        <is>
          <t>Eligibility</t>
        </is>
      </c>
      <c r="K59" s="4" t="inlineStr">
        <is>
          <t>en.eligibilityCriteria.eligibilityDescription[2].children[1]</t>
        </is>
      </c>
      <c r="L59" s="4" t="inlineStr">
        <is>
          <t>C06@20261028-7c399dda</t>
        </is>
      </c>
      <c r="M59" s="4" t="inlineStr">
        <is>
          <t>Source extract; not executable</t>
        </is>
      </c>
      <c r="N59" s="7" t="inlineStr">
        <is>
          <t>Unassigned</t>
        </is>
      </c>
      <c r="O59" s="7" t="inlineStr">
        <is>
          <t>1/1</t>
        </is>
      </c>
      <c r="P59" s="7" t="n"/>
    </row>
    <row r="60" ht="45" customHeight="1">
      <c r="A60" s="4" t="inlineStr">
        <is>
          <t>C06</t>
        </is>
      </c>
      <c r="B60" s="4" t="inlineStr">
        <is>
          <t>Indira Gandhi National Widow Pension Scheme</t>
        </is>
      </c>
      <c r="C60" s="4" t="inlineStr">
        <is>
          <t>C06-SRC004</t>
        </is>
      </c>
      <c r="D60" s="4" t="inlineStr">
        <is>
          <t>Exclusion text</t>
        </is>
      </c>
      <c r="E60" s="4" t="inlineStr">
        <is>
          <t>Pension will be discontinued</t>
        </is>
      </c>
      <c r="F60" s="4" t="inlineStr">
        <is>
          <t>MS-C06 / C06-P0006</t>
        </is>
      </c>
      <c r="G60" s="4" t="inlineStr"/>
      <c r="H60" s="7" t="inlineStr">
        <is>
          <t>Approved</t>
        </is>
      </c>
      <c r="I60" s="7" t="n"/>
      <c r="J60" s="4" t="inlineStr">
        <is>
          <t>Exclusions</t>
        </is>
      </c>
      <c r="K60" s="4" t="inlineStr">
        <is>
          <t>en.schemeContent.exclusions[0]</t>
        </is>
      </c>
      <c r="L60" s="4" t="inlineStr">
        <is>
          <t>C06@20261028-7c399dda</t>
        </is>
      </c>
      <c r="M60" s="4" t="inlineStr">
        <is>
          <t>Source extract; not executable</t>
        </is>
      </c>
      <c r="N60" s="7" t="inlineStr">
        <is>
          <t>Unassigned</t>
        </is>
      </c>
      <c r="O60" s="7" t="inlineStr">
        <is>
          <t>1/1</t>
        </is>
      </c>
      <c r="P60" s="7" t="n"/>
    </row>
    <row r="61" ht="45" customHeight="1">
      <c r="A61" s="4" t="inlineStr">
        <is>
          <t>C06</t>
        </is>
      </c>
      <c r="B61" s="4" t="inlineStr">
        <is>
          <t>Indira Gandhi National Widow Pension Scheme</t>
        </is>
      </c>
      <c r="C61" s="4" t="inlineStr">
        <is>
          <t>C06-SRC005</t>
        </is>
      </c>
      <c r="D61" s="4" t="inlineStr">
        <is>
          <t>Exclusion text</t>
        </is>
      </c>
      <c r="E61" s="4" t="inlineStr">
        <is>
          <t>In case of remarriage of widow</t>
        </is>
      </c>
      <c r="F61" s="4" t="inlineStr">
        <is>
          <t>MS-C06 / C06-P0007</t>
        </is>
      </c>
      <c r="G61" s="4" t="inlineStr"/>
      <c r="H61" s="7" t="inlineStr">
        <is>
          <t>Approved</t>
        </is>
      </c>
      <c r="I61" s="7" t="n"/>
      <c r="J61" s="4" t="inlineStr">
        <is>
          <t>Exclusions</t>
        </is>
      </c>
      <c r="K61" s="4" t="inlineStr">
        <is>
          <t>en.schemeContent.exclusions[2].children[0]</t>
        </is>
      </c>
      <c r="L61" s="4" t="inlineStr">
        <is>
          <t>C06@20261028-7c399dda</t>
        </is>
      </c>
      <c r="M61" s="4" t="inlineStr">
        <is>
          <t>Source extract; not executable</t>
        </is>
      </c>
      <c r="N61" s="7" t="inlineStr">
        <is>
          <t>Unassigned</t>
        </is>
      </c>
      <c r="O61" s="7" t="inlineStr">
        <is>
          <t>1/1</t>
        </is>
      </c>
      <c r="P61" s="7" t="n"/>
    </row>
    <row r="62" ht="45" customHeight="1">
      <c r="A62" s="4" t="inlineStr">
        <is>
          <t>C06</t>
        </is>
      </c>
      <c r="B62" s="4" t="inlineStr">
        <is>
          <t>Indira Gandhi National Widow Pension Scheme</t>
        </is>
      </c>
      <c r="C62" s="4" t="inlineStr">
        <is>
          <t>C06-SRC006</t>
        </is>
      </c>
      <c r="D62" s="4" t="inlineStr">
        <is>
          <t>Exclusion text</t>
        </is>
      </c>
      <c r="E62" s="4" t="inlineStr">
        <is>
          <t>Once the widow moves above poverty line</t>
        </is>
      </c>
      <c r="F62" s="4" t="inlineStr">
        <is>
          <t>MS-C06 / C06-P0008</t>
        </is>
      </c>
      <c r="G62" s="4" t="inlineStr"/>
      <c r="H62" s="7" t="inlineStr">
        <is>
          <t>Approved</t>
        </is>
      </c>
      <c r="I62" s="7" t="n"/>
      <c r="J62" s="4" t="inlineStr">
        <is>
          <t>Exclusions</t>
        </is>
      </c>
      <c r="K62" s="4" t="inlineStr">
        <is>
          <t>en.schemeContent.exclusions[2].children[1]</t>
        </is>
      </c>
      <c r="L62" s="4" t="inlineStr">
        <is>
          <t>C06@20261028-7c399dda</t>
        </is>
      </c>
      <c r="M62" s="4" t="inlineStr">
        <is>
          <t>Source extract; not executable</t>
        </is>
      </c>
      <c r="N62" s="7" t="inlineStr">
        <is>
          <t>Unassigned</t>
        </is>
      </c>
      <c r="O62" s="7" t="inlineStr">
        <is>
          <t>1/1</t>
        </is>
      </c>
      <c r="P62" s="7" t="n"/>
    </row>
    <row r="63" ht="45" customHeight="1">
      <c r="A63" s="4" t="inlineStr">
        <is>
          <t>M01</t>
        </is>
      </c>
      <c r="B63" s="4" t="inlineStr">
        <is>
          <t>Sanjay Gandhi Niradhar Grant Scheme</t>
        </is>
      </c>
      <c r="C63" s="4" t="inlineStr">
        <is>
          <t>M01-SRC001</t>
        </is>
      </c>
      <c r="D63" s="4" t="inlineStr">
        <is>
          <t>Eligibility text</t>
        </is>
      </c>
      <c r="E63" s="4" t="inlineStr">
        <is>
          <t>The applicant should be a citizen of India.</t>
        </is>
      </c>
      <c r="F63" s="4" t="inlineStr">
        <is>
          <t>MS-M01 / M01-P0004</t>
        </is>
      </c>
      <c r="G63" s="4" t="inlineStr"/>
      <c r="H63" s="7" t="inlineStr">
        <is>
          <t>Approved</t>
        </is>
      </c>
      <c r="I63" s="7" t="n"/>
      <c r="J63" s="4" t="inlineStr">
        <is>
          <t>Eligibility</t>
        </is>
      </c>
      <c r="K63" s="4" t="inlineStr">
        <is>
          <t>en.eligibilityCriteria.eligibilityDescription[0].children[0]</t>
        </is>
      </c>
      <c r="L63" s="4" t="inlineStr">
        <is>
          <t>M01@20261028-4614b9c2</t>
        </is>
      </c>
      <c r="M63" s="4" t="inlineStr">
        <is>
          <t>Source extract; not executable</t>
        </is>
      </c>
      <c r="N63" s="7" t="inlineStr">
        <is>
          <t>Unassigned</t>
        </is>
      </c>
      <c r="O63" s="7" t="inlineStr">
        <is>
          <t>1/1</t>
        </is>
      </c>
      <c r="P63" s="7" t="n"/>
    </row>
    <row r="64" ht="45" customHeight="1">
      <c r="A64" s="4" t="inlineStr">
        <is>
          <t>M01</t>
        </is>
      </c>
      <c r="B64" s="4" t="inlineStr">
        <is>
          <t>Sanjay Gandhi Niradhar Grant Scheme</t>
        </is>
      </c>
      <c r="C64" s="4" t="inlineStr">
        <is>
          <t>M01-SRC002</t>
        </is>
      </c>
      <c r="D64" s="4" t="inlineStr">
        <is>
          <t>Eligibility text</t>
        </is>
      </c>
      <c r="E64" s="4" t="inlineStr">
        <is>
          <t>The applicant should be a domicile / permanent resident of the state of Maharashtra.</t>
        </is>
      </c>
      <c r="F64" s="4" t="inlineStr">
        <is>
          <t>MS-M01 / M01-P0005</t>
        </is>
      </c>
      <c r="G64" s="4" t="inlineStr"/>
      <c r="H64" s="7" t="inlineStr">
        <is>
          <t>Approved</t>
        </is>
      </c>
      <c r="I64" s="7" t="n"/>
      <c r="J64" s="4" t="inlineStr">
        <is>
          <t>Eligibility</t>
        </is>
      </c>
      <c r="K64" s="4" t="inlineStr">
        <is>
          <t>en.eligibilityCriteria.eligibilityDescription[0].children[1]</t>
        </is>
      </c>
      <c r="L64" s="4" t="inlineStr">
        <is>
          <t>M01@20261028-4614b9c2</t>
        </is>
      </c>
      <c r="M64" s="4" t="inlineStr">
        <is>
          <t>Source extract; not executable</t>
        </is>
      </c>
      <c r="N64" s="7" t="inlineStr">
        <is>
          <t>Unassigned</t>
        </is>
      </c>
      <c r="O64" s="7" t="inlineStr">
        <is>
          <t>1/1</t>
        </is>
      </c>
      <c r="P64" s="7" t="n"/>
    </row>
    <row r="65" ht="52.16" customHeight="1">
      <c r="A65" s="4" t="inlineStr">
        <is>
          <t>M01</t>
        </is>
      </c>
      <c r="B65" s="4" t="inlineStr">
        <is>
          <t>Sanjay Gandhi Niradhar Grant Scheme</t>
        </is>
      </c>
      <c r="C65" s="4" t="inlineStr">
        <is>
          <t>M01-SRC003</t>
        </is>
      </c>
      <c r="D65" s="4" t="inlineStr">
        <is>
          <t>Eligibility text</t>
        </is>
      </c>
      <c r="E65" s="4" t="inlineStr">
        <is>
          <t>The name of the applicant should be in the list of Below Poverty Line (BPL) families OR the annual income of the family should be less than or equal to ₹ 21,000/-.</t>
        </is>
      </c>
      <c r="F65" s="4" t="inlineStr">
        <is>
          <t>MS-M01 / M01-P0006</t>
        </is>
      </c>
      <c r="G65" s="4" t="inlineStr"/>
      <c r="H65" s="7" t="inlineStr">
        <is>
          <t>Approved</t>
        </is>
      </c>
      <c r="I65" s="7" t="n"/>
      <c r="J65" s="4" t="inlineStr">
        <is>
          <t>Eligibility</t>
        </is>
      </c>
      <c r="K65" s="4" t="inlineStr">
        <is>
          <t>en.eligibilityCriteria.eligibilityDescription[0].children[2]</t>
        </is>
      </c>
      <c r="L65" s="4" t="inlineStr">
        <is>
          <t>M01@20261028-4614b9c2</t>
        </is>
      </c>
      <c r="M65" s="4" t="inlineStr">
        <is>
          <t>Source extract; not executable</t>
        </is>
      </c>
      <c r="N65" s="7" t="inlineStr">
        <is>
          <t>Unassigned</t>
        </is>
      </c>
      <c r="O65" s="7" t="inlineStr">
        <is>
          <t>1/1</t>
        </is>
      </c>
      <c r="P65" s="7" t="n"/>
    </row>
    <row r="66" ht="45" customHeight="1">
      <c r="A66" s="4" t="inlineStr">
        <is>
          <t>M01</t>
        </is>
      </c>
      <c r="B66" s="4" t="inlineStr">
        <is>
          <t>Sanjay Gandhi Niradhar Grant Scheme</t>
        </is>
      </c>
      <c r="C66" s="4" t="inlineStr">
        <is>
          <t>M01-SRC004</t>
        </is>
      </c>
      <c r="D66" s="4" t="inlineStr">
        <is>
          <t>Eligibility text</t>
        </is>
      </c>
      <c r="E66" s="4" t="inlineStr">
        <is>
          <t>The applicant should be one of the following:</t>
        </is>
      </c>
      <c r="F66" s="4" t="inlineStr">
        <is>
          <t>MS-M01 / M01-P0007</t>
        </is>
      </c>
      <c r="G66" s="4" t="inlineStr"/>
      <c r="H66" s="7" t="inlineStr">
        <is>
          <t>Approved</t>
        </is>
      </c>
      <c r="I66" s="7" t="n"/>
      <c r="J66" s="4" t="inlineStr">
        <is>
          <t>Eligibility</t>
        </is>
      </c>
      <c r="K66" s="4" t="inlineStr">
        <is>
          <t>en.eligibilityCriteria.eligibilityDescription[0].children[3]</t>
        </is>
      </c>
      <c r="L66" s="4" t="inlineStr">
        <is>
          <t>M01@20261028-4614b9c2</t>
        </is>
      </c>
      <c r="M66" s="4" t="inlineStr">
        <is>
          <t>Source extract; not executable</t>
        </is>
      </c>
      <c r="N66" s="7" t="inlineStr">
        <is>
          <t>Unassigned</t>
        </is>
      </c>
      <c r="O66" s="7" t="inlineStr">
        <is>
          <t>1/1</t>
        </is>
      </c>
      <c r="P66" s="7" t="n"/>
    </row>
    <row r="67" ht="45" customHeight="1">
      <c r="A67" s="4" t="inlineStr">
        <is>
          <t>M01</t>
        </is>
      </c>
      <c r="B67" s="4" t="inlineStr">
        <is>
          <t>Sanjay Gandhi Niradhar Grant Scheme</t>
        </is>
      </c>
      <c r="C67" s="4" t="inlineStr">
        <is>
          <t>M01-SRC005</t>
        </is>
      </c>
      <c r="D67" s="4" t="inlineStr">
        <is>
          <t>Eligibility text</t>
        </is>
      </c>
      <c r="E67" s="4" t="inlineStr">
        <is>
          <t>a) Destitute Men and Women below 65 Years of Age.</t>
        </is>
      </c>
      <c r="F67" s="4" t="inlineStr">
        <is>
          <t>MS-M01 / M01-P0008</t>
        </is>
      </c>
      <c r="G67" s="4" t="inlineStr"/>
      <c r="H67" s="7" t="inlineStr">
        <is>
          <t>Approved</t>
        </is>
      </c>
      <c r="I67" s="7" t="n"/>
      <c r="J67" s="4" t="inlineStr">
        <is>
          <t>Eligibility</t>
        </is>
      </c>
      <c r="K67" s="4" t="inlineStr">
        <is>
          <t>en.eligibilityCriteria.eligibilityDescription[1]</t>
        </is>
      </c>
      <c r="L67" s="4" t="inlineStr">
        <is>
          <t>M01@20261028-4614b9c2</t>
        </is>
      </c>
      <c r="M67" s="4" t="inlineStr">
        <is>
          <t>Source extract; not executable</t>
        </is>
      </c>
      <c r="N67" s="7" t="inlineStr">
        <is>
          <t>Unassigned</t>
        </is>
      </c>
      <c r="O67" s="7" t="inlineStr">
        <is>
          <t>1/1</t>
        </is>
      </c>
      <c r="P67" s="7" t="n"/>
    </row>
    <row r="68" ht="45" customHeight="1">
      <c r="A68" s="4" t="inlineStr">
        <is>
          <t>M01</t>
        </is>
      </c>
      <c r="B68" s="4" t="inlineStr">
        <is>
          <t>Sanjay Gandhi Niradhar Grant Scheme</t>
        </is>
      </c>
      <c r="C68" s="4" t="inlineStr">
        <is>
          <t>M01-SRC006</t>
        </is>
      </c>
      <c r="D68" s="4" t="inlineStr">
        <is>
          <t>Eligibility text</t>
        </is>
      </c>
      <c r="E68" s="4" t="inlineStr">
        <is>
          <t>b) Orphan Children.</t>
        </is>
      </c>
      <c r="F68" s="4" t="inlineStr">
        <is>
          <t>MS-M01 / M01-P0009</t>
        </is>
      </c>
      <c r="G68" s="4" t="inlineStr"/>
      <c r="H68" s="7" t="inlineStr">
        <is>
          <t>Approved</t>
        </is>
      </c>
      <c r="I68" s="7" t="n"/>
      <c r="J68" s="4" t="inlineStr">
        <is>
          <t>Eligibility</t>
        </is>
      </c>
      <c r="K68" s="4" t="inlineStr">
        <is>
          <t>en.eligibilityCriteria.eligibilityDescription[2]</t>
        </is>
      </c>
      <c r="L68" s="4" t="inlineStr">
        <is>
          <t>M01@20261028-4614b9c2</t>
        </is>
      </c>
      <c r="M68" s="4" t="inlineStr">
        <is>
          <t>Source extract; not executable</t>
        </is>
      </c>
      <c r="N68" s="7" t="inlineStr">
        <is>
          <t>Unassigned</t>
        </is>
      </c>
      <c r="O68" s="7" t="inlineStr">
        <is>
          <t>1/1</t>
        </is>
      </c>
      <c r="P68" s="7" t="n"/>
    </row>
    <row r="69" ht="45" customHeight="1">
      <c r="A69" s="4" t="inlineStr">
        <is>
          <t>M01</t>
        </is>
      </c>
      <c r="B69" s="4" t="inlineStr">
        <is>
          <t>Sanjay Gandhi Niradhar Grant Scheme</t>
        </is>
      </c>
      <c r="C69" s="4" t="inlineStr">
        <is>
          <t>M01-SRC007</t>
        </is>
      </c>
      <c r="D69" s="4" t="inlineStr">
        <is>
          <t>Eligibility text</t>
        </is>
      </c>
      <c r="E69" s="4" t="inlineStr">
        <is>
          <t>c) All categories of Person with Disability (PwD).</t>
        </is>
      </c>
      <c r="F69" s="4" t="inlineStr">
        <is>
          <t>MS-M01 / M01-P0010</t>
        </is>
      </c>
      <c r="G69" s="4" t="inlineStr"/>
      <c r="H69" s="7" t="inlineStr">
        <is>
          <t>Approved</t>
        </is>
      </c>
      <c r="I69" s="7" t="n"/>
      <c r="J69" s="4" t="inlineStr">
        <is>
          <t>Eligibility</t>
        </is>
      </c>
      <c r="K69" s="4" t="inlineStr">
        <is>
          <t>en.eligibilityCriteria.eligibilityDescription[3]</t>
        </is>
      </c>
      <c r="L69" s="4" t="inlineStr">
        <is>
          <t>M01@20261028-4614b9c2</t>
        </is>
      </c>
      <c r="M69" s="4" t="inlineStr">
        <is>
          <t>Source extract; not executable</t>
        </is>
      </c>
      <c r="N69" s="7" t="inlineStr">
        <is>
          <t>Unassigned</t>
        </is>
      </c>
      <c r="O69" s="7" t="inlineStr">
        <is>
          <t>1/1</t>
        </is>
      </c>
      <c r="P69" s="7" t="n"/>
    </row>
    <row r="70" ht="45" customHeight="1">
      <c r="A70" s="4" t="inlineStr">
        <is>
          <t>M01</t>
        </is>
      </c>
      <c r="B70" s="4" t="inlineStr">
        <is>
          <t>Sanjay Gandhi Niradhar Grant Scheme</t>
        </is>
      </c>
      <c r="C70" s="4" t="inlineStr">
        <is>
          <t>M01-SRC008</t>
        </is>
      </c>
      <c r="D70" s="4" t="inlineStr">
        <is>
          <t>Eligibility text</t>
        </is>
      </c>
      <c r="E70" s="4" t="inlineStr">
        <is>
          <t>d) Men and Women Who Are Unable to Sustain Themselves Due to Diseases Like Tuberculosis, Cancer, Aids, Leprosy.</t>
        </is>
      </c>
      <c r="F70" s="4" t="inlineStr">
        <is>
          <t>MS-M01 / M01-P0011</t>
        </is>
      </c>
      <c r="G70" s="4" t="inlineStr"/>
      <c r="H70" s="7" t="inlineStr">
        <is>
          <t>Approved</t>
        </is>
      </c>
      <c r="I70" s="7" t="n"/>
      <c r="J70" s="4" t="inlineStr">
        <is>
          <t>Eligibility</t>
        </is>
      </c>
      <c r="K70" s="4" t="inlineStr">
        <is>
          <t>en.eligibilityCriteria.eligibilityDescription[4]</t>
        </is>
      </c>
      <c r="L70" s="4" t="inlineStr">
        <is>
          <t>M01@20261028-4614b9c2</t>
        </is>
      </c>
      <c r="M70" s="4" t="inlineStr">
        <is>
          <t>Source extract; not executable</t>
        </is>
      </c>
      <c r="N70" s="7" t="inlineStr">
        <is>
          <t>Unassigned</t>
        </is>
      </c>
      <c r="O70" s="7" t="inlineStr">
        <is>
          <t>1/1</t>
        </is>
      </c>
      <c r="P70" s="7" t="n"/>
    </row>
    <row r="71" ht="45" customHeight="1">
      <c r="A71" s="4" t="inlineStr">
        <is>
          <t>M01</t>
        </is>
      </c>
      <c r="B71" s="4" t="inlineStr">
        <is>
          <t>Sanjay Gandhi Niradhar Grant Scheme</t>
        </is>
      </c>
      <c r="C71" s="4" t="inlineStr">
        <is>
          <t>M01-SRC009</t>
        </is>
      </c>
      <c r="D71" s="4" t="inlineStr">
        <is>
          <t>Eligibility text</t>
        </is>
      </c>
      <c r="E71" s="4" t="inlineStr">
        <is>
          <t>e) Destitute Widows (including widows of farmers who committed suicide).</t>
        </is>
      </c>
      <c r="F71" s="4" t="inlineStr">
        <is>
          <t>MS-M01 / M01-P0012</t>
        </is>
      </c>
      <c r="G71" s="4" t="inlineStr"/>
      <c r="H71" s="7" t="inlineStr">
        <is>
          <t>Approved</t>
        </is>
      </c>
      <c r="I71" s="7" t="n"/>
      <c r="J71" s="4" t="inlineStr">
        <is>
          <t>Eligibility</t>
        </is>
      </c>
      <c r="K71" s="4" t="inlineStr">
        <is>
          <t>en.eligibilityCriteria.eligibilityDescription[5]</t>
        </is>
      </c>
      <c r="L71" s="4" t="inlineStr">
        <is>
          <t>M01@20261028-4614b9c2</t>
        </is>
      </c>
      <c r="M71" s="4" t="inlineStr">
        <is>
          <t>Source extract; not executable</t>
        </is>
      </c>
      <c r="N71" s="7" t="inlineStr">
        <is>
          <t>Unassigned</t>
        </is>
      </c>
      <c r="O71" s="7" t="inlineStr">
        <is>
          <t>1/1</t>
        </is>
      </c>
      <c r="P71" s="7" t="n"/>
    </row>
    <row r="72" ht="45" customHeight="1">
      <c r="A72" s="4" t="inlineStr">
        <is>
          <t>M01</t>
        </is>
      </c>
      <c r="B72" s="4" t="inlineStr">
        <is>
          <t>Sanjay Gandhi Niradhar Grant Scheme</t>
        </is>
      </c>
      <c r="C72" s="4" t="inlineStr">
        <is>
          <t>M01-SRC010</t>
        </is>
      </c>
      <c r="D72" s="4" t="inlineStr">
        <is>
          <t>Eligibility text</t>
        </is>
      </c>
      <c r="E72" s="4" t="inlineStr">
        <is>
          <t>f) Women in the Divorce Process and Divorced but Not Alimony.</t>
        </is>
      </c>
      <c r="F72" s="4" t="inlineStr">
        <is>
          <t>MS-M01 / M01-P0013</t>
        </is>
      </c>
      <c r="G72" s="4" t="inlineStr"/>
      <c r="H72" s="7" t="inlineStr">
        <is>
          <t>Approved</t>
        </is>
      </c>
      <c r="I72" s="7" t="n"/>
      <c r="J72" s="4" t="inlineStr">
        <is>
          <t>Eligibility</t>
        </is>
      </c>
      <c r="K72" s="4" t="inlineStr">
        <is>
          <t>en.eligibilityCriteria.eligibilityDescription[6]</t>
        </is>
      </c>
      <c r="L72" s="4" t="inlineStr">
        <is>
          <t>M01@20261028-4614b9c2</t>
        </is>
      </c>
      <c r="M72" s="4" t="inlineStr">
        <is>
          <t>Source extract; not executable</t>
        </is>
      </c>
      <c r="N72" s="7" t="inlineStr">
        <is>
          <t>Unassigned</t>
        </is>
      </c>
      <c r="O72" s="7" t="inlineStr">
        <is>
          <t>1/1</t>
        </is>
      </c>
      <c r="P72" s="7" t="n"/>
    </row>
    <row r="73" ht="45" customHeight="1">
      <c r="A73" s="4" t="inlineStr">
        <is>
          <t>M01</t>
        </is>
      </c>
      <c r="B73" s="4" t="inlineStr">
        <is>
          <t>Sanjay Gandhi Niradhar Grant Scheme</t>
        </is>
      </c>
      <c r="C73" s="4" t="inlineStr">
        <is>
          <t>M01-SRC011</t>
        </is>
      </c>
      <c r="D73" s="4" t="inlineStr">
        <is>
          <t>Eligibility text</t>
        </is>
      </c>
      <c r="E73" s="4" t="inlineStr">
        <is>
          <t>g) Women Who Have Been Tortured and Released From Prostitution.</t>
        </is>
      </c>
      <c r="F73" s="4" t="inlineStr">
        <is>
          <t>MS-M01 / M01-P0014</t>
        </is>
      </c>
      <c r="G73" s="4" t="inlineStr"/>
      <c r="H73" s="7" t="inlineStr">
        <is>
          <t>Approved</t>
        </is>
      </c>
      <c r="I73" s="7" t="n"/>
      <c r="J73" s="4" t="inlineStr">
        <is>
          <t>Eligibility</t>
        </is>
      </c>
      <c r="K73" s="4" t="inlineStr">
        <is>
          <t>en.eligibilityCriteria.eligibilityDescription[7]</t>
        </is>
      </c>
      <c r="L73" s="4" t="inlineStr">
        <is>
          <t>M01@20261028-4614b9c2</t>
        </is>
      </c>
      <c r="M73" s="4" t="inlineStr">
        <is>
          <t>Source extract; not executable</t>
        </is>
      </c>
      <c r="N73" s="7" t="inlineStr">
        <is>
          <t>Unassigned</t>
        </is>
      </c>
      <c r="O73" s="7" t="inlineStr">
        <is>
          <t>1/1</t>
        </is>
      </c>
      <c r="P73" s="7" t="n"/>
    </row>
    <row r="74" ht="45" customHeight="1">
      <c r="A74" s="4" t="inlineStr">
        <is>
          <t>M01</t>
        </is>
      </c>
      <c r="B74" s="4" t="inlineStr">
        <is>
          <t>Sanjay Gandhi Niradhar Grant Scheme</t>
        </is>
      </c>
      <c r="C74" s="4" t="inlineStr">
        <is>
          <t>M01-SRC012</t>
        </is>
      </c>
      <c r="D74" s="4" t="inlineStr">
        <is>
          <t>Eligibility text</t>
        </is>
      </c>
      <c r="E74" s="4" t="inlineStr">
        <is>
          <t>h) Transgender.</t>
        </is>
      </c>
      <c r="F74" s="4" t="inlineStr">
        <is>
          <t>MS-M01 / M01-P0015</t>
        </is>
      </c>
      <c r="G74" s="4" t="inlineStr"/>
      <c r="H74" s="7" t="inlineStr">
        <is>
          <t>Approved</t>
        </is>
      </c>
      <c r="I74" s="7" t="n"/>
      <c r="J74" s="4" t="inlineStr">
        <is>
          <t>Eligibility</t>
        </is>
      </c>
      <c r="K74" s="4" t="inlineStr">
        <is>
          <t>en.eligibilityCriteria.eligibilityDescription[8]</t>
        </is>
      </c>
      <c r="L74" s="4" t="inlineStr">
        <is>
          <t>M01@20261028-4614b9c2</t>
        </is>
      </c>
      <c r="M74" s="4" t="inlineStr">
        <is>
          <t>Source extract; not executable</t>
        </is>
      </c>
      <c r="N74" s="7" t="inlineStr">
        <is>
          <t>Unassigned</t>
        </is>
      </c>
      <c r="O74" s="7" t="inlineStr">
        <is>
          <t>1/1</t>
        </is>
      </c>
      <c r="P74" s="7" t="n"/>
    </row>
    <row r="75" ht="45" customHeight="1">
      <c r="A75" s="4" t="inlineStr">
        <is>
          <t>M01</t>
        </is>
      </c>
      <c r="B75" s="4" t="inlineStr">
        <is>
          <t>Sanjay Gandhi Niradhar Grant Scheme</t>
        </is>
      </c>
      <c r="C75" s="4" t="inlineStr">
        <is>
          <t>M01-SRC013</t>
        </is>
      </c>
      <c r="D75" s="4" t="inlineStr">
        <is>
          <t>Eligibility text</t>
        </is>
      </c>
      <c r="E75" s="4" t="inlineStr">
        <is>
          <t>i) Devadasi.</t>
        </is>
      </c>
      <c r="F75" s="4" t="inlineStr">
        <is>
          <t>MS-M01 / M01-P0016</t>
        </is>
      </c>
      <c r="G75" s="4" t="inlineStr"/>
      <c r="H75" s="7" t="inlineStr">
        <is>
          <t>Approved</t>
        </is>
      </c>
      <c r="I75" s="7" t="n"/>
      <c r="J75" s="4" t="inlineStr">
        <is>
          <t>Eligibility</t>
        </is>
      </c>
      <c r="K75" s="4" t="inlineStr">
        <is>
          <t>en.eligibilityCriteria.eligibilityDescription[9]</t>
        </is>
      </c>
      <c r="L75" s="4" t="inlineStr">
        <is>
          <t>M01@20261028-4614b9c2</t>
        </is>
      </c>
      <c r="M75" s="4" t="inlineStr">
        <is>
          <t>Source extract; not executable</t>
        </is>
      </c>
      <c r="N75" s="7" t="inlineStr">
        <is>
          <t>Unassigned</t>
        </is>
      </c>
      <c r="O75" s="7" t="inlineStr">
        <is>
          <t>1/1</t>
        </is>
      </c>
      <c r="P75" s="7" t="n"/>
    </row>
    <row r="76" ht="45" customHeight="1">
      <c r="A76" s="4" t="inlineStr">
        <is>
          <t>M01</t>
        </is>
      </c>
      <c r="B76" s="4" t="inlineStr">
        <is>
          <t>Sanjay Gandhi Niradhar Grant Scheme</t>
        </is>
      </c>
      <c r="C76" s="4" t="inlineStr">
        <is>
          <t>M01-SRC014</t>
        </is>
      </c>
      <c r="D76" s="4" t="inlineStr">
        <is>
          <t>Eligibility text</t>
        </is>
      </c>
      <c r="E76" s="4" t="inlineStr">
        <is>
          <t>j) Unmarried Women Above 35 Years of Age.</t>
        </is>
      </c>
      <c r="F76" s="4" t="inlineStr">
        <is>
          <t>MS-M01 / M01-P0017</t>
        </is>
      </c>
      <c r="G76" s="4" t="inlineStr"/>
      <c r="H76" s="7" t="inlineStr">
        <is>
          <t>Approved</t>
        </is>
      </c>
      <c r="I76" s="7" t="n"/>
      <c r="J76" s="4" t="inlineStr">
        <is>
          <t>Eligibility</t>
        </is>
      </c>
      <c r="K76" s="4" t="inlineStr">
        <is>
          <t>en.eligibilityCriteria.eligibilityDescription[10]</t>
        </is>
      </c>
      <c r="L76" s="4" t="inlineStr">
        <is>
          <t>M01@20261028-4614b9c2</t>
        </is>
      </c>
      <c r="M76" s="4" t="inlineStr">
        <is>
          <t>Source extract; not executable</t>
        </is>
      </c>
      <c r="N76" s="7" t="inlineStr">
        <is>
          <t>Unassigned</t>
        </is>
      </c>
      <c r="O76" s="7" t="inlineStr">
        <is>
          <t>1/1</t>
        </is>
      </c>
      <c r="P76" s="7" t="n"/>
    </row>
    <row r="77" ht="45" customHeight="1">
      <c r="A77" s="4" t="inlineStr">
        <is>
          <t>M01</t>
        </is>
      </c>
      <c r="B77" s="4" t="inlineStr">
        <is>
          <t>Sanjay Gandhi Niradhar Grant Scheme</t>
        </is>
      </c>
      <c r="C77" s="4" t="inlineStr">
        <is>
          <t>M01-SRC015</t>
        </is>
      </c>
      <c r="D77" s="4" t="inlineStr">
        <is>
          <t>Eligibility text</t>
        </is>
      </c>
      <c r="E77" s="4" t="inlineStr">
        <is>
          <t>k) The Wives of Prisoners Serving Sentences in Jail.</t>
        </is>
      </c>
      <c r="F77" s="4" t="inlineStr">
        <is>
          <t>MS-M01 / M01-P0018</t>
        </is>
      </c>
      <c r="G77" s="4" t="inlineStr"/>
      <c r="H77" s="7" t="inlineStr">
        <is>
          <t>Approved</t>
        </is>
      </c>
      <c r="I77" s="7" t="n"/>
      <c r="J77" s="4" t="inlineStr">
        <is>
          <t>Eligibility</t>
        </is>
      </c>
      <c r="K77" s="4" t="inlineStr">
        <is>
          <t>en.eligibilityCriteria.eligibilityDescription[11]</t>
        </is>
      </c>
      <c r="L77" s="4" t="inlineStr">
        <is>
          <t>M01@20261028-4614b9c2</t>
        </is>
      </c>
      <c r="M77" s="4" t="inlineStr">
        <is>
          <t>Source extract; not executable</t>
        </is>
      </c>
      <c r="N77" s="7" t="inlineStr">
        <is>
          <t>Unassigned</t>
        </is>
      </c>
      <c r="O77" s="7" t="inlineStr">
        <is>
          <t>1/1</t>
        </is>
      </c>
      <c r="P77" s="7" t="n"/>
    </row>
    <row r="78" ht="45" customHeight="1">
      <c r="A78" s="4" t="inlineStr">
        <is>
          <t>M01</t>
        </is>
      </c>
      <c r="B78" s="4" t="inlineStr">
        <is>
          <t>Sanjay Gandhi Niradhar Grant Scheme</t>
        </is>
      </c>
      <c r="C78" s="4" t="inlineStr">
        <is>
          <t>M01-SRC016</t>
        </is>
      </c>
      <c r="D78" s="4" t="inlineStr">
        <is>
          <t>Eligibility text</t>
        </is>
      </c>
      <c r="E78" s="4" t="inlineStr">
        <is>
          <t>l) Those Suffering From Sickle Cell Disease.</t>
        </is>
      </c>
      <c r="F78" s="4" t="inlineStr">
        <is>
          <t>MS-M01 / M01-P0019</t>
        </is>
      </c>
      <c r="G78" s="4" t="inlineStr"/>
      <c r="H78" s="7" t="inlineStr">
        <is>
          <t>Approved</t>
        </is>
      </c>
      <c r="I78" s="7" t="n"/>
      <c r="J78" s="4" t="inlineStr">
        <is>
          <t>Eligibility</t>
        </is>
      </c>
      <c r="K78" s="4" t="inlineStr">
        <is>
          <t>en.eligibilityCriteria.eligibilityDescription[12]</t>
        </is>
      </c>
      <c r="L78" s="4" t="inlineStr">
        <is>
          <t>M01@20261028-4614b9c2</t>
        </is>
      </c>
      <c r="M78" s="4" t="inlineStr">
        <is>
          <t>Source extract; not executable</t>
        </is>
      </c>
      <c r="N78" s="7" t="inlineStr">
        <is>
          <t>Unassigned</t>
        </is>
      </c>
      <c r="O78" s="7" t="inlineStr">
        <is>
          <t>1/1</t>
        </is>
      </c>
      <c r="P78" s="7" t="n"/>
    </row>
    <row r="79" ht="45" customHeight="1">
      <c r="A79" s="4" t="inlineStr">
        <is>
          <t>M01</t>
        </is>
      </c>
      <c r="B79" s="4" t="inlineStr">
        <is>
          <t>Sanjay Gandhi Niradhar Grant Scheme</t>
        </is>
      </c>
      <c r="C79" s="4" t="inlineStr">
        <is>
          <t>M01-EMPTY-Exclusions</t>
        </is>
      </c>
      <c r="D79" s="4" t="inlineStr">
        <is>
          <t>Exclusions</t>
        </is>
      </c>
      <c r="E79" s="4" t="inlineStr">
        <is>
          <t>Not stated in the captured source. Do not infer no restrictions.</t>
        </is>
      </c>
      <c r="F79" s="4" t="inlineStr">
        <is>
          <t>MS-M01</t>
        </is>
      </c>
      <c r="G79" s="4" t="inlineStr">
        <is>
          <t>Full official guidelines required.</t>
        </is>
      </c>
      <c r="H79" s="7" t="inlineStr">
        <is>
          <t>Approved</t>
        </is>
      </c>
      <c r="I79" s="7" t="n"/>
      <c r="J79" s="4" t="inlineStr">
        <is>
          <t>Exclusions</t>
        </is>
      </c>
      <c r="K79" s="4" t="inlineStr"/>
      <c r="L79" s="4" t="inlineStr">
        <is>
          <t>M01@20261028-4614b9c2</t>
        </is>
      </c>
      <c r="M79" s="4" t="inlineStr">
        <is>
          <t>Empty or absent in source</t>
        </is>
      </c>
      <c r="N79" s="7" t="inlineStr">
        <is>
          <t>Unassigned</t>
        </is>
      </c>
      <c r="O79" s="7" t="n"/>
      <c r="P79" s="7" t="n"/>
    </row>
    <row r="80" ht="45" customHeight="1">
      <c r="A80" s="4" t="inlineStr">
        <is>
          <t>M02</t>
        </is>
      </c>
      <c r="B80" s="4" t="inlineStr">
        <is>
          <t>Shravanbal Seva State Pension Scheme</t>
        </is>
      </c>
      <c r="C80" s="4" t="inlineStr">
        <is>
          <t>M02-SRC001</t>
        </is>
      </c>
      <c r="D80" s="4" t="inlineStr">
        <is>
          <t>Eligibility text</t>
        </is>
      </c>
      <c r="E80" s="4" t="inlineStr">
        <is>
          <t>The applicant should be a citizen of India.</t>
        </is>
      </c>
      <c r="F80" s="4" t="inlineStr">
        <is>
          <t>MS-M02 / M02-P0005</t>
        </is>
      </c>
      <c r="G80" s="4" t="inlineStr"/>
      <c r="H80" s="7" t="inlineStr">
        <is>
          <t>Approved</t>
        </is>
      </c>
      <c r="I80" s="7" t="n"/>
      <c r="J80" s="4" t="inlineStr">
        <is>
          <t>Eligibility</t>
        </is>
      </c>
      <c r="K80" s="4" t="inlineStr">
        <is>
          <t>en.eligibilityCriteria.eligibilityDescription[0].children[0]</t>
        </is>
      </c>
      <c r="L80" s="4" t="inlineStr">
        <is>
          <t>M02@20261028-0e33c069</t>
        </is>
      </c>
      <c r="M80" s="4" t="inlineStr">
        <is>
          <t>Source extract; not executable</t>
        </is>
      </c>
      <c r="N80" s="7" t="inlineStr">
        <is>
          <t>Unassigned</t>
        </is>
      </c>
      <c r="O80" s="7" t="inlineStr">
        <is>
          <t>1/1</t>
        </is>
      </c>
      <c r="P80" s="7" t="n"/>
    </row>
    <row r="81" ht="45" customHeight="1">
      <c r="A81" s="4" t="inlineStr">
        <is>
          <t>M02</t>
        </is>
      </c>
      <c r="B81" s="4" t="inlineStr">
        <is>
          <t>Shravanbal Seva State Pension Scheme</t>
        </is>
      </c>
      <c r="C81" s="4" t="inlineStr">
        <is>
          <t>M02-SRC002</t>
        </is>
      </c>
      <c r="D81" s="4" t="inlineStr">
        <is>
          <t>Eligibility text</t>
        </is>
      </c>
      <c r="E81" s="4" t="inlineStr">
        <is>
          <t>The applicant should be a domicile / permanent resident of the state of Maharashtra for at least 15 years.</t>
        </is>
      </c>
      <c r="F81" s="4" t="inlineStr">
        <is>
          <t>MS-M02 / M02-P0006</t>
        </is>
      </c>
      <c r="G81" s="4" t="inlineStr"/>
      <c r="H81" s="7" t="inlineStr">
        <is>
          <t>Approved</t>
        </is>
      </c>
      <c r="I81" s="7" t="n"/>
      <c r="J81" s="4" t="inlineStr">
        <is>
          <t>Eligibility</t>
        </is>
      </c>
      <c r="K81" s="4" t="inlineStr">
        <is>
          <t>en.eligibilityCriteria.eligibilityDescription[0].children[1]</t>
        </is>
      </c>
      <c r="L81" s="4" t="inlineStr">
        <is>
          <t>M02@20261028-0e33c069</t>
        </is>
      </c>
      <c r="M81" s="4" t="inlineStr">
        <is>
          <t>Source extract; not executable</t>
        </is>
      </c>
      <c r="N81" s="7" t="inlineStr">
        <is>
          <t>Unassigned</t>
        </is>
      </c>
      <c r="O81" s="7" t="inlineStr">
        <is>
          <t>1/1</t>
        </is>
      </c>
      <c r="P81" s="7" t="n"/>
    </row>
    <row r="82" ht="45" customHeight="1">
      <c r="A82" s="4" t="inlineStr">
        <is>
          <t>M02</t>
        </is>
      </c>
      <c r="B82" s="4" t="inlineStr">
        <is>
          <t>Shravanbal Seva State Pension Scheme</t>
        </is>
      </c>
      <c r="C82" s="4" t="inlineStr">
        <is>
          <t>M02-SRC003</t>
        </is>
      </c>
      <c r="D82" s="4" t="inlineStr">
        <is>
          <t>Eligibility text</t>
        </is>
      </c>
      <c r="E82" s="4" t="inlineStr">
        <is>
          <t>The applicant should be destitute.</t>
        </is>
      </c>
      <c r="F82" s="4" t="inlineStr">
        <is>
          <t>MS-M02 / M02-P0007</t>
        </is>
      </c>
      <c r="G82" s="4" t="inlineStr"/>
      <c r="H82" s="7" t="inlineStr">
        <is>
          <t>Approved</t>
        </is>
      </c>
      <c r="I82" s="7" t="n"/>
      <c r="J82" s="4" t="inlineStr">
        <is>
          <t>Eligibility</t>
        </is>
      </c>
      <c r="K82" s="4" t="inlineStr">
        <is>
          <t>en.eligibilityCriteria.eligibilityDescription[0].children[2]</t>
        </is>
      </c>
      <c r="L82" s="4" t="inlineStr">
        <is>
          <t>M02@20261028-0e33c069</t>
        </is>
      </c>
      <c r="M82" s="4" t="inlineStr">
        <is>
          <t>Source extract; not executable</t>
        </is>
      </c>
      <c r="N82" s="7" t="inlineStr">
        <is>
          <t>Unassigned</t>
        </is>
      </c>
      <c r="O82" s="7" t="inlineStr">
        <is>
          <t>1/1</t>
        </is>
      </c>
      <c r="P82" s="7" t="n"/>
    </row>
    <row r="83" ht="45" customHeight="1">
      <c r="A83" s="4" t="inlineStr">
        <is>
          <t>M02</t>
        </is>
      </c>
      <c r="B83" s="4" t="inlineStr">
        <is>
          <t>Shravanbal Seva State Pension Scheme</t>
        </is>
      </c>
      <c r="C83" s="4" t="inlineStr">
        <is>
          <t>M02-SRC004</t>
        </is>
      </c>
      <c r="D83" s="4" t="inlineStr">
        <is>
          <t>Eligibility text</t>
        </is>
      </c>
      <c r="E83" s="4" t="inlineStr">
        <is>
          <t>The applicant should be 65 years or above in age.</t>
        </is>
      </c>
      <c r="F83" s="4" t="inlineStr">
        <is>
          <t>MS-M02 / M02-P0008</t>
        </is>
      </c>
      <c r="G83" s="4" t="inlineStr"/>
      <c r="H83" s="7" t="inlineStr">
        <is>
          <t>Approved</t>
        </is>
      </c>
      <c r="I83" s="7" t="n"/>
      <c r="J83" s="4" t="inlineStr">
        <is>
          <t>Eligibility</t>
        </is>
      </c>
      <c r="K83" s="4" t="inlineStr">
        <is>
          <t>en.eligibilityCriteria.eligibilityDescription[0].children[3]</t>
        </is>
      </c>
      <c r="L83" s="4" t="inlineStr">
        <is>
          <t>M02@20261028-0e33c069</t>
        </is>
      </c>
      <c r="M83" s="4" t="inlineStr">
        <is>
          <t>Source extract; not executable</t>
        </is>
      </c>
      <c r="N83" s="7" t="inlineStr">
        <is>
          <t>Unassigned</t>
        </is>
      </c>
      <c r="O83" s="7" t="inlineStr">
        <is>
          <t>1/1</t>
        </is>
      </c>
      <c r="P83" s="7" t="n"/>
    </row>
    <row r="84" ht="52.16" customHeight="1">
      <c r="A84" s="4" t="inlineStr">
        <is>
          <t>M02</t>
        </is>
      </c>
      <c r="B84" s="4" t="inlineStr">
        <is>
          <t>Shravanbal Seva State Pension Scheme</t>
        </is>
      </c>
      <c r="C84" s="4" t="inlineStr">
        <is>
          <t>M02-SRC005</t>
        </is>
      </c>
      <c r="D84" s="4" t="inlineStr">
        <is>
          <t>Eligibility text</t>
        </is>
      </c>
      <c r="E84" s="4" t="inlineStr">
        <is>
          <t>The name of the applicant should be in the list of Below Poverty Line (BPL) families OR the annual income of the family should be less than or equal to ₹ 21,000/-.</t>
        </is>
      </c>
      <c r="F84" s="4" t="inlineStr">
        <is>
          <t>MS-M02 / M02-P0009</t>
        </is>
      </c>
      <c r="G84" s="4" t="inlineStr"/>
      <c r="H84" s="7" t="inlineStr">
        <is>
          <t>Approved</t>
        </is>
      </c>
      <c r="I84" s="7" t="n"/>
      <c r="J84" s="4" t="inlineStr">
        <is>
          <t>Eligibility</t>
        </is>
      </c>
      <c r="K84" s="4" t="inlineStr">
        <is>
          <t>en.eligibilityCriteria.eligibilityDescription[0].children[4]</t>
        </is>
      </c>
      <c r="L84" s="4" t="inlineStr">
        <is>
          <t>M02@20261028-0e33c069</t>
        </is>
      </c>
      <c r="M84" s="4" t="inlineStr">
        <is>
          <t>Source extract; not executable</t>
        </is>
      </c>
      <c r="N84" s="7" t="inlineStr">
        <is>
          <t>Unassigned</t>
        </is>
      </c>
      <c r="O84" s="7" t="inlineStr">
        <is>
          <t>1/1</t>
        </is>
      </c>
      <c r="P84" s="7" t="n"/>
    </row>
    <row r="85" ht="45" customHeight="1">
      <c r="A85" s="4" t="inlineStr">
        <is>
          <t>M02</t>
        </is>
      </c>
      <c r="B85" s="4" t="inlineStr">
        <is>
          <t>Shravanbal Seva State Pension Scheme</t>
        </is>
      </c>
      <c r="C85" s="4" t="inlineStr">
        <is>
          <t>M02-EMPTY-Exclusions</t>
        </is>
      </c>
      <c r="D85" s="4" t="inlineStr">
        <is>
          <t>Exclusions</t>
        </is>
      </c>
      <c r="E85" s="4" t="inlineStr">
        <is>
          <t>Not stated in the captured source. Do not infer no restrictions.</t>
        </is>
      </c>
      <c r="F85" s="4" t="inlineStr">
        <is>
          <t>MS-M02</t>
        </is>
      </c>
      <c r="G85" s="4" t="inlineStr">
        <is>
          <t>Full official guidelines required.</t>
        </is>
      </c>
      <c r="H85" s="7" t="inlineStr">
        <is>
          <t>Approved</t>
        </is>
      </c>
      <c r="I85" s="7" t="n"/>
      <c r="J85" s="4" t="inlineStr">
        <is>
          <t>Exclusions</t>
        </is>
      </c>
      <c r="K85" s="4" t="inlineStr"/>
      <c r="L85" s="4" t="inlineStr">
        <is>
          <t>M02@20261028-0e33c069</t>
        </is>
      </c>
      <c r="M85" s="4" t="inlineStr">
        <is>
          <t>Empty or absent in source</t>
        </is>
      </c>
      <c r="N85" s="7" t="inlineStr">
        <is>
          <t>Unassigned</t>
        </is>
      </c>
      <c r="O85" s="7" t="n"/>
      <c r="P85" s="7" t="n"/>
    </row>
    <row r="86" ht="45" customHeight="1">
      <c r="A86" s="4" t="inlineStr">
        <is>
          <t>M03</t>
        </is>
      </c>
      <c r="B86" s="4" t="inlineStr">
        <is>
          <t>Lek Ladki Yojana</t>
        </is>
      </c>
      <c r="C86" s="4" t="inlineStr">
        <is>
          <t>M03-SRC001</t>
        </is>
      </c>
      <c r="D86" s="4" t="inlineStr">
        <is>
          <t>Eligibility text</t>
        </is>
      </c>
      <c r="E86" s="4" t="inlineStr">
        <is>
          <t>Girl born on or after 1 Apr 2023.</t>
        </is>
      </c>
      <c r="F86" s="4" t="inlineStr">
        <is>
          <t>MS-M03 / M03-P0001</t>
        </is>
      </c>
      <c r="G86" s="4" t="inlineStr">
        <is>
          <t>Birth date</t>
        </is>
      </c>
      <c r="H86" s="7" t="inlineStr">
        <is>
          <t>Not started</t>
        </is>
      </c>
      <c r="I86" s="7" t="n"/>
      <c r="J86" s="4" t="inlineStr">
        <is>
          <t>Eligibility</t>
        </is>
      </c>
      <c r="K86" s="4" t="inlineStr">
        <is>
          <t>earlier_review.rules[0]</t>
        </is>
      </c>
      <c r="L86" s="4" t="inlineStr">
        <is>
          <t>M03@20261023-86676752</t>
        </is>
      </c>
      <c r="M86" s="4" t="inlineStr">
        <is>
          <t>Source extract; not executable</t>
        </is>
      </c>
      <c r="N86" s="7" t="inlineStr">
        <is>
          <t>Unassigned</t>
        </is>
      </c>
      <c r="O86" s="7" t="inlineStr">
        <is>
          <t>1/1</t>
        </is>
      </c>
      <c r="P86" s="7" t="n"/>
    </row>
    <row r="87" ht="45" customHeight="1">
      <c r="A87" s="4" t="inlineStr">
        <is>
          <t>M03</t>
        </is>
      </c>
      <c r="B87" s="4" t="inlineStr">
        <is>
          <t>Lek Ladki Yojana</t>
        </is>
      </c>
      <c r="C87" s="4" t="inlineStr">
        <is>
          <t>M03-SRC002</t>
        </is>
      </c>
      <c r="D87" s="4" t="inlineStr">
        <is>
          <t>Eligibility text</t>
        </is>
      </c>
      <c r="E87" s="4" t="inlineStr">
        <is>
          <t>Yellow/orange ration-card family resident in Maharashtra; beneficiary bank account in Maharashtra.</t>
        </is>
      </c>
      <c r="F87" s="4" t="inlineStr">
        <is>
          <t>MS-M03 / M03-P0002</t>
        </is>
      </c>
      <c r="G87" s="4" t="inlineStr">
        <is>
          <t>Household</t>
        </is>
      </c>
      <c r="H87" s="7" t="inlineStr">
        <is>
          <t>Not started</t>
        </is>
      </c>
      <c r="I87" s="7" t="n"/>
      <c r="J87" s="4" t="inlineStr">
        <is>
          <t>Eligibility</t>
        </is>
      </c>
      <c r="K87" s="4" t="inlineStr">
        <is>
          <t>earlier_review.rules[1]</t>
        </is>
      </c>
      <c r="L87" s="4" t="inlineStr">
        <is>
          <t>M03@20261023-86676752</t>
        </is>
      </c>
      <c r="M87" s="4" t="inlineStr">
        <is>
          <t>Source extract; not executable</t>
        </is>
      </c>
      <c r="N87" s="7" t="inlineStr">
        <is>
          <t>Unassigned</t>
        </is>
      </c>
      <c r="O87" s="7" t="inlineStr">
        <is>
          <t>1/1</t>
        </is>
      </c>
      <c r="P87" s="7" t="n"/>
    </row>
    <row r="88" ht="45" customHeight="1">
      <c r="A88" s="4" t="inlineStr">
        <is>
          <t>M03</t>
        </is>
      </c>
      <c r="B88" s="4" t="inlineStr">
        <is>
          <t>Lek Ladki Yojana</t>
        </is>
      </c>
      <c r="C88" s="4" t="inlineStr">
        <is>
          <t>M03-SRC003</t>
        </is>
      </c>
      <c r="D88" s="4" t="inlineStr">
        <is>
          <t>Eligibility text</t>
        </is>
      </c>
      <c r="E88" s="4" t="inlineStr">
        <is>
          <t>Annual family income no greater than INR 100,000.</t>
        </is>
      </c>
      <c r="F88" s="4" t="inlineStr">
        <is>
          <t>MS-M03 / M03-P0003</t>
        </is>
      </c>
      <c r="G88" s="4" t="inlineStr">
        <is>
          <t>Income</t>
        </is>
      </c>
      <c r="H88" s="7" t="inlineStr">
        <is>
          <t>Not started</t>
        </is>
      </c>
      <c r="I88" s="7" t="n"/>
      <c r="J88" s="4" t="inlineStr">
        <is>
          <t>Eligibility</t>
        </is>
      </c>
      <c r="K88" s="4" t="inlineStr">
        <is>
          <t>earlier_review.rules[2]</t>
        </is>
      </c>
      <c r="L88" s="4" t="inlineStr">
        <is>
          <t>M03@20261023-86676752</t>
        </is>
      </c>
      <c r="M88" s="4" t="inlineStr">
        <is>
          <t>Source extract; not executable</t>
        </is>
      </c>
      <c r="N88" s="7" t="inlineStr">
        <is>
          <t>Unassigned</t>
        </is>
      </c>
      <c r="O88" s="7" t="inlineStr">
        <is>
          <t>1/1</t>
        </is>
      </c>
      <c r="P88" s="7" t="n"/>
    </row>
    <row r="89" ht="45" customHeight="1">
      <c r="A89" s="4" t="inlineStr">
        <is>
          <t>M03</t>
        </is>
      </c>
      <c r="B89" s="4" t="inlineStr">
        <is>
          <t>Lek Ladki Yojana</t>
        </is>
      </c>
      <c r="C89" s="4" t="inlineStr">
        <is>
          <t>M03-SRC004</t>
        </is>
      </c>
      <c r="D89" s="4" t="inlineStr">
        <is>
          <t>Eligibility text</t>
        </is>
      </c>
      <c r="E89" s="4" t="inlineStr">
        <is>
          <t>One or two daughters covered; daughter covered in a one-son/one-daughter family.</t>
        </is>
      </c>
      <c r="F89" s="4" t="inlineStr">
        <is>
          <t>MS-M03 / M03-P0004</t>
        </is>
      </c>
      <c r="G89" s="4" t="inlineStr">
        <is>
          <t>Birth order</t>
        </is>
      </c>
      <c r="H89" s="7" t="inlineStr">
        <is>
          <t>Not started</t>
        </is>
      </c>
      <c r="I89" s="7" t="n"/>
      <c r="J89" s="4" t="inlineStr">
        <is>
          <t>Eligibility</t>
        </is>
      </c>
      <c r="K89" s="4" t="inlineStr">
        <is>
          <t>earlier_review.rules[3]</t>
        </is>
      </c>
      <c r="L89" s="4" t="inlineStr">
        <is>
          <t>M03@20261023-86676752</t>
        </is>
      </c>
      <c r="M89" s="4" t="inlineStr">
        <is>
          <t>Source extract; not executable</t>
        </is>
      </c>
      <c r="N89" s="7" t="inlineStr">
        <is>
          <t>Unassigned</t>
        </is>
      </c>
      <c r="O89" s="7" t="inlineStr">
        <is>
          <t>1/1</t>
        </is>
      </c>
      <c r="P89" s="7" t="n"/>
    </row>
    <row r="90" ht="45" customHeight="1">
      <c r="A90" s="4" t="inlineStr">
        <is>
          <t>M03</t>
        </is>
      </c>
      <c r="B90" s="4" t="inlineStr">
        <is>
          <t>Lek Ladki Yojana</t>
        </is>
      </c>
      <c r="C90" s="4" t="inlineStr">
        <is>
          <t>M03-SRC005</t>
        </is>
      </c>
      <c r="D90" s="4" t="inlineStr">
        <is>
          <t>Eligibility text</t>
        </is>
      </c>
      <c r="E90" s="4" t="inlineStr">
        <is>
          <t>Second-delivery twins: eligible girl(s) covered, with parental family-planning surgery requirement thereafter.</t>
        </is>
      </c>
      <c r="F90" s="4" t="inlineStr">
        <is>
          <t>MS-M03 / M03-P0005</t>
        </is>
      </c>
      <c r="G90" s="4" t="inlineStr">
        <is>
          <t>Twins</t>
        </is>
      </c>
      <c r="H90" s="7" t="inlineStr">
        <is>
          <t>Not started</t>
        </is>
      </c>
      <c r="I90" s="7" t="n"/>
      <c r="J90" s="4" t="inlineStr">
        <is>
          <t>Eligibility</t>
        </is>
      </c>
      <c r="K90" s="4" t="inlineStr">
        <is>
          <t>earlier_review.rules[4]</t>
        </is>
      </c>
      <c r="L90" s="4" t="inlineStr">
        <is>
          <t>M03@20261023-86676752</t>
        </is>
      </c>
      <c r="M90" s="4" t="inlineStr">
        <is>
          <t>Source extract; not executable</t>
        </is>
      </c>
      <c r="N90" s="7" t="inlineStr">
        <is>
          <t>Unassigned</t>
        </is>
      </c>
      <c r="O90" s="7" t="inlineStr">
        <is>
          <t>1/1</t>
        </is>
      </c>
      <c r="P90" s="7" t="n"/>
    </row>
    <row r="91" ht="45" customHeight="1">
      <c r="A91" s="4" t="inlineStr">
        <is>
          <t>M03</t>
        </is>
      </c>
      <c r="B91" s="4" t="inlineStr">
        <is>
          <t>Lek Ladki Yojana</t>
        </is>
      </c>
      <c r="C91" s="4" t="inlineStr">
        <is>
          <t>M03-SRC006</t>
        </is>
      </c>
      <c r="D91" s="4" t="inlineStr">
        <is>
          <t>Eligibility text</t>
        </is>
      </c>
      <c r="E91" s="4" t="inlineStr">
        <is>
          <t>A child born before 1 Apr 2023 does not exclude a later second daughter/twin daughters, subject to family-planning condition.</t>
        </is>
      </c>
      <c r="F91" s="4" t="inlineStr">
        <is>
          <t>MS-M03 / M03-P0006</t>
        </is>
      </c>
      <c r="G91" s="4" t="inlineStr">
        <is>
          <t>Existing child</t>
        </is>
      </c>
      <c r="H91" s="7" t="inlineStr">
        <is>
          <t>Not started</t>
        </is>
      </c>
      <c r="I91" s="7" t="n"/>
      <c r="J91" s="4" t="inlineStr">
        <is>
          <t>Eligibility</t>
        </is>
      </c>
      <c r="K91" s="4" t="inlineStr">
        <is>
          <t>earlier_review.rules[5]</t>
        </is>
      </c>
      <c r="L91" s="4" t="inlineStr">
        <is>
          <t>M03@20261023-86676752</t>
        </is>
      </c>
      <c r="M91" s="4" t="inlineStr">
        <is>
          <t>Source extract; not executable</t>
        </is>
      </c>
      <c r="N91" s="7" t="inlineStr">
        <is>
          <t>Unassigned</t>
        </is>
      </c>
      <c r="O91" s="7" t="inlineStr">
        <is>
          <t>1/1</t>
        </is>
      </c>
      <c r="P91" s="7" t="n"/>
    </row>
    <row r="92" ht="45" customHeight="1">
      <c r="A92" s="4" t="inlineStr">
        <is>
          <t>M03</t>
        </is>
      </c>
      <c r="B92" s="4" t="inlineStr">
        <is>
          <t>Lek Ladki Yojana</t>
        </is>
      </c>
      <c r="C92" s="4" t="inlineStr">
        <is>
          <t>M03-SRC007</t>
        </is>
      </c>
      <c r="D92" s="4" t="inlineStr">
        <is>
          <t>Eligibility text</t>
        </is>
      </c>
      <c r="E92" s="4" t="inlineStr">
        <is>
          <t>Family-planning certificate for first child’s third instalment or second child’s second instalment.</t>
        </is>
      </c>
      <c r="F92" s="4" t="inlineStr">
        <is>
          <t>MS-M03 / M03-P0007</t>
        </is>
      </c>
      <c r="G92" s="4" t="inlineStr">
        <is>
          <t>Certificate timing</t>
        </is>
      </c>
      <c r="H92" s="7" t="inlineStr">
        <is>
          <t>Not started</t>
        </is>
      </c>
      <c r="I92" s="7" t="n"/>
      <c r="J92" s="4" t="inlineStr">
        <is>
          <t>Eligibility</t>
        </is>
      </c>
      <c r="K92" s="4" t="inlineStr">
        <is>
          <t>earlier_review.rules[6]</t>
        </is>
      </c>
      <c r="L92" s="4" t="inlineStr">
        <is>
          <t>M03@20261023-86676752</t>
        </is>
      </c>
      <c r="M92" s="4" t="inlineStr">
        <is>
          <t>Source extract; not executable</t>
        </is>
      </c>
      <c r="N92" s="7" t="inlineStr">
        <is>
          <t>Unassigned</t>
        </is>
      </c>
      <c r="O92" s="7" t="inlineStr">
        <is>
          <t>1/1</t>
        </is>
      </c>
      <c r="P92" s="7" t="n"/>
    </row>
    <row r="93" ht="45" customHeight="1">
      <c r="A93" s="4" t="inlineStr">
        <is>
          <t>M03</t>
        </is>
      </c>
      <c r="B93" s="4" t="inlineStr">
        <is>
          <t>Lek Ladki Yojana</t>
        </is>
      </c>
      <c r="C93" s="4" t="inlineStr">
        <is>
          <t>M03-SRC008</t>
        </is>
      </c>
      <c r="D93" s="4" t="inlineStr">
        <is>
          <t>Eligibility text</t>
        </is>
      </c>
      <c r="E93" s="4" t="inlineStr">
        <is>
          <t>Relevant school attendance certificate at education stages; final benefit requires age 18, voter-list proof and unmarried declaration.</t>
        </is>
      </c>
      <c r="F93" s="4" t="inlineStr">
        <is>
          <t>MS-M03 / M03-P0008</t>
        </is>
      </c>
      <c r="G93" s="4" t="inlineStr">
        <is>
          <t>Stage condition</t>
        </is>
      </c>
      <c r="H93" s="7" t="inlineStr">
        <is>
          <t>Not started</t>
        </is>
      </c>
      <c r="I93" s="7" t="n"/>
      <c r="J93" s="4" t="inlineStr">
        <is>
          <t>Eligibility</t>
        </is>
      </c>
      <c r="K93" s="4" t="inlineStr">
        <is>
          <t>earlier_review.rules[7]</t>
        </is>
      </c>
      <c r="L93" s="4" t="inlineStr">
        <is>
          <t>M03@20261023-86676752</t>
        </is>
      </c>
      <c r="M93" s="4" t="inlineStr">
        <is>
          <t>Source extract; not executable</t>
        </is>
      </c>
      <c r="N93" s="7" t="inlineStr">
        <is>
          <t>Unassigned</t>
        </is>
      </c>
      <c r="O93" s="7" t="inlineStr">
        <is>
          <t>1/1</t>
        </is>
      </c>
      <c r="P93" s="7" t="n"/>
    </row>
    <row r="94" ht="45" customHeight="1">
      <c r="A94" s="4" t="inlineStr">
        <is>
          <t>M03</t>
        </is>
      </c>
      <c r="B94" s="4" t="inlineStr">
        <is>
          <t>Lek Ladki Yojana</t>
        </is>
      </c>
      <c r="C94" s="4" t="inlineStr">
        <is>
          <t>M03-SRC009</t>
        </is>
      </c>
      <c r="D94" s="4" t="inlineStr">
        <is>
          <t>Exception candidate</t>
        </is>
      </c>
      <c r="E94" s="4" t="inlineStr">
        <is>
          <t>Girl’s Aadhaar requirement relaxed for first benefit.</t>
        </is>
      </c>
      <c r="F94" s="4" t="inlineStr">
        <is>
          <t>MS-M03 / M03-P0009</t>
        </is>
      </c>
      <c r="G94" s="4" t="inlineStr">
        <is>
          <t>Identity exception</t>
        </is>
      </c>
      <c r="H94" s="7" t="inlineStr">
        <is>
          <t>Not started</t>
        </is>
      </c>
      <c r="I94" s="7" t="n"/>
      <c r="J94" s="4" t="inlineStr">
        <is>
          <t>Eligibility</t>
        </is>
      </c>
      <c r="K94" s="4" t="inlineStr">
        <is>
          <t>earlier_review.rules[8]</t>
        </is>
      </c>
      <c r="L94" s="4" t="inlineStr">
        <is>
          <t>M03@20261023-86676752</t>
        </is>
      </c>
      <c r="M94" s="4" t="inlineStr">
        <is>
          <t>Source extract; not executable</t>
        </is>
      </c>
      <c r="N94" s="7" t="inlineStr">
        <is>
          <t>Unassigned</t>
        </is>
      </c>
      <c r="O94" s="7" t="inlineStr">
        <is>
          <t>1/1</t>
        </is>
      </c>
      <c r="P94" s="7" t="n"/>
    </row>
    <row r="95" ht="45" customHeight="1">
      <c r="A95" s="4" t="inlineStr">
        <is>
          <t>M04</t>
        </is>
      </c>
      <c r="B95" s="4" t="inlineStr">
        <is>
          <t>Mukhyamantri Vayoshri Yojana</t>
        </is>
      </c>
      <c r="C95" s="4" t="inlineStr">
        <is>
          <t>M04-SRC001</t>
        </is>
      </c>
      <c r="D95" s="4" t="inlineStr">
        <is>
          <t>Eligibility text</t>
        </is>
      </c>
      <c r="E95" s="4" t="inlineStr">
        <is>
          <t>Maharashtra senior citizen who completed 65 years by 31 Dec 2023 under original GR.</t>
        </is>
      </c>
      <c r="F95" s="4" t="inlineStr">
        <is>
          <t>MS-M04 / M04-P0001</t>
        </is>
      </c>
      <c r="G95" s="4" t="inlineStr">
        <is>
          <t>Residence and age</t>
        </is>
      </c>
      <c r="H95" s="7" t="inlineStr">
        <is>
          <t>Not started</t>
        </is>
      </c>
      <c r="I95" s="7" t="n"/>
      <c r="J95" s="4" t="inlineStr">
        <is>
          <t>Eligibility</t>
        </is>
      </c>
      <c r="K95" s="4" t="inlineStr">
        <is>
          <t>earlier_review.rules[0]</t>
        </is>
      </c>
      <c r="L95" s="4" t="inlineStr">
        <is>
          <t>M04@20261023-230cad49</t>
        </is>
      </c>
      <c r="M95" s="4" t="inlineStr">
        <is>
          <t>Source extract; not executable</t>
        </is>
      </c>
      <c r="N95" s="7" t="inlineStr">
        <is>
          <t>Unassigned</t>
        </is>
      </c>
      <c r="O95" s="7" t="inlineStr">
        <is>
          <t>1/1</t>
        </is>
      </c>
      <c r="P95" s="7" t="n"/>
    </row>
    <row r="96" ht="45" customHeight="1">
      <c r="A96" s="4" t="inlineStr">
        <is>
          <t>M04</t>
        </is>
      </c>
      <c r="B96" s="4" t="inlineStr">
        <is>
          <t>Mukhyamantri Vayoshri Yojana</t>
        </is>
      </c>
      <c r="C96" s="4" t="inlineStr">
        <is>
          <t>M04-SRC002</t>
        </is>
      </c>
      <c r="D96" s="4" t="inlineStr">
        <is>
          <t>Eligibility text</t>
        </is>
      </c>
      <c r="E96" s="4" t="inlineStr">
        <is>
          <t>Aadhaar or enrolment evidence; GR permits independent identity documents where Aadhaar is absent.</t>
        </is>
      </c>
      <c r="F96" s="4" t="inlineStr">
        <is>
          <t>MS-M04 / M04-P0002</t>
        </is>
      </c>
      <c r="G96" s="4" t="inlineStr">
        <is>
          <t>Identity</t>
        </is>
      </c>
      <c r="H96" s="7" t="inlineStr">
        <is>
          <t>Not started</t>
        </is>
      </c>
      <c r="I96" s="7" t="n"/>
      <c r="J96" s="4" t="inlineStr">
        <is>
          <t>Eligibility</t>
        </is>
      </c>
      <c r="K96" s="4" t="inlineStr">
        <is>
          <t>earlier_review.rules[1]</t>
        </is>
      </c>
      <c r="L96" s="4" t="inlineStr">
        <is>
          <t>M04@20261023-230cad49</t>
        </is>
      </c>
      <c r="M96" s="4" t="inlineStr">
        <is>
          <t>Source extract; not executable</t>
        </is>
      </c>
      <c r="N96" s="7" t="inlineStr">
        <is>
          <t>Unassigned</t>
        </is>
      </c>
      <c r="O96" s="7" t="inlineStr">
        <is>
          <t>1/1</t>
        </is>
      </c>
      <c r="P96" s="7" t="n"/>
    </row>
    <row r="97" ht="45" customHeight="1">
      <c r="A97" s="4" t="inlineStr">
        <is>
          <t>M04</t>
        </is>
      </c>
      <c r="B97" s="4" t="inlineStr">
        <is>
          <t>Mukhyamantri Vayoshri Yojana</t>
        </is>
      </c>
      <c r="C97" s="4" t="inlineStr">
        <is>
          <t>M04-SRC003</t>
        </is>
      </c>
      <c r="D97" s="4" t="inlineStr">
        <is>
          <t>Eligibility text</t>
        </is>
      </c>
      <c r="E97" s="4" t="inlineStr">
        <is>
          <t>Family annual income within INR 200,000; income self-declaration required.</t>
        </is>
      </c>
      <c r="F97" s="4" t="inlineStr">
        <is>
          <t>MS-M04 / M04-P0003</t>
        </is>
      </c>
      <c r="G97" s="4" t="inlineStr">
        <is>
          <t>Income</t>
        </is>
      </c>
      <c r="H97" s="7" t="inlineStr">
        <is>
          <t>Not started</t>
        </is>
      </c>
      <c r="I97" s="7" t="n"/>
      <c r="J97" s="4" t="inlineStr">
        <is>
          <t>Eligibility</t>
        </is>
      </c>
      <c r="K97" s="4" t="inlineStr">
        <is>
          <t>earlier_review.rules[2]</t>
        </is>
      </c>
      <c r="L97" s="4" t="inlineStr">
        <is>
          <t>M04@20261023-230cad49</t>
        </is>
      </c>
      <c r="M97" s="4" t="inlineStr">
        <is>
          <t>Source extract; not executable</t>
        </is>
      </c>
      <c r="N97" s="7" t="inlineStr">
        <is>
          <t>Unassigned</t>
        </is>
      </c>
      <c r="O97" s="7" t="inlineStr">
        <is>
          <t>1/1</t>
        </is>
      </c>
      <c r="P97" s="7" t="n"/>
    </row>
    <row r="98" ht="45" customHeight="1">
      <c r="A98" s="4" t="inlineStr">
        <is>
          <t>M04</t>
        </is>
      </c>
      <c r="B98" s="4" t="inlineStr">
        <is>
          <t>Mukhyamantri Vayoshri Yojana</t>
        </is>
      </c>
      <c r="C98" s="4" t="inlineStr">
        <is>
          <t>M04-SRC004</t>
        </is>
      </c>
      <c r="D98" s="4" t="inlineStr">
        <is>
          <t>Eligibility text</t>
        </is>
      </c>
      <c r="E98" s="4" t="inlineStr">
        <is>
          <t>No same equipment received free from a government source, local body or government-controlled undertaking in previous 3 years.</t>
        </is>
      </c>
      <c r="F98" s="4" t="inlineStr">
        <is>
          <t>MS-M04 / M04-P0004</t>
        </is>
      </c>
      <c r="G98" s="4" t="inlineStr">
        <is>
          <t>Prior benefit</t>
        </is>
      </c>
      <c r="H98" s="7" t="inlineStr">
        <is>
          <t>Not started</t>
        </is>
      </c>
      <c r="I98" s="7" t="n"/>
      <c r="J98" s="4" t="inlineStr">
        <is>
          <t>Eligibility</t>
        </is>
      </c>
      <c r="K98" s="4" t="inlineStr">
        <is>
          <t>earlier_review.rules[3]</t>
        </is>
      </c>
      <c r="L98" s="4" t="inlineStr">
        <is>
          <t>M04@20261023-230cad49</t>
        </is>
      </c>
      <c r="M98" s="4" t="inlineStr">
        <is>
          <t>Source extract; not executable</t>
        </is>
      </c>
      <c r="N98" s="7" t="inlineStr">
        <is>
          <t>Unassigned</t>
        </is>
      </c>
      <c r="O98" s="7" t="inlineStr">
        <is>
          <t>1/1</t>
        </is>
      </c>
      <c r="P98" s="7" t="n"/>
    </row>
    <row r="99" ht="45" customHeight="1">
      <c r="A99" s="4" t="inlineStr">
        <is>
          <t>M04</t>
        </is>
      </c>
      <c r="B99" s="4" t="inlineStr">
        <is>
          <t>Mukhyamantri Vayoshri Yojana</t>
        </is>
      </c>
      <c r="C99" s="4" t="inlineStr">
        <is>
          <t>M04-SRC005</t>
        </is>
      </c>
      <c r="D99" s="4" t="inlineStr">
        <is>
          <t>Exception candidate</t>
        </is>
      </c>
      <c r="E99" s="4" t="inlineStr">
        <is>
          <t>Replacement of defective/non-functional equipment may be permitted as an exception.</t>
        </is>
      </c>
      <c r="F99" s="4" t="inlineStr">
        <is>
          <t>MS-M04 / M04-P0005</t>
        </is>
      </c>
      <c r="G99" s="4" t="inlineStr">
        <is>
          <t>Exception</t>
        </is>
      </c>
      <c r="H99" s="7" t="inlineStr">
        <is>
          <t>Not started</t>
        </is>
      </c>
      <c r="I99" s="7" t="n"/>
      <c r="J99" s="4" t="inlineStr">
        <is>
          <t>Eligibility</t>
        </is>
      </c>
      <c r="K99" s="4" t="inlineStr">
        <is>
          <t>earlier_review.rules[4]</t>
        </is>
      </c>
      <c r="L99" s="4" t="inlineStr">
        <is>
          <t>M04@20261023-230cad49</t>
        </is>
      </c>
      <c r="M99" s="4" t="inlineStr">
        <is>
          <t>Source extract; not executable</t>
        </is>
      </c>
      <c r="N99" s="7" t="inlineStr">
        <is>
          <t>Unassigned</t>
        </is>
      </c>
      <c r="O99" s="7" t="inlineStr">
        <is>
          <t>1/1</t>
        </is>
      </c>
      <c r="P99" s="7" t="n"/>
    </row>
    <row r="100" ht="45" customHeight="1">
      <c r="A100" s="4" t="inlineStr">
        <is>
          <t>M04</t>
        </is>
      </c>
      <c r="B100" s="4" t="inlineStr">
        <is>
          <t>Mukhyamantri Vayoshri Yojana</t>
        </is>
      </c>
      <c r="C100" s="4" t="inlineStr">
        <is>
          <t>M04-SRC006</t>
        </is>
      </c>
      <c r="D100" s="4" t="inlineStr">
        <is>
          <t>Eligibility text</t>
        </is>
      </c>
      <c r="E100" s="4" t="inlineStr">
        <is>
          <t>Individual Aadhaar-linked savings account used for DBT.</t>
        </is>
      </c>
      <c r="F100" s="4" t="inlineStr">
        <is>
          <t>MS-M04 / M04-P0006</t>
        </is>
      </c>
      <c r="G100" s="4" t="inlineStr">
        <is>
          <t>Payment</t>
        </is>
      </c>
      <c r="H100" s="7" t="inlineStr">
        <is>
          <t>Not started</t>
        </is>
      </c>
      <c r="I100" s="7" t="n"/>
      <c r="J100" s="4" t="inlineStr">
        <is>
          <t>Eligibility</t>
        </is>
      </c>
      <c r="K100" s="4" t="inlineStr">
        <is>
          <t>earlier_review.rules[5]</t>
        </is>
      </c>
      <c r="L100" s="4" t="inlineStr">
        <is>
          <t>M04@20261023-230cad49</t>
        </is>
      </c>
      <c r="M100" s="4" t="inlineStr">
        <is>
          <t>Source extract; not executable</t>
        </is>
      </c>
      <c r="N100" s="7" t="inlineStr">
        <is>
          <t>Unassigned</t>
        </is>
      </c>
      <c r="O100" s="7" t="inlineStr">
        <is>
          <t>1/1</t>
        </is>
      </c>
      <c r="P100" s="7" t="n"/>
    </row>
    <row r="101" ht="45" customHeight="1">
      <c r="A101" s="4" t="inlineStr">
        <is>
          <t>C07</t>
        </is>
      </c>
      <c r="B101" s="4" t="inlineStr">
        <is>
          <t>Rashtriya Krishi Vigyan Puraskar</t>
        </is>
      </c>
      <c r="C101" s="4" t="inlineStr">
        <is>
          <t>C07-SRC001</t>
        </is>
      </c>
      <c r="D101" s="4" t="inlineStr">
        <is>
          <t>Source heading</t>
        </is>
      </c>
      <c r="E101" s="4" t="inlineStr">
        <is>
          <t>General Conditions:</t>
        </is>
      </c>
      <c r="F101" s="4" t="inlineStr">
        <is>
          <t>MS-C07 / C07-P0016</t>
        </is>
      </c>
      <c r="G101" s="4" t="inlineStr">
        <is>
          <t>General Conditions:</t>
        </is>
      </c>
      <c r="H101" s="7" t="inlineStr">
        <is>
          <t>Approved</t>
        </is>
      </c>
      <c r="I101" s="7" t="n"/>
      <c r="J101" s="4" t="inlineStr">
        <is>
          <t>Eligibility</t>
        </is>
      </c>
      <c r="K101" s="4" t="inlineStr">
        <is>
          <t>en.eligibilityCriteria.eligibilityDescription[0]</t>
        </is>
      </c>
      <c r="L101" s="4" t="inlineStr">
        <is>
          <t>C07@20261028-2e86f237</t>
        </is>
      </c>
      <c r="M101" s="4" t="inlineStr">
        <is>
          <t>Source extract; not executable</t>
        </is>
      </c>
      <c r="N101" s="7" t="inlineStr">
        <is>
          <t>Unassigned</t>
        </is>
      </c>
      <c r="O101" s="7" t="inlineStr">
        <is>
          <t>1/1</t>
        </is>
      </c>
      <c r="P101" s="7" t="n"/>
    </row>
    <row r="102" ht="69.76000000000001" customHeight="1">
      <c r="A102" s="4" t="inlineStr">
        <is>
          <t>C07</t>
        </is>
      </c>
      <c r="B102" s="4" t="inlineStr">
        <is>
          <t>Rashtriya Krishi Vigyan Puraskar</t>
        </is>
      </c>
      <c r="C102" s="4" t="inlineStr">
        <is>
          <t>C07-SRC002</t>
        </is>
      </c>
      <c r="D102" s="4" t="inlineStr">
        <is>
          <t>Eligibility text</t>
        </is>
      </c>
      <c r="E102" s="4" t="inlineStr">
        <is>
          <t>The applicant should be an Indian scientist working in agriculture or allied fields in ICAR institutes, public agricultural institutions, or Krishi Vigyan Kendras, and must have made significant contributions in India.</t>
        </is>
      </c>
      <c r="F102" s="4" t="inlineStr">
        <is>
          <t>MS-C07 / C07-P0017</t>
        </is>
      </c>
      <c r="G102" s="4" t="inlineStr">
        <is>
          <t>General Conditions:</t>
        </is>
      </c>
      <c r="H102" s="7" t="inlineStr">
        <is>
          <t>Approved</t>
        </is>
      </c>
      <c r="I102" s="7" t="n"/>
      <c r="J102" s="4" t="inlineStr">
        <is>
          <t>Eligibility</t>
        </is>
      </c>
      <c r="K102" s="4" t="inlineStr">
        <is>
          <t>en.eligibilityCriteria.eligibilityDescription[1].children[0]</t>
        </is>
      </c>
      <c r="L102" s="4" t="inlineStr">
        <is>
          <t>C07@20261028-2e86f237</t>
        </is>
      </c>
      <c r="M102" s="4" t="inlineStr">
        <is>
          <t>Source extract; not executable</t>
        </is>
      </c>
      <c r="N102" s="7" t="inlineStr">
        <is>
          <t>Unassigned</t>
        </is>
      </c>
      <c r="O102" s="7" t="inlineStr">
        <is>
          <t>1/1</t>
        </is>
      </c>
      <c r="P102" s="7" t="n"/>
    </row>
    <row r="103" ht="57.92" customHeight="1">
      <c r="A103" s="4" t="inlineStr">
        <is>
          <t>C07</t>
        </is>
      </c>
      <c r="B103" s="4" t="inlineStr">
        <is>
          <t>Rashtriya Krishi Vigyan Puraskar</t>
        </is>
      </c>
      <c r="C103" s="4" t="inlineStr">
        <is>
          <t>C07-SRC003</t>
        </is>
      </c>
      <c r="D103" s="4" t="inlineStr">
        <is>
          <t>Eligibility text</t>
        </is>
      </c>
      <c r="E103" s="4" t="inlineStr">
        <is>
          <t>The applicant should have work (research, innovation, or extension) that shows clear and proven impact on society, economy, or environment, supported by the Head of the Institution.</t>
        </is>
      </c>
      <c r="F103" s="4" t="inlineStr">
        <is>
          <t>MS-C07 / C07-P0018</t>
        </is>
      </c>
      <c r="G103" s="4" t="inlineStr">
        <is>
          <t>General Conditions:</t>
        </is>
      </c>
      <c r="H103" s="7" t="inlineStr">
        <is>
          <t>Approved</t>
        </is>
      </c>
      <c r="I103" s="7" t="n"/>
      <c r="J103" s="4" t="inlineStr">
        <is>
          <t>Eligibility</t>
        </is>
      </c>
      <c r="K103" s="4" t="inlineStr">
        <is>
          <t>en.eligibilityCriteria.eligibilityDescription[1].children[1]</t>
        </is>
      </c>
      <c r="L103" s="4" t="inlineStr">
        <is>
          <t>C07@20261028-2e86f237</t>
        </is>
      </c>
      <c r="M103" s="4" t="inlineStr">
        <is>
          <t>Source extract; not executable</t>
        </is>
      </c>
      <c r="N103" s="7" t="inlineStr">
        <is>
          <t>Unassigned</t>
        </is>
      </c>
      <c r="O103" s="7" t="inlineStr">
        <is>
          <t>1/1</t>
        </is>
      </c>
      <c r="P103" s="7" t="n"/>
    </row>
    <row r="104" ht="45" customHeight="1">
      <c r="A104" s="4" t="inlineStr">
        <is>
          <t>C07</t>
        </is>
      </c>
      <c r="B104" s="4" t="inlineStr">
        <is>
          <t>Rashtriya Krishi Vigyan Puraskar</t>
        </is>
      </c>
      <c r="C104" s="4" t="inlineStr">
        <is>
          <t>C07-SRC004</t>
        </is>
      </c>
      <c r="D104" s="4" t="inlineStr">
        <is>
          <t>Eligibility text</t>
        </is>
      </c>
      <c r="E104" s="4" t="inlineStr">
        <is>
          <t>The applicant can apply at any stage of their career, as no minimum service period is required.</t>
        </is>
      </c>
      <c r="F104" s="4" t="inlineStr">
        <is>
          <t>MS-C07 / C07-P0019</t>
        </is>
      </c>
      <c r="G104" s="4" t="inlineStr">
        <is>
          <t>General Conditions:</t>
        </is>
      </c>
      <c r="H104" s="7" t="inlineStr">
        <is>
          <t>Approved</t>
        </is>
      </c>
      <c r="I104" s="7" t="n"/>
      <c r="J104" s="4" t="inlineStr">
        <is>
          <t>Eligibility</t>
        </is>
      </c>
      <c r="K104" s="4" t="inlineStr">
        <is>
          <t>en.eligibilityCriteria.eligibilityDescription[1].children[2]</t>
        </is>
      </c>
      <c r="L104" s="4" t="inlineStr">
        <is>
          <t>C07@20261028-2e86f237</t>
        </is>
      </c>
      <c r="M104" s="4" t="inlineStr">
        <is>
          <t>Source extract; not executable</t>
        </is>
      </c>
      <c r="N104" s="7" t="inlineStr">
        <is>
          <t>Unassigned</t>
        </is>
      </c>
      <c r="O104" s="7" t="inlineStr">
        <is>
          <t>1/1</t>
        </is>
      </c>
      <c r="P104" s="7" t="n"/>
    </row>
    <row r="105" ht="45.76" customHeight="1">
      <c r="A105" s="4" t="inlineStr">
        <is>
          <t>C07</t>
        </is>
      </c>
      <c r="B105" s="4" t="inlineStr">
        <is>
          <t>Rashtriya Krishi Vigyan Puraskar</t>
        </is>
      </c>
      <c r="C105" s="4" t="inlineStr">
        <is>
          <t>C07-SRC005</t>
        </is>
      </c>
      <c r="D105" s="4" t="inlineStr">
        <is>
          <t>Eligibility text</t>
        </is>
      </c>
      <c r="E105" s="4" t="inlineStr">
        <is>
          <t>The applicant should submit only one application for a particular contribution in a year, and the application will be valid only for that year.</t>
        </is>
      </c>
      <c r="F105" s="4" t="inlineStr">
        <is>
          <t>MS-C07 / C07-P0020</t>
        </is>
      </c>
      <c r="G105" s="4" t="inlineStr">
        <is>
          <t>General Conditions:</t>
        </is>
      </c>
      <c r="H105" s="7" t="inlineStr">
        <is>
          <t>Approved</t>
        </is>
      </c>
      <c r="I105" s="7" t="n"/>
      <c r="J105" s="4" t="inlineStr">
        <is>
          <t>Eligibility</t>
        </is>
      </c>
      <c r="K105" s="4" t="inlineStr">
        <is>
          <t>en.eligibilityCriteria.eligibilityDescription[1].children[3]</t>
        </is>
      </c>
      <c r="L105" s="4" t="inlineStr">
        <is>
          <t>C07@20261028-2e86f237</t>
        </is>
      </c>
      <c r="M105" s="4" t="inlineStr">
        <is>
          <t>Source extract; not executable</t>
        </is>
      </c>
      <c r="N105" s="7" t="inlineStr">
        <is>
          <t>Unassigned</t>
        </is>
      </c>
      <c r="O105" s="7" t="inlineStr">
        <is>
          <t>1/1</t>
        </is>
      </c>
      <c r="P105" s="7" t="n"/>
    </row>
    <row r="106" ht="45" customHeight="1">
      <c r="A106" s="4" t="inlineStr">
        <is>
          <t>C07</t>
        </is>
      </c>
      <c r="B106" s="4" t="inlineStr">
        <is>
          <t>Rashtriya Krishi Vigyan Puraskar</t>
        </is>
      </c>
      <c r="C106" s="4" t="inlineStr">
        <is>
          <t>C07-SRC006</t>
        </is>
      </c>
      <c r="D106" s="4" t="inlineStr">
        <is>
          <t>Eligibility text</t>
        </is>
      </c>
      <c r="E106" s="4" t="inlineStr">
        <is>
          <t>The applicant should have a clean service record, with no pending enquiry or major punishment in the last five years.</t>
        </is>
      </c>
      <c r="F106" s="4" t="inlineStr">
        <is>
          <t>MS-C07 / C07-P0021</t>
        </is>
      </c>
      <c r="G106" s="4" t="inlineStr">
        <is>
          <t>General Conditions:</t>
        </is>
      </c>
      <c r="H106" s="7" t="inlineStr">
        <is>
          <t>Approved</t>
        </is>
      </c>
      <c r="I106" s="7" t="n"/>
      <c r="J106" s="4" t="inlineStr">
        <is>
          <t>Eligibility</t>
        </is>
      </c>
      <c r="K106" s="4" t="inlineStr">
        <is>
          <t>en.eligibilityCriteria.eligibilityDescription[1].children[4]</t>
        </is>
      </c>
      <c r="L106" s="4" t="inlineStr">
        <is>
          <t>C07@20261028-2e86f237</t>
        </is>
      </c>
      <c r="M106" s="4" t="inlineStr">
        <is>
          <t>Source extract; not executable</t>
        </is>
      </c>
      <c r="N106" s="7" t="inlineStr">
        <is>
          <t>Unassigned</t>
        </is>
      </c>
      <c r="O106" s="7" t="inlineStr">
        <is>
          <t>1/1</t>
        </is>
      </c>
      <c r="P106" s="7" t="n"/>
    </row>
    <row r="107" ht="45" customHeight="1">
      <c r="A107" s="4" t="inlineStr">
        <is>
          <t>C07</t>
        </is>
      </c>
      <c r="B107" s="4" t="inlineStr">
        <is>
          <t>Rashtriya Krishi Vigyan Puraskar</t>
        </is>
      </c>
      <c r="C107" s="4" t="inlineStr">
        <is>
          <t>C07-SRC007</t>
        </is>
      </c>
      <c r="D107" s="4" t="inlineStr">
        <is>
          <t>Eligibility text</t>
        </is>
      </c>
      <c r="E107" s="4" t="inlineStr">
        <is>
          <t>The applicant should apply under only one category and cannot be considered for multiple categories.</t>
        </is>
      </c>
      <c r="F107" s="4" t="inlineStr">
        <is>
          <t>MS-C07 / C07-P0022</t>
        </is>
      </c>
      <c r="G107" s="4" t="inlineStr">
        <is>
          <t>General Conditions:</t>
        </is>
      </c>
      <c r="H107" s="7" t="inlineStr">
        <is>
          <t>Approved</t>
        </is>
      </c>
      <c r="I107" s="7" t="n"/>
      <c r="J107" s="4" t="inlineStr">
        <is>
          <t>Eligibility</t>
        </is>
      </c>
      <c r="K107" s="4" t="inlineStr">
        <is>
          <t>en.eligibilityCriteria.eligibilityDescription[1].children[5]</t>
        </is>
      </c>
      <c r="L107" s="4" t="inlineStr">
        <is>
          <t>C07@20261028-2e86f237</t>
        </is>
      </c>
      <c r="M107" s="4" t="inlineStr">
        <is>
          <t>Source extract; not executable</t>
        </is>
      </c>
      <c r="N107" s="7" t="inlineStr">
        <is>
          <t>Unassigned</t>
        </is>
      </c>
      <c r="O107" s="7" t="inlineStr">
        <is>
          <t>1/1</t>
        </is>
      </c>
      <c r="P107" s="7" t="n"/>
    </row>
    <row r="108" ht="45" customHeight="1">
      <c r="A108" s="4" t="inlineStr">
        <is>
          <t>C07</t>
        </is>
      </c>
      <c r="B108" s="4" t="inlineStr">
        <is>
          <t>Rashtriya Krishi Vigyan Puraskar</t>
        </is>
      </c>
      <c r="C108" s="4" t="inlineStr">
        <is>
          <t>C07-SRC008</t>
        </is>
      </c>
      <c r="D108" s="4" t="inlineStr">
        <is>
          <t>Source heading</t>
        </is>
      </c>
      <c r="E108" s="4" t="inlineStr">
        <is>
          <t>Category-wise Conditions:</t>
        </is>
      </c>
      <c r="F108" s="4" t="inlineStr">
        <is>
          <t>MS-C07 / C07-P0023</t>
        </is>
      </c>
      <c r="G108" s="4" t="inlineStr">
        <is>
          <t>Category-wise Conditions:</t>
        </is>
      </c>
      <c r="H108" s="7" t="inlineStr">
        <is>
          <t>Approved</t>
        </is>
      </c>
      <c r="I108" s="7" t="n"/>
      <c r="J108" s="4" t="inlineStr">
        <is>
          <t>Eligibility</t>
        </is>
      </c>
      <c r="K108" s="4" t="inlineStr">
        <is>
          <t>en.eligibilityCriteria.eligibilityDescription[2]</t>
        </is>
      </c>
      <c r="L108" s="4" t="inlineStr">
        <is>
          <t>C07@20261028-2e86f237</t>
        </is>
      </c>
      <c r="M108" s="4" t="inlineStr">
        <is>
          <t>Source extract; not executable</t>
        </is>
      </c>
      <c r="N108" s="7" t="inlineStr">
        <is>
          <t>Unassigned</t>
        </is>
      </c>
      <c r="O108" s="7" t="inlineStr">
        <is>
          <t>1/1</t>
        </is>
      </c>
      <c r="P108" s="7" t="n"/>
    </row>
    <row r="109" ht="48.32" customHeight="1">
      <c r="A109" s="4" t="inlineStr">
        <is>
          <t>C07</t>
        </is>
      </c>
      <c r="B109" s="4" t="inlineStr">
        <is>
          <t>Rashtriya Krishi Vigyan Puraskar</t>
        </is>
      </c>
      <c r="C109" s="4" t="inlineStr">
        <is>
          <t>C07-SRC009</t>
        </is>
      </c>
      <c r="D109" s="4" t="inlineStr">
        <is>
          <t>Eligibility text</t>
        </is>
      </c>
      <c r="E109" s="4" t="inlineStr">
        <is>
          <t>The applicant can apply individually or as part of a team (maximum five members) for innovation and research awards, and must be below 60 years of age.</t>
        </is>
      </c>
      <c r="F109" s="4" t="inlineStr">
        <is>
          <t>MS-C07 / C07-P0024</t>
        </is>
      </c>
      <c r="G109" s="4" t="inlineStr">
        <is>
          <t>Category-wise Conditions:</t>
        </is>
      </c>
      <c r="H109" s="7" t="inlineStr">
        <is>
          <t>Approved</t>
        </is>
      </c>
      <c r="I109" s="7" t="n"/>
      <c r="J109" s="4" t="inlineStr">
        <is>
          <t>Eligibility</t>
        </is>
      </c>
      <c r="K109" s="4" t="inlineStr">
        <is>
          <t>en.eligibilityCriteria.eligibilityDescription[3].children[0]</t>
        </is>
      </c>
      <c r="L109" s="4" t="inlineStr">
        <is>
          <t>C07@20261028-2e86f237</t>
        </is>
      </c>
      <c r="M109" s="4" t="inlineStr">
        <is>
          <t>Source extract; not executable</t>
        </is>
      </c>
      <c r="N109" s="7" t="inlineStr">
        <is>
          <t>Unassigned</t>
        </is>
      </c>
      <c r="O109" s="7" t="inlineStr">
        <is>
          <t>1/1</t>
        </is>
      </c>
      <c r="P109" s="7" t="n"/>
    </row>
    <row r="110" ht="58.56" customHeight="1">
      <c r="A110" s="4" t="inlineStr">
        <is>
          <t>C07</t>
        </is>
      </c>
      <c r="B110" s="4" t="inlineStr">
        <is>
          <t>Rashtriya Krishi Vigyan Puraskar</t>
        </is>
      </c>
      <c r="C110" s="4" t="inlineStr">
        <is>
          <t>C07-SRC010</t>
        </is>
      </c>
      <c r="D110" s="4" t="inlineStr">
        <is>
          <t>Eligibility text</t>
        </is>
      </c>
      <c r="E110" s="4" t="inlineStr">
        <is>
          <t>The applicant applying for interdisciplinary research should be part of a team of at least three members from different disciplines, and the team leader must be below 60 years of age.</t>
        </is>
      </c>
      <c r="F110" s="4" t="inlineStr">
        <is>
          <t>MS-C07 / C07-P0025</t>
        </is>
      </c>
      <c r="G110" s="4" t="inlineStr">
        <is>
          <t>Category-wise Conditions:</t>
        </is>
      </c>
      <c r="H110" s="7" t="inlineStr">
        <is>
          <t>Approved</t>
        </is>
      </c>
      <c r="I110" s="7" t="n"/>
      <c r="J110" s="4" t="inlineStr">
        <is>
          <t>Eligibility</t>
        </is>
      </c>
      <c r="K110" s="4" t="inlineStr">
        <is>
          <t>en.eligibilityCriteria.eligibilityDescription[3].children[1]</t>
        </is>
      </c>
      <c r="L110" s="4" t="inlineStr">
        <is>
          <t>C07@20261028-2e86f237</t>
        </is>
      </c>
      <c r="M110" s="4" t="inlineStr">
        <is>
          <t>Source extract; not executable</t>
        </is>
      </c>
      <c r="N110" s="7" t="inlineStr">
        <is>
          <t>Unassigned</t>
        </is>
      </c>
      <c r="O110" s="7" t="inlineStr">
        <is>
          <t>1/1</t>
        </is>
      </c>
      <c r="P110" s="7" t="n"/>
    </row>
    <row r="111" ht="47.68" customHeight="1">
      <c r="A111" s="4" t="inlineStr">
        <is>
          <t>C07</t>
        </is>
      </c>
      <c r="B111" s="4" t="inlineStr">
        <is>
          <t>Rashtriya Krishi Vigyan Puraskar</t>
        </is>
      </c>
      <c r="C111" s="4" t="inlineStr">
        <is>
          <t>C07-SRC011</t>
        </is>
      </c>
      <c r="D111" s="4" t="inlineStr">
        <is>
          <t>Eligibility text</t>
        </is>
      </c>
      <c r="E111" s="4" t="inlineStr">
        <is>
          <t>The applicant applying for the women scientist category should be a woman working in agriculture or allied fields, and must be below 60 years of age.</t>
        </is>
      </c>
      <c r="F111" s="4" t="inlineStr">
        <is>
          <t>MS-C07 / C07-P0026</t>
        </is>
      </c>
      <c r="G111" s="4" t="inlineStr">
        <is>
          <t>Category-wise Conditions:</t>
        </is>
      </c>
      <c r="H111" s="7" t="inlineStr">
        <is>
          <t>Approved</t>
        </is>
      </c>
      <c r="I111" s="7" t="n"/>
      <c r="J111" s="4" t="inlineStr">
        <is>
          <t>Eligibility</t>
        </is>
      </c>
      <c r="K111" s="4" t="inlineStr">
        <is>
          <t>en.eligibilityCriteria.eligibilityDescription[3].children[2]</t>
        </is>
      </c>
      <c r="L111" s="4" t="inlineStr">
        <is>
          <t>C07@20261028-2e86f237</t>
        </is>
      </c>
      <c r="M111" s="4" t="inlineStr">
        <is>
          <t>Source extract; not executable</t>
        </is>
      </c>
      <c r="N111" s="7" t="inlineStr">
        <is>
          <t>Unassigned</t>
        </is>
      </c>
      <c r="O111" s="7" t="inlineStr">
        <is>
          <t>1/1</t>
        </is>
      </c>
      <c r="P111" s="7" t="n"/>
    </row>
    <row r="112" ht="46.72" customHeight="1">
      <c r="A112" s="4" t="inlineStr">
        <is>
          <t>C07</t>
        </is>
      </c>
      <c r="B112" s="4" t="inlineStr">
        <is>
          <t>Rashtriya Krishi Vigyan Puraskar</t>
        </is>
      </c>
      <c r="C112" s="4" t="inlineStr">
        <is>
          <t>C07-SRC012</t>
        </is>
      </c>
      <c r="D112" s="4" t="inlineStr">
        <is>
          <t>Eligibility text</t>
        </is>
      </c>
      <c r="E112" s="4" t="inlineStr">
        <is>
          <t>The applicant applying for the young scientist category should have a doctoral degree, hold a regular position, and must be below 45 years of age.</t>
        </is>
      </c>
      <c r="F112" s="4" t="inlineStr">
        <is>
          <t>MS-C07 / C07-P0027</t>
        </is>
      </c>
      <c r="G112" s="4" t="inlineStr">
        <is>
          <t>Category-wise Conditions:</t>
        </is>
      </c>
      <c r="H112" s="7" t="inlineStr">
        <is>
          <t>Approved</t>
        </is>
      </c>
      <c r="I112" s="7" t="n"/>
      <c r="J112" s="4" t="inlineStr">
        <is>
          <t>Eligibility</t>
        </is>
      </c>
      <c r="K112" s="4" t="inlineStr">
        <is>
          <t>en.eligibilityCriteria.eligibilityDescription[3].children[3]</t>
        </is>
      </c>
      <c r="L112" s="4" t="inlineStr">
        <is>
          <t>C07@20261028-2e86f237</t>
        </is>
      </c>
      <c r="M112" s="4" t="inlineStr">
        <is>
          <t>Source extract; not executable</t>
        </is>
      </c>
      <c r="N112" s="7" t="inlineStr">
        <is>
          <t>Unassigned</t>
        </is>
      </c>
      <c r="O112" s="7" t="inlineStr">
        <is>
          <t>1/1</t>
        </is>
      </c>
      <c r="P112" s="7" t="n"/>
    </row>
    <row r="113" ht="45" customHeight="1">
      <c r="A113" s="4" t="inlineStr">
        <is>
          <t>C07</t>
        </is>
      </c>
      <c r="B113" s="4" t="inlineStr">
        <is>
          <t>Rashtriya Krishi Vigyan Puraskar</t>
        </is>
      </c>
      <c r="C113" s="4" t="inlineStr">
        <is>
          <t>C07-EMPTY-Exclusions</t>
        </is>
      </c>
      <c r="D113" s="4" t="inlineStr">
        <is>
          <t>Exclusions</t>
        </is>
      </c>
      <c r="E113" s="4" t="inlineStr">
        <is>
          <t>Not stated in the captured source. Do not infer no restrictions.</t>
        </is>
      </c>
      <c r="F113" s="4" t="inlineStr">
        <is>
          <t>MS-C07</t>
        </is>
      </c>
      <c r="G113" s="4" t="inlineStr">
        <is>
          <t>Full official guidelines required.</t>
        </is>
      </c>
      <c r="H113" s="7" t="inlineStr">
        <is>
          <t>Approved</t>
        </is>
      </c>
      <c r="I113" s="7" t="n"/>
      <c r="J113" s="4" t="inlineStr">
        <is>
          <t>Exclusions</t>
        </is>
      </c>
      <c r="K113" s="4" t="inlineStr"/>
      <c r="L113" s="4" t="inlineStr">
        <is>
          <t>C07@20261028-2e86f237</t>
        </is>
      </c>
      <c r="M113" s="4" t="inlineStr">
        <is>
          <t>Empty or absent in source</t>
        </is>
      </c>
      <c r="N113" s="7" t="inlineStr">
        <is>
          <t>Unassigned</t>
        </is>
      </c>
      <c r="O113" s="7" t="n"/>
      <c r="P113" s="7" t="n"/>
    </row>
    <row r="114" ht="68.48" customHeight="1">
      <c r="A114" s="4" t="inlineStr">
        <is>
          <t>C08</t>
        </is>
      </c>
      <c r="B114" s="4" t="inlineStr">
        <is>
          <t>Market Development Assistance</t>
        </is>
      </c>
      <c r="C114" s="4" t="inlineStr">
        <is>
          <t>C08-SRC001</t>
        </is>
      </c>
      <c r="D114" s="4" t="inlineStr">
        <is>
          <t>Eligibility text</t>
        </is>
      </c>
      <c r="E114" s="4" t="inlineStr">
        <is>
          <t>The applicant must be a manufacturing-cum-marketing entity, a Compressed Bio-Gas operator, a Bio-gas operator, a marketer, or a distributor under the umbrella Galvanizing Organic Bio-Agro Resources Dhan initiative.</t>
        </is>
      </c>
      <c r="F114" s="4" t="inlineStr">
        <is>
          <t>MS-C08 / C08-P0014</t>
        </is>
      </c>
      <c r="G114" s="4" t="inlineStr"/>
      <c r="H114" s="7" t="inlineStr">
        <is>
          <t>Approved</t>
        </is>
      </c>
      <c r="I114" s="7" t="n"/>
      <c r="J114" s="4" t="inlineStr">
        <is>
          <t>Eligibility</t>
        </is>
      </c>
      <c r="K114" s="4" t="inlineStr">
        <is>
          <t>en.eligibilityCriteria.eligibilityDescription[0].children[0]</t>
        </is>
      </c>
      <c r="L114" s="4" t="inlineStr">
        <is>
          <t>C08@20261028-6245ae04</t>
        </is>
      </c>
      <c r="M114" s="4" t="inlineStr">
        <is>
          <t>Source extract; not executable</t>
        </is>
      </c>
      <c r="N114" s="7" t="inlineStr">
        <is>
          <t>Unassigned</t>
        </is>
      </c>
      <c r="O114" s="7" t="inlineStr">
        <is>
          <t>1/1</t>
        </is>
      </c>
      <c r="P114" s="7" t="n"/>
    </row>
    <row r="115" ht="45" customHeight="1">
      <c r="A115" s="4" t="inlineStr">
        <is>
          <t>C08</t>
        </is>
      </c>
      <c r="B115" s="4" t="inlineStr">
        <is>
          <t>Market Development Assistance</t>
        </is>
      </c>
      <c r="C115" s="4" t="inlineStr">
        <is>
          <t>C08-SRC002</t>
        </is>
      </c>
      <c r="D115" s="4" t="inlineStr">
        <is>
          <t>Eligibility text</t>
        </is>
      </c>
      <c r="E115" s="4" t="inlineStr">
        <is>
          <t>The applicant must be a Fertilizer Marketing Company marketing their organic fertilizers.</t>
        </is>
      </c>
      <c r="F115" s="4" t="inlineStr">
        <is>
          <t>MS-C08 / C08-P0015</t>
        </is>
      </c>
      <c r="G115" s="4" t="inlineStr"/>
      <c r="H115" s="7" t="inlineStr">
        <is>
          <t>Approved</t>
        </is>
      </c>
      <c r="I115" s="7" t="n"/>
      <c r="J115" s="4" t="inlineStr">
        <is>
          <t>Eligibility</t>
        </is>
      </c>
      <c r="K115" s="4" t="inlineStr">
        <is>
          <t>en.eligibilityCriteria.eligibilityDescription[0].children[1]</t>
        </is>
      </c>
      <c r="L115" s="4" t="inlineStr">
        <is>
          <t>C08@20261028-6245ae04</t>
        </is>
      </c>
      <c r="M115" s="4" t="inlineStr">
        <is>
          <t>Source extract; not executable</t>
        </is>
      </c>
      <c r="N115" s="7" t="inlineStr">
        <is>
          <t>Unassigned</t>
        </is>
      </c>
      <c r="O115" s="7" t="inlineStr">
        <is>
          <t>1/1</t>
        </is>
      </c>
      <c r="P115" s="7" t="n"/>
    </row>
    <row r="116" ht="55.36" customHeight="1">
      <c r="A116" s="4" t="inlineStr">
        <is>
          <t>C08</t>
        </is>
      </c>
      <c r="B116" s="4" t="inlineStr">
        <is>
          <t>Market Development Assistance</t>
        </is>
      </c>
      <c r="C116" s="4" t="inlineStr">
        <is>
          <t>C08-SRC003</t>
        </is>
      </c>
      <c r="D116" s="4" t="inlineStr">
        <is>
          <t>Eligibility text</t>
        </is>
      </c>
      <c r="E116" s="4" t="inlineStr">
        <is>
          <t>The applicant must produce organic fertilizers at Bio-Gas or Compressed Bio-Gas plants established under the umbrella Galvanizing Organic Bio-Agro Resources Dhan initiative.</t>
        </is>
      </c>
      <c r="F116" s="4" t="inlineStr">
        <is>
          <t>MS-C08 / C08-P0016</t>
        </is>
      </c>
      <c r="G116" s="4" t="inlineStr"/>
      <c r="H116" s="7" t="inlineStr">
        <is>
          <t>Approved</t>
        </is>
      </c>
      <c r="I116" s="7" t="n"/>
      <c r="J116" s="4" t="inlineStr">
        <is>
          <t>Eligibility</t>
        </is>
      </c>
      <c r="K116" s="4" t="inlineStr">
        <is>
          <t>en.eligibilityCriteria.eligibilityDescription[0].children[2]</t>
        </is>
      </c>
      <c r="L116" s="4" t="inlineStr">
        <is>
          <t>C08@20261028-6245ae04</t>
        </is>
      </c>
      <c r="M116" s="4" t="inlineStr">
        <is>
          <t>Source extract; not executable</t>
        </is>
      </c>
      <c r="N116" s="7" t="inlineStr">
        <is>
          <t>Unassigned</t>
        </is>
      </c>
      <c r="O116" s="7" t="inlineStr">
        <is>
          <t>1/1</t>
        </is>
      </c>
      <c r="P116" s="7" t="n"/>
    </row>
    <row r="117" ht="74.88" customHeight="1">
      <c r="A117" s="4" t="inlineStr">
        <is>
          <t>C08</t>
        </is>
      </c>
      <c r="B117" s="4" t="inlineStr">
        <is>
          <t>Market Development Assistance</t>
        </is>
      </c>
      <c r="C117" s="4" t="inlineStr">
        <is>
          <t>C08-SRC004</t>
        </is>
      </c>
      <c r="D117" s="4" t="inlineStr">
        <is>
          <t>Eligibility text</t>
        </is>
      </c>
      <c r="E117" s="4" t="inlineStr">
        <is>
          <t>The applicant must ensure the Bio-Gas or Compressed Bio-Gas plants are supported under initiatives like the Sustainable Alternative Towards Affordable Transportation scheme, the Waste to Energy programme, or the Swachh Bharat Mission.</t>
        </is>
      </c>
      <c r="F117" s="4" t="inlineStr">
        <is>
          <t>MS-C08 / C08-P0017</t>
        </is>
      </c>
      <c r="G117" s="4" t="inlineStr"/>
      <c r="H117" s="7" t="inlineStr">
        <is>
          <t>Approved</t>
        </is>
      </c>
      <c r="I117" s="7" t="n"/>
      <c r="J117" s="4" t="inlineStr">
        <is>
          <t>Eligibility</t>
        </is>
      </c>
      <c r="K117" s="4" t="inlineStr">
        <is>
          <t>en.eligibilityCriteria.eligibilityDescription[0].children[3]</t>
        </is>
      </c>
      <c r="L117" s="4" t="inlineStr">
        <is>
          <t>C08@20261028-6245ae04</t>
        </is>
      </c>
      <c r="M117" s="4" t="inlineStr">
        <is>
          <t>Source extract; not executable</t>
        </is>
      </c>
      <c r="N117" s="7" t="inlineStr">
        <is>
          <t>Unassigned</t>
        </is>
      </c>
      <c r="O117" s="7" t="inlineStr">
        <is>
          <t>1/1</t>
        </is>
      </c>
      <c r="P117" s="7" t="n"/>
    </row>
    <row r="118" ht="65.92" customHeight="1">
      <c r="A118" s="4" t="inlineStr">
        <is>
          <t>C08</t>
        </is>
      </c>
      <c r="B118" s="4" t="inlineStr">
        <is>
          <t>Market Development Assistance</t>
        </is>
      </c>
      <c r="C118" s="4" t="inlineStr">
        <is>
          <t>C08-SRC005</t>
        </is>
      </c>
      <c r="D118" s="4" t="inlineStr">
        <is>
          <t>Eligibility text</t>
        </is>
      </c>
      <c r="E118" s="4" t="inlineStr">
        <is>
          <t>The applicant must register the Bio-Gas or Compressed Bio-Gas units with the Galvanizing Organic Bio-Agro Resources Dhan portal of the Department of Drinking Water &amp; Sanitation as a pre-requisite condition.</t>
        </is>
      </c>
      <c r="F118" s="4" t="inlineStr">
        <is>
          <t>MS-C08 / C08-P0018</t>
        </is>
      </c>
      <c r="G118" s="4" t="inlineStr"/>
      <c r="H118" s="7" t="inlineStr">
        <is>
          <t>Approved</t>
        </is>
      </c>
      <c r="I118" s="7" t="n"/>
      <c r="J118" s="4" t="inlineStr">
        <is>
          <t>Eligibility</t>
        </is>
      </c>
      <c r="K118" s="4" t="inlineStr">
        <is>
          <t>en.eligibilityCriteria.eligibilityDescription[0].children[4]</t>
        </is>
      </c>
      <c r="L118" s="4" t="inlineStr">
        <is>
          <t>C08@20261028-6245ae04</t>
        </is>
      </c>
      <c r="M118" s="4" t="inlineStr">
        <is>
          <t>Source extract; not executable</t>
        </is>
      </c>
      <c r="N118" s="7" t="inlineStr">
        <is>
          <t>Unassigned</t>
        </is>
      </c>
      <c r="O118" s="7" t="inlineStr">
        <is>
          <t>1/1</t>
        </is>
      </c>
      <c r="P118" s="7" t="n"/>
    </row>
    <row r="119" ht="45" customHeight="1">
      <c r="A119" s="4" t="inlineStr">
        <is>
          <t>C08</t>
        </is>
      </c>
      <c r="B119" s="4" t="inlineStr">
        <is>
          <t>Market Development Assistance</t>
        </is>
      </c>
      <c r="C119" s="4" t="inlineStr">
        <is>
          <t>C08-SRC006</t>
        </is>
      </c>
      <c r="D119" s="4" t="inlineStr">
        <is>
          <t>Eligibility text</t>
        </is>
      </c>
      <c r="E119" s="4" t="inlineStr">
        <is>
          <t>The applicant must market Fermented Organic Manure, Liquid Fermented Organic Manure, or enriched Phosphate Rich Organic Manure.</t>
        </is>
      </c>
      <c r="F119" s="4" t="inlineStr">
        <is>
          <t>MS-C08 / C08-P0019</t>
        </is>
      </c>
      <c r="G119" s="4" t="inlineStr"/>
      <c r="H119" s="7" t="inlineStr">
        <is>
          <t>Approved</t>
        </is>
      </c>
      <c r="I119" s="7" t="n"/>
      <c r="J119" s="4" t="inlineStr">
        <is>
          <t>Eligibility</t>
        </is>
      </c>
      <c r="K119" s="4" t="inlineStr">
        <is>
          <t>en.eligibilityCriteria.eligibilityDescription[0].children[5]</t>
        </is>
      </c>
      <c r="L119" s="4" t="inlineStr">
        <is>
          <t>C08@20261028-6245ae04</t>
        </is>
      </c>
      <c r="M119" s="4" t="inlineStr">
        <is>
          <t>Source extract; not executable</t>
        </is>
      </c>
      <c r="N119" s="7" t="inlineStr">
        <is>
          <t>Unassigned</t>
        </is>
      </c>
      <c r="O119" s="7" t="inlineStr">
        <is>
          <t>1/1</t>
        </is>
      </c>
      <c r="P119" s="7" t="n"/>
    </row>
    <row r="120" ht="45" customHeight="1">
      <c r="A120" s="4" t="inlineStr">
        <is>
          <t>C08</t>
        </is>
      </c>
      <c r="B120" s="4" t="inlineStr">
        <is>
          <t>Market Development Assistance</t>
        </is>
      </c>
      <c r="C120" s="4" t="inlineStr">
        <is>
          <t>C08-SRC007</t>
        </is>
      </c>
      <c r="D120" s="4" t="inlineStr">
        <is>
          <t>Eligibility text</t>
        </is>
      </c>
      <c r="E120" s="4" t="inlineStr">
        <is>
          <t>The applicant must market the organic fertilizers in packed form.</t>
        </is>
      </c>
      <c r="F120" s="4" t="inlineStr">
        <is>
          <t>MS-C08 / C08-P0020</t>
        </is>
      </c>
      <c r="G120" s="4" t="inlineStr"/>
      <c r="H120" s="7" t="inlineStr">
        <is>
          <t>Approved</t>
        </is>
      </c>
      <c r="I120" s="7" t="n"/>
      <c r="J120" s="4" t="inlineStr">
        <is>
          <t>Eligibility</t>
        </is>
      </c>
      <c r="K120" s="4" t="inlineStr">
        <is>
          <t>en.eligibilityCriteria.eligibilityDescription[0].children[6]</t>
        </is>
      </c>
      <c r="L120" s="4" t="inlineStr">
        <is>
          <t>C08@20261028-6245ae04</t>
        </is>
      </c>
      <c r="M120" s="4" t="inlineStr">
        <is>
          <t>Source extract; not executable</t>
        </is>
      </c>
      <c r="N120" s="7" t="inlineStr">
        <is>
          <t>Unassigned</t>
        </is>
      </c>
      <c r="O120" s="7" t="inlineStr">
        <is>
          <t>1/1</t>
        </is>
      </c>
      <c r="P120" s="7" t="n"/>
    </row>
    <row r="121" ht="45" customHeight="1">
      <c r="A121" s="4" t="inlineStr">
        <is>
          <t>C08</t>
        </is>
      </c>
      <c r="B121" s="4" t="inlineStr">
        <is>
          <t>Market Development Assistance</t>
        </is>
      </c>
      <c r="C121" s="4" t="inlineStr">
        <is>
          <t>C08-SRC008</t>
        </is>
      </c>
      <c r="D121" s="4" t="inlineStr">
        <is>
          <t>Eligibility text</t>
        </is>
      </c>
      <c r="E121" s="4" t="inlineStr">
        <is>
          <t>The applicant must ensure the organic fertilizers conform to the specifications mentioned in the Fertilizer Control Order, 1985.</t>
        </is>
      </c>
      <c r="F121" s="4" t="inlineStr">
        <is>
          <t>MS-C08 / C08-P0021</t>
        </is>
      </c>
      <c r="G121" s="4" t="inlineStr"/>
      <c r="H121" s="7" t="inlineStr">
        <is>
          <t>Approved</t>
        </is>
      </c>
      <c r="I121" s="7" t="n"/>
      <c r="J121" s="4" t="inlineStr">
        <is>
          <t>Eligibility</t>
        </is>
      </c>
      <c r="K121" s="4" t="inlineStr">
        <is>
          <t>en.eligibilityCriteria.eligibilityDescription[0].children[7]</t>
        </is>
      </c>
      <c r="L121" s="4" t="inlineStr">
        <is>
          <t>C08@20261028-6245ae04</t>
        </is>
      </c>
      <c r="M121" s="4" t="inlineStr">
        <is>
          <t>Source extract; not executable</t>
        </is>
      </c>
      <c r="N121" s="7" t="inlineStr">
        <is>
          <t>Unassigned</t>
        </is>
      </c>
      <c r="O121" s="7" t="inlineStr">
        <is>
          <t>1/1</t>
        </is>
      </c>
      <c r="P121" s="7" t="n"/>
    </row>
    <row r="122" ht="58.88" customHeight="1">
      <c r="A122" s="4" t="inlineStr">
        <is>
          <t>C08</t>
        </is>
      </c>
      <c r="B122" s="4" t="inlineStr">
        <is>
          <t>Market Development Assistance</t>
        </is>
      </c>
      <c r="C122" s="4" t="inlineStr">
        <is>
          <t>C08-SRC009</t>
        </is>
      </c>
      <c r="D122" s="4" t="inlineStr">
        <is>
          <t>Eligibility text</t>
        </is>
      </c>
      <c r="E122" s="4" t="inlineStr">
        <is>
          <t>The applicant must undergo quality testing at Government notified laboratories or National Accreditation Board for Testing and Calibration Laboratories accredited private laboratories.</t>
        </is>
      </c>
      <c r="F122" s="4" t="inlineStr">
        <is>
          <t>MS-C08 / C08-P0022</t>
        </is>
      </c>
      <c r="G122" s="4" t="inlineStr"/>
      <c r="H122" s="7" t="inlineStr">
        <is>
          <t>Approved</t>
        </is>
      </c>
      <c r="I122" s="7" t="n"/>
      <c r="J122" s="4" t="inlineStr">
        <is>
          <t>Eligibility</t>
        </is>
      </c>
      <c r="K122" s="4" t="inlineStr">
        <is>
          <t>en.eligibilityCriteria.eligibilityDescription[0].children[8]</t>
        </is>
      </c>
      <c r="L122" s="4" t="inlineStr">
        <is>
          <t>C08@20261028-6245ae04</t>
        </is>
      </c>
      <c r="M122" s="4" t="inlineStr">
        <is>
          <t>Source extract; not executable</t>
        </is>
      </c>
      <c r="N122" s="7" t="inlineStr">
        <is>
          <t>Unassigned</t>
        </is>
      </c>
      <c r="O122" s="7" t="inlineStr">
        <is>
          <t>1/1</t>
        </is>
      </c>
      <c r="P122" s="7" t="n"/>
    </row>
    <row r="123" ht="45" customHeight="1">
      <c r="A123" s="4" t="inlineStr">
        <is>
          <t>C08</t>
        </is>
      </c>
      <c r="B123" s="4" t="inlineStr">
        <is>
          <t>Market Development Assistance</t>
        </is>
      </c>
      <c r="C123" s="4" t="inlineStr">
        <is>
          <t>C08-SRC010</t>
        </is>
      </c>
      <c r="D123" s="4" t="inlineStr">
        <is>
          <t>Exception candidate</t>
        </is>
      </c>
      <c r="E123" s="4" t="inlineStr">
        <is>
          <t>Relaxations</t>
        </is>
      </c>
      <c r="F123" s="4" t="inlineStr">
        <is>
          <t>MS-C08 / C08-P0023</t>
        </is>
      </c>
      <c r="G123" s="4" t="inlineStr"/>
      <c r="H123" s="7" t="inlineStr">
        <is>
          <t>Approved</t>
        </is>
      </c>
      <c r="I123" s="7" t="n"/>
      <c r="J123" s="4" t="inlineStr">
        <is>
          <t>Eligibility</t>
        </is>
      </c>
      <c r="K123" s="4" t="inlineStr">
        <is>
          <t>en.eligibilityCriteria.eligibilityDescription[1].children[0]</t>
        </is>
      </c>
      <c r="L123" s="4" t="inlineStr">
        <is>
          <t>C08@20261028-6245ae04</t>
        </is>
      </c>
      <c r="M123" s="4" t="inlineStr">
        <is>
          <t>Source extract; not executable</t>
        </is>
      </c>
      <c r="N123" s="7" t="inlineStr">
        <is>
          <t>Unassigned</t>
        </is>
      </c>
      <c r="O123" s="7" t="inlineStr">
        <is>
          <t>1/1</t>
        </is>
      </c>
      <c r="P123" s="7" t="n"/>
    </row>
    <row r="124" ht="55.68" customHeight="1">
      <c r="A124" s="4" t="inlineStr">
        <is>
          <t>C08</t>
        </is>
      </c>
      <c r="B124" s="4" t="inlineStr">
        <is>
          <t>Market Development Assistance</t>
        </is>
      </c>
      <c r="C124" s="4" t="inlineStr">
        <is>
          <t>C08-SRC011</t>
        </is>
      </c>
      <c r="D124" s="4" t="inlineStr">
        <is>
          <t>Eligibility text</t>
        </is>
      </c>
      <c r="E124" s="4" t="inlineStr">
        <is>
          <t>The applicant may market the fertilizers in bulk or loose form on an experimental basis subject to necessary notifications by the Department of Agriculture &amp; Farmers Welfare.</t>
        </is>
      </c>
      <c r="F124" s="4" t="inlineStr">
        <is>
          <t>MS-C08 / C08-P0024</t>
        </is>
      </c>
      <c r="G124" s="4" t="inlineStr"/>
      <c r="H124" s="7" t="inlineStr">
        <is>
          <t>Approved</t>
        </is>
      </c>
      <c r="I124" s="7" t="n"/>
      <c r="J124" s="4" t="inlineStr">
        <is>
          <t>Eligibility</t>
        </is>
      </c>
      <c r="K124" s="4" t="inlineStr">
        <is>
          <t>en.eligibilityCriteria.eligibilityDescription[2].children[0]</t>
        </is>
      </c>
      <c r="L124" s="4" t="inlineStr">
        <is>
          <t>C08@20261028-6245ae04</t>
        </is>
      </c>
      <c r="M124" s="4" t="inlineStr">
        <is>
          <t>Source extract; not executable</t>
        </is>
      </c>
      <c r="N124" s="7" t="inlineStr">
        <is>
          <t>Unassigned</t>
        </is>
      </c>
      <c r="O124" s="7" t="inlineStr">
        <is>
          <t>1/1</t>
        </is>
      </c>
      <c r="P124" s="7" t="n"/>
    </row>
    <row r="125" ht="47.36" customHeight="1">
      <c r="A125" s="4" t="inlineStr">
        <is>
          <t>C08</t>
        </is>
      </c>
      <c r="B125" s="4" t="inlineStr">
        <is>
          <t>Market Development Assistance</t>
        </is>
      </c>
      <c r="C125" s="4" t="inlineStr">
        <is>
          <t>C08-SRC012</t>
        </is>
      </c>
      <c r="D125" s="4" t="inlineStr">
        <is>
          <t>Eligibility text</t>
        </is>
      </c>
      <c r="E125" s="4" t="inlineStr">
        <is>
          <t>Primary Agricultural Cooperative Societies may be engaged as aggregators by the Fertilizers Marketing Companies or manufacturers, wherever feasible.</t>
        </is>
      </c>
      <c r="F125" s="4" t="inlineStr">
        <is>
          <t>MS-C08 / C08-P0025</t>
        </is>
      </c>
      <c r="G125" s="4" t="inlineStr"/>
      <c r="H125" s="7" t="inlineStr">
        <is>
          <t>Approved</t>
        </is>
      </c>
      <c r="I125" s="7" t="n"/>
      <c r="J125" s="4" t="inlineStr">
        <is>
          <t>Eligibility</t>
        </is>
      </c>
      <c r="K125" s="4" t="inlineStr">
        <is>
          <t>en.eligibilityCriteria.eligibilityDescription[2].children[1]</t>
        </is>
      </c>
      <c r="L125" s="4" t="inlineStr">
        <is>
          <t>C08@20261028-6245ae04</t>
        </is>
      </c>
      <c r="M125" s="4" t="inlineStr">
        <is>
          <t>Source extract; not executable</t>
        </is>
      </c>
      <c r="N125" s="7" t="inlineStr">
        <is>
          <t>Unassigned</t>
        </is>
      </c>
      <c r="O125" s="7" t="inlineStr">
        <is>
          <t>1/1</t>
        </is>
      </c>
      <c r="P125" s="7" t="n"/>
    </row>
    <row r="126" ht="45" customHeight="1">
      <c r="A126" s="4" t="inlineStr">
        <is>
          <t>C08</t>
        </is>
      </c>
      <c r="B126" s="4" t="inlineStr">
        <is>
          <t>Market Development Assistance</t>
        </is>
      </c>
      <c r="C126" s="4" t="inlineStr">
        <is>
          <t>C08-SRC013</t>
        </is>
      </c>
      <c r="D126" s="4" t="inlineStr">
        <is>
          <t>Post-selection candidate</t>
        </is>
      </c>
      <c r="E126" s="4" t="inlineStr">
        <is>
          <t>Post-Selection Conditions</t>
        </is>
      </c>
      <c r="F126" s="4" t="inlineStr">
        <is>
          <t>MS-C08 / C08-P0026</t>
        </is>
      </c>
      <c r="G126" s="4" t="inlineStr"/>
      <c r="H126" s="7" t="inlineStr">
        <is>
          <t>Approved</t>
        </is>
      </c>
      <c r="I126" s="7" t="n"/>
      <c r="J126" s="4" t="inlineStr">
        <is>
          <t>Eligibility</t>
        </is>
      </c>
      <c r="K126" s="4" t="inlineStr">
        <is>
          <t>en.eligibilityCriteria.eligibilityDescription[3].children[0]</t>
        </is>
      </c>
      <c r="L126" s="4" t="inlineStr">
        <is>
          <t>C08@20261028-6245ae04</t>
        </is>
      </c>
      <c r="M126" s="4" t="inlineStr">
        <is>
          <t>Source extract; not executable</t>
        </is>
      </c>
      <c r="N126" s="7" t="inlineStr">
        <is>
          <t>Unassigned</t>
        </is>
      </c>
      <c r="O126" s="7" t="inlineStr">
        <is>
          <t>1/1</t>
        </is>
      </c>
      <c r="P126" s="7" t="n"/>
    </row>
    <row r="127" ht="45" customHeight="1">
      <c r="A127" s="4" t="inlineStr">
        <is>
          <t>C08</t>
        </is>
      </c>
      <c r="B127" s="4" t="inlineStr">
        <is>
          <t>Market Development Assistance</t>
        </is>
      </c>
      <c r="C127" s="4" t="inlineStr">
        <is>
          <t>C08-SRC014</t>
        </is>
      </c>
      <c r="D127" s="4" t="inlineStr">
        <is>
          <t>Eligibility text</t>
        </is>
      </c>
      <c r="E127" s="4" t="inlineStr">
        <is>
          <t>The applicant must maintain records of a permanent nature in continuity year after year.</t>
        </is>
      </c>
      <c r="F127" s="4" t="inlineStr">
        <is>
          <t>MS-C08 / C08-P0027</t>
        </is>
      </c>
      <c r="G127" s="4" t="inlineStr"/>
      <c r="H127" s="7" t="inlineStr">
        <is>
          <t>Approved</t>
        </is>
      </c>
      <c r="I127" s="7" t="n"/>
      <c r="J127" s="4" t="inlineStr">
        <is>
          <t>Eligibility</t>
        </is>
      </c>
      <c r="K127" s="4" t="inlineStr">
        <is>
          <t>en.eligibilityCriteria.eligibilityDescription[4].children[0]</t>
        </is>
      </c>
      <c r="L127" s="4" t="inlineStr">
        <is>
          <t>C08@20261028-6245ae04</t>
        </is>
      </c>
      <c r="M127" s="4" t="inlineStr">
        <is>
          <t>Source extract; not executable</t>
        </is>
      </c>
      <c r="N127" s="7" t="inlineStr">
        <is>
          <t>Unassigned</t>
        </is>
      </c>
      <c r="O127" s="7" t="inlineStr">
        <is>
          <t>1/1</t>
        </is>
      </c>
      <c r="P127" s="7" t="n"/>
    </row>
    <row r="128" ht="47.04" customHeight="1">
      <c r="A128" s="4" t="inlineStr">
        <is>
          <t>C08</t>
        </is>
      </c>
      <c r="B128" s="4" t="inlineStr">
        <is>
          <t>Market Development Assistance</t>
        </is>
      </c>
      <c r="C128" s="4" t="inlineStr">
        <is>
          <t>C08-SRC015</t>
        </is>
      </c>
      <c r="D128" s="4" t="inlineStr">
        <is>
          <t>Eligibility text</t>
        </is>
      </c>
      <c r="E128" s="4" t="inlineStr">
        <is>
          <t>The applicant must make all permanent records available to the Department of Fertilizers or the Fertilizer Flying Squad for audit and verification.</t>
        </is>
      </c>
      <c r="F128" s="4" t="inlineStr">
        <is>
          <t>MS-C08 / C08-P0028</t>
        </is>
      </c>
      <c r="G128" s="4" t="inlineStr"/>
      <c r="H128" s="7" t="inlineStr">
        <is>
          <t>Approved</t>
        </is>
      </c>
      <c r="I128" s="7" t="n"/>
      <c r="J128" s="4" t="inlineStr">
        <is>
          <t>Eligibility</t>
        </is>
      </c>
      <c r="K128" s="4" t="inlineStr">
        <is>
          <t>en.eligibilityCriteria.eligibilityDescription[4].children[1]</t>
        </is>
      </c>
      <c r="L128" s="4" t="inlineStr">
        <is>
          <t>C08@20261028-6245ae04</t>
        </is>
      </c>
      <c r="M128" s="4" t="inlineStr">
        <is>
          <t>Source extract; not executable</t>
        </is>
      </c>
      <c r="N128" s="7" t="inlineStr">
        <is>
          <t>Unassigned</t>
        </is>
      </c>
      <c r="O128" s="7" t="inlineStr">
        <is>
          <t>1/1</t>
        </is>
      </c>
      <c r="P128" s="7" t="n"/>
    </row>
    <row r="129" ht="45" customHeight="1">
      <c r="A129" s="4" t="inlineStr">
        <is>
          <t>C08</t>
        </is>
      </c>
      <c r="B129" s="4" t="inlineStr">
        <is>
          <t>Market Development Assistance</t>
        </is>
      </c>
      <c r="C129" s="4" t="inlineStr">
        <is>
          <t>C08-EMPTY-Exclusions</t>
        </is>
      </c>
      <c r="D129" s="4" t="inlineStr">
        <is>
          <t>Exclusions</t>
        </is>
      </c>
      <c r="E129" s="4" t="inlineStr">
        <is>
          <t>Not stated in the captured source. Do not infer no restrictions.</t>
        </is>
      </c>
      <c r="F129" s="4" t="inlineStr">
        <is>
          <t>MS-C08</t>
        </is>
      </c>
      <c r="G129" s="4" t="inlineStr">
        <is>
          <t>Full official guidelines required.</t>
        </is>
      </c>
      <c r="H129" s="7" t="inlineStr">
        <is>
          <t>Approved</t>
        </is>
      </c>
      <c r="I129" s="7" t="n"/>
      <c r="J129" s="4" t="inlineStr">
        <is>
          <t>Exclusions</t>
        </is>
      </c>
      <c r="K129" s="4" t="inlineStr"/>
      <c r="L129" s="4" t="inlineStr">
        <is>
          <t>C08@20261028-6245ae04</t>
        </is>
      </c>
      <c r="M129" s="4" t="inlineStr">
        <is>
          <t>Empty or absent in source</t>
        </is>
      </c>
      <c r="N129" s="7" t="inlineStr">
        <is>
          <t>Unassigned</t>
        </is>
      </c>
      <c r="O129" s="7" t="n"/>
      <c r="P129" s="7" t="n"/>
    </row>
    <row r="130" ht="54.4" customHeight="1">
      <c r="A130" s="4" t="inlineStr">
        <is>
          <t>C09</t>
        </is>
      </c>
      <c r="B130" s="4" t="inlineStr">
        <is>
          <t>PRISM (Promoting Innovations in Individuals, Start-ups and MSMEs): Category-2: Fabrication of Working Model/Process Know-how/Testing &amp; Trial/Patenting/Technology Transfer</t>
        </is>
      </c>
      <c r="C130" s="4" t="inlineStr">
        <is>
          <t>C09-SRC001</t>
        </is>
      </c>
      <c r="D130" s="4" t="inlineStr">
        <is>
          <t>Eligibility text</t>
        </is>
      </c>
      <c r="E130" s="4" t="inlineStr">
        <is>
          <t>The applicant must be an Indian Citizen.</t>
        </is>
      </c>
      <c r="F130" s="4" t="inlineStr">
        <is>
          <t>MS-C09 / C09-P0027</t>
        </is>
      </c>
      <c r="G130" s="4" t="inlineStr"/>
      <c r="H130" s="7" t="inlineStr">
        <is>
          <t>Approved</t>
        </is>
      </c>
      <c r="I130" s="7" t="n"/>
      <c r="J130" s="4" t="inlineStr">
        <is>
          <t>Eligibility</t>
        </is>
      </c>
      <c r="K130" s="4" t="inlineStr">
        <is>
          <t>en.eligibilityCriteria.eligibilityDescription[0].children[0]</t>
        </is>
      </c>
      <c r="L130" s="4" t="inlineStr">
        <is>
          <t>C09@20261028-1e8f42c4</t>
        </is>
      </c>
      <c r="M130" s="4" t="inlineStr">
        <is>
          <t>Source extract; not executable</t>
        </is>
      </c>
      <c r="N130" s="7" t="inlineStr">
        <is>
          <t>Unassigned</t>
        </is>
      </c>
      <c r="O130" s="7" t="inlineStr">
        <is>
          <t>1/1</t>
        </is>
      </c>
      <c r="P130" s="7" t="n"/>
    </row>
    <row r="131" ht="54.4" customHeight="1">
      <c r="A131" s="4" t="inlineStr">
        <is>
          <t>C09</t>
        </is>
      </c>
      <c r="B131" s="4" t="inlineStr">
        <is>
          <t>PRISM (Promoting Innovations in Individuals, Start-ups and MSMEs): Category-2: Fabrication of Working Model/Process Know-how/Testing &amp; Trial/Patenting/Technology Transfer</t>
        </is>
      </c>
      <c r="C131" s="4" t="inlineStr">
        <is>
          <t>C09-SRC002</t>
        </is>
      </c>
      <c r="D131" s="4" t="inlineStr">
        <is>
          <t>Eligibility text</t>
        </is>
      </c>
      <c r="E131" s="4" t="inlineStr">
        <is>
          <t>The applicant must have an innovative idea or an invention.</t>
        </is>
      </c>
      <c r="F131" s="4" t="inlineStr">
        <is>
          <t>MS-C09 / C09-P0028</t>
        </is>
      </c>
      <c r="G131" s="4" t="inlineStr"/>
      <c r="H131" s="7" t="inlineStr">
        <is>
          <t>Approved</t>
        </is>
      </c>
      <c r="I131" s="7" t="n"/>
      <c r="J131" s="4" t="inlineStr">
        <is>
          <t>Eligibility</t>
        </is>
      </c>
      <c r="K131" s="4" t="inlineStr">
        <is>
          <t>en.eligibilityCriteria.eligibilityDescription[0].children[1]</t>
        </is>
      </c>
      <c r="L131" s="4" t="inlineStr">
        <is>
          <t>C09@20261028-1e8f42c4</t>
        </is>
      </c>
      <c r="M131" s="4" t="inlineStr">
        <is>
          <t>Source extract; not executable</t>
        </is>
      </c>
      <c r="N131" s="7" t="inlineStr">
        <is>
          <t>Unassigned</t>
        </is>
      </c>
      <c r="O131" s="7" t="inlineStr">
        <is>
          <t>1/1</t>
        </is>
      </c>
      <c r="P131" s="7" t="n"/>
    </row>
    <row r="132" ht="54.4" customHeight="1">
      <c r="A132" s="4" t="inlineStr">
        <is>
          <t>C09</t>
        </is>
      </c>
      <c r="B132" s="4" t="inlineStr">
        <is>
          <t>PRISM (Promoting Innovations in Individuals, Start-ups and MSMEs): Category-2: Fabrication of Working Model/Process Know-how/Testing &amp; Trial/Patenting/Technology Transfer</t>
        </is>
      </c>
      <c r="C132" s="4" t="inlineStr">
        <is>
          <t>C09-SRC003</t>
        </is>
      </c>
      <c r="D132" s="4" t="inlineStr">
        <is>
          <t>Eligibility text</t>
        </is>
      </c>
      <c r="E132" s="4" t="inlineStr">
        <is>
          <t>The applicant must propose a project where the project cost is more than ₹5,00,000/- and up to ₹35,00,000/-.</t>
        </is>
      </c>
      <c r="F132" s="4" t="inlineStr">
        <is>
          <t>MS-C09 / C09-P0029</t>
        </is>
      </c>
      <c r="G132" s="4" t="inlineStr"/>
      <c r="H132" s="7" t="inlineStr">
        <is>
          <t>Approved</t>
        </is>
      </c>
      <c r="I132" s="7" t="n"/>
      <c r="J132" s="4" t="inlineStr">
        <is>
          <t>Eligibility</t>
        </is>
      </c>
      <c r="K132" s="4" t="inlineStr">
        <is>
          <t>en.eligibilityCriteria.eligibilityDescription[0].children[2]</t>
        </is>
      </c>
      <c r="L132" s="4" t="inlineStr">
        <is>
          <t>C09@20261028-1e8f42c4</t>
        </is>
      </c>
      <c r="M132" s="4" t="inlineStr">
        <is>
          <t>Source extract; not executable</t>
        </is>
      </c>
      <c r="N132" s="7" t="inlineStr">
        <is>
          <t>Unassigned</t>
        </is>
      </c>
      <c r="O132" s="7" t="inlineStr">
        <is>
          <t>1/1</t>
        </is>
      </c>
      <c r="P132" s="7" t="n"/>
    </row>
    <row r="133" ht="54.4" customHeight="1">
      <c r="A133" s="4" t="inlineStr">
        <is>
          <t>C09</t>
        </is>
      </c>
      <c r="B133" s="4" t="inlineStr">
        <is>
          <t>PRISM (Promoting Innovations in Individuals, Start-ups and MSMEs): Category-2: Fabrication of Working Model/Process Know-how/Testing &amp; Trial/Patenting/Technology Transfer</t>
        </is>
      </c>
      <c r="C133" s="4" t="inlineStr">
        <is>
          <t>C09-SRC004</t>
        </is>
      </c>
      <c r="D133" s="4" t="inlineStr">
        <is>
          <t>Eligibility text</t>
        </is>
      </c>
      <c r="E133" s="4" t="inlineStr">
        <is>
          <t>The applicant must ensure the project duration does not exceed 24 months.</t>
        </is>
      </c>
      <c r="F133" s="4" t="inlineStr">
        <is>
          <t>MS-C09 / C09-P0030</t>
        </is>
      </c>
      <c r="G133" s="4" t="inlineStr"/>
      <c r="H133" s="7" t="inlineStr">
        <is>
          <t>Approved</t>
        </is>
      </c>
      <c r="I133" s="7" t="n"/>
      <c r="J133" s="4" t="inlineStr">
        <is>
          <t>Eligibility</t>
        </is>
      </c>
      <c r="K133" s="4" t="inlineStr">
        <is>
          <t>en.eligibilityCriteria.eligibilityDescription[0].children[3]</t>
        </is>
      </c>
      <c r="L133" s="4" t="inlineStr">
        <is>
          <t>C09@20261028-1e8f42c4</t>
        </is>
      </c>
      <c r="M133" s="4" t="inlineStr">
        <is>
          <t>Source extract; not executable</t>
        </is>
      </c>
      <c r="N133" s="7" t="inlineStr">
        <is>
          <t>Unassigned</t>
        </is>
      </c>
      <c r="O133" s="7" t="inlineStr">
        <is>
          <t>1/1</t>
        </is>
      </c>
      <c r="P133" s="7" t="n"/>
    </row>
    <row r="134" ht="54.4" customHeight="1">
      <c r="A134" s="4" t="inlineStr">
        <is>
          <t>C09</t>
        </is>
      </c>
      <c r="B134" s="4" t="inlineStr">
        <is>
          <t>PRISM (Promoting Innovations in Individuals, Start-ups and MSMEs): Category-2: Fabrication of Working Model/Process Know-how/Testing &amp; Trial/Patenting/Technology Transfer</t>
        </is>
      </c>
      <c r="C134" s="4" t="inlineStr">
        <is>
          <t>C09-SRC005</t>
        </is>
      </c>
      <c r="D134" s="4" t="inlineStr">
        <is>
          <t>Eligibility text</t>
        </is>
      </c>
      <c r="E134" s="4" t="inlineStr">
        <is>
          <t>The applicant must ensure the proposal involves the fabrication of a working model/process know-how/testing and trial/patenting/technology transfer.</t>
        </is>
      </c>
      <c r="F134" s="4" t="inlineStr">
        <is>
          <t>MS-C09 / C09-P0031</t>
        </is>
      </c>
      <c r="G134" s="4" t="inlineStr"/>
      <c r="H134" s="7" t="inlineStr">
        <is>
          <t>Approved</t>
        </is>
      </c>
      <c r="I134" s="7" t="n"/>
      <c r="J134" s="4" t="inlineStr">
        <is>
          <t>Eligibility</t>
        </is>
      </c>
      <c r="K134" s="4" t="inlineStr">
        <is>
          <t>en.eligibilityCriteria.eligibilityDescription[0].children[4]</t>
        </is>
      </c>
      <c r="L134" s="4" t="inlineStr">
        <is>
          <t>C09@20261028-1e8f42c4</t>
        </is>
      </c>
      <c r="M134" s="4" t="inlineStr">
        <is>
          <t>Source extract; not executable</t>
        </is>
      </c>
      <c r="N134" s="7" t="inlineStr">
        <is>
          <t>Unassigned</t>
        </is>
      </c>
      <c r="O134" s="7" t="inlineStr">
        <is>
          <t>1/1</t>
        </is>
      </c>
      <c r="P134" s="7" t="n"/>
    </row>
    <row r="135" ht="54.4" customHeight="1">
      <c r="A135" s="4" t="inlineStr">
        <is>
          <t>C09</t>
        </is>
      </c>
      <c r="B135" s="4" t="inlineStr">
        <is>
          <t>PRISM (Promoting Innovations in Individuals, Start-ups and MSMEs): Category-2: Fabrication of Working Model/Process Know-how/Testing &amp; Trial/Patenting/Technology Transfer</t>
        </is>
      </c>
      <c r="C135" s="4" t="inlineStr">
        <is>
          <t>C09-SRC006</t>
        </is>
      </c>
      <c r="D135" s="4" t="inlineStr">
        <is>
          <t>Eligibility text</t>
        </is>
      </c>
      <c r="E135" s="4" t="inlineStr">
        <is>
          <t>The applicant must ensure the proposal does not involve only software development.</t>
        </is>
      </c>
      <c r="F135" s="4" t="inlineStr">
        <is>
          <t>MS-C09 / C09-P0032</t>
        </is>
      </c>
      <c r="G135" s="4" t="inlineStr"/>
      <c r="H135" s="7" t="inlineStr">
        <is>
          <t>Approved</t>
        </is>
      </c>
      <c r="I135" s="7" t="n"/>
      <c r="J135" s="4" t="inlineStr">
        <is>
          <t>Eligibility</t>
        </is>
      </c>
      <c r="K135" s="4" t="inlineStr">
        <is>
          <t>en.eligibilityCriteria.eligibilityDescription[0].children[5]</t>
        </is>
      </c>
      <c r="L135" s="4" t="inlineStr">
        <is>
          <t>C09@20261028-1e8f42c4</t>
        </is>
      </c>
      <c r="M135" s="4" t="inlineStr">
        <is>
          <t>Source extract; not executable</t>
        </is>
      </c>
      <c r="N135" s="7" t="inlineStr">
        <is>
          <t>Unassigned</t>
        </is>
      </c>
      <c r="O135" s="7" t="inlineStr">
        <is>
          <t>1/1</t>
        </is>
      </c>
      <c r="P135" s="7" t="n"/>
    </row>
    <row r="136" ht="54.4" customHeight="1">
      <c r="A136" s="4" t="inlineStr">
        <is>
          <t>C09</t>
        </is>
      </c>
      <c r="B136" s="4" t="inlineStr">
        <is>
          <t>PRISM (Promoting Innovations in Individuals, Start-ups and MSMEs): Category-2: Fabrication of Working Model/Process Know-how/Testing &amp; Trial/Patenting/Technology Transfer</t>
        </is>
      </c>
      <c r="C136" s="4" t="inlineStr">
        <is>
          <t>C09-SRC007</t>
        </is>
      </c>
      <c r="D136" s="4" t="inlineStr">
        <is>
          <t>Eligibility text</t>
        </is>
      </c>
      <c r="E136" s="4" t="inlineStr">
        <is>
          <t>The applicant must ensure the proposal is not for basic scientific research having no immediate commercial implications.</t>
        </is>
      </c>
      <c r="F136" s="4" t="inlineStr">
        <is>
          <t>MS-C09 / C09-P0033</t>
        </is>
      </c>
      <c r="G136" s="4" t="inlineStr"/>
      <c r="H136" s="7" t="inlineStr">
        <is>
          <t>Approved</t>
        </is>
      </c>
      <c r="I136" s="7" t="n"/>
      <c r="J136" s="4" t="inlineStr">
        <is>
          <t>Eligibility</t>
        </is>
      </c>
      <c r="K136" s="4" t="inlineStr">
        <is>
          <t>en.eligibilityCriteria.eligibilityDescription[0].children[6]</t>
        </is>
      </c>
      <c r="L136" s="4" t="inlineStr">
        <is>
          <t>C09@20261028-1e8f42c4</t>
        </is>
      </c>
      <c r="M136" s="4" t="inlineStr">
        <is>
          <t>Source extract; not executable</t>
        </is>
      </c>
      <c r="N136" s="7" t="inlineStr">
        <is>
          <t>Unassigned</t>
        </is>
      </c>
      <c r="O136" s="7" t="inlineStr">
        <is>
          <t>1/1</t>
        </is>
      </c>
      <c r="P136" s="7" t="n"/>
    </row>
    <row r="137" ht="54.4" customHeight="1">
      <c r="A137" s="4" t="inlineStr">
        <is>
          <t>C09</t>
        </is>
      </c>
      <c r="B137" s="4" t="inlineStr">
        <is>
          <t>PRISM (Promoting Innovations in Individuals, Start-ups and MSMEs): Category-2: Fabrication of Working Model/Process Know-how/Testing &amp; Trial/Patenting/Technology Transfer</t>
        </is>
      </c>
      <c r="C137" s="4" t="inlineStr">
        <is>
          <t>C09-SRC008</t>
        </is>
      </c>
      <c r="D137" s="4" t="inlineStr">
        <is>
          <t>Eligibility text</t>
        </is>
      </c>
      <c r="E137" s="4" t="inlineStr">
        <is>
          <t>Specific Conditions</t>
        </is>
      </c>
      <c r="F137" s="4" t="inlineStr">
        <is>
          <t>MS-C09 / C09-P0034</t>
        </is>
      </c>
      <c r="G137" s="4" t="inlineStr"/>
      <c r="H137" s="7" t="inlineStr">
        <is>
          <t>Approved</t>
        </is>
      </c>
      <c r="I137" s="7" t="n"/>
      <c r="J137" s="4" t="inlineStr">
        <is>
          <t>Eligibility</t>
        </is>
      </c>
      <c r="K137" s="4" t="inlineStr">
        <is>
          <t>en.eligibilityCriteria.eligibilityDescription[1].children[0]</t>
        </is>
      </c>
      <c r="L137" s="4" t="inlineStr">
        <is>
          <t>C09@20261028-1e8f42c4</t>
        </is>
      </c>
      <c r="M137" s="4" t="inlineStr">
        <is>
          <t>Source extract; not executable</t>
        </is>
      </c>
      <c r="N137" s="7" t="inlineStr">
        <is>
          <t>Unassigned</t>
        </is>
      </c>
      <c r="O137" s="7" t="inlineStr">
        <is>
          <t>1/1</t>
        </is>
      </c>
      <c r="P137" s="7" t="n"/>
    </row>
    <row r="138" ht="54.4" customHeight="1">
      <c r="A138" s="4" t="inlineStr">
        <is>
          <t>C09</t>
        </is>
      </c>
      <c r="B138" s="4" t="inlineStr">
        <is>
          <t>PRISM (Promoting Innovations in Individuals, Start-ups and MSMEs): Category-2: Fabrication of Working Model/Process Know-how/Testing &amp; Trial/Patenting/Technology Transfer</t>
        </is>
      </c>
      <c r="C138" s="4" t="inlineStr">
        <is>
          <t>C09-SRC009</t>
        </is>
      </c>
      <c r="D138" s="4" t="inlineStr">
        <is>
          <t>Eligibility text</t>
        </is>
      </c>
      <c r="E138" s="4" t="inlineStr">
        <is>
          <t>Students: The applicant must provide a `No Objection Certificate’ from the head of their institution on the institution’s letterhead.</t>
        </is>
      </c>
      <c r="F138" s="4" t="inlineStr">
        <is>
          <t>MS-C09 / C09-P0035</t>
        </is>
      </c>
      <c r="G138" s="4" t="inlineStr"/>
      <c r="H138" s="7" t="inlineStr">
        <is>
          <t>Approved</t>
        </is>
      </c>
      <c r="I138" s="7" t="n"/>
      <c r="J138" s="4" t="inlineStr">
        <is>
          <t>Eligibility</t>
        </is>
      </c>
      <c r="K138" s="4" t="inlineStr">
        <is>
          <t>en.eligibilityCriteria.eligibilityDescription[2].children[0]</t>
        </is>
      </c>
      <c r="L138" s="4" t="inlineStr">
        <is>
          <t>C09@20261028-1e8f42c4</t>
        </is>
      </c>
      <c r="M138" s="4" t="inlineStr">
        <is>
          <t>Source extract; not executable</t>
        </is>
      </c>
      <c r="N138" s="7" t="inlineStr">
        <is>
          <t>Unassigned</t>
        </is>
      </c>
      <c r="O138" s="7" t="inlineStr">
        <is>
          <t>1/1</t>
        </is>
      </c>
      <c r="P138" s="7" t="n"/>
    </row>
    <row r="139" ht="54.4" customHeight="1">
      <c r="A139" s="4" t="inlineStr">
        <is>
          <t>C09</t>
        </is>
      </c>
      <c r="B139" s="4" t="inlineStr">
        <is>
          <t>PRISM (Promoting Innovations in Individuals, Start-ups and MSMEs): Category-2: Fabrication of Working Model/Process Know-how/Testing &amp; Trial/Patenting/Technology Transfer</t>
        </is>
      </c>
      <c r="C139" s="4" t="inlineStr">
        <is>
          <t>C09-SRC010</t>
        </is>
      </c>
      <c r="D139" s="4" t="inlineStr">
        <is>
          <t>Eligibility text</t>
        </is>
      </c>
      <c r="E139" s="4" t="inlineStr">
        <is>
          <t>Students: The applicant must ensure the commitment from the institution that the project will be taken to its logical conclusion by the student/concerned faculty.</t>
        </is>
      </c>
      <c r="F139" s="4" t="inlineStr">
        <is>
          <t>MS-C09 / C09-P0036</t>
        </is>
      </c>
      <c r="G139" s="4" t="inlineStr"/>
      <c r="H139" s="7" t="inlineStr">
        <is>
          <t>Approved</t>
        </is>
      </c>
      <c r="I139" s="7" t="n"/>
      <c r="J139" s="4" t="inlineStr">
        <is>
          <t>Eligibility</t>
        </is>
      </c>
      <c r="K139" s="4" t="inlineStr">
        <is>
          <t>en.eligibilityCriteria.eligibilityDescription[2].children[1]</t>
        </is>
      </c>
      <c r="L139" s="4" t="inlineStr">
        <is>
          <t>C09@20261028-1e8f42c4</t>
        </is>
      </c>
      <c r="M139" s="4" t="inlineStr">
        <is>
          <t>Source extract; not executable</t>
        </is>
      </c>
      <c r="N139" s="7" t="inlineStr">
        <is>
          <t>Unassigned</t>
        </is>
      </c>
      <c r="O139" s="7" t="inlineStr">
        <is>
          <t>1/1</t>
        </is>
      </c>
      <c r="P139" s="7" t="n"/>
    </row>
    <row r="140" ht="54.4" customHeight="1">
      <c r="A140" s="4" t="inlineStr">
        <is>
          <t>C09</t>
        </is>
      </c>
      <c r="B140" s="4" t="inlineStr">
        <is>
          <t>PRISM (Promoting Innovations in Individuals, Start-ups and MSMEs): Category-2: Fabrication of Working Model/Process Know-how/Testing &amp; Trial/Patenting/Technology Transfer</t>
        </is>
      </c>
      <c r="C140" s="4" t="inlineStr">
        <is>
          <t>C09-SRC011</t>
        </is>
      </c>
      <c r="D140" s="4" t="inlineStr">
        <is>
          <t>Eligibility text</t>
        </is>
      </c>
      <c r="E140" s="4" t="inlineStr">
        <is>
          <t>Individuals Working in Organizations: The applicant must furnish a `No Objection Certificate’ from their employer.</t>
        </is>
      </c>
      <c r="F140" s="4" t="inlineStr">
        <is>
          <t>MS-C09 / C09-P0037</t>
        </is>
      </c>
      <c r="G140" s="4" t="inlineStr"/>
      <c r="H140" s="7" t="inlineStr">
        <is>
          <t>Approved</t>
        </is>
      </c>
      <c r="I140" s="7" t="n"/>
      <c r="J140" s="4" t="inlineStr">
        <is>
          <t>Eligibility</t>
        </is>
      </c>
      <c r="K140" s="4" t="inlineStr">
        <is>
          <t>en.eligibilityCriteria.eligibilityDescription[2].children[2]</t>
        </is>
      </c>
      <c r="L140" s="4" t="inlineStr">
        <is>
          <t>C09@20261028-1e8f42c4</t>
        </is>
      </c>
      <c r="M140" s="4" t="inlineStr">
        <is>
          <t>Source extract; not executable</t>
        </is>
      </c>
      <c r="N140" s="7" t="inlineStr">
        <is>
          <t>Unassigned</t>
        </is>
      </c>
      <c r="O140" s="7" t="inlineStr">
        <is>
          <t>1/1</t>
        </is>
      </c>
      <c r="P140" s="7" t="n"/>
    </row>
    <row r="141" ht="54.4" customHeight="1">
      <c r="A141" s="4" t="inlineStr">
        <is>
          <t>C09</t>
        </is>
      </c>
      <c r="B141" s="4" t="inlineStr">
        <is>
          <t>PRISM (Promoting Innovations in Individuals, Start-ups and MSMEs): Category-2: Fabrication of Working Model/Process Know-how/Testing &amp; Trial/Patenting/Technology Transfer</t>
        </is>
      </c>
      <c r="C141" s="4" t="inlineStr">
        <is>
          <t>C09-SRC012</t>
        </is>
      </c>
      <c r="D141" s="4" t="inlineStr">
        <is>
          <t>Preference candidate</t>
        </is>
      </c>
      <c r="E141" s="4" t="inlineStr">
        <is>
          <t>Desirable Criteria (Preference)</t>
        </is>
      </c>
      <c r="F141" s="4" t="inlineStr">
        <is>
          <t>MS-C09 / C09-P0038</t>
        </is>
      </c>
      <c r="G141" s="4" t="inlineStr"/>
      <c r="H141" s="7" t="inlineStr">
        <is>
          <t>Approved</t>
        </is>
      </c>
      <c r="I141" s="7" t="n"/>
      <c r="J141" s="4" t="inlineStr">
        <is>
          <t>Eligibility</t>
        </is>
      </c>
      <c r="K141" s="4" t="inlineStr">
        <is>
          <t>en.eligibilityCriteria.eligibilityDescription[3].children[0]</t>
        </is>
      </c>
      <c r="L141" s="4" t="inlineStr">
        <is>
          <t>C09@20261028-1e8f42c4</t>
        </is>
      </c>
      <c r="M141" s="4" t="inlineStr">
        <is>
          <t>Source extract; not executable</t>
        </is>
      </c>
      <c r="N141" s="7" t="inlineStr">
        <is>
          <t>Unassigned</t>
        </is>
      </c>
      <c r="O141" s="7" t="inlineStr">
        <is>
          <t>1/1</t>
        </is>
      </c>
      <c r="P141" s="7" t="n"/>
    </row>
    <row r="142" ht="82.88" customHeight="1">
      <c r="A142" s="4" t="inlineStr">
        <is>
          <t>C09</t>
        </is>
      </c>
      <c r="B142" s="4" t="inlineStr">
        <is>
          <t>PRISM (Promoting Innovations in Individuals, Start-ups and MSMEs): Category-2: Fabrication of Working Model/Process Know-how/Testing &amp; Trial/Patenting/Technology Transfer</t>
        </is>
      </c>
      <c r="C142" s="4" t="inlineStr">
        <is>
          <t>C09-SRC013</t>
        </is>
      </c>
      <c r="D142" s="4" t="inlineStr">
        <is>
          <t>Preference candidate</t>
        </is>
      </c>
      <c r="E142" s="4" t="inlineStr">
        <is>
          <t>The proposals should preferably be in the following focus sectors: Green Technology, Clean Energy, Industrially utilizable smart materials, Waste to wealth, Affordable healthcare, Water &amp; sewage management, or any other technology or knowledge-intensive area.</t>
        </is>
      </c>
      <c r="F142" s="4" t="inlineStr">
        <is>
          <t>MS-C09 / C09-P0039</t>
        </is>
      </c>
      <c r="G142" s="4" t="inlineStr"/>
      <c r="H142" s="7" t="inlineStr">
        <is>
          <t>Approved</t>
        </is>
      </c>
      <c r="I142" s="7" t="n"/>
      <c r="J142" s="4" t="inlineStr">
        <is>
          <t>Eligibility</t>
        </is>
      </c>
      <c r="K142" s="4" t="inlineStr">
        <is>
          <t>en.eligibilityCriteria.eligibilityDescription[4].children[0]</t>
        </is>
      </c>
      <c r="L142" s="4" t="inlineStr">
        <is>
          <t>C09@20261028-1e8f42c4</t>
        </is>
      </c>
      <c r="M142" s="4" t="inlineStr">
        <is>
          <t>Source extract; not executable</t>
        </is>
      </c>
      <c r="N142" s="7" t="inlineStr">
        <is>
          <t>Unassigned</t>
        </is>
      </c>
      <c r="O142" s="7" t="inlineStr">
        <is>
          <t>1/1</t>
        </is>
      </c>
      <c r="P142" s="7" t="n"/>
    </row>
    <row r="143" ht="67.84" customHeight="1">
      <c r="A143" s="4" t="inlineStr">
        <is>
          <t>C09</t>
        </is>
      </c>
      <c r="B143" s="4" t="inlineStr">
        <is>
          <t>PRISM (Promoting Innovations in Individuals, Start-ups and MSMEs): Category-2: Fabrication of Working Model/Process Know-how/Testing &amp; Trial/Patenting/Technology Transfer</t>
        </is>
      </c>
      <c r="C143" s="4" t="inlineStr">
        <is>
          <t>C09-SRC014</t>
        </is>
      </c>
      <c r="D143" s="4" t="inlineStr">
        <is>
          <t>Preference candidate</t>
        </is>
      </c>
      <c r="E143" s="4" t="inlineStr">
        <is>
          <t>Preference: Student innovators making it to the final of any competition are eligible, but they should take the project as a full-time activity after graduation to ensure their studies are not adversely affected.</t>
        </is>
      </c>
      <c r="F143" s="4" t="inlineStr">
        <is>
          <t>MS-C09 / C09-P0040</t>
        </is>
      </c>
      <c r="G143" s="4" t="inlineStr"/>
      <c r="H143" s="7" t="inlineStr">
        <is>
          <t>Approved</t>
        </is>
      </c>
      <c r="I143" s="7" t="n"/>
      <c r="J143" s="4" t="inlineStr">
        <is>
          <t>Eligibility</t>
        </is>
      </c>
      <c r="K143" s="4" t="inlineStr">
        <is>
          <t>en.eligibilityCriteria.eligibilityDescription[4].children[1]</t>
        </is>
      </c>
      <c r="L143" s="4" t="inlineStr">
        <is>
          <t>C09@20261028-1e8f42c4</t>
        </is>
      </c>
      <c r="M143" s="4" t="inlineStr">
        <is>
          <t>Source extract; not executable</t>
        </is>
      </c>
      <c r="N143" s="7" t="inlineStr">
        <is>
          <t>Unassigned</t>
        </is>
      </c>
      <c r="O143" s="7" t="inlineStr">
        <is>
          <t>1/1</t>
        </is>
      </c>
      <c r="P143" s="7" t="n"/>
    </row>
    <row r="144" ht="74.23999999999999" customHeight="1">
      <c r="A144" s="4" t="inlineStr">
        <is>
          <t>C09</t>
        </is>
      </c>
      <c r="B144" s="4" t="inlineStr">
        <is>
          <t>PRISM (Promoting Innovations in Individuals, Start-ups and MSMEs): Category-2: Fabrication of Working Model/Process Know-how/Testing &amp; Trial/Patenting/Technology Transfer</t>
        </is>
      </c>
      <c r="C144" s="4" t="inlineStr">
        <is>
          <t>C09-SRC015</t>
        </is>
      </c>
      <c r="D144" s="4" t="inlineStr">
        <is>
          <t>Eligibility text</t>
        </is>
      </c>
      <c r="E144" s="4" t="inlineStr">
        <is>
          <t>The applicant should ensure the proposal is submitted through the nearest TePP Outreach cum Cluster Innovation Centre, even if scouted, documented, and mentored by other agencies, and must include evaluation by the assisting agency.</t>
        </is>
      </c>
      <c r="F144" s="4" t="inlineStr">
        <is>
          <t>MS-C09 / C09-P0041</t>
        </is>
      </c>
      <c r="G144" s="4" t="inlineStr"/>
      <c r="H144" s="7" t="inlineStr">
        <is>
          <t>Approved</t>
        </is>
      </c>
      <c r="I144" s="7" t="n"/>
      <c r="J144" s="4" t="inlineStr">
        <is>
          <t>Eligibility</t>
        </is>
      </c>
      <c r="K144" s="4" t="inlineStr">
        <is>
          <t>en.eligibilityCriteria.eligibilityDescription[4].children[2]</t>
        </is>
      </c>
      <c r="L144" s="4" t="inlineStr">
        <is>
          <t>C09@20261028-1e8f42c4</t>
        </is>
      </c>
      <c r="M144" s="4" t="inlineStr">
        <is>
          <t>Source extract; not executable</t>
        </is>
      </c>
      <c r="N144" s="7" t="inlineStr">
        <is>
          <t>Unassigned</t>
        </is>
      </c>
      <c r="O144" s="7" t="inlineStr">
        <is>
          <t>1/1</t>
        </is>
      </c>
      <c r="P144" s="7" t="n"/>
    </row>
    <row r="145" ht="54.4" customHeight="1">
      <c r="A145" s="4" t="inlineStr">
        <is>
          <t>C09</t>
        </is>
      </c>
      <c r="B145" s="4" t="inlineStr">
        <is>
          <t>PRISM (Promoting Innovations in Individuals, Start-ups and MSMEs): Category-2: Fabrication of Working Model/Process Know-how/Testing &amp; Trial/Patenting/Technology Transfer</t>
        </is>
      </c>
      <c r="C145" s="4" t="inlineStr">
        <is>
          <t>C09-SRC016</t>
        </is>
      </c>
      <c r="D145" s="4" t="inlineStr">
        <is>
          <t>Exclusion text</t>
        </is>
      </c>
      <c r="E145" s="4" t="inlineStr">
        <is>
          <t>Proposals involving only software development.</t>
        </is>
      </c>
      <c r="F145" s="4" t="inlineStr">
        <is>
          <t>MS-C09 / C09-P0042</t>
        </is>
      </c>
      <c r="G145" s="4" t="inlineStr"/>
      <c r="H145" s="7" t="inlineStr">
        <is>
          <t>Approved</t>
        </is>
      </c>
      <c r="I145" s="7" t="n"/>
      <c r="J145" s="4" t="inlineStr">
        <is>
          <t>Exclusions</t>
        </is>
      </c>
      <c r="K145" s="4" t="inlineStr">
        <is>
          <t>en.schemeContent.exclusions[0].children[0]</t>
        </is>
      </c>
      <c r="L145" s="4" t="inlineStr">
        <is>
          <t>C09@20261028-1e8f42c4</t>
        </is>
      </c>
      <c r="M145" s="4" t="inlineStr">
        <is>
          <t>Source extract; not executable</t>
        </is>
      </c>
      <c r="N145" s="7" t="inlineStr">
        <is>
          <t>Unassigned</t>
        </is>
      </c>
      <c r="O145" s="7" t="inlineStr">
        <is>
          <t>1/1</t>
        </is>
      </c>
      <c r="P145" s="7" t="n"/>
    </row>
    <row r="146" ht="54.4" customHeight="1">
      <c r="A146" s="4" t="inlineStr">
        <is>
          <t>C09</t>
        </is>
      </c>
      <c r="B146" s="4" t="inlineStr">
        <is>
          <t>PRISM (Promoting Innovations in Individuals, Start-ups and MSMEs): Category-2: Fabrication of Working Model/Process Know-how/Testing &amp; Trial/Patenting/Technology Transfer</t>
        </is>
      </c>
      <c r="C146" s="4" t="inlineStr">
        <is>
          <t>C09-SRC017</t>
        </is>
      </c>
      <c r="D146" s="4" t="inlineStr">
        <is>
          <t>Exclusion text</t>
        </is>
      </c>
      <c r="E146" s="4" t="inlineStr">
        <is>
          <t>Proposals involving only patenting (unless patenting is along with prototype development).</t>
        </is>
      </c>
      <c r="F146" s="4" t="inlineStr">
        <is>
          <t>MS-C09 / C09-P0043</t>
        </is>
      </c>
      <c r="G146" s="4" t="inlineStr"/>
      <c r="H146" s="7" t="inlineStr">
        <is>
          <t>Approved</t>
        </is>
      </c>
      <c r="I146" s="7" t="n"/>
      <c r="J146" s="4" t="inlineStr">
        <is>
          <t>Exclusions</t>
        </is>
      </c>
      <c r="K146" s="4" t="inlineStr">
        <is>
          <t>en.schemeContent.exclusions[0].children[1]</t>
        </is>
      </c>
      <c r="L146" s="4" t="inlineStr">
        <is>
          <t>C09@20261028-1e8f42c4</t>
        </is>
      </c>
      <c r="M146" s="4" t="inlineStr">
        <is>
          <t>Source extract; not executable</t>
        </is>
      </c>
      <c r="N146" s="7" t="inlineStr">
        <is>
          <t>Unassigned</t>
        </is>
      </c>
      <c r="O146" s="7" t="inlineStr">
        <is>
          <t>1/1</t>
        </is>
      </c>
      <c r="P146" s="7" t="n"/>
    </row>
    <row r="147" ht="54.4" customHeight="1">
      <c r="A147" s="4" t="inlineStr">
        <is>
          <t>C09</t>
        </is>
      </c>
      <c r="B147" s="4" t="inlineStr">
        <is>
          <t>PRISM (Promoting Innovations in Individuals, Start-ups and MSMEs): Category-2: Fabrication of Working Model/Process Know-how/Testing &amp; Trial/Patenting/Technology Transfer</t>
        </is>
      </c>
      <c r="C147" s="4" t="inlineStr">
        <is>
          <t>C09-SRC018</t>
        </is>
      </c>
      <c r="D147" s="4" t="inlineStr">
        <is>
          <t>Exclusion text</t>
        </is>
      </c>
      <c r="E147" s="4" t="inlineStr">
        <is>
          <t>Proposals for basic scientific research having no immediate commercial implication</t>
        </is>
      </c>
      <c r="F147" s="4" t="inlineStr">
        <is>
          <t>MS-C09 / C09-P0044</t>
        </is>
      </c>
      <c r="G147" s="4" t="inlineStr"/>
      <c r="H147" s="7" t="inlineStr">
        <is>
          <t>Approved</t>
        </is>
      </c>
      <c r="I147" s="7" t="n"/>
      <c r="J147" s="4" t="inlineStr">
        <is>
          <t>Exclusions</t>
        </is>
      </c>
      <c r="K147" s="4" t="inlineStr">
        <is>
          <t>en.schemeContent.exclusions[0].children[2]</t>
        </is>
      </c>
      <c r="L147" s="4" t="inlineStr">
        <is>
          <t>C09@20261028-1e8f42c4</t>
        </is>
      </c>
      <c r="M147" s="4" t="inlineStr">
        <is>
          <t>Source extract; not executable</t>
        </is>
      </c>
      <c r="N147" s="7" t="inlineStr">
        <is>
          <t>Unassigned</t>
        </is>
      </c>
      <c r="O147" s="7" t="inlineStr">
        <is>
          <t>1/1</t>
        </is>
      </c>
      <c r="P147" s="7" t="n"/>
    </row>
    <row r="148" ht="45" customHeight="1">
      <c r="A148" s="4" t="inlineStr">
        <is>
          <t>C10</t>
        </is>
      </c>
      <c r="B148" s="4" t="inlineStr">
        <is>
          <t>Khadi Gramodyog Vikas Yojana: Khadi Vikas Yojana</t>
        </is>
      </c>
      <c r="C148" s="4" t="inlineStr">
        <is>
          <t>C10-SRC001</t>
        </is>
      </c>
      <c r="D148" s="4" t="inlineStr">
        <is>
          <t>Eligibility text</t>
        </is>
      </c>
      <c r="E148" s="4" t="inlineStr">
        <is>
          <t>The applicant must be a Khadi artisan or Khadi Institution registered with KVIC or KVIB.</t>
        </is>
      </c>
      <c r="F148" s="4" t="inlineStr">
        <is>
          <t>MS-C10 / C10-P0018</t>
        </is>
      </c>
      <c r="G148" s="4" t="inlineStr"/>
      <c r="H148" s="7" t="inlineStr">
        <is>
          <t>Approved</t>
        </is>
      </c>
      <c r="I148" s="7" t="n"/>
      <c r="J148" s="4" t="inlineStr">
        <is>
          <t>Eligibility</t>
        </is>
      </c>
      <c r="K148" s="4" t="inlineStr">
        <is>
          <t>en.eligibilityCriteria.eligibilityDescription[0].children[0]</t>
        </is>
      </c>
      <c r="L148" s="4" t="inlineStr">
        <is>
          <t>C10@20261028-8176375d</t>
        </is>
      </c>
      <c r="M148" s="4" t="inlineStr">
        <is>
          <t>Source extract; not executable</t>
        </is>
      </c>
      <c r="N148" s="7" t="inlineStr">
        <is>
          <t>Unassigned</t>
        </is>
      </c>
      <c r="O148" s="7" t="inlineStr">
        <is>
          <t>1/1</t>
        </is>
      </c>
      <c r="P148" s="7" t="n"/>
    </row>
    <row r="149" ht="45" customHeight="1">
      <c r="A149" s="4" t="inlineStr">
        <is>
          <t>C10</t>
        </is>
      </c>
      <c r="B149" s="4" t="inlineStr">
        <is>
          <t>Khadi Gramodyog Vikas Yojana: Khadi Vikas Yojana</t>
        </is>
      </c>
      <c r="C149" s="4" t="inlineStr">
        <is>
          <t>C10-SRC002</t>
        </is>
      </c>
      <c r="D149" s="4" t="inlineStr">
        <is>
          <t>Eligibility text</t>
        </is>
      </c>
      <c r="E149" s="4" t="inlineStr">
        <is>
          <t>The applicant must be between 18 to 55 years of age.</t>
        </is>
      </c>
      <c r="F149" s="4" t="inlineStr">
        <is>
          <t>MS-C10 / C10-P0019</t>
        </is>
      </c>
      <c r="G149" s="4" t="inlineStr"/>
      <c r="H149" s="7" t="inlineStr">
        <is>
          <t>Approved</t>
        </is>
      </c>
      <c r="I149" s="7" t="n"/>
      <c r="J149" s="4" t="inlineStr">
        <is>
          <t>Eligibility</t>
        </is>
      </c>
      <c r="K149" s="4" t="inlineStr">
        <is>
          <t>en.eligibilityCriteria.eligibilityDescription[0].children[1]</t>
        </is>
      </c>
      <c r="L149" s="4" t="inlineStr">
        <is>
          <t>C10@20261028-8176375d</t>
        </is>
      </c>
      <c r="M149" s="4" t="inlineStr">
        <is>
          <t>Source extract; not executable</t>
        </is>
      </c>
      <c r="N149" s="7" t="inlineStr">
        <is>
          <t>Unassigned</t>
        </is>
      </c>
      <c r="O149" s="7" t="inlineStr">
        <is>
          <t>1/1</t>
        </is>
      </c>
      <c r="P149" s="7" t="n"/>
    </row>
    <row r="150" ht="45" customHeight="1">
      <c r="A150" s="4" t="inlineStr">
        <is>
          <t>C10</t>
        </is>
      </c>
      <c r="B150" s="4" t="inlineStr">
        <is>
          <t>Khadi Gramodyog Vikas Yojana: Khadi Vikas Yojana</t>
        </is>
      </c>
      <c r="C150" s="4" t="inlineStr">
        <is>
          <t>C10-SRC003</t>
        </is>
      </c>
      <c r="D150" s="4" t="inlineStr">
        <is>
          <t>Eligibility text</t>
        </is>
      </c>
      <c r="E150" s="4" t="inlineStr">
        <is>
          <t>The applicant must have a valid Aadhaar card or government-issued ID.</t>
        </is>
      </c>
      <c r="F150" s="4" t="inlineStr">
        <is>
          <t>MS-C10 / C10-P0020</t>
        </is>
      </c>
      <c r="G150" s="4" t="inlineStr"/>
      <c r="H150" s="7" t="inlineStr">
        <is>
          <t>Approved</t>
        </is>
      </c>
      <c r="I150" s="7" t="n"/>
      <c r="J150" s="4" t="inlineStr">
        <is>
          <t>Eligibility</t>
        </is>
      </c>
      <c r="K150" s="4" t="inlineStr">
        <is>
          <t>en.eligibilityCriteria.eligibilityDescription[0].children[2]</t>
        </is>
      </c>
      <c r="L150" s="4" t="inlineStr">
        <is>
          <t>C10@20261028-8176375d</t>
        </is>
      </c>
      <c r="M150" s="4" t="inlineStr">
        <is>
          <t>Source extract; not executable</t>
        </is>
      </c>
      <c r="N150" s="7" t="inlineStr">
        <is>
          <t>Unassigned</t>
        </is>
      </c>
      <c r="O150" s="7" t="inlineStr">
        <is>
          <t>1/1</t>
        </is>
      </c>
      <c r="P150" s="7" t="n"/>
    </row>
    <row r="151" ht="45" customHeight="1">
      <c r="A151" s="4" t="inlineStr">
        <is>
          <t>C10</t>
        </is>
      </c>
      <c r="B151" s="4" t="inlineStr">
        <is>
          <t>Khadi Gramodyog Vikas Yojana: Khadi Vikas Yojana</t>
        </is>
      </c>
      <c r="C151" s="4" t="inlineStr">
        <is>
          <t>C10-SRC004</t>
        </is>
      </c>
      <c r="D151" s="4" t="inlineStr">
        <is>
          <t>Eligibility text</t>
        </is>
      </c>
      <c r="E151" s="4" t="inlineStr">
        <is>
          <t>One person per family is eligible under the scheme.</t>
        </is>
      </c>
      <c r="F151" s="4" t="inlineStr">
        <is>
          <t>MS-C10 / C10-P0021</t>
        </is>
      </c>
      <c r="G151" s="4" t="inlineStr"/>
      <c r="H151" s="7" t="inlineStr">
        <is>
          <t>Approved</t>
        </is>
      </c>
      <c r="I151" s="7" t="n"/>
      <c r="J151" s="4" t="inlineStr">
        <is>
          <t>Eligibility</t>
        </is>
      </c>
      <c r="K151" s="4" t="inlineStr">
        <is>
          <t>en.eligibilityCriteria.eligibilityDescription[0].children[3]</t>
        </is>
      </c>
      <c r="L151" s="4" t="inlineStr">
        <is>
          <t>C10@20261028-8176375d</t>
        </is>
      </c>
      <c r="M151" s="4" t="inlineStr">
        <is>
          <t>Source extract; not executable</t>
        </is>
      </c>
      <c r="N151" s="7" t="inlineStr">
        <is>
          <t>Unassigned</t>
        </is>
      </c>
      <c r="O151" s="7" t="inlineStr">
        <is>
          <t>1/1</t>
        </is>
      </c>
      <c r="P151" s="7" t="n"/>
    </row>
    <row r="152" ht="45" customHeight="1">
      <c r="A152" s="4" t="inlineStr">
        <is>
          <t>C10</t>
        </is>
      </c>
      <c r="B152" s="4" t="inlineStr">
        <is>
          <t>Khadi Gramodyog Vikas Yojana: Khadi Vikas Yojana</t>
        </is>
      </c>
      <c r="C152" s="4" t="inlineStr">
        <is>
          <t>C10-SRC005</t>
        </is>
      </c>
      <c r="D152" s="4" t="inlineStr">
        <is>
          <t>Eligibility text</t>
        </is>
      </c>
      <c r="E152" s="4" t="inlineStr">
        <is>
          <t>The applicant should not have availed benefits from any other government scheme for the same purpose.</t>
        </is>
      </c>
      <c r="F152" s="4" t="inlineStr">
        <is>
          <t>MS-C10 / C10-P0022</t>
        </is>
      </c>
      <c r="G152" s="4" t="inlineStr"/>
      <c r="H152" s="7" t="inlineStr">
        <is>
          <t>Approved</t>
        </is>
      </c>
      <c r="I152" s="7" t="n"/>
      <c r="J152" s="4" t="inlineStr">
        <is>
          <t>Eligibility</t>
        </is>
      </c>
      <c r="K152" s="4" t="inlineStr">
        <is>
          <t>en.eligibilityCriteria.eligibilityDescription[0].children[4]</t>
        </is>
      </c>
      <c r="L152" s="4" t="inlineStr">
        <is>
          <t>C10@20261028-8176375d</t>
        </is>
      </c>
      <c r="M152" s="4" t="inlineStr">
        <is>
          <t>Source extract; not executable</t>
        </is>
      </c>
      <c r="N152" s="7" t="inlineStr">
        <is>
          <t>Unassigned</t>
        </is>
      </c>
      <c r="O152" s="7" t="inlineStr">
        <is>
          <t>1/1</t>
        </is>
      </c>
      <c r="P152" s="7" t="n"/>
    </row>
    <row r="153" ht="45" customHeight="1">
      <c r="A153" s="4" t="inlineStr">
        <is>
          <t>C10</t>
        </is>
      </c>
      <c r="B153" s="4" t="inlineStr">
        <is>
          <t>Khadi Gramodyog Vikas Yojana: Khadi Vikas Yojana</t>
        </is>
      </c>
      <c r="C153" s="4" t="inlineStr">
        <is>
          <t>C10-SRC006</t>
        </is>
      </c>
      <c r="D153" s="4" t="inlineStr">
        <is>
          <t>Preference candidate</t>
        </is>
      </c>
      <c r="E153" s="4" t="inlineStr">
        <is>
          <t>Preference is given to SC/ST, women, unemployed youth, and BPL category applicants.</t>
        </is>
      </c>
      <c r="F153" s="4" t="inlineStr">
        <is>
          <t>MS-C10 / C10-P0023</t>
        </is>
      </c>
      <c r="G153" s="4" t="inlineStr"/>
      <c r="H153" s="7" t="inlineStr">
        <is>
          <t>Approved</t>
        </is>
      </c>
      <c r="I153" s="7" t="n"/>
      <c r="J153" s="4" t="inlineStr">
        <is>
          <t>Eligibility</t>
        </is>
      </c>
      <c r="K153" s="4" t="inlineStr">
        <is>
          <t>en.eligibilityCriteria.eligibilityDescription[0].children[5]</t>
        </is>
      </c>
      <c r="L153" s="4" t="inlineStr">
        <is>
          <t>C10@20261028-8176375d</t>
        </is>
      </c>
      <c r="M153" s="4" t="inlineStr">
        <is>
          <t>Source extract; not executable</t>
        </is>
      </c>
      <c r="N153" s="7" t="inlineStr">
        <is>
          <t>Unassigned</t>
        </is>
      </c>
      <c r="O153" s="7" t="inlineStr">
        <is>
          <t>1/1</t>
        </is>
      </c>
      <c r="P153" s="7" t="n"/>
    </row>
    <row r="154" ht="45" customHeight="1">
      <c r="A154" s="4" t="inlineStr">
        <is>
          <t>C10</t>
        </is>
      </c>
      <c r="B154" s="4" t="inlineStr">
        <is>
          <t>Khadi Gramodyog Vikas Yojana: Khadi Vikas Yojana</t>
        </is>
      </c>
      <c r="C154" s="4" t="inlineStr">
        <is>
          <t>C10-SRC007</t>
        </is>
      </c>
      <c r="D154" s="4" t="inlineStr">
        <is>
          <t>Eligibility text</t>
        </is>
      </c>
      <c r="E154" s="4" t="inlineStr">
        <is>
          <t>The beneficiaries may be identified by KVIC, KVIBs, NGOs, DICs, FPOs, or Khadi Institutions.</t>
        </is>
      </c>
      <c r="F154" s="4" t="inlineStr">
        <is>
          <t>MS-C10 / C10-P0024</t>
        </is>
      </c>
      <c r="G154" s="4" t="inlineStr"/>
      <c r="H154" s="7" t="inlineStr">
        <is>
          <t>Approved</t>
        </is>
      </c>
      <c r="I154" s="7" t="n"/>
      <c r="J154" s="4" t="inlineStr">
        <is>
          <t>Eligibility</t>
        </is>
      </c>
      <c r="K154" s="4" t="inlineStr">
        <is>
          <t>en.eligibilityCriteria.eligibilityDescription[0].children[6]</t>
        </is>
      </c>
      <c r="L154" s="4" t="inlineStr">
        <is>
          <t>C10@20261028-8176375d</t>
        </is>
      </c>
      <c r="M154" s="4" t="inlineStr">
        <is>
          <t>Source extract; not executable</t>
        </is>
      </c>
      <c r="N154" s="7" t="inlineStr">
        <is>
          <t>Unassigned</t>
        </is>
      </c>
      <c r="O154" s="7" t="inlineStr">
        <is>
          <t>1/1</t>
        </is>
      </c>
      <c r="P154" s="7" t="n"/>
    </row>
    <row r="155" ht="45" customHeight="1">
      <c r="A155" s="4" t="inlineStr">
        <is>
          <t>C10</t>
        </is>
      </c>
      <c r="B155" s="4" t="inlineStr">
        <is>
          <t>Khadi Gramodyog Vikas Yojana: Khadi Vikas Yojana</t>
        </is>
      </c>
      <c r="C155" s="4" t="inlineStr">
        <is>
          <t>C10-EMPTY-Exclusions</t>
        </is>
      </c>
      <c r="D155" s="4" t="inlineStr">
        <is>
          <t>Exclusions</t>
        </is>
      </c>
      <c r="E155" s="4" t="inlineStr">
        <is>
          <t>Not stated in the captured source. Do not infer no restrictions.</t>
        </is>
      </c>
      <c r="F155" s="4" t="inlineStr">
        <is>
          <t>MS-C10</t>
        </is>
      </c>
      <c r="G155" s="4" t="inlineStr">
        <is>
          <t>Full official guidelines required.</t>
        </is>
      </c>
      <c r="H155" s="7" t="inlineStr">
        <is>
          <t>Approved</t>
        </is>
      </c>
      <c r="I155" s="7" t="n"/>
      <c r="J155" s="4" t="inlineStr">
        <is>
          <t>Exclusions</t>
        </is>
      </c>
      <c r="K155" s="4" t="inlineStr"/>
      <c r="L155" s="4" t="inlineStr">
        <is>
          <t>C10@20261028-8176375d</t>
        </is>
      </c>
      <c r="M155" s="4" t="inlineStr">
        <is>
          <t>Empty or absent in source</t>
        </is>
      </c>
      <c r="N155" s="7" t="inlineStr">
        <is>
          <t>Unassigned</t>
        </is>
      </c>
      <c r="O155" s="7" t="n"/>
      <c r="P155" s="7" t="n"/>
    </row>
    <row r="156" ht="45" customHeight="1">
      <c r="A156" s="4" t="inlineStr">
        <is>
          <t>C11</t>
        </is>
      </c>
      <c r="B156" s="4" t="inlineStr">
        <is>
          <t>Stand-Up India</t>
        </is>
      </c>
      <c r="C156" s="4" t="inlineStr">
        <is>
          <t>C11-SRC001</t>
        </is>
      </c>
      <c r="D156" s="4" t="inlineStr">
        <is>
          <t>Eligibility text</t>
        </is>
      </c>
      <c r="E156" s="4" t="inlineStr">
        <is>
          <t>Finance is  provided for Greenfield Enterprises.</t>
        </is>
      </c>
      <c r="F156" s="4" t="inlineStr">
        <is>
          <t>MS-C11 / C11-P0004</t>
        </is>
      </c>
      <c r="G156" s="4" t="inlineStr"/>
      <c r="H156" s="7" t="inlineStr">
        <is>
          <t>Approved</t>
        </is>
      </c>
      <c r="I156" s="7" t="n"/>
      <c r="J156" s="4" t="inlineStr">
        <is>
          <t>Eligibility</t>
        </is>
      </c>
      <c r="K156" s="4" t="inlineStr">
        <is>
          <t>en.eligibilityCriteria.eligibilityDescription[0].children[0].children[0]</t>
        </is>
      </c>
      <c r="L156" s="4" t="inlineStr">
        <is>
          <t>C11@20261028-90bd4c3e</t>
        </is>
      </c>
      <c r="M156" s="4" t="inlineStr">
        <is>
          <t>Source extract; not executable</t>
        </is>
      </c>
      <c r="N156" s="7" t="inlineStr">
        <is>
          <t>Unassigned</t>
        </is>
      </c>
      <c r="O156" s="7" t="inlineStr">
        <is>
          <t>1/1</t>
        </is>
      </c>
      <c r="P156" s="7" t="n"/>
    </row>
    <row r="157" ht="45" customHeight="1">
      <c r="A157" s="4" t="inlineStr">
        <is>
          <t>C11</t>
        </is>
      </c>
      <c r="B157" s="4" t="inlineStr">
        <is>
          <t>Stand-Up India</t>
        </is>
      </c>
      <c r="C157" s="4" t="inlineStr">
        <is>
          <t>C11-SRC002</t>
        </is>
      </c>
      <c r="D157" s="4" t="inlineStr">
        <is>
          <t>Eligibility text</t>
        </is>
      </c>
      <c r="E157" s="4" t="inlineStr">
        <is>
          <t>If the applicant is a male, he must be from SC / ST category.</t>
        </is>
      </c>
      <c r="F157" s="4" t="inlineStr">
        <is>
          <t>MS-C11 / C11-P0005</t>
        </is>
      </c>
      <c r="G157" s="4" t="inlineStr"/>
      <c r="H157" s="7" t="inlineStr">
        <is>
          <t>Approved</t>
        </is>
      </c>
      <c r="I157" s="7" t="n"/>
      <c r="J157" s="4" t="inlineStr">
        <is>
          <t>Eligibility</t>
        </is>
      </c>
      <c r="K157" s="4" t="inlineStr">
        <is>
          <t>en.eligibilityCriteria.eligibilityDescription[0].children[1].children[0]</t>
        </is>
      </c>
      <c r="L157" s="4" t="inlineStr">
        <is>
          <t>C11@20261028-90bd4c3e</t>
        </is>
      </c>
      <c r="M157" s="4" t="inlineStr">
        <is>
          <t>Source extract; not executable</t>
        </is>
      </c>
      <c r="N157" s="7" t="inlineStr">
        <is>
          <t>Unassigned</t>
        </is>
      </c>
      <c r="O157" s="7" t="inlineStr">
        <is>
          <t>1/1</t>
        </is>
      </c>
      <c r="P157" s="7" t="n"/>
    </row>
    <row r="158" ht="45" customHeight="1">
      <c r="A158" s="4" t="inlineStr">
        <is>
          <t>C11</t>
        </is>
      </c>
      <c r="B158" s="4" t="inlineStr">
        <is>
          <t>Stand-Up India</t>
        </is>
      </c>
      <c r="C158" s="4" t="inlineStr">
        <is>
          <t>C11-SRC003</t>
        </is>
      </c>
      <c r="D158" s="4" t="inlineStr">
        <is>
          <t>Eligibility text</t>
        </is>
      </c>
      <c r="E158" s="4" t="inlineStr">
        <is>
          <t>The age of the applicant must be at least 18 years.</t>
        </is>
      </c>
      <c r="F158" s="4" t="inlineStr">
        <is>
          <t>MS-C11 / C11-P0006</t>
        </is>
      </c>
      <c r="G158" s="4" t="inlineStr"/>
      <c r="H158" s="7" t="inlineStr">
        <is>
          <t>Approved</t>
        </is>
      </c>
      <c r="I158" s="7" t="n"/>
      <c r="J158" s="4" t="inlineStr">
        <is>
          <t>Eligibility</t>
        </is>
      </c>
      <c r="K158" s="4" t="inlineStr">
        <is>
          <t>en.eligibilityCriteria.eligibilityDescription[0].children[2].children[0]</t>
        </is>
      </c>
      <c r="L158" s="4" t="inlineStr">
        <is>
          <t>C11@20261028-90bd4c3e</t>
        </is>
      </c>
      <c r="M158" s="4" t="inlineStr">
        <is>
          <t>Source extract; not executable</t>
        </is>
      </c>
      <c r="N158" s="7" t="inlineStr">
        <is>
          <t>Unassigned</t>
        </is>
      </c>
      <c r="O158" s="7" t="inlineStr">
        <is>
          <t>1/1</t>
        </is>
      </c>
      <c r="P158" s="7" t="n"/>
    </row>
    <row r="159" ht="45" customHeight="1">
      <c r="A159" s="4" t="inlineStr">
        <is>
          <t>C11</t>
        </is>
      </c>
      <c r="B159" s="4" t="inlineStr">
        <is>
          <t>Stand-Up India</t>
        </is>
      </c>
      <c r="C159" s="4" t="inlineStr">
        <is>
          <t>C11-SRC004</t>
        </is>
      </c>
      <c r="D159" s="4" t="inlineStr">
        <is>
          <t>Eligibility text</t>
        </is>
      </c>
      <c r="E159" s="4" t="inlineStr">
        <is>
          <t>The applicant must not be in default to any bank/financial institution.</t>
        </is>
      </c>
      <c r="F159" s="4" t="inlineStr">
        <is>
          <t>MS-C11 / C11-P0007</t>
        </is>
      </c>
      <c r="G159" s="4" t="inlineStr"/>
      <c r="H159" s="7" t="inlineStr">
        <is>
          <t>Approved</t>
        </is>
      </c>
      <c r="I159" s="7" t="n"/>
      <c r="J159" s="4" t="inlineStr">
        <is>
          <t>Eligibility</t>
        </is>
      </c>
      <c r="K159" s="4" t="inlineStr">
        <is>
          <t>en.eligibilityCriteria.eligibilityDescription[0].children[3].children[0]</t>
        </is>
      </c>
      <c r="L159" s="4" t="inlineStr">
        <is>
          <t>C11@20261028-90bd4c3e</t>
        </is>
      </c>
      <c r="M159" s="4" t="inlineStr">
        <is>
          <t>Source extract; not executable</t>
        </is>
      </c>
      <c r="N159" s="7" t="inlineStr">
        <is>
          <t>Unassigned</t>
        </is>
      </c>
      <c r="O159" s="7" t="inlineStr">
        <is>
          <t>1/1</t>
        </is>
      </c>
      <c r="P159" s="7" t="n"/>
    </row>
    <row r="160" ht="45" customHeight="1">
      <c r="A160" s="4" t="inlineStr">
        <is>
          <t>C11</t>
        </is>
      </c>
      <c r="B160" s="4" t="inlineStr">
        <is>
          <t>Stand-Up India</t>
        </is>
      </c>
      <c r="C160" s="4" t="inlineStr">
        <is>
          <t>C11-EMPTY-Exclusions</t>
        </is>
      </c>
      <c r="D160" s="4" t="inlineStr">
        <is>
          <t>Exclusions</t>
        </is>
      </c>
      <c r="E160" s="4" t="inlineStr">
        <is>
          <t>Not stated in the captured source. Do not infer no restrictions.</t>
        </is>
      </c>
      <c r="F160" s="4" t="inlineStr">
        <is>
          <t>MS-C11</t>
        </is>
      </c>
      <c r="G160" s="4" t="inlineStr">
        <is>
          <t>Full official guidelines required.</t>
        </is>
      </c>
      <c r="H160" s="7" t="inlineStr">
        <is>
          <t>Approved</t>
        </is>
      </c>
      <c r="I160" s="7" t="n"/>
      <c r="J160" s="4" t="inlineStr">
        <is>
          <t>Exclusions</t>
        </is>
      </c>
      <c r="K160" s="4" t="inlineStr"/>
      <c r="L160" s="4" t="inlineStr">
        <is>
          <t>C11@20261028-90bd4c3e</t>
        </is>
      </c>
      <c r="M160" s="4" t="inlineStr">
        <is>
          <t>Empty or absent in source</t>
        </is>
      </c>
      <c r="N160" s="7" t="inlineStr">
        <is>
          <t>Unassigned</t>
        </is>
      </c>
      <c r="O160" s="7" t="n"/>
      <c r="P160" s="7" t="n"/>
    </row>
    <row r="161" ht="45" customHeight="1">
      <c r="A161" s="4" t="inlineStr">
        <is>
          <t>C12</t>
        </is>
      </c>
      <c r="B161" s="4" t="inlineStr">
        <is>
          <t>"Marketing Incentive" under the "Handloom Marketing Assistance" Component of the National Handloom Development Programme</t>
        </is>
      </c>
      <c r="C161" s="4" t="inlineStr">
        <is>
          <t>C12-SRC001</t>
        </is>
      </c>
      <c r="D161" s="4" t="inlineStr">
        <is>
          <t>Eligibility text</t>
        </is>
      </c>
      <c r="E161" s="4" t="inlineStr">
        <is>
          <t>The applicant must be one of the following:</t>
        </is>
      </c>
      <c r="F161" s="4" t="inlineStr">
        <is>
          <t>MS-C12 / C12-P0023</t>
        </is>
      </c>
      <c r="G161" s="4" t="inlineStr"/>
      <c r="H161" s="7" t="inlineStr">
        <is>
          <t>Approved</t>
        </is>
      </c>
      <c r="I161" s="7" t="n"/>
      <c r="J161" s="4" t="inlineStr">
        <is>
          <t>Eligibility</t>
        </is>
      </c>
      <c r="K161" s="4" t="inlineStr">
        <is>
          <t>en.eligibilityCriteria.eligibilityDescription[0]</t>
        </is>
      </c>
      <c r="L161" s="4" t="inlineStr">
        <is>
          <t>C12@20261028-55825899</t>
        </is>
      </c>
      <c r="M161" s="4" t="inlineStr">
        <is>
          <t>Source extract; not executable</t>
        </is>
      </c>
      <c r="N161" s="7" t="inlineStr">
        <is>
          <t>Unassigned</t>
        </is>
      </c>
      <c r="O161" s="7" t="inlineStr">
        <is>
          <t>1/1</t>
        </is>
      </c>
      <c r="P161" s="7" t="n"/>
    </row>
    <row r="162" ht="100.48" customHeight="1">
      <c r="A162" s="4" t="inlineStr">
        <is>
          <t>C12</t>
        </is>
      </c>
      <c r="B162" s="4" t="inlineStr">
        <is>
          <t>"Marketing Incentive" under the "Handloom Marketing Assistance" Component of the National Handloom Development Programme</t>
        </is>
      </c>
      <c r="C162" s="4" t="inlineStr">
        <is>
          <t>C12-SRC002</t>
        </is>
      </c>
      <c r="D162" s="4" t="inlineStr">
        <is>
          <t>Eligibility text</t>
        </is>
      </c>
      <c r="E162" s="4" t="inlineStr">
        <is>
          <t>Handloom agencies including State level organizations such as Handloom Corporations, Apex Cooperative Societies and National Level Handloom Organizations, Primary Handloom Weavers Cooperative Societies, Producer Companies, Self Help Groups, Joint Liability Groups, Federations and Other eligible Handloom entities.</t>
        </is>
      </c>
      <c r="F162" s="4" t="inlineStr">
        <is>
          <t>MS-C12 / C12-P0024</t>
        </is>
      </c>
      <c r="G162" s="4" t="inlineStr"/>
      <c r="H162" s="7" t="inlineStr">
        <is>
          <t>Approved</t>
        </is>
      </c>
      <c r="I162" s="7" t="n"/>
      <c r="J162" s="4" t="inlineStr">
        <is>
          <t>Eligibility</t>
        </is>
      </c>
      <c r="K162" s="4" t="inlineStr">
        <is>
          <t>en.eligibilityCriteria.eligibilityDescription[1].children[0]</t>
        </is>
      </c>
      <c r="L162" s="4" t="inlineStr">
        <is>
          <t>C12@20261028-55825899</t>
        </is>
      </c>
      <c r="M162" s="4" t="inlineStr">
        <is>
          <t>Source extract; not executable</t>
        </is>
      </c>
      <c r="N162" s="7" t="inlineStr">
        <is>
          <t>Unassigned</t>
        </is>
      </c>
      <c r="O162" s="7" t="inlineStr">
        <is>
          <t>1/1</t>
        </is>
      </c>
      <c r="P162" s="7" t="n"/>
    </row>
    <row r="163" ht="45" customHeight="1">
      <c r="A163" s="4" t="inlineStr">
        <is>
          <t>C12</t>
        </is>
      </c>
      <c r="B163" s="4" t="inlineStr">
        <is>
          <t>"Marketing Incentive" under the "Handloom Marketing Assistance" Component of the National Handloom Development Programme</t>
        </is>
      </c>
      <c r="C163" s="4" t="inlineStr">
        <is>
          <t>C12-SRC003</t>
        </is>
      </c>
      <c r="D163" s="4" t="inlineStr">
        <is>
          <t>Eligibility text</t>
        </is>
      </c>
      <c r="E163" s="4" t="inlineStr">
        <is>
          <t>The applicant must have made the final transaction of product sale to the consumer.</t>
        </is>
      </c>
      <c r="F163" s="4" t="inlineStr">
        <is>
          <t>MS-C12 / C12-P0025</t>
        </is>
      </c>
      <c r="G163" s="4" t="inlineStr"/>
      <c r="H163" s="7" t="inlineStr">
        <is>
          <t>Approved</t>
        </is>
      </c>
      <c r="I163" s="7" t="n"/>
      <c r="J163" s="4" t="inlineStr">
        <is>
          <t>Eligibility</t>
        </is>
      </c>
      <c r="K163" s="4" t="inlineStr">
        <is>
          <t>en.eligibilityCriteria.eligibilityDescription[1].children[1]</t>
        </is>
      </c>
      <c r="L163" s="4" t="inlineStr">
        <is>
          <t>C12@20261028-55825899</t>
        </is>
      </c>
      <c r="M163" s="4" t="inlineStr">
        <is>
          <t>Source extract; not executable</t>
        </is>
      </c>
      <c r="N163" s="7" t="inlineStr">
        <is>
          <t>Unassigned</t>
        </is>
      </c>
      <c r="O163" s="7" t="inlineStr">
        <is>
          <t>1/1</t>
        </is>
      </c>
      <c r="P163" s="7" t="n"/>
    </row>
    <row r="164" ht="45" customHeight="1">
      <c r="A164" s="4" t="inlineStr">
        <is>
          <t>C12</t>
        </is>
      </c>
      <c r="B164" s="4" t="inlineStr">
        <is>
          <t>"Marketing Incentive" under the "Handloom Marketing Assistance" Component of the National Handloom Development Programme</t>
        </is>
      </c>
      <c r="C164" s="4" t="inlineStr">
        <is>
          <t>C12-SRC004</t>
        </is>
      </c>
      <c r="D164" s="4" t="inlineStr">
        <is>
          <t>Eligibility text</t>
        </is>
      </c>
      <c r="E164" s="4" t="inlineStr">
        <is>
          <t>The applicant must use Handloom Mark or India Handloom Brand for their handloom products.</t>
        </is>
      </c>
      <c r="F164" s="4" t="inlineStr">
        <is>
          <t>MS-C12 / C12-P0026</t>
        </is>
      </c>
      <c r="G164" s="4" t="inlineStr"/>
      <c r="H164" s="7" t="inlineStr">
        <is>
          <t>Approved</t>
        </is>
      </c>
      <c r="I164" s="7" t="n"/>
      <c r="J164" s="4" t="inlineStr">
        <is>
          <t>Eligibility</t>
        </is>
      </c>
      <c r="K164" s="4" t="inlineStr">
        <is>
          <t>en.eligibilityCriteria.eligibilityDescription[1].children[2]</t>
        </is>
      </c>
      <c r="L164" s="4" t="inlineStr">
        <is>
          <t>C12@20261028-55825899</t>
        </is>
      </c>
      <c r="M164" s="4" t="inlineStr">
        <is>
          <t>Source extract; not executable</t>
        </is>
      </c>
      <c r="N164" s="7" t="inlineStr">
        <is>
          <t>Unassigned</t>
        </is>
      </c>
      <c r="O164" s="7" t="inlineStr">
        <is>
          <t>1/1</t>
        </is>
      </c>
      <c r="P164" s="7" t="n"/>
    </row>
    <row r="165" ht="45" customHeight="1">
      <c r="A165" s="4" t="inlineStr">
        <is>
          <t>C12</t>
        </is>
      </c>
      <c r="B165" s="4" t="inlineStr">
        <is>
          <t>"Marketing Incentive" under the "Handloom Marketing Assistance" Component of the National Handloom Development Programme</t>
        </is>
      </c>
      <c r="C165" s="4" t="inlineStr">
        <is>
          <t>C12-SRC005</t>
        </is>
      </c>
      <c r="D165" s="4" t="inlineStr">
        <is>
          <t>Eligibility text</t>
        </is>
      </c>
      <c r="E165" s="4" t="inlineStr">
        <is>
          <t>The applicant must have average sales turnover of handloom products for the last 3 years for incentive calculation.</t>
        </is>
      </c>
      <c r="F165" s="4" t="inlineStr">
        <is>
          <t>MS-C12 / C12-P0027</t>
        </is>
      </c>
      <c r="G165" s="4" t="inlineStr"/>
      <c r="H165" s="7" t="inlineStr">
        <is>
          <t>Approved</t>
        </is>
      </c>
      <c r="I165" s="7" t="n"/>
      <c r="J165" s="4" t="inlineStr">
        <is>
          <t>Eligibility</t>
        </is>
      </c>
      <c r="K165" s="4" t="inlineStr">
        <is>
          <t>en.eligibilityCriteria.eligibilityDescription[1].children[3]</t>
        </is>
      </c>
      <c r="L165" s="4" t="inlineStr">
        <is>
          <t>C12@20261028-55825899</t>
        </is>
      </c>
      <c r="M165" s="4" t="inlineStr">
        <is>
          <t>Source extract; not executable</t>
        </is>
      </c>
      <c r="N165" s="7" t="inlineStr">
        <is>
          <t>Unassigned</t>
        </is>
      </c>
      <c r="O165" s="7" t="inlineStr">
        <is>
          <t>1/1</t>
        </is>
      </c>
      <c r="P165" s="7" t="n"/>
    </row>
    <row r="166" ht="45" customHeight="1">
      <c r="A166" s="4" t="inlineStr">
        <is>
          <t>C12</t>
        </is>
      </c>
      <c r="B166" s="4" t="inlineStr">
        <is>
          <t>"Marketing Incentive" under the "Handloom Marketing Assistance" Component of the National Handloom Development Programme</t>
        </is>
      </c>
      <c r="C166" s="4" t="inlineStr">
        <is>
          <t>C12-SRC006</t>
        </is>
      </c>
      <c r="D166" s="4" t="inlineStr">
        <is>
          <t>Exclusion text</t>
        </is>
      </c>
      <c r="E166" s="4" t="inlineStr">
        <is>
          <t>Sales by one handloom agency to another handloom agency are not eligible.</t>
        </is>
      </c>
      <c r="F166" s="4" t="inlineStr">
        <is>
          <t>MS-C12 / C12-P0028</t>
        </is>
      </c>
      <c r="G166" s="4" t="inlineStr"/>
      <c r="H166" s="7" t="inlineStr">
        <is>
          <t>Approved</t>
        </is>
      </c>
      <c r="I166" s="7" t="n"/>
      <c r="J166" s="4" t="inlineStr">
        <is>
          <t>Exclusions</t>
        </is>
      </c>
      <c r="K166" s="4" t="inlineStr">
        <is>
          <t>en.schemeContent.exclusions[0].children[0]</t>
        </is>
      </c>
      <c r="L166" s="4" t="inlineStr">
        <is>
          <t>C12@20261028-55825899</t>
        </is>
      </c>
      <c r="M166" s="4" t="inlineStr">
        <is>
          <t>Source extract; not executable</t>
        </is>
      </c>
      <c r="N166" s="7" t="inlineStr">
        <is>
          <t>Unassigned</t>
        </is>
      </c>
      <c r="O166" s="7" t="inlineStr">
        <is>
          <t>1/1</t>
        </is>
      </c>
      <c r="P166" s="7" t="n"/>
    </row>
    <row r="167" ht="58.88" customHeight="1">
      <c r="A167" s="4" t="inlineStr">
        <is>
          <t>C12</t>
        </is>
      </c>
      <c r="B167" s="4" t="inlineStr">
        <is>
          <t>"Marketing Incentive" under the "Handloom Marketing Assistance" Component of the National Handloom Development Programme</t>
        </is>
      </c>
      <c r="C167" s="4" t="inlineStr">
        <is>
          <t>C12-SRC007</t>
        </is>
      </c>
      <c r="D167" s="4" t="inlineStr">
        <is>
          <t>Exclusion text</t>
        </is>
      </c>
      <c r="E167" s="4" t="inlineStr">
        <is>
          <t>Sales of handloom products by Primary Handloom Weavers Cooperative Societies or any other Handloom Agency to Apex Societies, Federations, Producer Companies, Corporations are excluded.</t>
        </is>
      </c>
      <c r="F167" s="4" t="inlineStr">
        <is>
          <t>MS-C12 / C12-P0029</t>
        </is>
      </c>
      <c r="G167" s="4" t="inlineStr"/>
      <c r="H167" s="7" t="inlineStr">
        <is>
          <t>Approved</t>
        </is>
      </c>
      <c r="I167" s="7" t="n"/>
      <c r="J167" s="4" t="inlineStr">
        <is>
          <t>Exclusions</t>
        </is>
      </c>
      <c r="K167" s="4" t="inlineStr">
        <is>
          <t>en.schemeContent.exclusions[0].children[1]</t>
        </is>
      </c>
      <c r="L167" s="4" t="inlineStr">
        <is>
          <t>C12@20261028-55825899</t>
        </is>
      </c>
      <c r="M167" s="4" t="inlineStr">
        <is>
          <t>Source extract; not executable</t>
        </is>
      </c>
      <c r="N167" s="7" t="inlineStr">
        <is>
          <t>Unassigned</t>
        </is>
      </c>
      <c r="O167" s="7" t="inlineStr">
        <is>
          <t>1/1</t>
        </is>
      </c>
      <c r="P167" s="7" t="n"/>
    </row>
    <row r="168" ht="45" customHeight="1">
      <c r="A168" s="4" t="inlineStr">
        <is>
          <t>C12</t>
        </is>
      </c>
      <c r="B168" s="4" t="inlineStr">
        <is>
          <t>"Marketing Incentive" under the "Handloom Marketing Assistance" Component of the National Handloom Development Programme</t>
        </is>
      </c>
      <c r="C168" s="4" t="inlineStr">
        <is>
          <t>C12-SRC008</t>
        </is>
      </c>
      <c r="D168" s="4" t="inlineStr">
        <is>
          <t>Exclusion text</t>
        </is>
      </c>
      <c r="E168" s="4" t="inlineStr">
        <is>
          <t>Sales by handloom agencies to Government departments/agencies are excluded.</t>
        </is>
      </c>
      <c r="F168" s="4" t="inlineStr">
        <is>
          <t>MS-C12 / C12-P0030</t>
        </is>
      </c>
      <c r="G168" s="4" t="inlineStr"/>
      <c r="H168" s="7" t="inlineStr">
        <is>
          <t>Approved</t>
        </is>
      </c>
      <c r="I168" s="7" t="n"/>
      <c r="J168" s="4" t="inlineStr">
        <is>
          <t>Exclusions</t>
        </is>
      </c>
      <c r="K168" s="4" t="inlineStr">
        <is>
          <t>en.schemeContent.exclusions[0].children[2]</t>
        </is>
      </c>
      <c r="L168" s="4" t="inlineStr">
        <is>
          <t>C12@20261028-55825899</t>
        </is>
      </c>
      <c r="M168" s="4" t="inlineStr">
        <is>
          <t>Source extract; not executable</t>
        </is>
      </c>
      <c r="N168" s="7" t="inlineStr">
        <is>
          <t>Unassigned</t>
        </is>
      </c>
      <c r="O168" s="7" t="inlineStr">
        <is>
          <t>1/1</t>
        </is>
      </c>
      <c r="P168" s="7" t="n"/>
    </row>
    <row r="169" ht="45" customHeight="1">
      <c r="A169" s="4" t="inlineStr">
        <is>
          <t>C12</t>
        </is>
      </c>
      <c r="B169" s="4" t="inlineStr">
        <is>
          <t>"Marketing Incentive" under the "Handloom Marketing Assistance" Component of the National Handloom Development Programme</t>
        </is>
      </c>
      <c r="C169" s="4" t="inlineStr">
        <is>
          <t>C12-SRC009</t>
        </is>
      </c>
      <c r="D169" s="4" t="inlineStr">
        <is>
          <t>Exclusion text</t>
        </is>
      </c>
      <c r="E169" s="4" t="inlineStr">
        <is>
          <t>Sales made under barter system by handloom agencies are excluded.</t>
        </is>
      </c>
      <c r="F169" s="4" t="inlineStr">
        <is>
          <t>MS-C12 / C12-P0031</t>
        </is>
      </c>
      <c r="G169" s="4" t="inlineStr"/>
      <c r="H169" s="7" t="inlineStr">
        <is>
          <t>Approved</t>
        </is>
      </c>
      <c r="I169" s="7" t="n"/>
      <c r="J169" s="4" t="inlineStr">
        <is>
          <t>Exclusions</t>
        </is>
      </c>
      <c r="K169" s="4" t="inlineStr">
        <is>
          <t>en.schemeContent.exclusions[0].children[3]</t>
        </is>
      </c>
      <c r="L169" s="4" t="inlineStr">
        <is>
          <t>C12@20261028-55825899</t>
        </is>
      </c>
      <c r="M169" s="4" t="inlineStr">
        <is>
          <t>Source extract; not executable</t>
        </is>
      </c>
      <c r="N169" s="7" t="inlineStr">
        <is>
          <t>Unassigned</t>
        </is>
      </c>
      <c r="O169" s="7" t="inlineStr">
        <is>
          <t>1/1</t>
        </is>
      </c>
      <c r="P169" s="7" t="n"/>
    </row>
    <row r="170" ht="45" customHeight="1">
      <c r="A170" s="4" t="inlineStr">
        <is>
          <t>C12</t>
        </is>
      </c>
      <c r="B170" s="4" t="inlineStr">
        <is>
          <t>"Marketing Incentive" under the "Handloom Marketing Assistance" Component of the National Handloom Development Programme</t>
        </is>
      </c>
      <c r="C170" s="4" t="inlineStr">
        <is>
          <t>C12-SRC010</t>
        </is>
      </c>
      <c r="D170" s="4" t="inlineStr">
        <is>
          <t>Exclusion text</t>
        </is>
      </c>
      <c r="E170" s="4" t="inlineStr">
        <is>
          <t>Agencies that have received similar kind of incentive/rebate under any other Central Government scheme are not preferred.</t>
        </is>
      </c>
      <c r="F170" s="4" t="inlineStr">
        <is>
          <t>MS-C12 / C12-P0032</t>
        </is>
      </c>
      <c r="G170" s="4" t="inlineStr"/>
      <c r="H170" s="7" t="inlineStr">
        <is>
          <t>Approved</t>
        </is>
      </c>
      <c r="I170" s="7" t="n"/>
      <c r="J170" s="4" t="inlineStr">
        <is>
          <t>Exclusions</t>
        </is>
      </c>
      <c r="K170" s="4" t="inlineStr">
        <is>
          <t>en.schemeContent.exclusions[0].children[4]</t>
        </is>
      </c>
      <c r="L170" s="4" t="inlineStr">
        <is>
          <t>C12@20261028-55825899</t>
        </is>
      </c>
      <c r="M170" s="4" t="inlineStr">
        <is>
          <t>Source extract; not executable</t>
        </is>
      </c>
      <c r="N170" s="7" t="inlineStr">
        <is>
          <t>Unassigned</t>
        </is>
      </c>
      <c r="O170" s="7" t="inlineStr">
        <is>
          <t>1/1</t>
        </is>
      </c>
      <c r="P170" s="7" t="n"/>
    </row>
    <row r="171" ht="45" customHeight="1">
      <c r="A171" s="4" t="inlineStr">
        <is>
          <t>C13</t>
        </is>
      </c>
      <c r="B171" s="4" t="inlineStr">
        <is>
          <t>Kisan Credit Card</t>
        </is>
      </c>
      <c r="C171" s="4" t="inlineStr">
        <is>
          <t>C13-SRC001</t>
        </is>
      </c>
      <c r="D171" s="4" t="inlineStr">
        <is>
          <t>Source heading</t>
        </is>
      </c>
      <c r="E171" s="4" t="inlineStr">
        <is>
          <t>Eligibility</t>
        </is>
      </c>
      <c r="F171" s="4" t="inlineStr">
        <is>
          <t>MS-C13 / C13-P0035</t>
        </is>
      </c>
      <c r="G171" s="4" t="inlineStr">
        <is>
          <t>Eligibility</t>
        </is>
      </c>
      <c r="H171" s="7" t="inlineStr">
        <is>
          <t>Approved</t>
        </is>
      </c>
      <c r="I171" s="7" t="n"/>
      <c r="J171" s="4" t="inlineStr">
        <is>
          <t>Eligibility</t>
        </is>
      </c>
      <c r="K171" s="4" t="inlineStr">
        <is>
          <t>en.eligibilityCriteria.eligibilityDescription[0]</t>
        </is>
      </c>
      <c r="L171" s="4" t="inlineStr">
        <is>
          <t>C13@20261028-241c8bb1</t>
        </is>
      </c>
      <c r="M171" s="4" t="inlineStr">
        <is>
          <t>Source extract; not executable</t>
        </is>
      </c>
      <c r="N171" s="7" t="inlineStr">
        <is>
          <t>Unassigned</t>
        </is>
      </c>
      <c r="O171" s="7" t="inlineStr">
        <is>
          <t>1/1</t>
        </is>
      </c>
      <c r="P171" s="7" t="n"/>
    </row>
    <row r="172" ht="45" customHeight="1">
      <c r="A172" s="4" t="inlineStr">
        <is>
          <t>C13</t>
        </is>
      </c>
      <c r="B172" s="4" t="inlineStr">
        <is>
          <t>Kisan Credit Card</t>
        </is>
      </c>
      <c r="C172" s="4" t="inlineStr">
        <is>
          <t>C13-SRC002</t>
        </is>
      </c>
      <c r="D172" s="4" t="inlineStr">
        <is>
          <t>Eligibility text</t>
        </is>
      </c>
      <c r="E172" s="4" t="inlineStr">
        <is>
          <t>Farmers - individual/joint borrowers who are owner cultivators;</t>
        </is>
      </c>
      <c r="F172" s="4" t="inlineStr">
        <is>
          <t>MS-C13 / C13-P0036</t>
        </is>
      </c>
      <c r="G172" s="4" t="inlineStr">
        <is>
          <t>Eligibility</t>
        </is>
      </c>
      <c r="H172" s="7" t="inlineStr">
        <is>
          <t>Approved</t>
        </is>
      </c>
      <c r="I172" s="7" t="n"/>
      <c r="J172" s="4" t="inlineStr">
        <is>
          <t>Eligibility</t>
        </is>
      </c>
      <c r="K172" s="4" t="inlineStr">
        <is>
          <t>en.eligibilityCriteria.eligibilityDescription[1].children[0]</t>
        </is>
      </c>
      <c r="L172" s="4" t="inlineStr">
        <is>
          <t>C13@20261028-241c8bb1</t>
        </is>
      </c>
      <c r="M172" s="4" t="inlineStr">
        <is>
          <t>Source extract; not executable</t>
        </is>
      </c>
      <c r="N172" s="7" t="inlineStr">
        <is>
          <t>Unassigned</t>
        </is>
      </c>
      <c r="O172" s="7" t="inlineStr">
        <is>
          <t>1/1</t>
        </is>
      </c>
      <c r="P172" s="7" t="n"/>
    </row>
    <row r="173" ht="45" customHeight="1">
      <c r="A173" s="4" t="inlineStr">
        <is>
          <t>C13</t>
        </is>
      </c>
      <c r="B173" s="4" t="inlineStr">
        <is>
          <t>Kisan Credit Card</t>
        </is>
      </c>
      <c r="C173" s="4" t="inlineStr">
        <is>
          <t>C13-SRC003</t>
        </is>
      </c>
      <c r="D173" s="4" t="inlineStr">
        <is>
          <t>Eligibility text</t>
        </is>
      </c>
      <c r="E173" s="4" t="inlineStr">
        <is>
          <t>Tenant farmers, oral lessees &amp; share croppers;</t>
        </is>
      </c>
      <c r="F173" s="4" t="inlineStr">
        <is>
          <t>MS-C13 / C13-P0037</t>
        </is>
      </c>
      <c r="G173" s="4" t="inlineStr">
        <is>
          <t>Eligibility</t>
        </is>
      </c>
      <c r="H173" s="7" t="inlineStr">
        <is>
          <t>Approved</t>
        </is>
      </c>
      <c r="I173" s="7" t="n"/>
      <c r="J173" s="4" t="inlineStr">
        <is>
          <t>Eligibility</t>
        </is>
      </c>
      <c r="K173" s="4" t="inlineStr">
        <is>
          <t>en.eligibilityCriteria.eligibilityDescription[1].children[1]</t>
        </is>
      </c>
      <c r="L173" s="4" t="inlineStr">
        <is>
          <t>C13@20261028-241c8bb1</t>
        </is>
      </c>
      <c r="M173" s="4" t="inlineStr">
        <is>
          <t>Source extract; not executable</t>
        </is>
      </c>
      <c r="N173" s="7" t="inlineStr">
        <is>
          <t>Unassigned</t>
        </is>
      </c>
      <c r="O173" s="7" t="inlineStr">
        <is>
          <t>1/1</t>
        </is>
      </c>
      <c r="P173" s="7" t="n"/>
    </row>
    <row r="174" ht="45" customHeight="1">
      <c r="A174" s="4" t="inlineStr">
        <is>
          <t>C13</t>
        </is>
      </c>
      <c r="B174" s="4" t="inlineStr">
        <is>
          <t>Kisan Credit Card</t>
        </is>
      </c>
      <c r="C174" s="4" t="inlineStr">
        <is>
          <t>C13-SRC004</t>
        </is>
      </c>
      <c r="D174" s="4" t="inlineStr">
        <is>
          <t>Eligibility text</t>
        </is>
      </c>
      <c r="E174" s="4" t="inlineStr">
        <is>
          <t>Self Help Groups (SHGs) or Joint Liability Groups (JLGs) of farmers including tenant farmers, share croppers etc</t>
        </is>
      </c>
      <c r="F174" s="4" t="inlineStr">
        <is>
          <t>MS-C13 / C13-P0038</t>
        </is>
      </c>
      <c r="G174" s="4" t="inlineStr">
        <is>
          <t>Eligibility</t>
        </is>
      </c>
      <c r="H174" s="7" t="inlineStr">
        <is>
          <t>Approved</t>
        </is>
      </c>
      <c r="I174" s="7" t="n"/>
      <c r="J174" s="4" t="inlineStr">
        <is>
          <t>Eligibility</t>
        </is>
      </c>
      <c r="K174" s="4" t="inlineStr">
        <is>
          <t>en.eligibilityCriteria.eligibilityDescription[1].children[2]</t>
        </is>
      </c>
      <c r="L174" s="4" t="inlineStr">
        <is>
          <t>C13@20261028-241c8bb1</t>
        </is>
      </c>
      <c r="M174" s="4" t="inlineStr">
        <is>
          <t>Source extract; not executable</t>
        </is>
      </c>
      <c r="N174" s="7" t="inlineStr">
        <is>
          <t>Unassigned</t>
        </is>
      </c>
      <c r="O174" s="7" t="inlineStr">
        <is>
          <t>1/1</t>
        </is>
      </c>
      <c r="P174" s="7" t="n"/>
    </row>
    <row r="175" ht="45" customHeight="1">
      <c r="A175" s="4" t="inlineStr">
        <is>
          <t>C13</t>
        </is>
      </c>
      <c r="B175" s="4" t="inlineStr">
        <is>
          <t>Kisan Credit Card</t>
        </is>
      </c>
      <c r="C175" s="4" t="inlineStr">
        <is>
          <t>C13-EMPTY-Exclusions</t>
        </is>
      </c>
      <c r="D175" s="4" t="inlineStr">
        <is>
          <t>Exclusions</t>
        </is>
      </c>
      <c r="E175" s="4" t="inlineStr">
        <is>
          <t>Not stated in the captured source. Do not infer no restrictions.</t>
        </is>
      </c>
      <c r="F175" s="4" t="inlineStr">
        <is>
          <t>MS-C13</t>
        </is>
      </c>
      <c r="G175" s="4" t="inlineStr">
        <is>
          <t>Full official guidelines required.</t>
        </is>
      </c>
      <c r="H175" s="7" t="inlineStr">
        <is>
          <t>Approved</t>
        </is>
      </c>
      <c r="I175" s="7" t="n"/>
      <c r="J175" s="4" t="inlineStr">
        <is>
          <t>Exclusions</t>
        </is>
      </c>
      <c r="K175" s="4" t="inlineStr"/>
      <c r="L175" s="4" t="inlineStr">
        <is>
          <t>C13@20261028-241c8bb1</t>
        </is>
      </c>
      <c r="M175" s="4" t="inlineStr">
        <is>
          <t>Empty or absent in source</t>
        </is>
      </c>
      <c r="N175" s="7" t="inlineStr">
        <is>
          <t>Unassigned</t>
        </is>
      </c>
      <c r="O175" s="7" t="n"/>
      <c r="P175" s="7" t="n"/>
    </row>
    <row r="176" ht="45" customHeight="1">
      <c r="A176" s="4" t="inlineStr">
        <is>
          <t>C14</t>
        </is>
      </c>
      <c r="B176" s="4" t="inlineStr">
        <is>
          <t>Pradhan Mantri Fasal Bima Yojna (PMFBY)</t>
        </is>
      </c>
      <c r="C176" s="4" t="inlineStr">
        <is>
          <t>C14-SRC001</t>
        </is>
      </c>
      <c r="D176" s="4" t="inlineStr">
        <is>
          <t>Eligibility text</t>
        </is>
      </c>
      <c r="E176" s="4" t="inlineStr">
        <is>
          <t>All farmers, including tenant farmers and sharecroppers growing notified crops in notified areas.</t>
        </is>
      </c>
      <c r="F176" s="4" t="inlineStr">
        <is>
          <t>MS-C14 / C14-P0017</t>
        </is>
      </c>
      <c r="G176" s="4" t="inlineStr"/>
      <c r="H176" s="7" t="inlineStr">
        <is>
          <t>Approved</t>
        </is>
      </c>
      <c r="I176" s="7" t="n"/>
      <c r="J176" s="4" t="inlineStr">
        <is>
          <t>Eligibility</t>
        </is>
      </c>
      <c r="K176" s="4" t="inlineStr">
        <is>
          <t>en.eligibilityCriteria.eligibilityDescription[0].children[0]</t>
        </is>
      </c>
      <c r="L176" s="4" t="inlineStr">
        <is>
          <t>C14@20261028-9029f2b7</t>
        </is>
      </c>
      <c r="M176" s="4" t="inlineStr">
        <is>
          <t>Source extract; not executable</t>
        </is>
      </c>
      <c r="N176" s="7" t="inlineStr">
        <is>
          <t>Unassigned</t>
        </is>
      </c>
      <c r="O176" s="7" t="inlineStr">
        <is>
          <t>1/1</t>
        </is>
      </c>
      <c r="P176" s="7" t="n"/>
    </row>
    <row r="177" ht="45" customHeight="1">
      <c r="A177" s="4" t="inlineStr">
        <is>
          <t>C14</t>
        </is>
      </c>
      <c r="B177" s="4" t="inlineStr">
        <is>
          <t>Pradhan Mantri Fasal Bima Yojna (PMFBY)</t>
        </is>
      </c>
      <c r="C177" s="4" t="inlineStr">
        <is>
          <t>C14-SRC002</t>
        </is>
      </c>
      <c r="D177" s="4" t="inlineStr">
        <is>
          <t>Eligibility text</t>
        </is>
      </c>
      <c r="E177" s="4" t="inlineStr">
        <is>
          <t>Farmers must have an insurable interest in the insured crops.</t>
        </is>
      </c>
      <c r="F177" s="4" t="inlineStr">
        <is>
          <t>MS-C14 / C14-P0018</t>
        </is>
      </c>
      <c r="G177" s="4" t="inlineStr"/>
      <c r="H177" s="7" t="inlineStr">
        <is>
          <t>Approved</t>
        </is>
      </c>
      <c r="I177" s="7" t="n"/>
      <c r="J177" s="4" t="inlineStr">
        <is>
          <t>Eligibility</t>
        </is>
      </c>
      <c r="K177" s="4" t="inlineStr">
        <is>
          <t>en.eligibilityCriteria.eligibilityDescription[0].children[1]</t>
        </is>
      </c>
      <c r="L177" s="4" t="inlineStr">
        <is>
          <t>C14@20261028-9029f2b7</t>
        </is>
      </c>
      <c r="M177" s="4" t="inlineStr">
        <is>
          <t>Source extract; not executable</t>
        </is>
      </c>
      <c r="N177" s="7" t="inlineStr">
        <is>
          <t>Unassigned</t>
        </is>
      </c>
      <c r="O177" s="7" t="inlineStr">
        <is>
          <t>1/1</t>
        </is>
      </c>
      <c r="P177" s="7" t="n"/>
    </row>
    <row r="178" ht="45" customHeight="1">
      <c r="A178" s="4" t="inlineStr">
        <is>
          <t>C14</t>
        </is>
      </c>
      <c r="B178" s="4" t="inlineStr">
        <is>
          <t>Pradhan Mantri Fasal Bima Yojna (PMFBY)</t>
        </is>
      </c>
      <c r="C178" s="4" t="inlineStr">
        <is>
          <t>C14-SRC003</t>
        </is>
      </c>
      <c r="D178" s="4" t="inlineStr">
        <is>
          <t>Eligibility text</t>
        </is>
      </c>
      <c r="E178" s="4" t="inlineStr">
        <is>
          <t>Farmers must possess a valid and authenticated land ownership certificate or a valid land tenure agreement.</t>
        </is>
      </c>
      <c r="F178" s="4" t="inlineStr">
        <is>
          <t>MS-C14 / C14-P0019</t>
        </is>
      </c>
      <c r="G178" s="4" t="inlineStr"/>
      <c r="H178" s="7" t="inlineStr">
        <is>
          <t>Approved</t>
        </is>
      </c>
      <c r="I178" s="7" t="n"/>
      <c r="J178" s="4" t="inlineStr">
        <is>
          <t>Eligibility</t>
        </is>
      </c>
      <c r="K178" s="4" t="inlineStr">
        <is>
          <t>en.eligibilityCriteria.eligibilityDescription[0].children[2]</t>
        </is>
      </c>
      <c r="L178" s="4" t="inlineStr">
        <is>
          <t>C14@20261028-9029f2b7</t>
        </is>
      </c>
      <c r="M178" s="4" t="inlineStr">
        <is>
          <t>Source extract; not executable</t>
        </is>
      </c>
      <c r="N178" s="7" t="inlineStr">
        <is>
          <t>Unassigned</t>
        </is>
      </c>
      <c r="O178" s="7" t="inlineStr">
        <is>
          <t>1/1</t>
        </is>
      </c>
      <c r="P178" s="7" t="n"/>
    </row>
    <row r="179" ht="45" customHeight="1">
      <c r="A179" s="4" t="inlineStr">
        <is>
          <t>C14</t>
        </is>
      </c>
      <c r="B179" s="4" t="inlineStr">
        <is>
          <t>Pradhan Mantri Fasal Bima Yojna (PMFBY)</t>
        </is>
      </c>
      <c r="C179" s="4" t="inlineStr">
        <is>
          <t>C14-SRC004</t>
        </is>
      </c>
      <c r="D179" s="4" t="inlineStr">
        <is>
          <t>Eligibility text</t>
        </is>
      </c>
      <c r="E179" s="4" t="inlineStr">
        <is>
          <t>The farmer must be a cultivator or sharecropper on the insured land.</t>
        </is>
      </c>
      <c r="F179" s="4" t="inlineStr">
        <is>
          <t>MS-C14 / C14-P0020</t>
        </is>
      </c>
      <c r="G179" s="4" t="inlineStr"/>
      <c r="H179" s="7" t="inlineStr">
        <is>
          <t>Approved</t>
        </is>
      </c>
      <c r="I179" s="7" t="n"/>
      <c r="J179" s="4" t="inlineStr">
        <is>
          <t>Eligibility</t>
        </is>
      </c>
      <c r="K179" s="4" t="inlineStr">
        <is>
          <t>en.eligibilityCriteria.eligibilityDescription[0].children[3]</t>
        </is>
      </c>
      <c r="L179" s="4" t="inlineStr">
        <is>
          <t>C14@20261028-9029f2b7</t>
        </is>
      </c>
      <c r="M179" s="4" t="inlineStr">
        <is>
          <t>Source extract; not executable</t>
        </is>
      </c>
      <c r="N179" s="7" t="inlineStr">
        <is>
          <t>Unassigned</t>
        </is>
      </c>
      <c r="O179" s="7" t="inlineStr">
        <is>
          <t>1/1</t>
        </is>
      </c>
      <c r="P179" s="7" t="n"/>
    </row>
    <row r="180" ht="45" customHeight="1">
      <c r="A180" s="4" t="inlineStr">
        <is>
          <t>C14</t>
        </is>
      </c>
      <c r="B180" s="4" t="inlineStr">
        <is>
          <t>Pradhan Mantri Fasal Bima Yojna (PMFBY)</t>
        </is>
      </c>
      <c r="C180" s="4" t="inlineStr">
        <is>
          <t>C14-SRC005</t>
        </is>
      </c>
      <c r="D180" s="4" t="inlineStr">
        <is>
          <t>Eligibility text</t>
        </is>
      </c>
      <c r="E180" s="4" t="inlineStr">
        <is>
          <t>The farmer must apply for insurance coverage within the prescribed time frame, usually within 2 weeks of the start of the sowing season.</t>
        </is>
      </c>
      <c r="F180" s="4" t="inlineStr">
        <is>
          <t>MS-C14 / C14-P0021</t>
        </is>
      </c>
      <c r="G180" s="4" t="inlineStr"/>
      <c r="H180" s="7" t="inlineStr">
        <is>
          <t>Approved</t>
        </is>
      </c>
      <c r="I180" s="7" t="n"/>
      <c r="J180" s="4" t="inlineStr">
        <is>
          <t>Eligibility</t>
        </is>
      </c>
      <c r="K180" s="4" t="inlineStr">
        <is>
          <t>en.eligibilityCriteria.eligibilityDescription[0].children[4]</t>
        </is>
      </c>
      <c r="L180" s="4" t="inlineStr">
        <is>
          <t>C14@20261028-9029f2b7</t>
        </is>
      </c>
      <c r="M180" s="4" t="inlineStr">
        <is>
          <t>Source extract; not executable</t>
        </is>
      </c>
      <c r="N180" s="7" t="inlineStr">
        <is>
          <t>Unassigned</t>
        </is>
      </c>
      <c r="O180" s="7" t="inlineStr">
        <is>
          <t>1/1</t>
        </is>
      </c>
      <c r="P180" s="7" t="n"/>
    </row>
    <row r="181" ht="45" customHeight="1">
      <c r="A181" s="4" t="inlineStr">
        <is>
          <t>C14</t>
        </is>
      </c>
      <c r="B181" s="4" t="inlineStr">
        <is>
          <t>Pradhan Mantri Fasal Bima Yojna (PMFBY)</t>
        </is>
      </c>
      <c r="C181" s="4" t="inlineStr">
        <is>
          <t>C14-SRC006</t>
        </is>
      </c>
      <c r="D181" s="4" t="inlineStr">
        <is>
          <t>Eligibility text</t>
        </is>
      </c>
      <c r="E181" s="4" t="inlineStr">
        <is>
          <t>Farmers must not have received compensation for the same crop loss from any other medium or source.</t>
        </is>
      </c>
      <c r="F181" s="4" t="inlineStr">
        <is>
          <t>MS-C14 / C14-P0022</t>
        </is>
      </c>
      <c r="G181" s="4" t="inlineStr"/>
      <c r="H181" s="7" t="inlineStr">
        <is>
          <t>Approved</t>
        </is>
      </c>
      <c r="I181" s="7" t="n"/>
      <c r="J181" s="4" t="inlineStr">
        <is>
          <t>Eligibility</t>
        </is>
      </c>
      <c r="K181" s="4" t="inlineStr">
        <is>
          <t>en.eligibilityCriteria.eligibilityDescription[0].children[5]</t>
        </is>
      </c>
      <c r="L181" s="4" t="inlineStr">
        <is>
          <t>C14@20261028-9029f2b7</t>
        </is>
      </c>
      <c r="M181" s="4" t="inlineStr">
        <is>
          <t>Source extract; not executable</t>
        </is>
      </c>
      <c r="N181" s="7" t="inlineStr">
        <is>
          <t>Unassigned</t>
        </is>
      </c>
      <c r="O181" s="7" t="inlineStr">
        <is>
          <t>1/1</t>
        </is>
      </c>
      <c r="P181" s="7" t="n"/>
    </row>
    <row r="182" ht="45" customHeight="1">
      <c r="A182" s="4" t="inlineStr">
        <is>
          <t>C14</t>
        </is>
      </c>
      <c r="B182" s="4" t="inlineStr">
        <is>
          <t>Pradhan Mantri Fasal Bima Yojna (PMFBY)</t>
        </is>
      </c>
      <c r="C182" s="4" t="inlineStr">
        <is>
          <t>C14-SRC007</t>
        </is>
      </c>
      <c r="D182" s="4" t="inlineStr">
        <is>
          <t>Exclusion text</t>
        </is>
      </c>
      <c r="E182" s="4" t="inlineStr">
        <is>
          <t>Non-Notified Areas</t>
        </is>
      </c>
      <c r="F182" s="4" t="inlineStr">
        <is>
          <t>MS-C14 / C14-P0023</t>
        </is>
      </c>
      <c r="G182" s="4" t="inlineStr"/>
      <c r="H182" s="7" t="inlineStr">
        <is>
          <t>Approved</t>
        </is>
      </c>
      <c r="I182" s="7" t="n"/>
      <c r="J182" s="4" t="inlineStr">
        <is>
          <t>Exclusions</t>
        </is>
      </c>
      <c r="K182" s="4" t="inlineStr">
        <is>
          <t>en.schemeContent.exclusions[0].children[0]</t>
        </is>
      </c>
      <c r="L182" s="4" t="inlineStr">
        <is>
          <t>C14@20261028-9029f2b7</t>
        </is>
      </c>
      <c r="M182" s="4" t="inlineStr">
        <is>
          <t>Source extract; not executable</t>
        </is>
      </c>
      <c r="N182" s="7" t="inlineStr">
        <is>
          <t>Unassigned</t>
        </is>
      </c>
      <c r="O182" s="7" t="inlineStr">
        <is>
          <t>1/1</t>
        </is>
      </c>
      <c r="P182" s="7" t="n"/>
    </row>
    <row r="183" ht="56.32" customHeight="1">
      <c r="A183" s="4" t="inlineStr">
        <is>
          <t>C14</t>
        </is>
      </c>
      <c r="B183" s="4" t="inlineStr">
        <is>
          <t>Pradhan Mantri Fasal Bima Yojna (PMFBY)</t>
        </is>
      </c>
      <c r="C183" s="4" t="inlineStr">
        <is>
          <t>C14-SRC008</t>
        </is>
      </c>
      <c r="D183" s="4" t="inlineStr">
        <is>
          <t>Exclusion text</t>
        </is>
      </c>
      <c r="E183" s="4" t="inlineStr">
        <is>
          <t>PMFBY applies to notified areas, and crop losses in non-notified areas are generally not covered. Farmers in areas not designated under the scheme may not receive compensation.</t>
        </is>
      </c>
      <c r="F183" s="4" t="inlineStr">
        <is>
          <t>MS-C14 / C14-P0024</t>
        </is>
      </c>
      <c r="G183" s="4" t="inlineStr"/>
      <c r="H183" s="7" t="inlineStr">
        <is>
          <t>Approved</t>
        </is>
      </c>
      <c r="I183" s="7" t="n"/>
      <c r="J183" s="4" t="inlineStr">
        <is>
          <t>Exclusions</t>
        </is>
      </c>
      <c r="K183" s="4" t="inlineStr">
        <is>
          <t>en.schemeContent.exclusions[1]</t>
        </is>
      </c>
      <c r="L183" s="4" t="inlineStr">
        <is>
          <t>C14@20261028-9029f2b7</t>
        </is>
      </c>
      <c r="M183" s="4" t="inlineStr">
        <is>
          <t>Source extract; not executable</t>
        </is>
      </c>
      <c r="N183" s="7" t="inlineStr">
        <is>
          <t>Unassigned</t>
        </is>
      </c>
      <c r="O183" s="7" t="inlineStr">
        <is>
          <t>1/1</t>
        </is>
      </c>
      <c r="P183" s="7" t="n"/>
    </row>
    <row r="184" ht="45" customHeight="1">
      <c r="A184" s="4" t="inlineStr">
        <is>
          <t>C14</t>
        </is>
      </c>
      <c r="B184" s="4" t="inlineStr">
        <is>
          <t>Pradhan Mantri Fasal Bima Yojna (PMFBY)</t>
        </is>
      </c>
      <c r="C184" s="4" t="inlineStr">
        <is>
          <t>C14-SRC009</t>
        </is>
      </c>
      <c r="D184" s="4" t="inlineStr">
        <is>
          <t>Exclusion text</t>
        </is>
      </c>
      <c r="E184" s="4" t="inlineStr">
        <is>
          <t>Losses Outside the Crop Cycle</t>
        </is>
      </c>
      <c r="F184" s="4" t="inlineStr">
        <is>
          <t>MS-C14 / C14-P0025</t>
        </is>
      </c>
      <c r="G184" s="4" t="inlineStr"/>
      <c r="H184" s="7" t="inlineStr">
        <is>
          <t>Approved</t>
        </is>
      </c>
      <c r="I184" s="7" t="n"/>
      <c r="J184" s="4" t="inlineStr">
        <is>
          <t>Exclusions</t>
        </is>
      </c>
      <c r="K184" s="4" t="inlineStr">
        <is>
          <t>en.schemeContent.exclusions[2].children[0]</t>
        </is>
      </c>
      <c r="L184" s="4" t="inlineStr">
        <is>
          <t>C14@20261028-9029f2b7</t>
        </is>
      </c>
      <c r="M184" s="4" t="inlineStr">
        <is>
          <t>Source extract; not executable</t>
        </is>
      </c>
      <c r="N184" s="7" t="inlineStr">
        <is>
          <t>Unassigned</t>
        </is>
      </c>
      <c r="O184" s="7" t="inlineStr">
        <is>
          <t>1/1</t>
        </is>
      </c>
      <c r="P184" s="7" t="n"/>
    </row>
    <row r="185" ht="59.52" customHeight="1">
      <c r="A185" s="4" t="inlineStr">
        <is>
          <t>C14</t>
        </is>
      </c>
      <c r="B185" s="4" t="inlineStr">
        <is>
          <t>Pradhan Mantri Fasal Bima Yojna (PMFBY)</t>
        </is>
      </c>
      <c r="C185" s="4" t="inlineStr">
        <is>
          <t>C14-SRC010</t>
        </is>
      </c>
      <c r="D185" s="4" t="inlineStr">
        <is>
          <t>Exclusion text</t>
        </is>
      </c>
      <c r="E185" s="4" t="inlineStr">
        <is>
          <t>Crop losses occurring outside the specified crop cycle are often excluded from coverage. If a loss is not directly related to the growing season, it may not be eligible for compensation.</t>
        </is>
      </c>
      <c r="F185" s="4" t="inlineStr">
        <is>
          <t>MS-C14 / C14-P0026</t>
        </is>
      </c>
      <c r="G185" s="4" t="inlineStr"/>
      <c r="H185" s="7" t="inlineStr">
        <is>
          <t>Approved</t>
        </is>
      </c>
      <c r="I185" s="7" t="n"/>
      <c r="J185" s="4" t="inlineStr">
        <is>
          <t>Exclusions</t>
        </is>
      </c>
      <c r="K185" s="4" t="inlineStr">
        <is>
          <t>en.schemeContent.exclusions[3]</t>
        </is>
      </c>
      <c r="L185" s="4" t="inlineStr">
        <is>
          <t>C14@20261028-9029f2b7</t>
        </is>
      </c>
      <c r="M185" s="4" t="inlineStr">
        <is>
          <t>Source extract; not executable</t>
        </is>
      </c>
      <c r="N185" s="7" t="inlineStr">
        <is>
          <t>Unassigned</t>
        </is>
      </c>
      <c r="O185" s="7" t="inlineStr">
        <is>
          <t>1/1</t>
        </is>
      </c>
      <c r="P185" s="7" t="n"/>
    </row>
    <row r="186" ht="45" customHeight="1">
      <c r="A186" s="4" t="inlineStr">
        <is>
          <t>C14</t>
        </is>
      </c>
      <c r="B186" s="4" t="inlineStr">
        <is>
          <t>Pradhan Mantri Fasal Bima Yojna (PMFBY)</t>
        </is>
      </c>
      <c r="C186" s="4" t="inlineStr">
        <is>
          <t>C14-SRC011</t>
        </is>
      </c>
      <c r="D186" s="4" t="inlineStr">
        <is>
          <t>Exclusion text</t>
        </is>
      </c>
      <c r="E186" s="4" t="inlineStr">
        <is>
          <t>Negligence and Non-Compliance</t>
        </is>
      </c>
      <c r="F186" s="4" t="inlineStr">
        <is>
          <t>MS-C14 / C14-P0027</t>
        </is>
      </c>
      <c r="G186" s="4" t="inlineStr"/>
      <c r="H186" s="7" t="inlineStr">
        <is>
          <t>Approved</t>
        </is>
      </c>
      <c r="I186" s="7" t="n"/>
      <c r="J186" s="4" t="inlineStr">
        <is>
          <t>Exclusions</t>
        </is>
      </c>
      <c r="K186" s="4" t="inlineStr">
        <is>
          <t>en.schemeContent.exclusions[4].children[0]</t>
        </is>
      </c>
      <c r="L186" s="4" t="inlineStr">
        <is>
          <t>C14@20261028-9029f2b7</t>
        </is>
      </c>
      <c r="M186" s="4" t="inlineStr">
        <is>
          <t>Source extract; not executable</t>
        </is>
      </c>
      <c r="N186" s="7" t="inlineStr">
        <is>
          <t>Unassigned</t>
        </is>
      </c>
      <c r="O186" s="7" t="inlineStr">
        <is>
          <t>1/1</t>
        </is>
      </c>
      <c r="P186" s="7" t="n"/>
    </row>
    <row r="187" ht="49.6" customHeight="1">
      <c r="A187" s="4" t="inlineStr">
        <is>
          <t>C14</t>
        </is>
      </c>
      <c r="B187" s="4" t="inlineStr">
        <is>
          <t>Pradhan Mantri Fasal Bima Yojna (PMFBY)</t>
        </is>
      </c>
      <c r="C187" s="4" t="inlineStr">
        <is>
          <t>C14-SRC012</t>
        </is>
      </c>
      <c r="D187" s="4" t="inlineStr">
        <is>
          <t>Exclusion text</t>
        </is>
      </c>
      <c r="E187" s="4" t="inlineStr">
        <is>
          <t>Losses resulting from farmer negligence, non-compliance with recommended agricultural practices, or failure to protect the crop adequately may be excluded.</t>
        </is>
      </c>
      <c r="F187" s="4" t="inlineStr">
        <is>
          <t>MS-C14 / C14-P0028</t>
        </is>
      </c>
      <c r="G187" s="4" t="inlineStr"/>
      <c r="H187" s="7" t="inlineStr">
        <is>
          <t>Approved</t>
        </is>
      </c>
      <c r="I187" s="7" t="n"/>
      <c r="J187" s="4" t="inlineStr">
        <is>
          <t>Exclusions</t>
        </is>
      </c>
      <c r="K187" s="4" t="inlineStr">
        <is>
          <t>en.schemeContent.exclusions[5]</t>
        </is>
      </c>
      <c r="L187" s="4" t="inlineStr">
        <is>
          <t>C14@20261028-9029f2b7</t>
        </is>
      </c>
      <c r="M187" s="4" t="inlineStr">
        <is>
          <t>Source extract; not executable</t>
        </is>
      </c>
      <c r="N187" s="7" t="inlineStr">
        <is>
          <t>Unassigned</t>
        </is>
      </c>
      <c r="O187" s="7" t="inlineStr">
        <is>
          <t>1/1</t>
        </is>
      </c>
      <c r="P187" s="7" t="n"/>
    </row>
    <row r="188" ht="45" customHeight="1">
      <c r="A188" s="4" t="inlineStr">
        <is>
          <t>C14</t>
        </is>
      </c>
      <c r="B188" s="4" t="inlineStr">
        <is>
          <t>Pradhan Mantri Fasal Bima Yojna (PMFBY)</t>
        </is>
      </c>
      <c r="C188" s="4" t="inlineStr">
        <is>
          <t>C14-SRC013</t>
        </is>
      </c>
      <c r="D188" s="4" t="inlineStr">
        <is>
          <t>Exclusion text</t>
        </is>
      </c>
      <c r="E188" s="4" t="inlineStr">
        <is>
          <t>Losses Beyond Specified Limits</t>
        </is>
      </c>
      <c r="F188" s="4" t="inlineStr">
        <is>
          <t>MS-C14 / C14-P0029</t>
        </is>
      </c>
      <c r="G188" s="4" t="inlineStr"/>
      <c r="H188" s="7" t="inlineStr">
        <is>
          <t>Approved</t>
        </is>
      </c>
      <c r="I188" s="7" t="n"/>
      <c r="J188" s="4" t="inlineStr">
        <is>
          <t>Exclusions</t>
        </is>
      </c>
      <c r="K188" s="4" t="inlineStr">
        <is>
          <t>en.schemeContent.exclusions[6].children[0]</t>
        </is>
      </c>
      <c r="L188" s="4" t="inlineStr">
        <is>
          <t>C14@20261028-9029f2b7</t>
        </is>
      </c>
      <c r="M188" s="4" t="inlineStr">
        <is>
          <t>Source extract; not executable</t>
        </is>
      </c>
      <c r="N188" s="7" t="inlineStr">
        <is>
          <t>Unassigned</t>
        </is>
      </c>
      <c r="O188" s="7" t="inlineStr">
        <is>
          <t>1/1</t>
        </is>
      </c>
      <c r="P188" s="7" t="n"/>
    </row>
    <row r="189" ht="56.64" customHeight="1">
      <c r="A189" s="4" t="inlineStr">
        <is>
          <t>C14</t>
        </is>
      </c>
      <c r="B189" s="4" t="inlineStr">
        <is>
          <t>Pradhan Mantri Fasal Bima Yojna (PMFBY)</t>
        </is>
      </c>
      <c r="C189" s="4" t="inlineStr">
        <is>
          <t>C14-SRC014</t>
        </is>
      </c>
      <c r="D189" s="4" t="inlineStr">
        <is>
          <t>Exclusion text</t>
        </is>
      </c>
      <c r="E189" s="4" t="inlineStr">
        <is>
          <t>Some losses beyond specified limits or thresholds may not be covered. The scheme may have predefined criteria for determining the extent of loss that qualifies for compensation.</t>
        </is>
      </c>
      <c r="F189" s="4" t="inlineStr">
        <is>
          <t>MS-C14 / C14-P0030</t>
        </is>
      </c>
      <c r="G189" s="4" t="inlineStr"/>
      <c r="H189" s="7" t="inlineStr">
        <is>
          <t>Approved</t>
        </is>
      </c>
      <c r="I189" s="7" t="n"/>
      <c r="J189" s="4" t="inlineStr">
        <is>
          <t>Exclusions</t>
        </is>
      </c>
      <c r="K189" s="4" t="inlineStr">
        <is>
          <t>en.schemeContent.exclusions[7]</t>
        </is>
      </c>
      <c r="L189" s="4" t="inlineStr">
        <is>
          <t>C14@20261028-9029f2b7</t>
        </is>
      </c>
      <c r="M189" s="4" t="inlineStr">
        <is>
          <t>Source extract; not executable</t>
        </is>
      </c>
      <c r="N189" s="7" t="inlineStr">
        <is>
          <t>Unassigned</t>
        </is>
      </c>
      <c r="O189" s="7" t="inlineStr">
        <is>
          <t>1/1</t>
        </is>
      </c>
      <c r="P189" s="7" t="n"/>
    </row>
    <row r="190" ht="45" customHeight="1">
      <c r="A190" s="4" t="inlineStr">
        <is>
          <t>C14</t>
        </is>
      </c>
      <c r="B190" s="4" t="inlineStr">
        <is>
          <t>Pradhan Mantri Fasal Bima Yojna (PMFBY)</t>
        </is>
      </c>
      <c r="C190" s="4" t="inlineStr">
        <is>
          <t>C14-SRC015</t>
        </is>
      </c>
      <c r="D190" s="4" t="inlineStr">
        <is>
          <t>Exclusion text</t>
        </is>
      </c>
      <c r="E190" s="4" t="inlineStr">
        <is>
          <t>Non-Premium Payment</t>
        </is>
      </c>
      <c r="F190" s="4" t="inlineStr">
        <is>
          <t>MS-C14 / C14-P0031</t>
        </is>
      </c>
      <c r="G190" s="4" t="inlineStr"/>
      <c r="H190" s="7" t="inlineStr">
        <is>
          <t>Approved</t>
        </is>
      </c>
      <c r="I190" s="7" t="n"/>
      <c r="J190" s="4" t="inlineStr">
        <is>
          <t>Exclusions</t>
        </is>
      </c>
      <c r="K190" s="4" t="inlineStr">
        <is>
          <t>en.schemeContent.exclusions[8].children[0]</t>
        </is>
      </c>
      <c r="L190" s="4" t="inlineStr">
        <is>
          <t>C14@20261028-9029f2b7</t>
        </is>
      </c>
      <c r="M190" s="4" t="inlineStr">
        <is>
          <t>Source extract; not executable</t>
        </is>
      </c>
      <c r="N190" s="7" t="inlineStr">
        <is>
          <t>Unassigned</t>
        </is>
      </c>
      <c r="O190" s="7" t="inlineStr">
        <is>
          <t>1/1</t>
        </is>
      </c>
      <c r="P190" s="7" t="n"/>
    </row>
    <row r="191" ht="53.12" customHeight="1">
      <c r="A191" s="4" t="inlineStr">
        <is>
          <t>C14</t>
        </is>
      </c>
      <c r="B191" s="4" t="inlineStr">
        <is>
          <t>Pradhan Mantri Fasal Bima Yojna (PMFBY)</t>
        </is>
      </c>
      <c r="C191" s="4" t="inlineStr">
        <is>
          <t>C14-SRC016</t>
        </is>
      </c>
      <c r="D191" s="4" t="inlineStr">
        <is>
          <t>Exclusion text</t>
        </is>
      </c>
      <c r="E191" s="4" t="inlineStr">
        <is>
          <t>Farmers who fail to pay their premium contributions as required may not be eligible for coverage. Non-payment of premiums can result in the cancellation of insurance.</t>
        </is>
      </c>
      <c r="F191" s="4" t="inlineStr">
        <is>
          <t>MS-C14 / C14-P0032</t>
        </is>
      </c>
      <c r="G191" s="4" t="inlineStr"/>
      <c r="H191" s="7" t="inlineStr">
        <is>
          <t>Approved</t>
        </is>
      </c>
      <c r="I191" s="7" t="n"/>
      <c r="J191" s="4" t="inlineStr">
        <is>
          <t>Exclusions</t>
        </is>
      </c>
      <c r="K191" s="4" t="inlineStr">
        <is>
          <t>en.schemeContent.exclusions[9]</t>
        </is>
      </c>
      <c r="L191" s="4" t="inlineStr">
        <is>
          <t>C14@20261028-9029f2b7</t>
        </is>
      </c>
      <c r="M191" s="4" t="inlineStr">
        <is>
          <t>Source extract; not executable</t>
        </is>
      </c>
      <c r="N191" s="7" t="inlineStr">
        <is>
          <t>Unassigned</t>
        </is>
      </c>
      <c r="O191" s="7" t="inlineStr">
        <is>
          <t>1/1</t>
        </is>
      </c>
      <c r="P191" s="7" t="n"/>
    </row>
    <row r="192" ht="45" customHeight="1">
      <c r="A192" s="4" t="inlineStr">
        <is>
          <t>C15</t>
        </is>
      </c>
      <c r="B192" s="4" t="inlineStr">
        <is>
          <t>Post Graduate Indira Gandhi Scholarship For Single Girl Child</t>
        </is>
      </c>
      <c r="C192" s="4" t="inlineStr">
        <is>
          <t>C15-SRC001</t>
        </is>
      </c>
      <c r="D192" s="4" t="inlineStr">
        <is>
          <t>Eligibility text</t>
        </is>
      </c>
      <c r="E192" s="4" t="inlineStr">
        <is>
          <t>1. The applicant must be a citizen of India.</t>
        </is>
      </c>
      <c r="F192" s="4" t="inlineStr">
        <is>
          <t>MS-C15 / C15-P0011</t>
        </is>
      </c>
      <c r="G192" s="4" t="inlineStr"/>
      <c r="H192" s="7" t="inlineStr">
        <is>
          <t>Approved</t>
        </is>
      </c>
      <c r="I192" s="7" t="n"/>
      <c r="J192" s="4" t="inlineStr">
        <is>
          <t>Eligibility</t>
        </is>
      </c>
      <c r="K192" s="4" t="inlineStr">
        <is>
          <t>en.eligibilityCriteria.eligibilityDescription[0]</t>
        </is>
      </c>
      <c r="L192" s="4" t="inlineStr">
        <is>
          <t>C15@20261028-1856e0f4</t>
        </is>
      </c>
      <c r="M192" s="4" t="inlineStr">
        <is>
          <t>Source extract; not executable</t>
        </is>
      </c>
      <c r="N192" s="7" t="inlineStr">
        <is>
          <t>Unassigned</t>
        </is>
      </c>
      <c r="O192" s="7" t="inlineStr">
        <is>
          <t>1/1</t>
        </is>
      </c>
      <c r="P192" s="7" t="n"/>
    </row>
    <row r="193" ht="45" customHeight="1">
      <c r="A193" s="4" t="inlineStr">
        <is>
          <t>C15</t>
        </is>
      </c>
      <c r="B193" s="4" t="inlineStr">
        <is>
          <t>Post Graduate Indira Gandhi Scholarship For Single Girl Child</t>
        </is>
      </c>
      <c r="C193" s="4" t="inlineStr">
        <is>
          <t>C15-SRC002</t>
        </is>
      </c>
      <c r="D193" s="4" t="inlineStr">
        <is>
          <t>Eligibility text</t>
        </is>
      </c>
      <c r="E193" s="4" t="inlineStr">
        <is>
          <t>2. The applicant must be the only girl child in the family.</t>
        </is>
      </c>
      <c r="F193" s="4" t="inlineStr">
        <is>
          <t>MS-C15 / C15-P0012</t>
        </is>
      </c>
      <c r="G193" s="4" t="inlineStr"/>
      <c r="H193" s="7" t="inlineStr">
        <is>
          <t>Approved</t>
        </is>
      </c>
      <c r="I193" s="7" t="n"/>
      <c r="J193" s="4" t="inlineStr">
        <is>
          <t>Eligibility</t>
        </is>
      </c>
      <c r="K193" s="4" t="inlineStr">
        <is>
          <t>en.eligibilityCriteria.eligibilityDescription[1]</t>
        </is>
      </c>
      <c r="L193" s="4" t="inlineStr">
        <is>
          <t>C15@20261028-1856e0f4</t>
        </is>
      </c>
      <c r="M193" s="4" t="inlineStr">
        <is>
          <t>Source extract; not executable</t>
        </is>
      </c>
      <c r="N193" s="7" t="inlineStr">
        <is>
          <t>Unassigned</t>
        </is>
      </c>
      <c r="O193" s="7" t="inlineStr">
        <is>
          <t>1/1</t>
        </is>
      </c>
      <c r="P193" s="7" t="n"/>
    </row>
    <row r="194" ht="45" customHeight="1">
      <c r="A194" s="4" t="inlineStr">
        <is>
          <t>C15</t>
        </is>
      </c>
      <c r="B194" s="4" t="inlineStr">
        <is>
          <t>Post Graduate Indira Gandhi Scholarship For Single Girl Child</t>
        </is>
      </c>
      <c r="C194" s="4" t="inlineStr">
        <is>
          <t>C15-SRC003</t>
        </is>
      </c>
      <c r="D194" s="4" t="inlineStr">
        <is>
          <t>Eligibility text</t>
        </is>
      </c>
      <c r="E194" s="4" t="inlineStr">
        <is>
          <t>3. Girl students without having any brothers or the girl student who are twin daughters/ fraternal daughters may also apply</t>
        </is>
      </c>
      <c r="F194" s="4" t="inlineStr">
        <is>
          <t>MS-C15 / C15-P0013</t>
        </is>
      </c>
      <c r="G194" s="4" t="inlineStr"/>
      <c r="H194" s="7" t="inlineStr">
        <is>
          <t>Approved</t>
        </is>
      </c>
      <c r="I194" s="7" t="n"/>
      <c r="J194" s="4" t="inlineStr">
        <is>
          <t>Eligibility</t>
        </is>
      </c>
      <c r="K194" s="4" t="inlineStr">
        <is>
          <t>en.eligibilityCriteria.eligibilityDescription[2]</t>
        </is>
      </c>
      <c r="L194" s="4" t="inlineStr">
        <is>
          <t>C15@20261028-1856e0f4</t>
        </is>
      </c>
      <c r="M194" s="4" t="inlineStr">
        <is>
          <t>Source extract; not executable</t>
        </is>
      </c>
      <c r="N194" s="7" t="inlineStr">
        <is>
          <t>Unassigned</t>
        </is>
      </c>
      <c r="O194" s="7" t="inlineStr">
        <is>
          <t>1/1</t>
        </is>
      </c>
      <c r="P194" s="7" t="n"/>
    </row>
    <row r="195" ht="45" customHeight="1">
      <c r="A195" s="4" t="inlineStr">
        <is>
          <t>C15</t>
        </is>
      </c>
      <c r="B195" s="4" t="inlineStr">
        <is>
          <t>Post Graduate Indira Gandhi Scholarship For Single Girl Child</t>
        </is>
      </c>
      <c r="C195" s="4" t="inlineStr">
        <is>
          <t>C15-SRC004</t>
        </is>
      </c>
      <c r="D195" s="4" t="inlineStr">
        <is>
          <t>Eligibility text</t>
        </is>
      </c>
      <c r="E195" s="4" t="inlineStr">
        <is>
          <t>4. The age of the applicant should not be more than 30 years at the time of admission in the first year of PG</t>
        </is>
      </c>
      <c r="F195" s="4" t="inlineStr">
        <is>
          <t>MS-C15 / C15-P0014</t>
        </is>
      </c>
      <c r="G195" s="4" t="inlineStr"/>
      <c r="H195" s="7" t="inlineStr">
        <is>
          <t>Approved</t>
        </is>
      </c>
      <c r="I195" s="7" t="n"/>
      <c r="J195" s="4" t="inlineStr">
        <is>
          <t>Eligibility</t>
        </is>
      </c>
      <c r="K195" s="4" t="inlineStr">
        <is>
          <t>en.eligibilityCriteria.eligibilityDescription[3]</t>
        </is>
      </c>
      <c r="L195" s="4" t="inlineStr">
        <is>
          <t>C15@20261028-1856e0f4</t>
        </is>
      </c>
      <c r="M195" s="4" t="inlineStr">
        <is>
          <t>Source extract; not executable</t>
        </is>
      </c>
      <c r="N195" s="7" t="inlineStr">
        <is>
          <t>Unassigned</t>
        </is>
      </c>
      <c r="O195" s="7" t="inlineStr">
        <is>
          <t>1/1</t>
        </is>
      </c>
      <c r="P195" s="7" t="n"/>
    </row>
    <row r="196" ht="45" customHeight="1">
      <c r="A196" s="4" t="inlineStr">
        <is>
          <t>C15</t>
        </is>
      </c>
      <c r="B196" s="4" t="inlineStr">
        <is>
          <t>Post Graduate Indira Gandhi Scholarship For Single Girl Child</t>
        </is>
      </c>
      <c r="C196" s="4" t="inlineStr">
        <is>
          <t>C15-SRC005</t>
        </is>
      </c>
      <c r="D196" s="4" t="inlineStr">
        <is>
          <t>Eligibility text</t>
        </is>
      </c>
      <c r="E196" s="4" t="inlineStr">
        <is>
          <t>course.</t>
        </is>
      </c>
      <c r="F196" s="4" t="inlineStr">
        <is>
          <t>MS-C15 / C15-P0015</t>
        </is>
      </c>
      <c r="G196" s="4" t="inlineStr"/>
      <c r="H196" s="7" t="inlineStr">
        <is>
          <t>Approved</t>
        </is>
      </c>
      <c r="I196" s="7" t="n"/>
      <c r="J196" s="4" t="inlineStr">
        <is>
          <t>Eligibility</t>
        </is>
      </c>
      <c r="K196" s="4" t="inlineStr">
        <is>
          <t>en.eligibilityCriteria.eligibilityDescription[4]</t>
        </is>
      </c>
      <c r="L196" s="4" t="inlineStr">
        <is>
          <t>C15@20261028-1856e0f4</t>
        </is>
      </c>
      <c r="M196" s="4" t="inlineStr">
        <is>
          <t>Source extract; not executable</t>
        </is>
      </c>
      <c r="N196" s="7" t="inlineStr">
        <is>
          <t>Unassigned</t>
        </is>
      </c>
      <c r="O196" s="7" t="inlineStr">
        <is>
          <t>1/1</t>
        </is>
      </c>
      <c r="P196" s="7" t="n"/>
    </row>
    <row r="197" ht="49.92" customHeight="1">
      <c r="A197" s="4" t="inlineStr">
        <is>
          <t>C15</t>
        </is>
      </c>
      <c r="B197" s="4" t="inlineStr">
        <is>
          <t>Post Graduate Indira Gandhi Scholarship For Single Girl Child</t>
        </is>
      </c>
      <c r="C197" s="4" t="inlineStr">
        <is>
          <t>C15-SRC006</t>
        </is>
      </c>
      <c r="D197" s="4" t="inlineStr">
        <is>
          <t>Eligibility text</t>
        </is>
      </c>
      <c r="E197" s="4" t="inlineStr">
        <is>
          <t>5. The applicant must have taken admission to regular, full-time first-year Master's Degree courses in any designated university or a post-graduate college.</t>
        </is>
      </c>
      <c r="F197" s="4" t="inlineStr">
        <is>
          <t>MS-C15 / C15-P0016</t>
        </is>
      </c>
      <c r="G197" s="4" t="inlineStr"/>
      <c r="H197" s="7" t="inlineStr">
        <is>
          <t>Approved</t>
        </is>
      </c>
      <c r="I197" s="7" t="n"/>
      <c r="J197" s="4" t="inlineStr">
        <is>
          <t>Eligibility</t>
        </is>
      </c>
      <c r="K197" s="4" t="inlineStr">
        <is>
          <t>en.eligibilityCriteria.eligibilityDescription[5]</t>
        </is>
      </c>
      <c r="L197" s="4" t="inlineStr">
        <is>
          <t>C15@20261028-1856e0f4</t>
        </is>
      </c>
      <c r="M197" s="4" t="inlineStr">
        <is>
          <t>Source extract; not executable</t>
        </is>
      </c>
      <c r="N197" s="7" t="inlineStr">
        <is>
          <t>Unassigned</t>
        </is>
      </c>
      <c r="O197" s="7" t="inlineStr">
        <is>
          <t>1/1</t>
        </is>
      </c>
      <c r="P197" s="7" t="n"/>
    </row>
    <row r="198" ht="45" customHeight="1">
      <c r="A198" s="4" t="inlineStr">
        <is>
          <t>C15</t>
        </is>
      </c>
      <c r="B198" s="4" t="inlineStr">
        <is>
          <t>Post Graduate Indira Gandhi Scholarship For Single Girl Child</t>
        </is>
      </c>
      <c r="C198" s="4" t="inlineStr">
        <is>
          <t>C15-SRC007</t>
        </is>
      </c>
      <c r="D198" s="4" t="inlineStr">
        <is>
          <t>Eligibility text</t>
        </is>
      </c>
      <c r="E198" s="4" t="inlineStr">
        <is>
          <t>6. The candidate should be pursuing a non-professional course and be taking regular classes from a recognized institution.</t>
        </is>
      </c>
      <c r="F198" s="4" t="inlineStr">
        <is>
          <t>MS-C15 / C15-P0017</t>
        </is>
      </c>
      <c r="G198" s="4" t="inlineStr"/>
      <c r="H198" s="7" t="inlineStr">
        <is>
          <t>Approved</t>
        </is>
      </c>
      <c r="I198" s="7" t="n"/>
      <c r="J198" s="4" t="inlineStr">
        <is>
          <t>Eligibility</t>
        </is>
      </c>
      <c r="K198" s="4" t="inlineStr">
        <is>
          <t>en.eligibilityCriteria.eligibilityDescription[6]</t>
        </is>
      </c>
      <c r="L198" s="4" t="inlineStr">
        <is>
          <t>C15@20261028-1856e0f4</t>
        </is>
      </c>
      <c r="M198" s="4" t="inlineStr">
        <is>
          <t>Source extract; not executable</t>
        </is>
      </c>
      <c r="N198" s="7" t="inlineStr">
        <is>
          <t>Unassigned</t>
        </is>
      </c>
      <c r="O198" s="7" t="inlineStr">
        <is>
          <t>1/1</t>
        </is>
      </c>
      <c r="P198" s="7" t="n"/>
    </row>
    <row r="199" ht="45" customHeight="1">
      <c r="A199" s="4" t="inlineStr">
        <is>
          <t>C15</t>
        </is>
      </c>
      <c r="B199" s="4" t="inlineStr">
        <is>
          <t>Post Graduate Indira Gandhi Scholarship For Single Girl Child</t>
        </is>
      </c>
      <c r="C199" s="4" t="inlineStr">
        <is>
          <t>C15-SRC008</t>
        </is>
      </c>
      <c r="D199" s="4" t="inlineStr">
        <is>
          <t>Eligibility text</t>
        </is>
      </c>
      <c r="E199" s="4" t="inlineStr">
        <is>
          <t>7. The applicant must not be [ursuing education through Distance education mode.</t>
        </is>
      </c>
      <c r="F199" s="4" t="inlineStr">
        <is>
          <t>MS-C15 / C15-P0018</t>
        </is>
      </c>
      <c r="G199" s="4" t="inlineStr"/>
      <c r="H199" s="7" t="inlineStr">
        <is>
          <t>Approved</t>
        </is>
      </c>
      <c r="I199" s="7" t="n"/>
      <c r="J199" s="4" t="inlineStr">
        <is>
          <t>Eligibility</t>
        </is>
      </c>
      <c r="K199" s="4" t="inlineStr">
        <is>
          <t>en.eligibilityCriteria.eligibilityDescription[7]</t>
        </is>
      </c>
      <c r="L199" s="4" t="inlineStr">
        <is>
          <t>C15@20261028-1856e0f4</t>
        </is>
      </c>
      <c r="M199" s="4" t="inlineStr">
        <is>
          <t>Source extract; not executable</t>
        </is>
      </c>
      <c r="N199" s="7" t="inlineStr">
        <is>
          <t>Unassigned</t>
        </is>
      </c>
      <c r="O199" s="7" t="inlineStr">
        <is>
          <t>1/1</t>
        </is>
      </c>
      <c r="P199" s="7" t="n"/>
    </row>
    <row r="200" ht="45" customHeight="1">
      <c r="A200" s="4" t="inlineStr">
        <is>
          <t>C15</t>
        </is>
      </c>
      <c r="B200" s="4" t="inlineStr">
        <is>
          <t>Post Graduate Indira Gandhi Scholarship For Single Girl Child</t>
        </is>
      </c>
      <c r="C200" s="4" t="inlineStr">
        <is>
          <t>C15-SRC009</t>
        </is>
      </c>
      <c r="D200" s="4" t="inlineStr">
        <is>
          <t>Exclusion text</t>
        </is>
      </c>
      <c r="E200" s="4" t="inlineStr">
        <is>
          <t>1. Admission to PG Course in Distance education mode is not covered under the scheme.</t>
        </is>
      </c>
      <c r="F200" s="4" t="inlineStr">
        <is>
          <t>MS-C15 / C15-P0019</t>
        </is>
      </c>
      <c r="G200" s="4" t="inlineStr"/>
      <c r="H200" s="7" t="inlineStr">
        <is>
          <t>Approved</t>
        </is>
      </c>
      <c r="I200" s="7" t="n"/>
      <c r="J200" s="4" t="inlineStr">
        <is>
          <t>Exclusions</t>
        </is>
      </c>
      <c r="K200" s="4" t="inlineStr">
        <is>
          <t>en.schemeContent.exclusions[0]</t>
        </is>
      </c>
      <c r="L200" s="4" t="inlineStr">
        <is>
          <t>C15@20261028-1856e0f4</t>
        </is>
      </c>
      <c r="M200" s="4" t="inlineStr">
        <is>
          <t>Source extract; not executable</t>
        </is>
      </c>
      <c r="N200" s="7" t="inlineStr">
        <is>
          <t>Unassigned</t>
        </is>
      </c>
      <c r="O200" s="7" t="inlineStr">
        <is>
          <t>1/1</t>
        </is>
      </c>
      <c r="P200" s="7" t="n"/>
    </row>
    <row r="201" ht="45" customHeight="1">
      <c r="A201" s="4" t="inlineStr">
        <is>
          <t>C15</t>
        </is>
      </c>
      <c r="B201" s="4" t="inlineStr">
        <is>
          <t>Post Graduate Indira Gandhi Scholarship For Single Girl Child</t>
        </is>
      </c>
      <c r="C201" s="4" t="inlineStr">
        <is>
          <t>C15-SRC010</t>
        </is>
      </c>
      <c r="D201" s="4" t="inlineStr">
        <is>
          <t>Exclusion text</t>
        </is>
      </c>
      <c r="E201" s="4" t="inlineStr">
        <is>
          <t>2. Those Deemed Universities which do not receive funds from the Central/ State Government are not eligible institutions under the scheme.</t>
        </is>
      </c>
      <c r="F201" s="4" t="inlineStr">
        <is>
          <t>MS-C15 / C15-P0020</t>
        </is>
      </c>
      <c r="G201" s="4" t="inlineStr"/>
      <c r="H201" s="7" t="inlineStr">
        <is>
          <t>Approved</t>
        </is>
      </c>
      <c r="I201" s="7" t="n"/>
      <c r="J201" s="4" t="inlineStr">
        <is>
          <t>Exclusions</t>
        </is>
      </c>
      <c r="K201" s="4" t="inlineStr">
        <is>
          <t>en.schemeContent.exclusions[1]</t>
        </is>
      </c>
      <c r="L201" s="4" t="inlineStr">
        <is>
          <t>C15@20261028-1856e0f4</t>
        </is>
      </c>
      <c r="M201" s="4" t="inlineStr">
        <is>
          <t>Source extract; not executable</t>
        </is>
      </c>
      <c r="N201" s="7" t="inlineStr">
        <is>
          <t>Unassigned</t>
        </is>
      </c>
      <c r="O201" s="7" t="inlineStr">
        <is>
          <t>1/1</t>
        </is>
      </c>
      <c r="P201" s="7" t="n"/>
    </row>
    <row r="202" ht="45" customHeight="1">
      <c r="A202" s="4" t="inlineStr">
        <is>
          <t>C15</t>
        </is>
      </c>
      <c r="B202" s="4" t="inlineStr">
        <is>
          <t>Post Graduate Indira Gandhi Scholarship For Single Girl Child</t>
        </is>
      </c>
      <c r="C202" s="4" t="inlineStr">
        <is>
          <t>C15-SRC011</t>
        </is>
      </c>
      <c r="D202" s="4" t="inlineStr">
        <is>
          <t>Exclusion text</t>
        </is>
      </c>
      <c r="E202" s="4" t="inlineStr">
        <is>
          <t>3. In a family if one son and one daughter are available then the girl child will not be considered for scholarship under the scheme.</t>
        </is>
      </c>
      <c r="F202" s="4" t="inlineStr">
        <is>
          <t>MS-C15 / C15-P0021</t>
        </is>
      </c>
      <c r="G202" s="4" t="inlineStr"/>
      <c r="H202" s="7" t="inlineStr">
        <is>
          <t>Approved</t>
        </is>
      </c>
      <c r="I202" s="7" t="n"/>
      <c r="J202" s="4" t="inlineStr">
        <is>
          <t>Exclusions</t>
        </is>
      </c>
      <c r="K202" s="4" t="inlineStr">
        <is>
          <t>en.schemeContent.exclusions[2]</t>
        </is>
      </c>
      <c r="L202" s="4" t="inlineStr">
        <is>
          <t>C15@20261028-1856e0f4</t>
        </is>
      </c>
      <c r="M202" s="4" t="inlineStr">
        <is>
          <t>Source extract; not executable</t>
        </is>
      </c>
      <c r="N202" s="7" t="inlineStr">
        <is>
          <t>Unassigned</t>
        </is>
      </c>
      <c r="O202" s="7" t="inlineStr">
        <is>
          <t>1/1</t>
        </is>
      </c>
      <c r="P202" s="7" t="n"/>
    </row>
    <row r="203" ht="54.4" customHeight="1">
      <c r="A203" s="4" t="inlineStr">
        <is>
          <t>C16</t>
        </is>
      </c>
      <c r="B203" s="4" t="inlineStr">
        <is>
          <t>Dr Ambedkar Central Sector Scheme of Interest Subsidy on Educational Loans for Overseas Studies for Other Backward Classes (OBCs) and Economically Backward Classes (EBCs)</t>
        </is>
      </c>
      <c r="C203" s="4" t="inlineStr">
        <is>
          <t>C16-SRC001</t>
        </is>
      </c>
      <c r="D203" s="4" t="inlineStr">
        <is>
          <t>Eligibility text</t>
        </is>
      </c>
      <c r="E203" s="4" t="inlineStr">
        <is>
          <t>The applicant should be a Student.</t>
        </is>
      </c>
      <c r="F203" s="4" t="inlineStr">
        <is>
          <t>MS-C16 / C16-P0014</t>
        </is>
      </c>
      <c r="G203" s="4" t="inlineStr"/>
      <c r="H203" s="7" t="inlineStr">
        <is>
          <t>Approved</t>
        </is>
      </c>
      <c r="I203" s="7" t="n"/>
      <c r="J203" s="4" t="inlineStr">
        <is>
          <t>Eligibility</t>
        </is>
      </c>
      <c r="K203" s="4" t="inlineStr">
        <is>
          <t>en.eligibilityCriteria.eligibilityDescription[0].children[0]</t>
        </is>
      </c>
      <c r="L203" s="4" t="inlineStr">
        <is>
          <t>C16@20261028-ffa365dc</t>
        </is>
      </c>
      <c r="M203" s="4" t="inlineStr">
        <is>
          <t>Source extract; not executable</t>
        </is>
      </c>
      <c r="N203" s="7" t="inlineStr">
        <is>
          <t>Unassigned</t>
        </is>
      </c>
      <c r="O203" s="7" t="inlineStr">
        <is>
          <t>1/1</t>
        </is>
      </c>
      <c r="P203" s="7" t="n"/>
    </row>
    <row r="204" ht="54.4" customHeight="1">
      <c r="A204" s="4" t="inlineStr">
        <is>
          <t>C16</t>
        </is>
      </c>
      <c r="B204" s="4" t="inlineStr">
        <is>
          <t>Dr Ambedkar Central Sector Scheme of Interest Subsidy on Educational Loans for Overseas Studies for Other Backward Classes (OBCs) and Economically Backward Classes (EBCs)</t>
        </is>
      </c>
      <c r="C204" s="4" t="inlineStr">
        <is>
          <t>C16-SRC002</t>
        </is>
      </c>
      <c r="D204" s="4" t="inlineStr">
        <is>
          <t>Eligibility text</t>
        </is>
      </c>
      <c r="E204" s="4" t="inlineStr">
        <is>
          <t>The student should have secured admission in the approved course at Masters, M.Phil or PhD levels abroad for the listed courses.</t>
        </is>
      </c>
      <c r="F204" s="4" t="inlineStr">
        <is>
          <t>MS-C16 / C16-P0015</t>
        </is>
      </c>
      <c r="G204" s="4" t="inlineStr"/>
      <c r="H204" s="7" t="inlineStr">
        <is>
          <t>Approved</t>
        </is>
      </c>
      <c r="I204" s="7" t="n"/>
      <c r="J204" s="4" t="inlineStr">
        <is>
          <t>Eligibility</t>
        </is>
      </c>
      <c r="K204" s="4" t="inlineStr">
        <is>
          <t>en.eligibilityCriteria.eligibilityDescription[0].children[1]</t>
        </is>
      </c>
      <c r="L204" s="4" t="inlineStr">
        <is>
          <t>C16@20261028-ffa365dc</t>
        </is>
      </c>
      <c r="M204" s="4" t="inlineStr">
        <is>
          <t>Source extract; not executable</t>
        </is>
      </c>
      <c r="N204" s="7" t="inlineStr">
        <is>
          <t>Unassigned</t>
        </is>
      </c>
      <c r="O204" s="7" t="inlineStr">
        <is>
          <t>1/1</t>
        </is>
      </c>
      <c r="P204" s="7" t="n"/>
    </row>
    <row r="205" ht="54.4" customHeight="1">
      <c r="A205" s="4" t="inlineStr">
        <is>
          <t>C16</t>
        </is>
      </c>
      <c r="B205" s="4" t="inlineStr">
        <is>
          <t>Dr Ambedkar Central Sector Scheme of Interest Subsidy on Educational Loans for Overseas Studies for Other Backward Classes (OBCs) and Economically Backward Classes (EBCs)</t>
        </is>
      </c>
      <c r="C205" s="4" t="inlineStr">
        <is>
          <t>C16-SRC003</t>
        </is>
      </c>
      <c r="D205" s="4" t="inlineStr">
        <is>
          <t>Eligibility text</t>
        </is>
      </c>
      <c r="E205" s="4" t="inlineStr">
        <is>
          <t>The applicant should have availed loan from a scheduled bank under the Education Loan Scheme of the Indian Banks Association (IBA) for the purpose.</t>
        </is>
      </c>
      <c r="F205" s="4" t="inlineStr">
        <is>
          <t>MS-C16 / C16-P0016</t>
        </is>
      </c>
      <c r="G205" s="4" t="inlineStr"/>
      <c r="H205" s="7" t="inlineStr">
        <is>
          <t>Approved</t>
        </is>
      </c>
      <c r="I205" s="7" t="n"/>
      <c r="J205" s="4" t="inlineStr">
        <is>
          <t>Eligibility</t>
        </is>
      </c>
      <c r="K205" s="4" t="inlineStr">
        <is>
          <t>en.eligibilityCriteria.eligibilityDescription[0].children[2]</t>
        </is>
      </c>
      <c r="L205" s="4" t="inlineStr">
        <is>
          <t>C16@20261028-ffa365dc</t>
        </is>
      </c>
      <c r="M205" s="4" t="inlineStr">
        <is>
          <t>Source extract; not executable</t>
        </is>
      </c>
      <c r="N205" s="7" t="inlineStr">
        <is>
          <t>Unassigned</t>
        </is>
      </c>
      <c r="O205" s="7" t="inlineStr">
        <is>
          <t>1/1</t>
        </is>
      </c>
      <c r="P205" s="7" t="n"/>
    </row>
    <row r="206" ht="54.4" customHeight="1">
      <c r="A206" s="4" t="inlineStr">
        <is>
          <t>C16</t>
        </is>
      </c>
      <c r="B206" s="4" t="inlineStr">
        <is>
          <t>Dr Ambedkar Central Sector Scheme of Interest Subsidy on Educational Loans for Overseas Studies for Other Backward Classes (OBCs) and Economically Backward Classes (EBCs)</t>
        </is>
      </c>
      <c r="C206" s="4" t="inlineStr">
        <is>
          <t>C16-SRC004</t>
        </is>
      </c>
      <c r="D206" s="4" t="inlineStr">
        <is>
          <t>Eligibility text</t>
        </is>
      </c>
      <c r="E206" s="4" t="inlineStr">
        <is>
          <t>The total income of the applicant (from all sources) shall not exceed ₹ 8,00,000 per annum.</t>
        </is>
      </c>
      <c r="F206" s="4" t="inlineStr">
        <is>
          <t>MS-C16 / C16-P0017</t>
        </is>
      </c>
      <c r="G206" s="4" t="inlineStr"/>
      <c r="H206" s="7" t="inlineStr">
        <is>
          <t>Approved</t>
        </is>
      </c>
      <c r="I206" s="7" t="n"/>
      <c r="J206" s="4" t="inlineStr">
        <is>
          <t>Eligibility</t>
        </is>
      </c>
      <c r="K206" s="4" t="inlineStr">
        <is>
          <t>en.eligibilityCriteria.eligibilityDescription[0].children[3]</t>
        </is>
      </c>
      <c r="L206" s="4" t="inlineStr">
        <is>
          <t>C16@20261028-ffa365dc</t>
        </is>
      </c>
      <c r="M206" s="4" t="inlineStr">
        <is>
          <t>Source extract; not executable</t>
        </is>
      </c>
      <c r="N206" s="7" t="inlineStr">
        <is>
          <t>Unassigned</t>
        </is>
      </c>
      <c r="O206" s="7" t="inlineStr">
        <is>
          <t>1/1</t>
        </is>
      </c>
      <c r="P206" s="7" t="n"/>
    </row>
    <row r="207" ht="54.4" customHeight="1">
      <c r="A207" s="4" t="inlineStr">
        <is>
          <t>C16</t>
        </is>
      </c>
      <c r="B207" s="4" t="inlineStr">
        <is>
          <t>Dr Ambedkar Central Sector Scheme of Interest Subsidy on Educational Loans for Overseas Studies for Other Backward Classes (OBCs) and Economically Backward Classes (EBCs)</t>
        </is>
      </c>
      <c r="C207" s="4" t="inlineStr">
        <is>
          <t>C16-SRC005</t>
        </is>
      </c>
      <c r="D207" s="4" t="inlineStr">
        <is>
          <t>Preference candidate</t>
        </is>
      </c>
      <c r="E207" s="4" t="inlineStr">
        <is>
          <t>Reservation/ Relaxation/ Preference/ Priority</t>
        </is>
      </c>
      <c r="F207" s="4" t="inlineStr">
        <is>
          <t>MS-C16 / C16-P0018</t>
        </is>
      </c>
      <c r="G207" s="4" t="inlineStr"/>
      <c r="H207" s="7" t="inlineStr">
        <is>
          <t>Approved</t>
        </is>
      </c>
      <c r="I207" s="7" t="n"/>
      <c r="J207" s="4" t="inlineStr">
        <is>
          <t>Eligibility</t>
        </is>
      </c>
      <c r="K207" s="4" t="inlineStr">
        <is>
          <t>en.eligibilityCriteria.eligibilityDescription[2].children[0]</t>
        </is>
      </c>
      <c r="L207" s="4" t="inlineStr">
        <is>
          <t>C16@20261028-ffa365dc</t>
        </is>
      </c>
      <c r="M207" s="4" t="inlineStr">
        <is>
          <t>Source extract; not executable</t>
        </is>
      </c>
      <c r="N207" s="7" t="inlineStr">
        <is>
          <t>Unassigned</t>
        </is>
      </c>
      <c r="O207" s="7" t="inlineStr">
        <is>
          <t>1/1</t>
        </is>
      </c>
      <c r="P207" s="7" t="n"/>
    </row>
    <row r="208" ht="54.4" customHeight="1">
      <c r="A208" s="4" t="inlineStr">
        <is>
          <t>C16</t>
        </is>
      </c>
      <c r="B208" s="4" t="inlineStr">
        <is>
          <t>Dr Ambedkar Central Sector Scheme of Interest Subsidy on Educational Loans for Overseas Studies for Other Backward Classes (OBCs) and Economically Backward Classes (EBCs)</t>
        </is>
      </c>
      <c r="C208" s="4" t="inlineStr">
        <is>
          <t>C16-SRC006</t>
        </is>
      </c>
      <c r="D208" s="4" t="inlineStr">
        <is>
          <t>Eligibility text</t>
        </is>
      </c>
      <c r="E208" s="4" t="inlineStr">
        <is>
          <t>Out of the total outlay in a year, a minimum of 50% amount will be earmarked for Interest Subsidy to the girl candidates.</t>
        </is>
      </c>
      <c r="F208" s="4" t="inlineStr">
        <is>
          <t>MS-C16 / C16-P0019</t>
        </is>
      </c>
      <c r="G208" s="4" t="inlineStr"/>
      <c r="H208" s="7" t="inlineStr">
        <is>
          <t>Approved</t>
        </is>
      </c>
      <c r="I208" s="7" t="n"/>
      <c r="J208" s="4" t="inlineStr">
        <is>
          <t>Eligibility</t>
        </is>
      </c>
      <c r="K208" s="4" t="inlineStr">
        <is>
          <t>en.eligibilityCriteria.eligibilityDescription[3]</t>
        </is>
      </c>
      <c r="L208" s="4" t="inlineStr">
        <is>
          <t>C16@20261028-ffa365dc</t>
        </is>
      </c>
      <c r="M208" s="4" t="inlineStr">
        <is>
          <t>Source extract; not executable</t>
        </is>
      </c>
      <c r="N208" s="7" t="inlineStr">
        <is>
          <t>Unassigned</t>
        </is>
      </c>
      <c r="O208" s="7" t="inlineStr">
        <is>
          <t>1/1</t>
        </is>
      </c>
      <c r="P208" s="7" t="n"/>
    </row>
    <row r="209" ht="54.4" customHeight="1">
      <c r="A209" s="4" t="inlineStr">
        <is>
          <t>C16</t>
        </is>
      </c>
      <c r="B209" s="4" t="inlineStr">
        <is>
          <t>Dr Ambedkar Central Sector Scheme of Interest Subsidy on Educational Loans for Overseas Studies for Other Backward Classes (OBCs) and Economically Backward Classes (EBCs)</t>
        </is>
      </c>
      <c r="C209" s="4" t="inlineStr">
        <is>
          <t>C16-EMPTY-Exclusions</t>
        </is>
      </c>
      <c r="D209" s="4" t="inlineStr">
        <is>
          <t>Exclusions</t>
        </is>
      </c>
      <c r="E209" s="4" t="inlineStr">
        <is>
          <t>Not stated in the captured source. Do not infer no restrictions.</t>
        </is>
      </c>
      <c r="F209" s="4" t="inlineStr">
        <is>
          <t>MS-C16</t>
        </is>
      </c>
      <c r="G209" s="4" t="inlineStr">
        <is>
          <t>Full official guidelines required.</t>
        </is>
      </c>
      <c r="H209" s="7" t="inlineStr">
        <is>
          <t>Approved</t>
        </is>
      </c>
      <c r="I209" s="7" t="n"/>
      <c r="J209" s="4" t="inlineStr">
        <is>
          <t>Exclusions</t>
        </is>
      </c>
      <c r="K209" s="4" t="inlineStr"/>
      <c r="L209" s="4" t="inlineStr">
        <is>
          <t>C16@20261028-ffa365dc</t>
        </is>
      </c>
      <c r="M209" s="4" t="inlineStr">
        <is>
          <t>Empty or absent in source</t>
        </is>
      </c>
      <c r="N209" s="7" t="inlineStr">
        <is>
          <t>Unassigned</t>
        </is>
      </c>
      <c r="O209" s="7" t="n"/>
      <c r="P209" s="7" t="n"/>
    </row>
    <row r="210" ht="60.8" customHeight="1">
      <c r="A210" s="4" t="inlineStr">
        <is>
          <t>C17</t>
        </is>
      </c>
      <c r="B210" s="4" t="inlineStr">
        <is>
          <t>Nikshay Poshan Yojana</t>
        </is>
      </c>
      <c r="C210" s="4" t="inlineStr">
        <is>
          <t>C17-SRC001</t>
        </is>
      </c>
      <c r="D210" s="4" t="inlineStr">
        <is>
          <t>Eligibility text</t>
        </is>
      </c>
      <c r="E210" s="4" t="inlineStr">
        <is>
          <t>All patients with tuberculosis (TB) who are notified to the government on or after April 1, 2018, including those who are already being treated for TB, are eligible for financial incentives.</t>
        </is>
      </c>
      <c r="F210" s="4" t="inlineStr">
        <is>
          <t>MS-C17 / C17-P0003</t>
        </is>
      </c>
      <c r="G210" s="4" t="inlineStr"/>
      <c r="H210" s="7" t="inlineStr">
        <is>
          <t>Approved</t>
        </is>
      </c>
      <c r="I210" s="7" t="n"/>
      <c r="J210" s="4" t="inlineStr">
        <is>
          <t>Eligibility</t>
        </is>
      </c>
      <c r="K210" s="4" t="inlineStr">
        <is>
          <t>en.eligibilityCriteria.eligibilityDescription[0].children[0]</t>
        </is>
      </c>
      <c r="L210" s="4" t="inlineStr">
        <is>
          <t>C17@20261028-265c1bfa</t>
        </is>
      </c>
      <c r="M210" s="4" t="inlineStr">
        <is>
          <t>Source extract; not executable</t>
        </is>
      </c>
      <c r="N210" s="7" t="inlineStr">
        <is>
          <t>Unassigned</t>
        </is>
      </c>
      <c r="O210" s="7" t="inlineStr">
        <is>
          <t>1/1</t>
        </is>
      </c>
      <c r="P210" s="7" t="n"/>
    </row>
    <row r="211" ht="45" customHeight="1">
      <c r="A211" s="4" t="inlineStr">
        <is>
          <t>C17</t>
        </is>
      </c>
      <c r="B211" s="4" t="inlineStr">
        <is>
          <t>Nikshay Poshan Yojana</t>
        </is>
      </c>
      <c r="C211" s="4" t="inlineStr">
        <is>
          <t>C17-SRC002</t>
        </is>
      </c>
      <c r="D211" s="4" t="inlineStr">
        <is>
          <t>Eligibility text</t>
        </is>
      </c>
      <c r="E211" s="4" t="inlineStr">
        <is>
          <t>To be eligible for the incentives, patients must be registered or notified on the NIKSHAY portal.</t>
        </is>
      </c>
      <c r="F211" s="4" t="inlineStr">
        <is>
          <t>MS-C17 / C17-P0004</t>
        </is>
      </c>
      <c r="G211" s="4" t="inlineStr"/>
      <c r="H211" s="7" t="inlineStr">
        <is>
          <t>Approved</t>
        </is>
      </c>
      <c r="I211" s="7" t="n"/>
      <c r="J211" s="4" t="inlineStr">
        <is>
          <t>Eligibility</t>
        </is>
      </c>
      <c r="K211" s="4" t="inlineStr">
        <is>
          <t>en.eligibilityCriteria.eligibilityDescription[0].children[1]</t>
        </is>
      </c>
      <c r="L211" s="4" t="inlineStr">
        <is>
          <t>C17@20261028-265c1bfa</t>
        </is>
      </c>
      <c r="M211" s="4" t="inlineStr">
        <is>
          <t>Source extract; not executable</t>
        </is>
      </c>
      <c r="N211" s="7" t="inlineStr">
        <is>
          <t>Unassigned</t>
        </is>
      </c>
      <c r="O211" s="7" t="inlineStr">
        <is>
          <t>1/1</t>
        </is>
      </c>
      <c r="P211" s="7" t="n"/>
    </row>
    <row r="212" ht="45" customHeight="1">
      <c r="A212" s="4" t="inlineStr">
        <is>
          <t>C17</t>
        </is>
      </c>
      <c r="B212" s="4" t="inlineStr">
        <is>
          <t>Nikshay Poshan Yojana</t>
        </is>
      </c>
      <c r="C212" s="4" t="inlineStr">
        <is>
          <t>C17-EMPTY-Exclusions</t>
        </is>
      </c>
      <c r="D212" s="4" t="inlineStr">
        <is>
          <t>Exclusions</t>
        </is>
      </c>
      <c r="E212" s="4" t="inlineStr">
        <is>
          <t>Not stated in the captured source. Do not infer no restrictions.</t>
        </is>
      </c>
      <c r="F212" s="4" t="inlineStr">
        <is>
          <t>MS-C17</t>
        </is>
      </c>
      <c r="G212" s="4" t="inlineStr">
        <is>
          <t>Full official guidelines required.</t>
        </is>
      </c>
      <c r="H212" s="7" t="inlineStr">
        <is>
          <t>Approved</t>
        </is>
      </c>
      <c r="I212" s="7" t="n"/>
      <c r="J212" s="4" t="inlineStr">
        <is>
          <t>Exclusions</t>
        </is>
      </c>
      <c r="K212" s="4" t="inlineStr"/>
      <c r="L212" s="4" t="inlineStr">
        <is>
          <t>C17@20261028-265c1bfa</t>
        </is>
      </c>
      <c r="M212" s="4" t="inlineStr">
        <is>
          <t>Empty or absent in source</t>
        </is>
      </c>
      <c r="N212" s="7" t="inlineStr">
        <is>
          <t>Unassigned</t>
        </is>
      </c>
      <c r="O212" s="7" t="n"/>
      <c r="P212" s="7" t="n"/>
    </row>
    <row r="213" ht="45" customHeight="1">
      <c r="A213" s="4" t="inlineStr">
        <is>
          <t>C18</t>
        </is>
      </c>
      <c r="B213" s="4" t="inlineStr">
        <is>
          <t>Pradhan Mantri Surakshit Matritva Abhiyan</t>
        </is>
      </c>
      <c r="C213" s="4" t="inlineStr">
        <is>
          <t>C18-SRC001</t>
        </is>
      </c>
      <c r="D213" s="4" t="inlineStr">
        <is>
          <t>Eligibility text</t>
        </is>
      </c>
      <c r="E213" s="4" t="inlineStr">
        <is>
          <t>The applicant must be a pregnant woman in her 2nd or 3rd trimester of pregnancy.</t>
        </is>
      </c>
      <c r="F213" s="4" t="inlineStr">
        <is>
          <t>MS-C18 / C18-P0018</t>
        </is>
      </c>
      <c r="G213" s="4" t="inlineStr"/>
      <c r="H213" s="7" t="inlineStr">
        <is>
          <t>Approved</t>
        </is>
      </c>
      <c r="I213" s="7" t="n"/>
      <c r="J213" s="4" t="inlineStr">
        <is>
          <t>Eligibility</t>
        </is>
      </c>
      <c r="K213" s="4" t="inlineStr">
        <is>
          <t>en.eligibilityCriteria.eligibilityDescription[0].children[0]</t>
        </is>
      </c>
      <c r="L213" s="4" t="inlineStr">
        <is>
          <t>C18@20261028-4c31c2aa</t>
        </is>
      </c>
      <c r="M213" s="4" t="inlineStr">
        <is>
          <t>Source extract; not executable</t>
        </is>
      </c>
      <c r="N213" s="7" t="inlineStr">
        <is>
          <t>Unassigned</t>
        </is>
      </c>
      <c r="O213" s="7" t="inlineStr">
        <is>
          <t>1/1</t>
        </is>
      </c>
      <c r="P213" s="7" t="n"/>
    </row>
    <row r="214" ht="45" customHeight="1">
      <c r="A214" s="4" t="inlineStr">
        <is>
          <t>C18</t>
        </is>
      </c>
      <c r="B214" s="4" t="inlineStr">
        <is>
          <t>Pradhan Mantri Surakshit Matritva Abhiyan</t>
        </is>
      </c>
      <c r="C214" s="4" t="inlineStr">
        <is>
          <t>C18-SRC002</t>
        </is>
      </c>
      <c r="D214" s="4" t="inlineStr">
        <is>
          <t>Eligibility text</t>
        </is>
      </c>
      <c r="E214" s="4" t="inlineStr">
        <is>
          <t>The applicant must be an Indian citizen residing in India.</t>
        </is>
      </c>
      <c r="F214" s="4" t="inlineStr">
        <is>
          <t>MS-C18 / C18-P0019</t>
        </is>
      </c>
      <c r="G214" s="4" t="inlineStr"/>
      <c r="H214" s="7" t="inlineStr">
        <is>
          <t>Approved</t>
        </is>
      </c>
      <c r="I214" s="7" t="n"/>
      <c r="J214" s="4" t="inlineStr">
        <is>
          <t>Eligibility</t>
        </is>
      </c>
      <c r="K214" s="4" t="inlineStr">
        <is>
          <t>en.eligibilityCriteria.eligibilityDescription[0].children[1]</t>
        </is>
      </c>
      <c r="L214" s="4" t="inlineStr">
        <is>
          <t>C18@20261028-4c31c2aa</t>
        </is>
      </c>
      <c r="M214" s="4" t="inlineStr">
        <is>
          <t>Source extract; not executable</t>
        </is>
      </c>
      <c r="N214" s="7" t="inlineStr">
        <is>
          <t>Unassigned</t>
        </is>
      </c>
      <c r="O214" s="7" t="inlineStr">
        <is>
          <t>1/1</t>
        </is>
      </c>
      <c r="P214" s="7" t="n"/>
    </row>
    <row r="215" ht="45" customHeight="1">
      <c r="A215" s="4" t="inlineStr">
        <is>
          <t>C18</t>
        </is>
      </c>
      <c r="B215" s="4" t="inlineStr">
        <is>
          <t>Pradhan Mantri Surakshit Matritva Abhiyan</t>
        </is>
      </c>
      <c r="C215" s="4" t="inlineStr">
        <is>
          <t>C18-SRC003</t>
        </is>
      </c>
      <c r="D215" s="4" t="inlineStr">
        <is>
          <t>Eligibility text</t>
        </is>
      </c>
      <c r="E215" s="4" t="inlineStr">
        <is>
          <t>The applicant must be willing to visit designated government health facilities on the 9th of every month.</t>
        </is>
      </c>
      <c r="F215" s="4" t="inlineStr">
        <is>
          <t>MS-C18 / C18-P0020</t>
        </is>
      </c>
      <c r="G215" s="4" t="inlineStr"/>
      <c r="H215" s="7" t="inlineStr">
        <is>
          <t>Approved</t>
        </is>
      </c>
      <c r="I215" s="7" t="n"/>
      <c r="J215" s="4" t="inlineStr">
        <is>
          <t>Eligibility</t>
        </is>
      </c>
      <c r="K215" s="4" t="inlineStr">
        <is>
          <t>en.eligibilityCriteria.eligibilityDescription[0].children[2]</t>
        </is>
      </c>
      <c r="L215" s="4" t="inlineStr">
        <is>
          <t>C18@20261028-4c31c2aa</t>
        </is>
      </c>
      <c r="M215" s="4" t="inlineStr">
        <is>
          <t>Source extract; not executable</t>
        </is>
      </c>
      <c r="N215" s="7" t="inlineStr">
        <is>
          <t>Unassigned</t>
        </is>
      </c>
      <c r="O215" s="7" t="inlineStr">
        <is>
          <t>1/1</t>
        </is>
      </c>
      <c r="P215" s="7" t="n"/>
    </row>
    <row r="216" ht="45" customHeight="1">
      <c r="A216" s="4" t="inlineStr">
        <is>
          <t>C18</t>
        </is>
      </c>
      <c r="B216" s="4" t="inlineStr">
        <is>
          <t>Pradhan Mantri Surakshit Matritva Abhiyan</t>
        </is>
      </c>
      <c r="C216" s="4" t="inlineStr">
        <is>
          <t>C18-SRC004</t>
        </is>
      </c>
      <c r="D216" s="4" t="inlineStr">
        <is>
          <t>Eligibility text</t>
        </is>
      </c>
      <c r="E216" s="4" t="inlineStr">
        <is>
          <t>Trimester Specific Criteria</t>
        </is>
      </c>
      <c r="F216" s="4" t="inlineStr">
        <is>
          <t>MS-C18 / C18-P0021</t>
        </is>
      </c>
      <c r="G216" s="4" t="inlineStr"/>
      <c r="H216" s="7" t="inlineStr">
        <is>
          <t>Approved</t>
        </is>
      </c>
      <c r="I216" s="7" t="n"/>
      <c r="J216" s="4" t="inlineStr">
        <is>
          <t>Eligibility</t>
        </is>
      </c>
      <c r="K216" s="4" t="inlineStr">
        <is>
          <t>en.eligibilityCriteria.eligibilityDescription[1].children[0]</t>
        </is>
      </c>
      <c r="L216" s="4" t="inlineStr">
        <is>
          <t>C18@20261028-4c31c2aa</t>
        </is>
      </c>
      <c r="M216" s="4" t="inlineStr">
        <is>
          <t>Source extract; not executable</t>
        </is>
      </c>
      <c r="N216" s="7" t="inlineStr">
        <is>
          <t>Unassigned</t>
        </is>
      </c>
      <c r="O216" s="7" t="inlineStr">
        <is>
          <t>1/1</t>
        </is>
      </c>
      <c r="P216" s="7" t="n"/>
    </row>
    <row r="217" ht="45" customHeight="1">
      <c r="A217" s="4" t="inlineStr">
        <is>
          <t>C18</t>
        </is>
      </c>
      <c r="B217" s="4" t="inlineStr">
        <is>
          <t>Pradhan Mantri Surakshit Matritva Abhiyan</t>
        </is>
      </c>
      <c r="C217" s="4" t="inlineStr">
        <is>
          <t>C18-SRC005</t>
        </is>
      </c>
      <c r="D217" s="4" t="inlineStr">
        <is>
          <t>Eligibility text</t>
        </is>
      </c>
      <c r="E217" s="4" t="inlineStr">
        <is>
          <t>The applicant must have completed the first trimester of pregnancy (beyond 12 weeks of gestation).</t>
        </is>
      </c>
      <c r="F217" s="4" t="inlineStr">
        <is>
          <t>MS-C18 / C18-P0022</t>
        </is>
      </c>
      <c r="G217" s="4" t="inlineStr"/>
      <c r="H217" s="7" t="inlineStr">
        <is>
          <t>Approved</t>
        </is>
      </c>
      <c r="I217" s="7" t="n"/>
      <c r="J217" s="4" t="inlineStr">
        <is>
          <t>Eligibility</t>
        </is>
      </c>
      <c r="K217" s="4" t="inlineStr">
        <is>
          <t>en.eligibilityCriteria.eligibilityDescription[2].children[0]</t>
        </is>
      </c>
      <c r="L217" s="4" t="inlineStr">
        <is>
          <t>C18@20261028-4c31c2aa</t>
        </is>
      </c>
      <c r="M217" s="4" t="inlineStr">
        <is>
          <t>Source extract; not executable</t>
        </is>
      </c>
      <c r="N217" s="7" t="inlineStr">
        <is>
          <t>Unassigned</t>
        </is>
      </c>
      <c r="O217" s="7" t="inlineStr">
        <is>
          <t>1/1</t>
        </is>
      </c>
      <c r="P217" s="7" t="n"/>
    </row>
    <row r="218" ht="45" customHeight="1">
      <c r="A218" s="4" t="inlineStr">
        <is>
          <t>C18</t>
        </is>
      </c>
      <c r="B218" s="4" t="inlineStr">
        <is>
          <t>Pradhan Mantri Surakshit Matritva Abhiyan</t>
        </is>
      </c>
      <c r="C218" s="4" t="inlineStr">
        <is>
          <t>C18-SRC006</t>
        </is>
      </c>
      <c r="D218" s="4" t="inlineStr">
        <is>
          <t>Eligibility text</t>
        </is>
      </c>
      <c r="E218" s="4" t="inlineStr">
        <is>
          <t>The applicant must be in 2nd trimester (13-28 weeks) or 3rd trimester (29-40 weeks) of pregnancy.</t>
        </is>
      </c>
      <c r="F218" s="4" t="inlineStr">
        <is>
          <t>MS-C18 / C18-P0023</t>
        </is>
      </c>
      <c r="G218" s="4" t="inlineStr"/>
      <c r="H218" s="7" t="inlineStr">
        <is>
          <t>Approved</t>
        </is>
      </c>
      <c r="I218" s="7" t="n"/>
      <c r="J218" s="4" t="inlineStr">
        <is>
          <t>Eligibility</t>
        </is>
      </c>
      <c r="K218" s="4" t="inlineStr">
        <is>
          <t>en.eligibilityCriteria.eligibilityDescription[2].children[1]</t>
        </is>
      </c>
      <c r="L218" s="4" t="inlineStr">
        <is>
          <t>C18@20261028-4c31c2aa</t>
        </is>
      </c>
      <c r="M218" s="4" t="inlineStr">
        <is>
          <t>Source extract; not executable</t>
        </is>
      </c>
      <c r="N218" s="7" t="inlineStr">
        <is>
          <t>Unassigned</t>
        </is>
      </c>
      <c r="O218" s="7" t="inlineStr">
        <is>
          <t>1/1</t>
        </is>
      </c>
      <c r="P218" s="7" t="n"/>
    </row>
    <row r="219" ht="45" customHeight="1">
      <c r="A219" s="4" t="inlineStr">
        <is>
          <t>C18</t>
        </is>
      </c>
      <c r="B219" s="4" t="inlineStr">
        <is>
          <t>Pradhan Mantri Surakshit Matritva Abhiyan</t>
        </is>
      </c>
      <c r="C219" s="4" t="inlineStr">
        <is>
          <t>C18-SRC007</t>
        </is>
      </c>
      <c r="D219" s="4" t="inlineStr">
        <is>
          <t>Eligibility text</t>
        </is>
      </c>
      <c r="E219" s="4" t="inlineStr">
        <is>
          <t>Special Categories</t>
        </is>
      </c>
      <c r="F219" s="4" t="inlineStr">
        <is>
          <t>MS-C18 / C18-P0024</t>
        </is>
      </c>
      <c r="G219" s="4" t="inlineStr"/>
      <c r="H219" s="7" t="inlineStr">
        <is>
          <t>Approved</t>
        </is>
      </c>
      <c r="I219" s="7" t="n"/>
      <c r="J219" s="4" t="inlineStr">
        <is>
          <t>Eligibility</t>
        </is>
      </c>
      <c r="K219" s="4" t="inlineStr">
        <is>
          <t>en.eligibilityCriteria.eligibilityDescription[3].children[0]</t>
        </is>
      </c>
      <c r="L219" s="4" t="inlineStr">
        <is>
          <t>C18@20261028-4c31c2aa</t>
        </is>
      </c>
      <c r="M219" s="4" t="inlineStr">
        <is>
          <t>Source extract; not executable</t>
        </is>
      </c>
      <c r="N219" s="7" t="inlineStr">
        <is>
          <t>Unassigned</t>
        </is>
      </c>
      <c r="O219" s="7" t="inlineStr">
        <is>
          <t>1/1</t>
        </is>
      </c>
      <c r="P219" s="7" t="n"/>
    </row>
    <row r="220" ht="45" customHeight="1">
      <c r="A220" s="4" t="inlineStr">
        <is>
          <t>C18</t>
        </is>
      </c>
      <c r="B220" s="4" t="inlineStr">
        <is>
          <t>Pradhan Mantri Surakshit Matritva Abhiyan</t>
        </is>
      </c>
      <c r="C220" s="4" t="inlineStr">
        <is>
          <t>C18-SRC008</t>
        </is>
      </c>
      <c r="D220" s="4" t="inlineStr">
        <is>
          <t>Eligibility text</t>
        </is>
      </c>
      <c r="E220" s="4" t="inlineStr">
        <is>
          <t>The applicant identified as high-risk pregnancy cases receive priority attention and follow-up care.</t>
        </is>
      </c>
      <c r="F220" s="4" t="inlineStr">
        <is>
          <t>MS-C18 / C18-P0025</t>
        </is>
      </c>
      <c r="G220" s="4" t="inlineStr"/>
      <c r="H220" s="7" t="inlineStr">
        <is>
          <t>Approved</t>
        </is>
      </c>
      <c r="I220" s="7" t="n"/>
      <c r="J220" s="4" t="inlineStr">
        <is>
          <t>Eligibility</t>
        </is>
      </c>
      <c r="K220" s="4" t="inlineStr">
        <is>
          <t>en.eligibilityCriteria.eligibilityDescription[4].children[0]</t>
        </is>
      </c>
      <c r="L220" s="4" t="inlineStr">
        <is>
          <t>C18@20261028-4c31c2aa</t>
        </is>
      </c>
      <c r="M220" s="4" t="inlineStr">
        <is>
          <t>Source extract; not executable</t>
        </is>
      </c>
      <c r="N220" s="7" t="inlineStr">
        <is>
          <t>Unassigned</t>
        </is>
      </c>
      <c r="O220" s="7" t="inlineStr">
        <is>
          <t>1/1</t>
        </is>
      </c>
      <c r="P220" s="7" t="n"/>
    </row>
    <row r="221" ht="45" customHeight="1">
      <c r="A221" s="4" t="inlineStr">
        <is>
          <t>C18</t>
        </is>
      </c>
      <c r="B221" s="4" t="inlineStr">
        <is>
          <t>Pradhan Mantri Surakshit Matritva Abhiyan</t>
        </is>
      </c>
      <c r="C221" s="4" t="inlineStr">
        <is>
          <t>C18-SRC009</t>
        </is>
      </c>
      <c r="D221" s="4" t="inlineStr">
        <is>
          <t>Eligibility text</t>
        </is>
      </c>
      <c r="E221" s="4" t="inlineStr">
        <is>
          <t>The applicant who are dropouts from regular antenatal care services are encouraged to participate.</t>
        </is>
      </c>
      <c r="F221" s="4" t="inlineStr">
        <is>
          <t>MS-C18 / C18-P0026</t>
        </is>
      </c>
      <c r="G221" s="4" t="inlineStr"/>
      <c r="H221" s="7" t="inlineStr">
        <is>
          <t>Approved</t>
        </is>
      </c>
      <c r="I221" s="7" t="n"/>
      <c r="J221" s="4" t="inlineStr">
        <is>
          <t>Eligibility</t>
        </is>
      </c>
      <c r="K221" s="4" t="inlineStr">
        <is>
          <t>en.eligibilityCriteria.eligibilityDescription[4].children[1]</t>
        </is>
      </c>
      <c r="L221" s="4" t="inlineStr">
        <is>
          <t>C18@20261028-4c31c2aa</t>
        </is>
      </c>
      <c r="M221" s="4" t="inlineStr">
        <is>
          <t>Source extract; not executable</t>
        </is>
      </c>
      <c r="N221" s="7" t="inlineStr">
        <is>
          <t>Unassigned</t>
        </is>
      </c>
      <c r="O221" s="7" t="inlineStr">
        <is>
          <t>1/1</t>
        </is>
      </c>
      <c r="P221" s="7" t="n"/>
    </row>
    <row r="222" ht="45" customHeight="1">
      <c r="A222" s="4" t="inlineStr">
        <is>
          <t>C18</t>
        </is>
      </c>
      <c r="B222" s="4" t="inlineStr">
        <is>
          <t>Pradhan Mantri Surakshit Matritva Abhiyan</t>
        </is>
      </c>
      <c r="C222" s="4" t="inlineStr">
        <is>
          <t>C18-EMPTY-Exclusions</t>
        </is>
      </c>
      <c r="D222" s="4" t="inlineStr">
        <is>
          <t>Exclusions</t>
        </is>
      </c>
      <c r="E222" s="4" t="inlineStr">
        <is>
          <t>Not stated in the captured source. Do not infer no restrictions.</t>
        </is>
      </c>
      <c r="F222" s="4" t="inlineStr">
        <is>
          <t>MS-C18</t>
        </is>
      </c>
      <c r="G222" s="4" t="inlineStr">
        <is>
          <t>Full official guidelines required.</t>
        </is>
      </c>
      <c r="H222" s="7" t="inlineStr">
        <is>
          <t>Approved</t>
        </is>
      </c>
      <c r="I222" s="7" t="n"/>
      <c r="J222" s="4" t="inlineStr">
        <is>
          <t>Exclusions</t>
        </is>
      </c>
      <c r="K222" s="4" t="inlineStr"/>
      <c r="L222" s="4" t="inlineStr">
        <is>
          <t>C18@20261028-4c31c2aa</t>
        </is>
      </c>
      <c r="M222" s="4" t="inlineStr">
        <is>
          <t>Empty or absent in source</t>
        </is>
      </c>
      <c r="N222" s="7" t="inlineStr">
        <is>
          <t>Unassigned</t>
        </is>
      </c>
      <c r="O222" s="7" t="n"/>
      <c r="P222" s="7" t="n"/>
    </row>
    <row r="223" ht="45" customHeight="1">
      <c r="A223" s="4" t="inlineStr">
        <is>
          <t>C19</t>
        </is>
      </c>
      <c r="B223" s="4" t="inlineStr">
        <is>
          <t>PM POSHAN - Prime Minister's Overarching Scheme For Holistic Nourishment</t>
        </is>
      </c>
      <c r="C223" s="4" t="inlineStr">
        <is>
          <t>C19-SRC001</t>
        </is>
      </c>
      <c r="D223" s="4" t="inlineStr">
        <is>
          <t>Eligibility text</t>
        </is>
      </c>
      <c r="E223" s="4" t="inlineStr">
        <is>
          <t>The applicant must be a citizen of India.</t>
        </is>
      </c>
      <c r="F223" s="4" t="inlineStr">
        <is>
          <t>MS-C19 / C19-P0011</t>
        </is>
      </c>
      <c r="G223" s="4" t="inlineStr"/>
      <c r="H223" s="7" t="inlineStr">
        <is>
          <t>Approved</t>
        </is>
      </c>
      <c r="I223" s="7" t="n"/>
      <c r="J223" s="4" t="inlineStr">
        <is>
          <t>Eligibility</t>
        </is>
      </c>
      <c r="K223" s="4" t="inlineStr">
        <is>
          <t>en.eligibilityCriteria.eligibilityDescription[0].children[0]</t>
        </is>
      </c>
      <c r="L223" s="4" t="inlineStr">
        <is>
          <t>C19@20261028-2209c130</t>
        </is>
      </c>
      <c r="M223" s="4" t="inlineStr">
        <is>
          <t>Source extract; not executable</t>
        </is>
      </c>
      <c r="N223" s="7" t="inlineStr">
        <is>
          <t>Unassigned</t>
        </is>
      </c>
      <c r="O223" s="7" t="inlineStr">
        <is>
          <t>1/1</t>
        </is>
      </c>
      <c r="P223" s="7" t="n"/>
    </row>
    <row r="224" ht="45" customHeight="1">
      <c r="A224" s="4" t="inlineStr">
        <is>
          <t>C19</t>
        </is>
      </c>
      <c r="B224" s="4" t="inlineStr">
        <is>
          <t>PM POSHAN - Prime Minister's Overarching Scheme For Holistic Nourishment</t>
        </is>
      </c>
      <c r="C224" s="4" t="inlineStr">
        <is>
          <t>C19-SRC002</t>
        </is>
      </c>
      <c r="D224" s="4" t="inlineStr">
        <is>
          <t>Eligibility text</t>
        </is>
      </c>
      <c r="E224" s="4" t="inlineStr">
        <is>
          <t>The applicant must be studying in a Primary or Upper Primary class (Class 1st to Class 8th) in a Government or a Government-aided school.</t>
        </is>
      </c>
      <c r="F224" s="4" t="inlineStr">
        <is>
          <t>MS-C19 / C19-P0012</t>
        </is>
      </c>
      <c r="G224" s="4" t="inlineStr"/>
      <c r="H224" s="7" t="inlineStr">
        <is>
          <t>Approved</t>
        </is>
      </c>
      <c r="I224" s="7" t="n"/>
      <c r="J224" s="4" t="inlineStr">
        <is>
          <t>Eligibility</t>
        </is>
      </c>
      <c r="K224" s="4" t="inlineStr">
        <is>
          <t>en.eligibilityCriteria.eligibilityDescription[0].children[1]</t>
        </is>
      </c>
      <c r="L224" s="4" t="inlineStr">
        <is>
          <t>C19@20261028-2209c130</t>
        </is>
      </c>
      <c r="M224" s="4" t="inlineStr">
        <is>
          <t>Source extract; not executable</t>
        </is>
      </c>
      <c r="N224" s="7" t="inlineStr">
        <is>
          <t>Unassigned</t>
        </is>
      </c>
      <c r="O224" s="7" t="inlineStr">
        <is>
          <t>1/1</t>
        </is>
      </c>
      <c r="P224" s="7" t="n"/>
    </row>
    <row r="225" ht="45" customHeight="1">
      <c r="A225" s="4" t="inlineStr">
        <is>
          <t>C19</t>
        </is>
      </c>
      <c r="B225" s="4" t="inlineStr">
        <is>
          <t>PM POSHAN - Prime Minister's Overarching Scheme For Holistic Nourishment</t>
        </is>
      </c>
      <c r="C225" s="4" t="inlineStr">
        <is>
          <t>C19-EMPTY-Exclusions</t>
        </is>
      </c>
      <c r="D225" s="4" t="inlineStr">
        <is>
          <t>Exclusions</t>
        </is>
      </c>
      <c r="E225" s="4" t="inlineStr">
        <is>
          <t>Not stated in the captured source. Do not infer no restrictions.</t>
        </is>
      </c>
      <c r="F225" s="4" t="inlineStr">
        <is>
          <t>MS-C19</t>
        </is>
      </c>
      <c r="G225" s="4" t="inlineStr">
        <is>
          <t>Full official guidelines required.</t>
        </is>
      </c>
      <c r="H225" s="7" t="inlineStr">
        <is>
          <t>Approved</t>
        </is>
      </c>
      <c r="I225" s="7" t="n"/>
      <c r="J225" s="4" t="inlineStr">
        <is>
          <t>Exclusions</t>
        </is>
      </c>
      <c r="K225" s="4" t="inlineStr"/>
      <c r="L225" s="4" t="inlineStr">
        <is>
          <t>C19@20261028-2209c130</t>
        </is>
      </c>
      <c r="M225" s="4" t="inlineStr">
        <is>
          <t>Empty or absent in source</t>
        </is>
      </c>
      <c r="N225" s="7" t="inlineStr">
        <is>
          <t>Unassigned</t>
        </is>
      </c>
      <c r="O225" s="7" t="n"/>
      <c r="P225" s="7" t="n"/>
    </row>
    <row r="226" ht="46.4" customHeight="1">
      <c r="A226" s="4" t="inlineStr">
        <is>
          <t>C20</t>
        </is>
      </c>
      <c r="B226" s="4" t="inlineStr">
        <is>
          <t>Youth Hostel Scheme</t>
        </is>
      </c>
      <c r="C226" s="4" t="inlineStr">
        <is>
          <t>C20-SRC001</t>
        </is>
      </c>
      <c r="D226" s="4" t="inlineStr">
        <is>
          <t>Eligibility text</t>
        </is>
      </c>
      <c r="E226" s="4" t="inlineStr">
        <is>
          <t>There is no age restriction but if applicant is below 18 then he/she  must be accompanied by a parent or guardian when staying in a youth hostel.</t>
        </is>
      </c>
      <c r="F226" s="4" t="inlineStr">
        <is>
          <t>MS-C20 / C20-P0006</t>
        </is>
      </c>
      <c r="G226" s="4" t="inlineStr"/>
      <c r="H226" s="7" t="inlineStr">
        <is>
          <t>Approved</t>
        </is>
      </c>
      <c r="I226" s="7" t="n"/>
      <c r="J226" s="4" t="inlineStr">
        <is>
          <t>Eligibility</t>
        </is>
      </c>
      <c r="K226" s="4" t="inlineStr">
        <is>
          <t>en.eligibilityCriteria.eligibilityDescription[0].children[0]</t>
        </is>
      </c>
      <c r="L226" s="4" t="inlineStr">
        <is>
          <t>C20@20261028-f6115a0f</t>
        </is>
      </c>
      <c r="M226" s="4" t="inlineStr">
        <is>
          <t>Source extract; not executable</t>
        </is>
      </c>
      <c r="N226" s="7" t="inlineStr">
        <is>
          <t>Unassigned</t>
        </is>
      </c>
      <c r="O226" s="7" t="inlineStr">
        <is>
          <t>1/1</t>
        </is>
      </c>
      <c r="P226" s="7" t="n"/>
    </row>
    <row r="227" ht="45" customHeight="1">
      <c r="A227" s="4" t="inlineStr">
        <is>
          <t>C20</t>
        </is>
      </c>
      <c r="B227" s="4" t="inlineStr">
        <is>
          <t>Youth Hostel Scheme</t>
        </is>
      </c>
      <c r="C227" s="4" t="inlineStr">
        <is>
          <t>C20-EMPTY-Exclusions</t>
        </is>
      </c>
      <c r="D227" s="4" t="inlineStr">
        <is>
          <t>Exclusions</t>
        </is>
      </c>
      <c r="E227" s="4" t="inlineStr">
        <is>
          <t>Not stated in the captured source. Do not infer no restrictions.</t>
        </is>
      </c>
      <c r="F227" s="4" t="inlineStr">
        <is>
          <t>MS-C20</t>
        </is>
      </c>
      <c r="G227" s="4" t="inlineStr">
        <is>
          <t>Full official guidelines required.</t>
        </is>
      </c>
      <c r="H227" s="7" t="inlineStr">
        <is>
          <t>Approved</t>
        </is>
      </c>
      <c r="I227" s="7" t="n"/>
      <c r="J227" s="4" t="inlineStr">
        <is>
          <t>Exclusions</t>
        </is>
      </c>
      <c r="K227" s="4" t="inlineStr"/>
      <c r="L227" s="4" t="inlineStr">
        <is>
          <t>C20@20261028-f6115a0f</t>
        </is>
      </c>
      <c r="M227" s="4" t="inlineStr">
        <is>
          <t>Empty or absent in source</t>
        </is>
      </c>
      <c r="N227" s="7" t="inlineStr">
        <is>
          <t>Unassigned</t>
        </is>
      </c>
      <c r="O227" s="7" t="n"/>
      <c r="P227" s="7" t="n"/>
    </row>
    <row r="228" ht="45" customHeight="1">
      <c r="A228" s="4" t="inlineStr">
        <is>
          <t>C21</t>
        </is>
      </c>
      <c r="B228" s="4" t="inlineStr">
        <is>
          <t>AVYAY - National Action Plan for Senior Citizens: Health and Shelter for Senior Citizens</t>
        </is>
      </c>
      <c r="C228" s="4" t="inlineStr">
        <is>
          <t>C21-SRC001</t>
        </is>
      </c>
      <c r="D228" s="4" t="inlineStr">
        <is>
          <t>Eligibility text</t>
        </is>
      </c>
      <c r="E228" s="4" t="inlineStr">
        <is>
          <t>For Senior Citizens</t>
        </is>
      </c>
      <c r="F228" s="4" t="inlineStr">
        <is>
          <t>MS-C21 / C21-P0029</t>
        </is>
      </c>
      <c r="G228" s="4" t="inlineStr"/>
      <c r="H228" s="7" t="inlineStr">
        <is>
          <t>Approved</t>
        </is>
      </c>
      <c r="I228" s="7" t="n"/>
      <c r="J228" s="4" t="inlineStr">
        <is>
          <t>Eligibility</t>
        </is>
      </c>
      <c r="K228" s="4" t="inlineStr">
        <is>
          <t>en.eligibilityCriteria.eligibilityDescription[0].children[0]</t>
        </is>
      </c>
      <c r="L228" s="4" t="inlineStr">
        <is>
          <t>C21@20261028-3ca35454</t>
        </is>
      </c>
      <c r="M228" s="4" t="inlineStr">
        <is>
          <t>Source extract; not executable</t>
        </is>
      </c>
      <c r="N228" s="7" t="inlineStr">
        <is>
          <t>Unassigned</t>
        </is>
      </c>
      <c r="O228" s="7" t="inlineStr">
        <is>
          <t>1/1</t>
        </is>
      </c>
      <c r="P228" s="7" t="n"/>
    </row>
    <row r="229" ht="45" customHeight="1">
      <c r="A229" s="4" t="inlineStr">
        <is>
          <t>C21</t>
        </is>
      </c>
      <c r="B229" s="4" t="inlineStr">
        <is>
          <t>AVYAY - National Action Plan for Senior Citizens: Health and Shelter for Senior Citizens</t>
        </is>
      </c>
      <c r="C229" s="4" t="inlineStr">
        <is>
          <t>C21-SRC002</t>
        </is>
      </c>
      <c r="D229" s="4" t="inlineStr">
        <is>
          <t>Eligibility text</t>
        </is>
      </c>
      <c r="E229" s="4" t="inlineStr">
        <is>
          <t>1.  The applicant must be a Senior Citizen.</t>
        </is>
      </c>
      <c r="F229" s="4" t="inlineStr">
        <is>
          <t>MS-C21 / C21-P0030</t>
        </is>
      </c>
      <c r="G229" s="4" t="inlineStr"/>
      <c r="H229" s="7" t="inlineStr">
        <is>
          <t>Approved</t>
        </is>
      </c>
      <c r="I229" s="7" t="n"/>
      <c r="J229" s="4" t="inlineStr">
        <is>
          <t>Eligibility</t>
        </is>
      </c>
      <c r="K229" s="4" t="inlineStr">
        <is>
          <t>en.eligibilityCriteria.eligibilityDescription[1]</t>
        </is>
      </c>
      <c r="L229" s="4" t="inlineStr">
        <is>
          <t>C21@20261028-3ca35454</t>
        </is>
      </c>
      <c r="M229" s="4" t="inlineStr">
        <is>
          <t>Source extract; not executable</t>
        </is>
      </c>
      <c r="N229" s="7" t="inlineStr">
        <is>
          <t>Unassigned</t>
        </is>
      </c>
      <c r="O229" s="7" t="inlineStr">
        <is>
          <t>1/1</t>
        </is>
      </c>
      <c r="P229" s="7" t="n"/>
    </row>
    <row r="230" ht="45" customHeight="1">
      <c r="A230" s="4" t="inlineStr">
        <is>
          <t>C21</t>
        </is>
      </c>
      <c r="B230" s="4" t="inlineStr">
        <is>
          <t>AVYAY - National Action Plan for Senior Citizens: Health and Shelter for Senior Citizens</t>
        </is>
      </c>
      <c r="C230" s="4" t="inlineStr">
        <is>
          <t>C21-SRC003</t>
        </is>
      </c>
      <c r="D230" s="4" t="inlineStr">
        <is>
          <t>Eligibility text</t>
        </is>
      </c>
      <c r="E230" s="4" t="inlineStr">
        <is>
          <t>2.  The applicant must be one of the following:</t>
        </is>
      </c>
      <c r="F230" s="4" t="inlineStr">
        <is>
          <t>MS-C21 / C21-P0031</t>
        </is>
      </c>
      <c r="G230" s="4" t="inlineStr"/>
      <c r="H230" s="7" t="inlineStr">
        <is>
          <t>Approved</t>
        </is>
      </c>
      <c r="I230" s="7" t="n"/>
      <c r="J230" s="4" t="inlineStr">
        <is>
          <t>Eligibility</t>
        </is>
      </c>
      <c r="K230" s="4" t="inlineStr">
        <is>
          <t>en.eligibilityCriteria.eligibilityDescription[2]</t>
        </is>
      </c>
      <c r="L230" s="4" t="inlineStr">
        <is>
          <t>C21@20261028-3ca35454</t>
        </is>
      </c>
      <c r="M230" s="4" t="inlineStr">
        <is>
          <t>Source extract; not executable</t>
        </is>
      </c>
      <c r="N230" s="7" t="inlineStr">
        <is>
          <t>Unassigned</t>
        </is>
      </c>
      <c r="O230" s="7" t="inlineStr">
        <is>
          <t>1/1</t>
        </is>
      </c>
      <c r="P230" s="7" t="n"/>
    </row>
    <row r="231" ht="45" customHeight="1">
      <c r="A231" s="4" t="inlineStr">
        <is>
          <t>C21</t>
        </is>
      </c>
      <c r="B231" s="4" t="inlineStr">
        <is>
          <t>AVYAY - National Action Plan for Senior Citizens: Health and Shelter for Senior Citizens</t>
        </is>
      </c>
      <c r="C231" s="4" t="inlineStr">
        <is>
          <t>C21-SRC004</t>
        </is>
      </c>
      <c r="D231" s="4" t="inlineStr">
        <is>
          <t>Eligibility text</t>
        </is>
      </c>
      <c r="E231" s="4" t="inlineStr">
        <is>
          <t>Indigent, having no sufficient means to maintain himself/herself, as determined by the State Government.</t>
        </is>
      </c>
      <c r="F231" s="4" t="inlineStr">
        <is>
          <t>MS-C21 / C21-P0032</t>
        </is>
      </c>
      <c r="G231" s="4" t="inlineStr"/>
      <c r="H231" s="7" t="inlineStr">
        <is>
          <t>Approved</t>
        </is>
      </c>
      <c r="I231" s="7" t="n"/>
      <c r="J231" s="4" t="inlineStr">
        <is>
          <t>Eligibility</t>
        </is>
      </c>
      <c r="K231" s="4" t="inlineStr">
        <is>
          <t>en.eligibilityCriteria.eligibilityDescription[3].children[0]</t>
        </is>
      </c>
      <c r="L231" s="4" t="inlineStr">
        <is>
          <t>C21@20261028-3ca35454</t>
        </is>
      </c>
      <c r="M231" s="4" t="inlineStr">
        <is>
          <t>Source extract; not executable</t>
        </is>
      </c>
      <c r="N231" s="7" t="inlineStr">
        <is>
          <t>Unassigned</t>
        </is>
      </c>
      <c r="O231" s="7" t="inlineStr">
        <is>
          <t>1/1</t>
        </is>
      </c>
      <c r="P231" s="7" t="n"/>
    </row>
    <row r="232" ht="45" customHeight="1">
      <c r="A232" s="4" t="inlineStr">
        <is>
          <t>C21</t>
        </is>
      </c>
      <c r="B232" s="4" t="inlineStr">
        <is>
          <t>AVYAY - National Action Plan for Senior Citizens: Health and Shelter for Senior Citizens</t>
        </is>
      </c>
      <c r="C232" s="4" t="inlineStr">
        <is>
          <t>C21-SRC005</t>
        </is>
      </c>
      <c r="D232" s="4" t="inlineStr">
        <is>
          <t>Eligibility text</t>
        </is>
      </c>
      <c r="E232" s="4" t="inlineStr">
        <is>
          <t>Afflicted with Alzheimer's disease/Dementia or seriously ill requiring continuous nursing care, for admittance into Continuous Care Homes.</t>
        </is>
      </c>
      <c r="F232" s="4" t="inlineStr">
        <is>
          <t>MS-C21 / C21-P0033</t>
        </is>
      </c>
      <c r="G232" s="4" t="inlineStr"/>
      <c r="H232" s="7" t="inlineStr">
        <is>
          <t>Approved</t>
        </is>
      </c>
      <c r="I232" s="7" t="n"/>
      <c r="J232" s="4" t="inlineStr">
        <is>
          <t>Eligibility</t>
        </is>
      </c>
      <c r="K232" s="4" t="inlineStr">
        <is>
          <t>en.eligibilityCriteria.eligibilityDescription[3].children[1]</t>
        </is>
      </c>
      <c r="L232" s="4" t="inlineStr">
        <is>
          <t>C21@20261028-3ca35454</t>
        </is>
      </c>
      <c r="M232" s="4" t="inlineStr">
        <is>
          <t>Source extract; not executable</t>
        </is>
      </c>
      <c r="N232" s="7" t="inlineStr">
        <is>
          <t>Unassigned</t>
        </is>
      </c>
      <c r="O232" s="7" t="inlineStr">
        <is>
          <t>1/1</t>
        </is>
      </c>
      <c r="P232" s="7" t="n"/>
    </row>
    <row r="233" ht="45" customHeight="1">
      <c r="A233" s="4" t="inlineStr">
        <is>
          <t>C21</t>
        </is>
      </c>
      <c r="B233" s="4" t="inlineStr">
        <is>
          <t>AVYAY - National Action Plan for Senior Citizens: Health and Shelter for Senior Citizens</t>
        </is>
      </c>
      <c r="C233" s="4" t="inlineStr">
        <is>
          <t>C21-SRC006</t>
        </is>
      </c>
      <c r="D233" s="4" t="inlineStr">
        <is>
          <t>Eligibility text</t>
        </is>
      </c>
      <c r="E233" s="4" t="inlineStr">
        <is>
          <t>For Implementing Agencies (General)</t>
        </is>
      </c>
      <c r="F233" s="4" t="inlineStr">
        <is>
          <t>MS-C21 / C21-P0034</t>
        </is>
      </c>
      <c r="G233" s="4" t="inlineStr"/>
      <c r="H233" s="7" t="inlineStr">
        <is>
          <t>Approved</t>
        </is>
      </c>
      <c r="I233" s="7" t="n"/>
      <c r="J233" s="4" t="inlineStr">
        <is>
          <t>Eligibility</t>
        </is>
      </c>
      <c r="K233" s="4" t="inlineStr">
        <is>
          <t>en.eligibilityCriteria.eligibilityDescription[4].children[0]</t>
        </is>
      </c>
      <c r="L233" s="4" t="inlineStr">
        <is>
          <t>C21@20261028-3ca35454</t>
        </is>
      </c>
      <c r="M233" s="4" t="inlineStr">
        <is>
          <t>Source extract; not executable</t>
        </is>
      </c>
      <c r="N233" s="7" t="inlineStr">
        <is>
          <t>Unassigned</t>
        </is>
      </c>
      <c r="O233" s="7" t="inlineStr">
        <is>
          <t>1/1</t>
        </is>
      </c>
      <c r="P233" s="7" t="n"/>
    </row>
    <row r="234" ht="45" customHeight="1">
      <c r="A234" s="4" t="inlineStr">
        <is>
          <t>C21</t>
        </is>
      </c>
      <c r="B234" s="4" t="inlineStr">
        <is>
          <t>AVYAY - National Action Plan for Senior Citizens: Health and Shelter for Senior Citizens</t>
        </is>
      </c>
      <c r="C234" s="4" t="inlineStr">
        <is>
          <t>C21-SRC007</t>
        </is>
      </c>
      <c r="D234" s="4" t="inlineStr">
        <is>
          <t>Eligibility text</t>
        </is>
      </c>
      <c r="E234" s="4" t="inlineStr">
        <is>
          <t>1.  The applicant must be one of the following:</t>
        </is>
      </c>
      <c r="F234" s="4" t="inlineStr">
        <is>
          <t>MS-C21 / C21-P0035</t>
        </is>
      </c>
      <c r="G234" s="4" t="inlineStr"/>
      <c r="H234" s="7" t="inlineStr">
        <is>
          <t>Approved</t>
        </is>
      </c>
      <c r="I234" s="7" t="n"/>
      <c r="J234" s="4" t="inlineStr">
        <is>
          <t>Eligibility</t>
        </is>
      </c>
      <c r="K234" s="4" t="inlineStr">
        <is>
          <t>en.eligibilityCriteria.eligibilityDescription[5]</t>
        </is>
      </c>
      <c r="L234" s="4" t="inlineStr">
        <is>
          <t>C21@20261028-3ca35454</t>
        </is>
      </c>
      <c r="M234" s="4" t="inlineStr">
        <is>
          <t>Source extract; not executable</t>
        </is>
      </c>
      <c r="N234" s="7" t="inlineStr">
        <is>
          <t>Unassigned</t>
        </is>
      </c>
      <c r="O234" s="7" t="inlineStr">
        <is>
          <t>1/1</t>
        </is>
      </c>
      <c r="P234" s="7" t="n"/>
    </row>
    <row r="235" ht="45" customHeight="1">
      <c r="A235" s="4" t="inlineStr">
        <is>
          <t>C21</t>
        </is>
      </c>
      <c r="B235" s="4" t="inlineStr">
        <is>
          <t>AVYAY - National Action Plan for Senior Citizens: Health and Shelter for Senior Citizens</t>
        </is>
      </c>
      <c r="C235" s="4" t="inlineStr">
        <is>
          <t>C21-SRC008</t>
        </is>
      </c>
      <c r="D235" s="4" t="inlineStr">
        <is>
          <t>Eligibility text</t>
        </is>
      </c>
      <c r="E235" s="4" t="inlineStr">
        <is>
          <t>State/Union Territory Government.</t>
        </is>
      </c>
      <c r="F235" s="4" t="inlineStr">
        <is>
          <t>MS-C21 / C21-P0036</t>
        </is>
      </c>
      <c r="G235" s="4" t="inlineStr"/>
      <c r="H235" s="7" t="inlineStr">
        <is>
          <t>Approved</t>
        </is>
      </c>
      <c r="I235" s="7" t="n"/>
      <c r="J235" s="4" t="inlineStr">
        <is>
          <t>Eligibility</t>
        </is>
      </c>
      <c r="K235" s="4" t="inlineStr">
        <is>
          <t>en.eligibilityCriteria.eligibilityDescription[6].children[0]</t>
        </is>
      </c>
      <c r="L235" s="4" t="inlineStr">
        <is>
          <t>C21@20261028-3ca35454</t>
        </is>
      </c>
      <c r="M235" s="4" t="inlineStr">
        <is>
          <t>Source extract; not executable</t>
        </is>
      </c>
      <c r="N235" s="7" t="inlineStr">
        <is>
          <t>Unassigned</t>
        </is>
      </c>
      <c r="O235" s="7" t="inlineStr">
        <is>
          <t>1/1</t>
        </is>
      </c>
      <c r="P235" s="7" t="n"/>
    </row>
    <row r="236" ht="45" customHeight="1">
      <c r="A236" s="4" t="inlineStr">
        <is>
          <t>C21</t>
        </is>
      </c>
      <c r="B236" s="4" t="inlineStr">
        <is>
          <t>AVYAY - National Action Plan for Senior Citizens: Health and Shelter for Senior Citizens</t>
        </is>
      </c>
      <c r="C236" s="4" t="inlineStr">
        <is>
          <t>C21-SRC009</t>
        </is>
      </c>
      <c r="D236" s="4" t="inlineStr">
        <is>
          <t>Eligibility text</t>
        </is>
      </c>
      <c r="E236" s="4" t="inlineStr">
        <is>
          <t>Panchayati Raj Institution (PRI).</t>
        </is>
      </c>
      <c r="F236" s="4" t="inlineStr">
        <is>
          <t>MS-C21 / C21-P0037</t>
        </is>
      </c>
      <c r="G236" s="4" t="inlineStr"/>
      <c r="H236" s="7" t="inlineStr">
        <is>
          <t>Approved</t>
        </is>
      </c>
      <c r="I236" s="7" t="n"/>
      <c r="J236" s="4" t="inlineStr">
        <is>
          <t>Eligibility</t>
        </is>
      </c>
      <c r="K236" s="4" t="inlineStr">
        <is>
          <t>en.eligibilityCriteria.eligibilityDescription[6].children[1]</t>
        </is>
      </c>
      <c r="L236" s="4" t="inlineStr">
        <is>
          <t>C21@20261028-3ca35454</t>
        </is>
      </c>
      <c r="M236" s="4" t="inlineStr">
        <is>
          <t>Source extract; not executable</t>
        </is>
      </c>
      <c r="N236" s="7" t="inlineStr">
        <is>
          <t>Unassigned</t>
        </is>
      </c>
      <c r="O236" s="7" t="inlineStr">
        <is>
          <t>1/1</t>
        </is>
      </c>
      <c r="P236" s="7" t="n"/>
    </row>
    <row r="237" ht="45" customHeight="1">
      <c r="A237" s="4" t="inlineStr">
        <is>
          <t>C21</t>
        </is>
      </c>
      <c r="B237" s="4" t="inlineStr">
        <is>
          <t>AVYAY - National Action Plan for Senior Citizens: Health and Shelter for Senior Citizens</t>
        </is>
      </c>
      <c r="C237" s="4" t="inlineStr">
        <is>
          <t>C21-SRC010</t>
        </is>
      </c>
      <c r="D237" s="4" t="inlineStr">
        <is>
          <t>Eligibility text</t>
        </is>
      </c>
      <c r="E237" s="4" t="inlineStr">
        <is>
          <t>Urban Local Body (ULB).</t>
        </is>
      </c>
      <c r="F237" s="4" t="inlineStr">
        <is>
          <t>MS-C21 / C21-P0038</t>
        </is>
      </c>
      <c r="G237" s="4" t="inlineStr"/>
      <c r="H237" s="7" t="inlineStr">
        <is>
          <t>Approved</t>
        </is>
      </c>
      <c r="I237" s="7" t="n"/>
      <c r="J237" s="4" t="inlineStr">
        <is>
          <t>Eligibility</t>
        </is>
      </c>
      <c r="K237" s="4" t="inlineStr">
        <is>
          <t>en.eligibilityCriteria.eligibilityDescription[6].children[2]</t>
        </is>
      </c>
      <c r="L237" s="4" t="inlineStr">
        <is>
          <t>C21@20261028-3ca35454</t>
        </is>
      </c>
      <c r="M237" s="4" t="inlineStr">
        <is>
          <t>Source extract; not executable</t>
        </is>
      </c>
      <c r="N237" s="7" t="inlineStr">
        <is>
          <t>Unassigned</t>
        </is>
      </c>
      <c r="O237" s="7" t="inlineStr">
        <is>
          <t>1/1</t>
        </is>
      </c>
      <c r="P237" s="7" t="n"/>
    </row>
    <row r="238" ht="45" customHeight="1">
      <c r="A238" s="4" t="inlineStr">
        <is>
          <t>C21</t>
        </is>
      </c>
      <c r="B238" s="4" t="inlineStr">
        <is>
          <t>AVYAY - National Action Plan for Senior Citizens: Health and Shelter for Senior Citizens</t>
        </is>
      </c>
      <c r="C238" s="4" t="inlineStr">
        <is>
          <t>C21-SRC011</t>
        </is>
      </c>
      <c r="D238" s="4" t="inlineStr">
        <is>
          <t>Eligibility text</t>
        </is>
      </c>
      <c r="E238" s="4" t="inlineStr">
        <is>
          <t>An Institution or Organization set up by the Government as autonomous/subordinate bodies.</t>
        </is>
      </c>
      <c r="F238" s="4" t="inlineStr">
        <is>
          <t>MS-C21 / C21-P0039</t>
        </is>
      </c>
      <c r="G238" s="4" t="inlineStr"/>
      <c r="H238" s="7" t="inlineStr">
        <is>
          <t>Approved</t>
        </is>
      </c>
      <c r="I238" s="7" t="n"/>
      <c r="J238" s="4" t="inlineStr">
        <is>
          <t>Eligibility</t>
        </is>
      </c>
      <c r="K238" s="4" t="inlineStr">
        <is>
          <t>en.eligibilityCriteria.eligibilityDescription[6].children[3]</t>
        </is>
      </c>
      <c r="L238" s="4" t="inlineStr">
        <is>
          <t>C21@20261028-3ca35454</t>
        </is>
      </c>
      <c r="M238" s="4" t="inlineStr">
        <is>
          <t>Source extract; not executable</t>
        </is>
      </c>
      <c r="N238" s="7" t="inlineStr">
        <is>
          <t>Unassigned</t>
        </is>
      </c>
      <c r="O238" s="7" t="inlineStr">
        <is>
          <t>1/1</t>
        </is>
      </c>
      <c r="P238" s="7" t="n"/>
    </row>
    <row r="239" ht="45" customHeight="1">
      <c r="A239" s="4" t="inlineStr">
        <is>
          <t>C21</t>
        </is>
      </c>
      <c r="B239" s="4" t="inlineStr">
        <is>
          <t>AVYAY - National Action Plan for Senior Citizens: Health and Shelter for Senior Citizens</t>
        </is>
      </c>
      <c r="C239" s="4" t="inlineStr">
        <is>
          <t>C21-SRC012</t>
        </is>
      </c>
      <c r="D239" s="4" t="inlineStr">
        <is>
          <t>Eligibility text</t>
        </is>
      </c>
      <c r="E239" s="4" t="inlineStr">
        <is>
          <t>A Government Recognized Educational Institution.</t>
        </is>
      </c>
      <c r="F239" s="4" t="inlineStr">
        <is>
          <t>MS-C21 / C21-P0040</t>
        </is>
      </c>
      <c r="G239" s="4" t="inlineStr"/>
      <c r="H239" s="7" t="inlineStr">
        <is>
          <t>Approved</t>
        </is>
      </c>
      <c r="I239" s="7" t="n"/>
      <c r="J239" s="4" t="inlineStr">
        <is>
          <t>Eligibility</t>
        </is>
      </c>
      <c r="K239" s="4" t="inlineStr">
        <is>
          <t>en.eligibilityCriteria.eligibilityDescription[6].children[4]</t>
        </is>
      </c>
      <c r="L239" s="4" t="inlineStr">
        <is>
          <t>C21@20261028-3ca35454</t>
        </is>
      </c>
      <c r="M239" s="4" t="inlineStr">
        <is>
          <t>Source extract; not executable</t>
        </is>
      </c>
      <c r="N239" s="7" t="inlineStr">
        <is>
          <t>Unassigned</t>
        </is>
      </c>
      <c r="O239" s="7" t="inlineStr">
        <is>
          <t>1/1</t>
        </is>
      </c>
      <c r="P239" s="7" t="n"/>
    </row>
    <row r="240" ht="45" customHeight="1">
      <c r="A240" s="4" t="inlineStr">
        <is>
          <t>C21</t>
        </is>
      </c>
      <c r="B240" s="4" t="inlineStr">
        <is>
          <t>AVYAY - National Action Plan for Senior Citizens: Health and Shelter for Senior Citizens</t>
        </is>
      </c>
      <c r="C240" s="4" t="inlineStr">
        <is>
          <t>C21-SRC013</t>
        </is>
      </c>
      <c r="D240" s="4" t="inlineStr">
        <is>
          <t>Eligibility text</t>
        </is>
      </c>
      <c r="E240" s="4" t="inlineStr">
        <is>
          <t>A recognized youth organization such as Nehru Yuva Kendra Sangathan (NYKS).</t>
        </is>
      </c>
      <c r="F240" s="4" t="inlineStr">
        <is>
          <t>MS-C21 / C21-P0041</t>
        </is>
      </c>
      <c r="G240" s="4" t="inlineStr"/>
      <c r="H240" s="7" t="inlineStr">
        <is>
          <t>Approved</t>
        </is>
      </c>
      <c r="I240" s="7" t="n"/>
      <c r="J240" s="4" t="inlineStr">
        <is>
          <t>Eligibility</t>
        </is>
      </c>
      <c r="K240" s="4" t="inlineStr">
        <is>
          <t>en.eligibilityCriteria.eligibilityDescription[6].children[5]</t>
        </is>
      </c>
      <c r="L240" s="4" t="inlineStr">
        <is>
          <t>C21@20261028-3ca35454</t>
        </is>
      </c>
      <c r="M240" s="4" t="inlineStr">
        <is>
          <t>Source extract; not executable</t>
        </is>
      </c>
      <c r="N240" s="7" t="inlineStr">
        <is>
          <t>Unassigned</t>
        </is>
      </c>
      <c r="O240" s="7" t="inlineStr">
        <is>
          <t>1/1</t>
        </is>
      </c>
      <c r="P240" s="7" t="n"/>
    </row>
    <row r="241" ht="45" customHeight="1">
      <c r="A241" s="4" t="inlineStr">
        <is>
          <t>C21</t>
        </is>
      </c>
      <c r="B241" s="4" t="inlineStr">
        <is>
          <t>AVYAY - National Action Plan for Senior Citizens: Health and Shelter for Senior Citizens</t>
        </is>
      </c>
      <c r="C241" s="4" t="inlineStr">
        <is>
          <t>C21-SRC014</t>
        </is>
      </c>
      <c r="D241" s="4" t="inlineStr">
        <is>
          <t>Eligibility text</t>
        </is>
      </c>
      <c r="E241" s="4" t="inlineStr">
        <is>
          <t>For Implementing Agencies (Non-Governmental Organizations/Voluntary Organizations)</t>
        </is>
      </c>
      <c r="F241" s="4" t="inlineStr">
        <is>
          <t>MS-C21 / C21-P0042</t>
        </is>
      </c>
      <c r="G241" s="4" t="inlineStr"/>
      <c r="H241" s="7" t="inlineStr">
        <is>
          <t>Approved</t>
        </is>
      </c>
      <c r="I241" s="7" t="n"/>
      <c r="J241" s="4" t="inlineStr">
        <is>
          <t>Eligibility</t>
        </is>
      </c>
      <c r="K241" s="4" t="inlineStr">
        <is>
          <t>en.eligibilityCriteria.eligibilityDescription[7].children[0]</t>
        </is>
      </c>
      <c r="L241" s="4" t="inlineStr">
        <is>
          <t>C21@20261028-3ca35454</t>
        </is>
      </c>
      <c r="M241" s="4" t="inlineStr">
        <is>
          <t>Source extract; not executable</t>
        </is>
      </c>
      <c r="N241" s="7" t="inlineStr">
        <is>
          <t>Unassigned</t>
        </is>
      </c>
      <c r="O241" s="7" t="inlineStr">
        <is>
          <t>1/1</t>
        </is>
      </c>
      <c r="P241" s="7" t="n"/>
    </row>
    <row r="242" ht="45.76" customHeight="1">
      <c r="A242" s="4" t="inlineStr">
        <is>
          <t>C21</t>
        </is>
      </c>
      <c r="B242" s="4" t="inlineStr">
        <is>
          <t>AVYAY - National Action Plan for Senior Citizens: Health and Shelter for Senior Citizens</t>
        </is>
      </c>
      <c r="C242" s="4" t="inlineStr">
        <is>
          <t>C21-SRC015</t>
        </is>
      </c>
      <c r="D242" s="4" t="inlineStr">
        <is>
          <t>Eligibility text</t>
        </is>
      </c>
      <c r="E242" s="4" t="inlineStr">
        <is>
          <t>1.  The applicant must be registered under the Societies Registration Act, 1860 (XXI of 1860) or any relevant Act of the State/Union Territory.</t>
        </is>
      </c>
      <c r="F242" s="4" t="inlineStr">
        <is>
          <t>MS-C21 / C21-P0043</t>
        </is>
      </c>
      <c r="G242" s="4" t="inlineStr"/>
      <c r="H242" s="7" t="inlineStr">
        <is>
          <t>Approved</t>
        </is>
      </c>
      <c r="I242" s="7" t="n"/>
      <c r="J242" s="4" t="inlineStr">
        <is>
          <t>Eligibility</t>
        </is>
      </c>
      <c r="K242" s="4" t="inlineStr">
        <is>
          <t>en.eligibilityCriteria.eligibilityDescription[8]</t>
        </is>
      </c>
      <c r="L242" s="4" t="inlineStr">
        <is>
          <t>C21@20261028-3ca35454</t>
        </is>
      </c>
      <c r="M242" s="4" t="inlineStr">
        <is>
          <t>Source extract; not executable</t>
        </is>
      </c>
      <c r="N242" s="7" t="inlineStr">
        <is>
          <t>Unassigned</t>
        </is>
      </c>
      <c r="O242" s="7" t="inlineStr">
        <is>
          <t>1/1</t>
        </is>
      </c>
      <c r="P242" s="7" t="n"/>
    </row>
    <row r="243" ht="45" customHeight="1">
      <c r="A243" s="4" t="inlineStr">
        <is>
          <t>C21</t>
        </is>
      </c>
      <c r="B243" s="4" t="inlineStr">
        <is>
          <t>AVYAY - National Action Plan for Senior Citizens: Health and Shelter for Senior Citizens</t>
        </is>
      </c>
      <c r="C243" s="4" t="inlineStr">
        <is>
          <t>C21-SRC016</t>
        </is>
      </c>
      <c r="D243" s="4" t="inlineStr">
        <is>
          <t>Eligibility text</t>
        </is>
      </c>
      <c r="E243" s="4" t="inlineStr">
        <is>
          <t>2.  The applicant must be one of the following:</t>
        </is>
      </c>
      <c r="F243" s="4" t="inlineStr">
        <is>
          <t>MS-C21 / C21-P0044</t>
        </is>
      </c>
      <c r="G243" s="4" t="inlineStr"/>
      <c r="H243" s="7" t="inlineStr">
        <is>
          <t>Approved</t>
        </is>
      </c>
      <c r="I243" s="7" t="n"/>
      <c r="J243" s="4" t="inlineStr">
        <is>
          <t>Eligibility</t>
        </is>
      </c>
      <c r="K243" s="4" t="inlineStr">
        <is>
          <t>en.eligibilityCriteria.eligibilityDescription[9]</t>
        </is>
      </c>
      <c r="L243" s="4" t="inlineStr">
        <is>
          <t>C21@20261028-3ca35454</t>
        </is>
      </c>
      <c r="M243" s="4" t="inlineStr">
        <is>
          <t>Source extract; not executable</t>
        </is>
      </c>
      <c r="N243" s="7" t="inlineStr">
        <is>
          <t>Unassigned</t>
        </is>
      </c>
      <c r="O243" s="7" t="inlineStr">
        <is>
          <t>1/1</t>
        </is>
      </c>
      <c r="P243" s="7" t="n"/>
    </row>
    <row r="244" ht="45" customHeight="1">
      <c r="A244" s="4" t="inlineStr">
        <is>
          <t>C21</t>
        </is>
      </c>
      <c r="B244" s="4" t="inlineStr">
        <is>
          <t>AVYAY - National Action Plan for Senior Citizens: Health and Shelter for Senior Citizens</t>
        </is>
      </c>
      <c r="C244" s="4" t="inlineStr">
        <is>
          <t>C21-SRC017</t>
        </is>
      </c>
      <c r="D244" s="4" t="inlineStr">
        <is>
          <t>Eligibility text</t>
        </is>
      </c>
      <c r="E244" s="4" t="inlineStr">
        <is>
          <t>A Public Trust registered under the law for the time being in force.</t>
        </is>
      </c>
      <c r="F244" s="4" t="inlineStr">
        <is>
          <t>MS-C21 / C21-P0045</t>
        </is>
      </c>
      <c r="G244" s="4" t="inlineStr"/>
      <c r="H244" s="7" t="inlineStr">
        <is>
          <t>Approved</t>
        </is>
      </c>
      <c r="I244" s="7" t="n"/>
      <c r="J244" s="4" t="inlineStr">
        <is>
          <t>Eligibility</t>
        </is>
      </c>
      <c r="K244" s="4" t="inlineStr">
        <is>
          <t>en.eligibilityCriteria.eligibilityDescription[10].children[0]</t>
        </is>
      </c>
      <c r="L244" s="4" t="inlineStr">
        <is>
          <t>C21@20261028-3ca35454</t>
        </is>
      </c>
      <c r="M244" s="4" t="inlineStr">
        <is>
          <t>Source extract; not executable</t>
        </is>
      </c>
      <c r="N244" s="7" t="inlineStr">
        <is>
          <t>Unassigned</t>
        </is>
      </c>
      <c r="O244" s="7" t="inlineStr">
        <is>
          <t>1/1</t>
        </is>
      </c>
      <c r="P244" s="7" t="n"/>
    </row>
    <row r="245" ht="45" customHeight="1">
      <c r="A245" s="4" t="inlineStr">
        <is>
          <t>C21</t>
        </is>
      </c>
      <c r="B245" s="4" t="inlineStr">
        <is>
          <t>AVYAY - National Action Plan for Senior Citizens: Health and Shelter for Senior Citizens</t>
        </is>
      </c>
      <c r="C245" s="4" t="inlineStr">
        <is>
          <t>C21-SRC018</t>
        </is>
      </c>
      <c r="D245" s="4" t="inlineStr">
        <is>
          <t>Eligibility text</t>
        </is>
      </c>
      <c r="E245" s="4" t="inlineStr">
        <is>
          <t>A charitable company licensed under Section 25 of the Companies Act, 1958.</t>
        </is>
      </c>
      <c r="F245" s="4" t="inlineStr">
        <is>
          <t>MS-C21 / C21-P0046</t>
        </is>
      </c>
      <c r="G245" s="4" t="inlineStr"/>
      <c r="H245" s="7" t="inlineStr">
        <is>
          <t>Approved</t>
        </is>
      </c>
      <c r="I245" s="7" t="n"/>
      <c r="J245" s="4" t="inlineStr">
        <is>
          <t>Eligibility</t>
        </is>
      </c>
      <c r="K245" s="4" t="inlineStr">
        <is>
          <t>en.eligibilityCriteria.eligibilityDescription[10].children[1]</t>
        </is>
      </c>
      <c r="L245" s="4" t="inlineStr">
        <is>
          <t>C21@20261028-3ca35454</t>
        </is>
      </c>
      <c r="M245" s="4" t="inlineStr">
        <is>
          <t>Source extract; not executable</t>
        </is>
      </c>
      <c r="N245" s="7" t="inlineStr">
        <is>
          <t>Unassigned</t>
        </is>
      </c>
      <c r="O245" s="7" t="inlineStr">
        <is>
          <t>1/1</t>
        </is>
      </c>
      <c r="P245" s="7" t="n"/>
    </row>
    <row r="246" ht="45" customHeight="1">
      <c r="A246" s="4" t="inlineStr">
        <is>
          <t>C21</t>
        </is>
      </c>
      <c r="B246" s="4" t="inlineStr">
        <is>
          <t>AVYAY - National Action Plan for Senior Citizens: Health and Shelter for Senior Citizens</t>
        </is>
      </c>
      <c r="C246" s="4" t="inlineStr">
        <is>
          <t>C21-SRC019</t>
        </is>
      </c>
      <c r="D246" s="4" t="inlineStr">
        <is>
          <t>Eligibility text</t>
        </is>
      </c>
      <c r="E246" s="4" t="inlineStr">
        <is>
          <t>Indian Red Cross Society or its branches.</t>
        </is>
      </c>
      <c r="F246" s="4" t="inlineStr">
        <is>
          <t>MS-C21 / C21-P0047</t>
        </is>
      </c>
      <c r="G246" s="4" t="inlineStr"/>
      <c r="H246" s="7" t="inlineStr">
        <is>
          <t>Approved</t>
        </is>
      </c>
      <c r="I246" s="7" t="n"/>
      <c r="J246" s="4" t="inlineStr">
        <is>
          <t>Eligibility</t>
        </is>
      </c>
      <c r="K246" s="4" t="inlineStr">
        <is>
          <t>en.eligibilityCriteria.eligibilityDescription[10].children[2]</t>
        </is>
      </c>
      <c r="L246" s="4" t="inlineStr">
        <is>
          <t>C21@20261028-3ca35454</t>
        </is>
      </c>
      <c r="M246" s="4" t="inlineStr">
        <is>
          <t>Source extract; not executable</t>
        </is>
      </c>
      <c r="N246" s="7" t="inlineStr">
        <is>
          <t>Unassigned</t>
        </is>
      </c>
      <c r="O246" s="7" t="inlineStr">
        <is>
          <t>1/1</t>
        </is>
      </c>
      <c r="P246" s="7" t="n"/>
    </row>
    <row r="247" ht="45" customHeight="1">
      <c r="A247" s="4" t="inlineStr">
        <is>
          <t>C21</t>
        </is>
      </c>
      <c r="B247" s="4" t="inlineStr">
        <is>
          <t>AVYAY - National Action Plan for Senior Citizens: Health and Shelter for Senior Citizens</t>
        </is>
      </c>
      <c r="C247" s="4" t="inlineStr">
        <is>
          <t>C21-SRC020</t>
        </is>
      </c>
      <c r="D247" s="4" t="inlineStr">
        <is>
          <t>Eligibility text</t>
        </is>
      </c>
      <c r="E247" s="4" t="inlineStr">
        <is>
          <t>Any other public body or institution having a legal status of its own.</t>
        </is>
      </c>
      <c r="F247" s="4" t="inlineStr">
        <is>
          <t>MS-C21 / C21-P0048</t>
        </is>
      </c>
      <c r="G247" s="4" t="inlineStr"/>
      <c r="H247" s="7" t="inlineStr">
        <is>
          <t>Approved</t>
        </is>
      </c>
      <c r="I247" s="7" t="n"/>
      <c r="J247" s="4" t="inlineStr">
        <is>
          <t>Eligibility</t>
        </is>
      </c>
      <c r="K247" s="4" t="inlineStr">
        <is>
          <t>en.eligibilityCriteria.eligibilityDescription[10].children[3]</t>
        </is>
      </c>
      <c r="L247" s="4" t="inlineStr">
        <is>
          <t>C21@20261028-3ca35454</t>
        </is>
      </c>
      <c r="M247" s="4" t="inlineStr">
        <is>
          <t>Source extract; not executable</t>
        </is>
      </c>
      <c r="N247" s="7" t="inlineStr">
        <is>
          <t>Unassigned</t>
        </is>
      </c>
      <c r="O247" s="7" t="inlineStr">
        <is>
          <t>1/1</t>
        </is>
      </c>
      <c r="P247" s="7" t="n"/>
    </row>
    <row r="248" ht="45" customHeight="1">
      <c r="A248" s="4" t="inlineStr">
        <is>
          <t>C21</t>
        </is>
      </c>
      <c r="B248" s="4" t="inlineStr">
        <is>
          <t>AVYAY - National Action Plan for Senior Citizens: Health and Shelter for Senior Citizens</t>
        </is>
      </c>
      <c r="C248" s="4" t="inlineStr">
        <is>
          <t>C21-SRC021</t>
        </is>
      </c>
      <c r="D248" s="4" t="inlineStr">
        <is>
          <t>Eligibility text</t>
        </is>
      </c>
      <c r="E248" s="4" t="inlineStr">
        <is>
          <t>Any other organization of repute, which may be approved by the Secretary, Department of Social Justice and Empowerment.</t>
        </is>
      </c>
      <c r="F248" s="4" t="inlineStr">
        <is>
          <t>MS-C21 / C21-P0049</t>
        </is>
      </c>
      <c r="G248" s="4" t="inlineStr"/>
      <c r="H248" s="7" t="inlineStr">
        <is>
          <t>Approved</t>
        </is>
      </c>
      <c r="I248" s="7" t="n"/>
      <c r="J248" s="4" t="inlineStr">
        <is>
          <t>Eligibility</t>
        </is>
      </c>
      <c r="K248" s="4" t="inlineStr">
        <is>
          <t>en.eligibilityCriteria.eligibilityDescription[10].children[4]</t>
        </is>
      </c>
      <c r="L248" s="4" t="inlineStr">
        <is>
          <t>C21@20261028-3ca35454</t>
        </is>
      </c>
      <c r="M248" s="4" t="inlineStr">
        <is>
          <t>Source extract; not executable</t>
        </is>
      </c>
      <c r="N248" s="7" t="inlineStr">
        <is>
          <t>Unassigned</t>
        </is>
      </c>
      <c r="O248" s="7" t="inlineStr">
        <is>
          <t>1/1</t>
        </is>
      </c>
      <c r="P248" s="7" t="n"/>
    </row>
    <row r="249" ht="45" customHeight="1">
      <c r="A249" s="4" t="inlineStr">
        <is>
          <t>C21</t>
        </is>
      </c>
      <c r="B249" s="4" t="inlineStr">
        <is>
          <t>AVYAY - National Action Plan for Senior Citizens: Health and Shelter for Senior Citizens</t>
        </is>
      </c>
      <c r="C249" s="4" t="inlineStr">
        <is>
          <t>C21-SRC022</t>
        </is>
      </c>
      <c r="D249" s="4" t="inlineStr">
        <is>
          <t>Eligibility text</t>
        </is>
      </c>
      <c r="E249" s="4" t="inlineStr">
        <is>
          <t>3.  The applicant (Voluntary Organization) should have been registered for at least two years.</t>
        </is>
      </c>
      <c r="F249" s="4" t="inlineStr">
        <is>
          <t>MS-C21 / C21-P0050</t>
        </is>
      </c>
      <c r="G249" s="4" t="inlineStr"/>
      <c r="H249" s="7" t="inlineStr">
        <is>
          <t>Approved</t>
        </is>
      </c>
      <c r="I249" s="7" t="n"/>
      <c r="J249" s="4" t="inlineStr">
        <is>
          <t>Eligibility</t>
        </is>
      </c>
      <c r="K249" s="4" t="inlineStr">
        <is>
          <t>en.eligibilityCriteria.eligibilityDescription[11]</t>
        </is>
      </c>
      <c r="L249" s="4" t="inlineStr">
        <is>
          <t>C21@20261028-3ca35454</t>
        </is>
      </c>
      <c r="M249" s="4" t="inlineStr">
        <is>
          <t>Source extract; not executable</t>
        </is>
      </c>
      <c r="N249" s="7" t="inlineStr">
        <is>
          <t>Unassigned</t>
        </is>
      </c>
      <c r="O249" s="7" t="inlineStr">
        <is>
          <t>1/1</t>
        </is>
      </c>
      <c r="P249" s="7" t="n"/>
    </row>
    <row r="250" ht="45" customHeight="1">
      <c r="A250" s="4" t="inlineStr">
        <is>
          <t>C21</t>
        </is>
      </c>
      <c r="B250" s="4" t="inlineStr">
        <is>
          <t>AVYAY - National Action Plan for Senior Citizens: Health and Shelter for Senior Citizens</t>
        </is>
      </c>
      <c r="C250" s="4" t="inlineStr">
        <is>
          <t>C21-SRC023</t>
        </is>
      </c>
      <c r="D250" s="4" t="inlineStr">
        <is>
          <t>Eligibility text</t>
        </is>
      </c>
      <c r="E250" s="4" t="inlineStr">
        <is>
          <t>4.  The applicant should have had at least two years' experience in the social sector at the time of applying for the grant.</t>
        </is>
      </c>
      <c r="F250" s="4" t="inlineStr">
        <is>
          <t>MS-C21 / C21-P0051</t>
        </is>
      </c>
      <c r="G250" s="4" t="inlineStr"/>
      <c r="H250" s="7" t="inlineStr">
        <is>
          <t>Approved</t>
        </is>
      </c>
      <c r="I250" s="7" t="n"/>
      <c r="J250" s="4" t="inlineStr">
        <is>
          <t>Eligibility</t>
        </is>
      </c>
      <c r="K250" s="4" t="inlineStr">
        <is>
          <t>en.eligibilityCriteria.eligibilityDescription[12]</t>
        </is>
      </c>
      <c r="L250" s="4" t="inlineStr">
        <is>
          <t>C21@20261028-3ca35454</t>
        </is>
      </c>
      <c r="M250" s="4" t="inlineStr">
        <is>
          <t>Source extract; not executable</t>
        </is>
      </c>
      <c r="N250" s="7" t="inlineStr">
        <is>
          <t>Unassigned</t>
        </is>
      </c>
      <c r="O250" s="7" t="inlineStr">
        <is>
          <t>1/1</t>
        </is>
      </c>
      <c r="P250" s="7" t="n"/>
    </row>
    <row r="251" ht="46.4" customHeight="1">
      <c r="A251" s="4" t="inlineStr">
        <is>
          <t>C21</t>
        </is>
      </c>
      <c r="B251" s="4" t="inlineStr">
        <is>
          <t>AVYAY - National Action Plan for Senior Citizens: Health and Shelter for Senior Citizens</t>
        </is>
      </c>
      <c r="C251" s="4" t="inlineStr">
        <is>
          <t>C21-SRC024</t>
        </is>
      </c>
      <c r="D251" s="4" t="inlineStr">
        <is>
          <t>Eligibility text</t>
        </is>
      </c>
      <c r="E251" s="4" t="inlineStr">
        <is>
          <t>5.  The applicant must have a Bank Account maintained and operated in the joint name of the Non-Governmental Organization/Voluntary Organization.</t>
        </is>
      </c>
      <c r="F251" s="4" t="inlineStr">
        <is>
          <t>MS-C21 / C21-P0052</t>
        </is>
      </c>
      <c r="G251" s="4" t="inlineStr"/>
      <c r="H251" s="7" t="inlineStr">
        <is>
          <t>Approved</t>
        </is>
      </c>
      <c r="I251" s="7" t="n"/>
      <c r="J251" s="4" t="inlineStr">
        <is>
          <t>Eligibility</t>
        </is>
      </c>
      <c r="K251" s="4" t="inlineStr">
        <is>
          <t>en.eligibilityCriteria.eligibilityDescription[13]</t>
        </is>
      </c>
      <c r="L251" s="4" t="inlineStr">
        <is>
          <t>C21@20261028-3ca35454</t>
        </is>
      </c>
      <c r="M251" s="4" t="inlineStr">
        <is>
          <t>Source extract; not executable</t>
        </is>
      </c>
      <c r="N251" s="7" t="inlineStr">
        <is>
          <t>Unassigned</t>
        </is>
      </c>
      <c r="O251" s="7" t="inlineStr">
        <is>
          <t>1/1</t>
        </is>
      </c>
      <c r="P251" s="7" t="n"/>
    </row>
    <row r="252" ht="51.84" customHeight="1">
      <c r="A252" s="4" t="inlineStr">
        <is>
          <t>C21</t>
        </is>
      </c>
      <c r="B252" s="4" t="inlineStr">
        <is>
          <t>AVYAY - National Action Plan for Senior Citizens: Health and Shelter for Senior Citizens</t>
        </is>
      </c>
      <c r="C252" s="4" t="inlineStr">
        <is>
          <t>C21-SRC025</t>
        </is>
      </c>
      <c r="D252" s="4" t="inlineStr">
        <is>
          <t>Eligibility text</t>
        </is>
      </c>
      <c r="E252" s="4" t="inlineStr">
        <is>
          <t>6.  The applicant (for Continuous Care Homes) must have shown a credible track record in running Charitable Hospitals/Nursing Homes/Medical Institutions/Colleges.</t>
        </is>
      </c>
      <c r="F252" s="4" t="inlineStr">
        <is>
          <t>MS-C21 / C21-P0053</t>
        </is>
      </c>
      <c r="G252" s="4" t="inlineStr"/>
      <c r="H252" s="7" t="inlineStr">
        <is>
          <t>Approved</t>
        </is>
      </c>
      <c r="I252" s="7" t="n"/>
      <c r="J252" s="4" t="inlineStr">
        <is>
          <t>Eligibility</t>
        </is>
      </c>
      <c r="K252" s="4" t="inlineStr">
        <is>
          <t>en.eligibilityCriteria.eligibilityDescription[14]</t>
        </is>
      </c>
      <c r="L252" s="4" t="inlineStr">
        <is>
          <t>C21@20261028-3ca35454</t>
        </is>
      </c>
      <c r="M252" s="4" t="inlineStr">
        <is>
          <t>Source extract; not executable</t>
        </is>
      </c>
      <c r="N252" s="7" t="inlineStr">
        <is>
          <t>Unassigned</t>
        </is>
      </c>
      <c r="O252" s="7" t="inlineStr">
        <is>
          <t>1/1</t>
        </is>
      </c>
      <c r="P252" s="7" t="n"/>
    </row>
    <row r="253" ht="45" customHeight="1">
      <c r="A253" s="4" t="inlineStr">
        <is>
          <t>C21</t>
        </is>
      </c>
      <c r="B253" s="4" t="inlineStr">
        <is>
          <t>AVYAY - National Action Plan for Senior Citizens: Health and Shelter for Senior Citizens</t>
        </is>
      </c>
      <c r="C253" s="4" t="inlineStr">
        <is>
          <t>C21-SRC026</t>
        </is>
      </c>
      <c r="D253" s="4" t="inlineStr">
        <is>
          <t>Preference candidate</t>
        </is>
      </c>
      <c r="E253" s="4" t="inlineStr">
        <is>
          <t>Preference/Priority</t>
        </is>
      </c>
      <c r="F253" s="4" t="inlineStr">
        <is>
          <t>MS-C21 / C21-P0054</t>
        </is>
      </c>
      <c r="G253" s="4" t="inlineStr"/>
      <c r="H253" s="7" t="inlineStr">
        <is>
          <t>Approved</t>
        </is>
      </c>
      <c r="I253" s="7" t="n"/>
      <c r="J253" s="4" t="inlineStr">
        <is>
          <t>Eligibility</t>
        </is>
      </c>
      <c r="K253" s="4" t="inlineStr">
        <is>
          <t>en.eligibilityCriteria.eligibilityDescription[15].children[0]</t>
        </is>
      </c>
      <c r="L253" s="4" t="inlineStr">
        <is>
          <t>C21@20261028-3ca35454</t>
        </is>
      </c>
      <c r="M253" s="4" t="inlineStr">
        <is>
          <t>Source extract; not executable</t>
        </is>
      </c>
      <c r="N253" s="7" t="inlineStr">
        <is>
          <t>Unassigned</t>
        </is>
      </c>
      <c r="O253" s="7" t="inlineStr">
        <is>
          <t>1/1</t>
        </is>
      </c>
      <c r="P253" s="7" t="n"/>
    </row>
    <row r="254" ht="108.16" customHeight="1">
      <c r="A254" s="4" t="inlineStr">
        <is>
          <t>C21</t>
        </is>
      </c>
      <c r="B254" s="4" t="inlineStr">
        <is>
          <t>AVYAY - National Action Plan for Senior Citizens: Health and Shelter for Senior Citizens</t>
        </is>
      </c>
      <c r="C254" s="4" t="inlineStr">
        <is>
          <t>C21-SRC027</t>
        </is>
      </c>
      <c r="D254" s="4" t="inlineStr">
        <is>
          <t>Preference candidate</t>
        </is>
      </c>
      <c r="E254" s="4" t="inlineStr">
        <is>
          <t>The applicant agency will be selected in the order of preference as follows: Self Help Groups of the senior citizens, Corporate Social Responsibility (CSR) Foundations/Charities already in the field of elderly care, Start-ups in the segment of elderly care, and Non-Governmental Organizations/Trusts operating in the elderly care segment.</t>
        </is>
      </c>
      <c r="F254" s="4" t="inlineStr">
        <is>
          <t>MS-C21 / C21-P0055</t>
        </is>
      </c>
      <c r="G254" s="4" t="inlineStr"/>
      <c r="H254" s="7" t="inlineStr">
        <is>
          <t>Approved</t>
        </is>
      </c>
      <c r="I254" s="7" t="n"/>
      <c r="J254" s="4" t="inlineStr">
        <is>
          <t>Eligibility</t>
        </is>
      </c>
      <c r="K254" s="4" t="inlineStr">
        <is>
          <t>en.eligibilityCriteria.eligibilityDescription[16]</t>
        </is>
      </c>
      <c r="L254" s="4" t="inlineStr">
        <is>
          <t>C21@20261028-3ca35454</t>
        </is>
      </c>
      <c r="M254" s="4" t="inlineStr">
        <is>
          <t>Source extract; not executable</t>
        </is>
      </c>
      <c r="N254" s="7" t="inlineStr">
        <is>
          <t>Unassigned</t>
        </is>
      </c>
      <c r="O254" s="7" t="inlineStr">
        <is>
          <t>1/1</t>
        </is>
      </c>
      <c r="P254" s="7" t="n"/>
    </row>
    <row r="255" ht="45" customHeight="1">
      <c r="A255" s="4" t="inlineStr">
        <is>
          <t>C21</t>
        </is>
      </c>
      <c r="B255" s="4" t="inlineStr">
        <is>
          <t>AVYAY - National Action Plan for Senior Citizens: Health and Shelter for Senior Citizens</t>
        </is>
      </c>
      <c r="C255" s="4" t="inlineStr">
        <is>
          <t>C21-SRC028</t>
        </is>
      </c>
      <c r="D255" s="4" t="inlineStr">
        <is>
          <t>Exclusion text</t>
        </is>
      </c>
      <c r="E255" s="4" t="inlineStr">
        <is>
          <t>New Mobile Medicare Units shall not be supported under the Integrated Programme for Senior Citizens (IPSrC) scheme.</t>
        </is>
      </c>
      <c r="F255" s="4" t="inlineStr">
        <is>
          <t>MS-C21 / C21-P0056</t>
        </is>
      </c>
      <c r="G255" s="4" t="inlineStr"/>
      <c r="H255" s="7" t="inlineStr">
        <is>
          <t>Approved</t>
        </is>
      </c>
      <c r="I255" s="7" t="n"/>
      <c r="J255" s="4" t="inlineStr">
        <is>
          <t>Exclusions</t>
        </is>
      </c>
      <c r="K255" s="4" t="inlineStr">
        <is>
          <t>en.schemeContent.exclusions[0].children[0]</t>
        </is>
      </c>
      <c r="L255" s="4" t="inlineStr">
        <is>
          <t>C21@20261028-3ca35454</t>
        </is>
      </c>
      <c r="M255" s="4" t="inlineStr">
        <is>
          <t>Source extract; not executable</t>
        </is>
      </c>
      <c r="N255" s="7" t="inlineStr">
        <is>
          <t>Unassigned</t>
        </is>
      </c>
      <c r="O255" s="7" t="inlineStr">
        <is>
          <t>1/1</t>
        </is>
      </c>
      <c r="P255" s="7" t="n"/>
    </row>
    <row r="256" ht="45" customHeight="1">
      <c r="A256" s="4" t="inlineStr">
        <is>
          <t>C21</t>
        </is>
      </c>
      <c r="B256" s="4" t="inlineStr">
        <is>
          <t>AVYAY - National Action Plan for Senior Citizens: Health and Shelter for Senior Citizens</t>
        </is>
      </c>
      <c r="C256" s="4" t="inlineStr">
        <is>
          <t>C21-SRC029</t>
        </is>
      </c>
      <c r="D256" s="4" t="inlineStr">
        <is>
          <t>Exclusion text</t>
        </is>
      </c>
      <c r="E256" s="4" t="inlineStr">
        <is>
          <t>No Grant-in-Aid shall be released for new Physiotherapy Clinics under State Action Plan for Senior Citizens (SAPSrC).</t>
        </is>
      </c>
      <c r="F256" s="4" t="inlineStr">
        <is>
          <t>MS-C21 / C21-P0057</t>
        </is>
      </c>
      <c r="G256" s="4" t="inlineStr"/>
      <c r="H256" s="7" t="inlineStr">
        <is>
          <t>Approved</t>
        </is>
      </c>
      <c r="I256" s="7" t="n"/>
      <c r="J256" s="4" t="inlineStr">
        <is>
          <t>Exclusions</t>
        </is>
      </c>
      <c r="K256" s="4" t="inlineStr">
        <is>
          <t>en.schemeContent.exclusions[0].children[1]</t>
        </is>
      </c>
      <c r="L256" s="4" t="inlineStr">
        <is>
          <t>C21@20261028-3ca35454</t>
        </is>
      </c>
      <c r="M256" s="4" t="inlineStr">
        <is>
          <t>Source extract; not executable</t>
        </is>
      </c>
      <c r="N256" s="7" t="inlineStr">
        <is>
          <t>Unassigned</t>
        </is>
      </c>
      <c r="O256" s="7" t="inlineStr">
        <is>
          <t>1/1</t>
        </is>
      </c>
      <c r="P256" s="7" t="n"/>
    </row>
    <row r="257" ht="45" customHeight="1">
      <c r="A257" s="4" t="inlineStr">
        <is>
          <t>C22</t>
        </is>
      </c>
      <c r="B257" s="4" t="inlineStr">
        <is>
          <t>Nyaya Mitra Scheme</t>
        </is>
      </c>
      <c r="C257" s="4" t="inlineStr">
        <is>
          <t>C22-SRC001</t>
        </is>
      </c>
      <c r="D257" s="4" t="inlineStr">
        <is>
          <t>Eligibility text</t>
        </is>
      </c>
      <c r="E257" s="4" t="inlineStr">
        <is>
          <t>For Nyaya Mitras</t>
        </is>
      </c>
      <c r="F257" s="4" t="inlineStr">
        <is>
          <t>MS-C22 / C22-P0010</t>
        </is>
      </c>
      <c r="G257" s="4" t="inlineStr"/>
      <c r="H257" s="7" t="inlineStr">
        <is>
          <t>Approved</t>
        </is>
      </c>
      <c r="I257" s="7" t="n"/>
      <c r="J257" s="4" t="inlineStr">
        <is>
          <t>Eligibility</t>
        </is>
      </c>
      <c r="K257" s="4" t="inlineStr">
        <is>
          <t>en.eligibilityCriteria.eligibilityDescription[0].children[0]</t>
        </is>
      </c>
      <c r="L257" s="4" t="inlineStr">
        <is>
          <t>C22@20261028-610abbf9</t>
        </is>
      </c>
      <c r="M257" s="4" t="inlineStr">
        <is>
          <t>Source extract; not executable</t>
        </is>
      </c>
      <c r="N257" s="7" t="inlineStr">
        <is>
          <t>Unassigned</t>
        </is>
      </c>
      <c r="O257" s="7" t="inlineStr">
        <is>
          <t>1/1</t>
        </is>
      </c>
      <c r="P257" s="7" t="n"/>
    </row>
    <row r="258" ht="45" customHeight="1">
      <c r="A258" s="4" t="inlineStr">
        <is>
          <t>C22</t>
        </is>
      </c>
      <c r="B258" s="4" t="inlineStr">
        <is>
          <t>Nyaya Mitra Scheme</t>
        </is>
      </c>
      <c r="C258" s="4" t="inlineStr">
        <is>
          <t>C22-SRC002</t>
        </is>
      </c>
      <c r="D258" s="4" t="inlineStr">
        <is>
          <t>Eligibility text</t>
        </is>
      </c>
      <c r="E258" s="4" t="inlineStr">
        <is>
          <t>The applicant must be a retired judicial officer or a retired executive officer.</t>
        </is>
      </c>
      <c r="F258" s="4" t="inlineStr">
        <is>
          <t>MS-C22 / C22-P0011</t>
        </is>
      </c>
      <c r="G258" s="4" t="inlineStr"/>
      <c r="H258" s="7" t="inlineStr">
        <is>
          <t>Approved</t>
        </is>
      </c>
      <c r="I258" s="7" t="n"/>
      <c r="J258" s="4" t="inlineStr">
        <is>
          <t>Eligibility</t>
        </is>
      </c>
      <c r="K258" s="4" t="inlineStr">
        <is>
          <t>en.eligibilityCriteria.eligibilityDescription[1].children[0]</t>
        </is>
      </c>
      <c r="L258" s="4" t="inlineStr">
        <is>
          <t>C22@20261028-610abbf9</t>
        </is>
      </c>
      <c r="M258" s="4" t="inlineStr">
        <is>
          <t>Source extract; not executable</t>
        </is>
      </c>
      <c r="N258" s="7" t="inlineStr">
        <is>
          <t>Unassigned</t>
        </is>
      </c>
      <c r="O258" s="7" t="inlineStr">
        <is>
          <t>1/1</t>
        </is>
      </c>
      <c r="P258" s="7" t="n"/>
    </row>
    <row r="259" ht="45" customHeight="1">
      <c r="A259" s="4" t="inlineStr">
        <is>
          <t>C22</t>
        </is>
      </c>
      <c r="B259" s="4" t="inlineStr">
        <is>
          <t>Nyaya Mitra Scheme</t>
        </is>
      </c>
      <c r="C259" s="4" t="inlineStr">
        <is>
          <t>C22-SRC003</t>
        </is>
      </c>
      <c r="D259" s="4" t="inlineStr">
        <is>
          <t>Eligibility text</t>
        </is>
      </c>
      <c r="E259" s="4" t="inlineStr">
        <is>
          <t>The applicant must possess legal experience or an educational background in law.</t>
        </is>
      </c>
      <c r="F259" s="4" t="inlineStr">
        <is>
          <t>MS-C22 / C22-P0012</t>
        </is>
      </c>
      <c r="G259" s="4" t="inlineStr"/>
      <c r="H259" s="7" t="inlineStr">
        <is>
          <t>Approved</t>
        </is>
      </c>
      <c r="I259" s="7" t="n"/>
      <c r="J259" s="4" t="inlineStr">
        <is>
          <t>Eligibility</t>
        </is>
      </c>
      <c r="K259" s="4" t="inlineStr">
        <is>
          <t>en.eligibilityCriteria.eligibilityDescription[1].children[1]</t>
        </is>
      </c>
      <c r="L259" s="4" t="inlineStr">
        <is>
          <t>C22@20261028-610abbf9</t>
        </is>
      </c>
      <c r="M259" s="4" t="inlineStr">
        <is>
          <t>Source extract; not executable</t>
        </is>
      </c>
      <c r="N259" s="7" t="inlineStr">
        <is>
          <t>Unassigned</t>
        </is>
      </c>
      <c r="O259" s="7" t="inlineStr">
        <is>
          <t>1/1</t>
        </is>
      </c>
      <c r="P259" s="7" t="n"/>
    </row>
    <row r="260" ht="45" customHeight="1">
      <c r="A260" s="4" t="inlineStr">
        <is>
          <t>C22</t>
        </is>
      </c>
      <c r="B260" s="4" t="inlineStr">
        <is>
          <t>Nyaya Mitra Scheme</t>
        </is>
      </c>
      <c r="C260" s="4" t="inlineStr">
        <is>
          <t>C22-SRC004</t>
        </is>
      </c>
      <c r="D260" s="4" t="inlineStr">
        <is>
          <t>Eligibility text</t>
        </is>
      </c>
      <c r="E260" s="4" t="inlineStr">
        <is>
          <t>For Beneficiaries (Litigants)</t>
        </is>
      </c>
      <c r="F260" s="4" t="inlineStr">
        <is>
          <t>MS-C22 / C22-P0013</t>
        </is>
      </c>
      <c r="G260" s="4" t="inlineStr"/>
      <c r="H260" s="7" t="inlineStr">
        <is>
          <t>Approved</t>
        </is>
      </c>
      <c r="I260" s="7" t="n"/>
      <c r="J260" s="4" t="inlineStr">
        <is>
          <t>Eligibility</t>
        </is>
      </c>
      <c r="K260" s="4" t="inlineStr">
        <is>
          <t>en.eligibilityCriteria.eligibilityDescription[2].children[0]</t>
        </is>
      </c>
      <c r="L260" s="4" t="inlineStr">
        <is>
          <t>C22@20261028-610abbf9</t>
        </is>
      </c>
      <c r="M260" s="4" t="inlineStr">
        <is>
          <t>Source extract; not executable</t>
        </is>
      </c>
      <c r="N260" s="7" t="inlineStr">
        <is>
          <t>Unassigned</t>
        </is>
      </c>
      <c r="O260" s="7" t="inlineStr">
        <is>
          <t>1/1</t>
        </is>
      </c>
      <c r="P260" s="7" t="n"/>
    </row>
    <row r="261" ht="45" customHeight="1">
      <c r="A261" s="4" t="inlineStr">
        <is>
          <t>C22</t>
        </is>
      </c>
      <c r="B261" s="4" t="inlineStr">
        <is>
          <t>Nyaya Mitra Scheme</t>
        </is>
      </c>
      <c r="C261" s="4" t="inlineStr">
        <is>
          <t>C22-SRC005</t>
        </is>
      </c>
      <c r="D261" s="4" t="inlineStr">
        <is>
          <t>Eligibility text</t>
        </is>
      </c>
      <c r="E261" s="4" t="inlineStr">
        <is>
          <t>The applicant must be a litigant whose case has been languishing in the subordinate courts for more than ten years.</t>
        </is>
      </c>
      <c r="F261" s="4" t="inlineStr">
        <is>
          <t>MS-C22 / C22-P0014</t>
        </is>
      </c>
      <c r="G261" s="4" t="inlineStr"/>
      <c r="H261" s="7" t="inlineStr">
        <is>
          <t>Approved</t>
        </is>
      </c>
      <c r="I261" s="7" t="n"/>
      <c r="J261" s="4" t="inlineStr">
        <is>
          <t>Eligibility</t>
        </is>
      </c>
      <c r="K261" s="4" t="inlineStr">
        <is>
          <t>en.eligibilityCriteria.eligibilityDescription[3].children[0]</t>
        </is>
      </c>
      <c r="L261" s="4" t="inlineStr">
        <is>
          <t>C22@20261028-610abbf9</t>
        </is>
      </c>
      <c r="M261" s="4" t="inlineStr">
        <is>
          <t>Source extract; not executable</t>
        </is>
      </c>
      <c r="N261" s="7" t="inlineStr">
        <is>
          <t>Unassigned</t>
        </is>
      </c>
      <c r="O261" s="7" t="inlineStr">
        <is>
          <t>1/1</t>
        </is>
      </c>
      <c r="P261" s="7" t="n"/>
    </row>
    <row r="262" ht="45" customHeight="1">
      <c r="A262" s="4" t="inlineStr">
        <is>
          <t>C22</t>
        </is>
      </c>
      <c r="B262" s="4" t="inlineStr">
        <is>
          <t>Nyaya Mitra Scheme</t>
        </is>
      </c>
      <c r="C262" s="4" t="inlineStr">
        <is>
          <t>C22-SRC006</t>
        </is>
      </c>
      <c r="D262" s="4" t="inlineStr">
        <is>
          <t>Eligibility text</t>
        </is>
      </c>
      <c r="E262" s="4" t="inlineStr">
        <is>
          <t>The applicant must be an individual for whom quality legal aid is not available due to social and economic barriers.</t>
        </is>
      </c>
      <c r="F262" s="4" t="inlineStr">
        <is>
          <t>MS-C22 / C22-P0015</t>
        </is>
      </c>
      <c r="G262" s="4" t="inlineStr"/>
      <c r="H262" s="7" t="inlineStr">
        <is>
          <t>Approved</t>
        </is>
      </c>
      <c r="I262" s="7" t="n"/>
      <c r="J262" s="4" t="inlineStr">
        <is>
          <t>Eligibility</t>
        </is>
      </c>
      <c r="K262" s="4" t="inlineStr">
        <is>
          <t>en.eligibilityCriteria.eligibilityDescription[3].children[1]</t>
        </is>
      </c>
      <c r="L262" s="4" t="inlineStr">
        <is>
          <t>C22@20261028-610abbf9</t>
        </is>
      </c>
      <c r="M262" s="4" t="inlineStr">
        <is>
          <t>Source extract; not executable</t>
        </is>
      </c>
      <c r="N262" s="7" t="inlineStr">
        <is>
          <t>Unassigned</t>
        </is>
      </c>
      <c r="O262" s="7" t="inlineStr">
        <is>
          <t>1/1</t>
        </is>
      </c>
      <c r="P262" s="7" t="n"/>
    </row>
    <row r="263" ht="45" customHeight="1">
      <c r="A263" s="4" t="inlineStr">
        <is>
          <t>C22</t>
        </is>
      </c>
      <c r="B263" s="4" t="inlineStr">
        <is>
          <t>Nyaya Mitra Scheme</t>
        </is>
      </c>
      <c r="C263" s="4" t="inlineStr">
        <is>
          <t>C22-SRC007</t>
        </is>
      </c>
      <c r="D263" s="4" t="inlineStr">
        <is>
          <t>Eligibility text</t>
        </is>
      </c>
      <c r="E263" s="4" t="inlineStr">
        <is>
          <t>The applicant must be suffering due to a delay in investigations or trial.</t>
        </is>
      </c>
      <c r="F263" s="4" t="inlineStr">
        <is>
          <t>MS-C22 / C22-P0016</t>
        </is>
      </c>
      <c r="G263" s="4" t="inlineStr"/>
      <c r="H263" s="7" t="inlineStr">
        <is>
          <t>Approved</t>
        </is>
      </c>
      <c r="I263" s="7" t="n"/>
      <c r="J263" s="4" t="inlineStr">
        <is>
          <t>Eligibility</t>
        </is>
      </c>
      <c r="K263" s="4" t="inlineStr">
        <is>
          <t>en.eligibilityCriteria.eligibilityDescription[3].children[2]</t>
        </is>
      </c>
      <c r="L263" s="4" t="inlineStr">
        <is>
          <t>C22@20261028-610abbf9</t>
        </is>
      </c>
      <c r="M263" s="4" t="inlineStr">
        <is>
          <t>Source extract; not executable</t>
        </is>
      </c>
      <c r="N263" s="7" t="inlineStr">
        <is>
          <t>Unassigned</t>
        </is>
      </c>
      <c r="O263" s="7" t="inlineStr">
        <is>
          <t>1/1</t>
        </is>
      </c>
      <c r="P263" s="7" t="n"/>
    </row>
    <row r="264" ht="45" customHeight="1">
      <c r="A264" s="4" t="inlineStr">
        <is>
          <t>C22</t>
        </is>
      </c>
      <c r="B264" s="4" t="inlineStr">
        <is>
          <t>Nyaya Mitra Scheme</t>
        </is>
      </c>
      <c r="C264" s="4" t="inlineStr">
        <is>
          <t>C22-EMPTY-Exclusions</t>
        </is>
      </c>
      <c r="D264" s="4" t="inlineStr">
        <is>
          <t>Exclusions</t>
        </is>
      </c>
      <c r="E264" s="4" t="inlineStr">
        <is>
          <t>Not stated in the captured source. Do not infer no restrictions.</t>
        </is>
      </c>
      <c r="F264" s="4" t="inlineStr">
        <is>
          <t>MS-C22</t>
        </is>
      </c>
      <c r="G264" s="4" t="inlineStr">
        <is>
          <t>Full official guidelines required.</t>
        </is>
      </c>
      <c r="H264" s="7" t="inlineStr">
        <is>
          <t>Approved</t>
        </is>
      </c>
      <c r="I264" s="7" t="n"/>
      <c r="J264" s="4" t="inlineStr">
        <is>
          <t>Exclusions</t>
        </is>
      </c>
      <c r="K264" s="4" t="inlineStr"/>
      <c r="L264" s="4" t="inlineStr">
        <is>
          <t>C22@20261028-610abbf9</t>
        </is>
      </c>
      <c r="M264" s="4" t="inlineStr">
        <is>
          <t>Empty or absent in source</t>
        </is>
      </c>
      <c r="N264" s="7" t="inlineStr">
        <is>
          <t>Unassigned</t>
        </is>
      </c>
      <c r="O264" s="7" t="n"/>
      <c r="P264" s="7" t="n"/>
    </row>
    <row r="265" ht="45" customHeight="1">
      <c r="A265" s="4" t="inlineStr">
        <is>
          <t>C23</t>
        </is>
      </c>
      <c r="B265" s="4" t="inlineStr">
        <is>
          <t>Nari Adalat</t>
        </is>
      </c>
      <c r="C265" s="4" t="inlineStr">
        <is>
          <t>C23-SRC001</t>
        </is>
      </c>
      <c r="D265" s="4" t="inlineStr">
        <is>
          <t>Eligibility text</t>
        </is>
      </c>
      <c r="E265" s="4" t="inlineStr">
        <is>
          <t>The only specific requirement for eligibility is that the applicant must be a woman/girl.</t>
        </is>
      </c>
      <c r="F265" s="4" t="inlineStr">
        <is>
          <t>MS-C23 / C23-P0009</t>
        </is>
      </c>
      <c r="G265" s="4" t="inlineStr"/>
      <c r="H265" s="7" t="inlineStr">
        <is>
          <t>Approved</t>
        </is>
      </c>
      <c r="I265" s="7" t="n"/>
      <c r="J265" s="4" t="inlineStr">
        <is>
          <t>Eligibility</t>
        </is>
      </c>
      <c r="K265" s="4" t="inlineStr">
        <is>
          <t>en.eligibilityCriteria.eligibilityDescription[0]</t>
        </is>
      </c>
      <c r="L265" s="4" t="inlineStr">
        <is>
          <t>C23@20261028-deb0d84d</t>
        </is>
      </c>
      <c r="M265" s="4" t="inlineStr">
        <is>
          <t>Source extract; not executable</t>
        </is>
      </c>
      <c r="N265" s="7" t="inlineStr">
        <is>
          <t>Unassigned</t>
        </is>
      </c>
      <c r="O265" s="7" t="inlineStr">
        <is>
          <t>1/1</t>
        </is>
      </c>
      <c r="P265" s="7" t="n"/>
    </row>
    <row r="266" ht="45" customHeight="1">
      <c r="A266" s="4" t="inlineStr">
        <is>
          <t>C23</t>
        </is>
      </c>
      <c r="B266" s="4" t="inlineStr">
        <is>
          <t>Nari Adalat</t>
        </is>
      </c>
      <c r="C266" s="4" t="inlineStr">
        <is>
          <t>C23-EMPTY-Exclusions</t>
        </is>
      </c>
      <c r="D266" s="4" t="inlineStr">
        <is>
          <t>Exclusions</t>
        </is>
      </c>
      <c r="E266" s="4" t="inlineStr">
        <is>
          <t>Not stated in the captured source. Do not infer no restrictions.</t>
        </is>
      </c>
      <c r="F266" s="4" t="inlineStr">
        <is>
          <t>MS-C23</t>
        </is>
      </c>
      <c r="G266" s="4" t="inlineStr">
        <is>
          <t>Full official guidelines required.</t>
        </is>
      </c>
      <c r="H266" s="7" t="inlineStr">
        <is>
          <t>Approved</t>
        </is>
      </c>
      <c r="I266" s="7" t="n"/>
      <c r="J266" s="4" t="inlineStr">
        <is>
          <t>Exclusions</t>
        </is>
      </c>
      <c r="K266" s="4" t="inlineStr"/>
      <c r="L266" s="4" t="inlineStr">
        <is>
          <t>C23@20261028-deb0d84d</t>
        </is>
      </c>
      <c r="M266" s="4" t="inlineStr">
        <is>
          <t>Empty or absent in source</t>
        </is>
      </c>
      <c r="N266" s="7" t="inlineStr">
        <is>
          <t>Unassigned</t>
        </is>
      </c>
      <c r="O266" s="7" t="n"/>
      <c r="P266" s="7" t="n"/>
    </row>
    <row r="267" ht="45" customHeight="1">
      <c r="A267" s="4" t="inlineStr">
        <is>
          <t>C24</t>
        </is>
      </c>
      <c r="B267" s="4" t="inlineStr">
        <is>
          <t>National Post Doctoral Fellowship</t>
        </is>
      </c>
      <c r="C267" s="4" t="inlineStr">
        <is>
          <t>C24-SRC001</t>
        </is>
      </c>
      <c r="D267" s="4" t="inlineStr">
        <is>
          <t>Eligibility text</t>
        </is>
      </c>
      <c r="E267" s="4" t="inlineStr">
        <is>
          <t>The applicant should be an Indian citizen.</t>
        </is>
      </c>
      <c r="F267" s="4" t="inlineStr">
        <is>
          <t>MS-C24 / C24-P0022</t>
        </is>
      </c>
      <c r="G267" s="4" t="inlineStr"/>
      <c r="H267" s="7" t="inlineStr">
        <is>
          <t>Approved</t>
        </is>
      </c>
      <c r="I267" s="7" t="n"/>
      <c r="J267" s="4" t="inlineStr">
        <is>
          <t>Eligibility</t>
        </is>
      </c>
      <c r="K267" s="4" t="inlineStr">
        <is>
          <t>en.eligibilityCriteria.eligibilityDescription[0].children[0].children[0]</t>
        </is>
      </c>
      <c r="L267" s="4" t="inlineStr">
        <is>
          <t>C24@20261028-5c066ab4</t>
        </is>
      </c>
      <c r="M267" s="4" t="inlineStr">
        <is>
          <t>Source extract; not executable</t>
        </is>
      </c>
      <c r="N267" s="7" t="inlineStr">
        <is>
          <t>Unassigned</t>
        </is>
      </c>
      <c r="O267" s="7" t="inlineStr">
        <is>
          <t>1/1</t>
        </is>
      </c>
      <c r="P267" s="7" t="n"/>
    </row>
    <row r="268" ht="104" customHeight="1">
      <c r="A268" s="4" t="inlineStr">
        <is>
          <t>C24</t>
        </is>
      </c>
      <c r="B268" s="4" t="inlineStr">
        <is>
          <t>National Post Doctoral Fellowship</t>
        </is>
      </c>
      <c r="C268" s="4" t="inlineStr">
        <is>
          <t>C24-SRC002</t>
        </is>
      </c>
      <c r="D268" s="4" t="inlineStr">
        <is>
          <t>Eligibility text</t>
        </is>
      </c>
      <c r="E268" s="4" t="inlineStr">
        <is>
          <t>The applicant must have obtained PhD/M.D/M.S degree from a recognized University. Those who have submitted their PhD/M.D/M.S. thesis and are awaiting the award of the degree are also eligible to apply. However, such candidates, if selected, will be offered a lower fellowship amount till they qualify for the eligible degree.</t>
        </is>
      </c>
      <c r="F268" s="4" t="inlineStr">
        <is>
          <t>MS-C24 / C24-P0023</t>
        </is>
      </c>
      <c r="G268" s="4" t="inlineStr"/>
      <c r="H268" s="7" t="inlineStr">
        <is>
          <t>Approved</t>
        </is>
      </c>
      <c r="I268" s="7" t="n"/>
      <c r="J268" s="4" t="inlineStr">
        <is>
          <t>Eligibility</t>
        </is>
      </c>
      <c r="K268" s="4" t="inlineStr">
        <is>
          <t>en.eligibilityCriteria.eligibilityDescription[0].children[0].children[1]</t>
        </is>
      </c>
      <c r="L268" s="4" t="inlineStr">
        <is>
          <t>C24@20261028-5c066ab4</t>
        </is>
      </c>
      <c r="M268" s="4" t="inlineStr">
        <is>
          <t>Source extract; not executable</t>
        </is>
      </c>
      <c r="N268" s="7" t="inlineStr">
        <is>
          <t>Unassigned</t>
        </is>
      </c>
      <c r="O268" s="7" t="inlineStr">
        <is>
          <t>1/1</t>
        </is>
      </c>
      <c r="P268" s="7" t="n"/>
    </row>
    <row r="269" ht="96.96000000000001" customHeight="1">
      <c r="A269" s="4" t="inlineStr">
        <is>
          <t>C24</t>
        </is>
      </c>
      <c r="B269" s="4" t="inlineStr">
        <is>
          <t>National Post Doctoral Fellowship</t>
        </is>
      </c>
      <c r="C269" s="4" t="inlineStr">
        <is>
          <t>C24-SRC003</t>
        </is>
      </c>
      <c r="D269" s="4" t="inlineStr">
        <is>
          <t>Exception candidate</t>
        </is>
      </c>
      <c r="E269" s="4" t="inlineStr">
        <is>
          <t>The upper age limit for the fellowship is 35 years at the time of the submission of the application, age will be calculated by taking the date of closure of the respective call. Age relaxation of 5 (five) years will be given to candidates belonging to SC/ST/OBC/Physically Challenged &amp; Women candidates.</t>
        </is>
      </c>
      <c r="F269" s="4" t="inlineStr">
        <is>
          <t>MS-C24 / C24-P0024</t>
        </is>
      </c>
      <c r="G269" s="4" t="inlineStr"/>
      <c r="H269" s="7" t="inlineStr">
        <is>
          <t>Approved</t>
        </is>
      </c>
      <c r="I269" s="7" t="n"/>
      <c r="J269" s="4" t="inlineStr">
        <is>
          <t>Eligibility</t>
        </is>
      </c>
      <c r="K269" s="4" t="inlineStr">
        <is>
          <t>en.eligibilityCriteria.eligibilityDescription[0].children[0].children[2]</t>
        </is>
      </c>
      <c r="L269" s="4" t="inlineStr">
        <is>
          <t>C24@20261028-5c066ab4</t>
        </is>
      </c>
      <c r="M269" s="4" t="inlineStr">
        <is>
          <t>Source extract; not executable</t>
        </is>
      </c>
      <c r="N269" s="7" t="inlineStr">
        <is>
          <t>Unassigned</t>
        </is>
      </c>
      <c r="O269" s="7" t="inlineStr">
        <is>
          <t>1/1</t>
        </is>
      </c>
      <c r="P269" s="7" t="n"/>
    </row>
    <row r="270" ht="45" customHeight="1">
      <c r="A270" s="4" t="inlineStr">
        <is>
          <t>C24</t>
        </is>
      </c>
      <c r="B270" s="4" t="inlineStr">
        <is>
          <t>National Post Doctoral Fellowship</t>
        </is>
      </c>
      <c r="C270" s="4" t="inlineStr">
        <is>
          <t>C24-SRC004</t>
        </is>
      </c>
      <c r="D270" s="4" t="inlineStr">
        <is>
          <t>Eligibility text</t>
        </is>
      </c>
      <c r="E270" s="4" t="inlineStr">
        <is>
          <t>NPDF can be availed only once by a candidate in his/her career.</t>
        </is>
      </c>
      <c r="F270" s="4" t="inlineStr">
        <is>
          <t>MS-C24 / C24-P0025</t>
        </is>
      </c>
      <c r="G270" s="4" t="inlineStr"/>
      <c r="H270" s="7" t="inlineStr">
        <is>
          <t>Approved</t>
        </is>
      </c>
      <c r="I270" s="7" t="n"/>
      <c r="J270" s="4" t="inlineStr">
        <is>
          <t>Eligibility</t>
        </is>
      </c>
      <c r="K270" s="4" t="inlineStr">
        <is>
          <t>en.eligibilityCriteria.eligibilityDescription[0].children[0].children[3]</t>
        </is>
      </c>
      <c r="L270" s="4" t="inlineStr">
        <is>
          <t>C24@20261028-5c066ab4</t>
        </is>
      </c>
      <c r="M270" s="4" t="inlineStr">
        <is>
          <t>Source extract; not executable</t>
        </is>
      </c>
      <c r="N270" s="7" t="inlineStr">
        <is>
          <t>Unassigned</t>
        </is>
      </c>
      <c r="O270" s="7" t="inlineStr">
        <is>
          <t>1/1</t>
        </is>
      </c>
      <c r="P270" s="7" t="n"/>
    </row>
    <row r="271" ht="47.68" customHeight="1">
      <c r="A271" s="4" t="inlineStr">
        <is>
          <t>C24</t>
        </is>
      </c>
      <c r="B271" s="4" t="inlineStr">
        <is>
          <t>National Post Doctoral Fellowship</t>
        </is>
      </c>
      <c r="C271" s="4" t="inlineStr">
        <is>
          <t>C24-SRC005</t>
        </is>
      </c>
      <c r="D271" s="4" t="inlineStr">
        <is>
          <t>Eligibility text</t>
        </is>
      </c>
      <c r="E271" s="4" t="inlineStr">
        <is>
          <t>The mentor must hold a regular academic/research position in a recognized institution in India. Should hold a Ph.D. degree in Science or Engineering.</t>
        </is>
      </c>
      <c r="F271" s="4" t="inlineStr">
        <is>
          <t>MS-C24 / C24-P0026</t>
        </is>
      </c>
      <c r="G271" s="4" t="inlineStr"/>
      <c r="H271" s="7" t="inlineStr">
        <is>
          <t>Approved</t>
        </is>
      </c>
      <c r="I271" s="7" t="n"/>
      <c r="J271" s="4" t="inlineStr">
        <is>
          <t>Eligibility</t>
        </is>
      </c>
      <c r="K271" s="4" t="inlineStr">
        <is>
          <t>en.eligibilityCriteria.eligibilityDescription[0].children[0].children[4]</t>
        </is>
      </c>
      <c r="L271" s="4" t="inlineStr">
        <is>
          <t>C24@20261028-5c066ab4</t>
        </is>
      </c>
      <c r="M271" s="4" t="inlineStr">
        <is>
          <t>Source extract; not executable</t>
        </is>
      </c>
      <c r="N271" s="7" t="inlineStr">
        <is>
          <t>Unassigned</t>
        </is>
      </c>
      <c r="O271" s="7" t="inlineStr">
        <is>
          <t>1/1</t>
        </is>
      </c>
      <c r="P271" s="7" t="n"/>
    </row>
    <row r="272" ht="45" customHeight="1">
      <c r="A272" s="4" t="inlineStr">
        <is>
          <t>C24</t>
        </is>
      </c>
      <c r="B272" s="4" t="inlineStr">
        <is>
          <t>National Post Doctoral Fellowship</t>
        </is>
      </c>
      <c r="C272" s="4" t="inlineStr">
        <is>
          <t>C24-SRC006</t>
        </is>
      </c>
      <c r="D272" s="4" t="inlineStr">
        <is>
          <t>Eligibility text</t>
        </is>
      </c>
      <c r="E272" s="4" t="inlineStr">
        <is>
          <t>A mentor shall not have more than two SERB NPDF fellows at any given time.</t>
        </is>
      </c>
      <c r="F272" s="4" t="inlineStr">
        <is>
          <t>MS-C24 / C24-P0027</t>
        </is>
      </c>
      <c r="G272" s="4" t="inlineStr"/>
      <c r="H272" s="7" t="inlineStr">
        <is>
          <t>Approved</t>
        </is>
      </c>
      <c r="I272" s="7" t="n"/>
      <c r="J272" s="4" t="inlineStr">
        <is>
          <t>Eligibility</t>
        </is>
      </c>
      <c r="K272" s="4" t="inlineStr">
        <is>
          <t>en.eligibilityCriteria.eligibilityDescription[0].children[0].children[5]</t>
        </is>
      </c>
      <c r="L272" s="4" t="inlineStr">
        <is>
          <t>C24@20261028-5c066ab4</t>
        </is>
      </c>
      <c r="M272" s="4" t="inlineStr">
        <is>
          <t>Source extract; not executable</t>
        </is>
      </c>
      <c r="N272" s="7" t="inlineStr">
        <is>
          <t>Unassigned</t>
        </is>
      </c>
      <c r="O272" s="7" t="inlineStr">
        <is>
          <t>1/1</t>
        </is>
      </c>
      <c r="P272" s="7" t="n"/>
    </row>
    <row r="273" ht="88" customHeight="1">
      <c r="A273" s="4" t="inlineStr">
        <is>
          <t>C24</t>
        </is>
      </c>
      <c r="B273" s="4" t="inlineStr">
        <is>
          <t>National Post Doctoral Fellowship</t>
        </is>
      </c>
      <c r="C273" s="4" t="inlineStr">
        <is>
          <t>C24-SRC007</t>
        </is>
      </c>
      <c r="D273" s="4" t="inlineStr">
        <is>
          <t>Eligibility text</t>
        </is>
      </c>
      <c r="E273" s="4" t="inlineStr">
        <is>
          <t>Note 01: The fellowship is tenable only in India and can be implemented in any of the recognized academic institutions, national laboratories, and other recognized R&amp;D institutions. The host institution should provide the necessary administrative and infrastructural support.</t>
        </is>
      </c>
      <c r="F273" s="4" t="inlineStr">
        <is>
          <t>MS-C24 / C24-P0028</t>
        </is>
      </c>
      <c r="G273" s="4" t="inlineStr"/>
      <c r="H273" s="7" t="inlineStr">
        <is>
          <t>Approved</t>
        </is>
      </c>
      <c r="I273" s="7" t="n"/>
      <c r="J273" s="4" t="inlineStr">
        <is>
          <t>Eligibility</t>
        </is>
      </c>
      <c r="K273" s="4" t="inlineStr">
        <is>
          <t>en.eligibilityCriteria.eligibilityDescription[0].children[1]</t>
        </is>
      </c>
      <c r="L273" s="4" t="inlineStr">
        <is>
          <t>C24@20261028-5c066ab4</t>
        </is>
      </c>
      <c r="M273" s="4" t="inlineStr">
        <is>
          <t>Source extract; not executable</t>
        </is>
      </c>
      <c r="N273" s="7" t="inlineStr">
        <is>
          <t>Unassigned</t>
        </is>
      </c>
      <c r="O273" s="7" t="inlineStr">
        <is>
          <t>1/1</t>
        </is>
      </c>
      <c r="P273" s="7" t="n"/>
    </row>
    <row r="274" ht="65.92" customHeight="1">
      <c r="A274" s="4" t="inlineStr">
        <is>
          <t>C24</t>
        </is>
      </c>
      <c r="B274" s="4" t="inlineStr">
        <is>
          <t>National Post Doctoral Fellowship</t>
        </is>
      </c>
      <c r="C274" s="4" t="inlineStr">
        <is>
          <t>C24-SRC008</t>
        </is>
      </c>
      <c r="D274" s="4" t="inlineStr">
        <is>
          <t>Eligibility text</t>
        </is>
      </c>
      <c r="E274" s="4" t="inlineStr">
        <is>
          <t>Note 02: The fellows will not be allowed to work with the Ph.D. guide/co-guide. It is also normally not availed at the same Department/institution where the candidates have earned their PhD/M.S./M.D degree.</t>
        </is>
      </c>
      <c r="F274" s="4" t="inlineStr">
        <is>
          <t>MS-C24 / C24-P0029</t>
        </is>
      </c>
      <c r="G274" s="4" t="inlineStr"/>
      <c r="H274" s="7" t="inlineStr">
        <is>
          <t>Approved</t>
        </is>
      </c>
      <c r="I274" s="7" t="n"/>
      <c r="J274" s="4" t="inlineStr">
        <is>
          <t>Eligibility</t>
        </is>
      </c>
      <c r="K274" s="4" t="inlineStr">
        <is>
          <t>en.eligibilityCriteria.eligibilityDescription[0].children[2]</t>
        </is>
      </c>
      <c r="L274" s="4" t="inlineStr">
        <is>
          <t>C24@20261028-5c066ab4</t>
        </is>
      </c>
      <c r="M274" s="4" t="inlineStr">
        <is>
          <t>Source extract; not executable</t>
        </is>
      </c>
      <c r="N274" s="7" t="inlineStr">
        <is>
          <t>Unassigned</t>
        </is>
      </c>
      <c r="O274" s="7" t="inlineStr">
        <is>
          <t>1/1</t>
        </is>
      </c>
      <c r="P274" s="7" t="n"/>
    </row>
    <row r="275" ht="45" customHeight="1">
      <c r="A275" s="4" t="inlineStr">
        <is>
          <t>C24</t>
        </is>
      </c>
      <c r="B275" s="4" t="inlineStr">
        <is>
          <t>National Post Doctoral Fellowship</t>
        </is>
      </c>
      <c r="C275" s="4" t="inlineStr">
        <is>
          <t>C24-EMPTY-Exclusions</t>
        </is>
      </c>
      <c r="D275" s="4" t="inlineStr">
        <is>
          <t>Exclusions</t>
        </is>
      </c>
      <c r="E275" s="4" t="inlineStr">
        <is>
          <t>Not stated in the captured source. Do not infer no restrictions.</t>
        </is>
      </c>
      <c r="F275" s="4" t="inlineStr">
        <is>
          <t>MS-C24</t>
        </is>
      </c>
      <c r="G275" s="4" t="inlineStr">
        <is>
          <t>Full official guidelines required.</t>
        </is>
      </c>
      <c r="H275" s="7" t="inlineStr">
        <is>
          <t>Approved</t>
        </is>
      </c>
      <c r="I275" s="7" t="n"/>
      <c r="J275" s="4" t="inlineStr">
        <is>
          <t>Exclusions</t>
        </is>
      </c>
      <c r="K275" s="4" t="inlineStr"/>
      <c r="L275" s="4" t="inlineStr">
        <is>
          <t>C24@20261028-5c066ab4</t>
        </is>
      </c>
      <c r="M275" s="4" t="inlineStr">
        <is>
          <t>Empty or absent in source</t>
        </is>
      </c>
      <c r="N275" s="7" t="inlineStr">
        <is>
          <t>Unassigned</t>
        </is>
      </c>
      <c r="O275" s="7" t="n"/>
      <c r="P275" s="7" t="n"/>
    </row>
    <row r="276" ht="45" customHeight="1">
      <c r="A276" s="4" t="inlineStr">
        <is>
          <t>C25</t>
        </is>
      </c>
      <c r="B276" s="4" t="inlineStr">
        <is>
          <t>Women’s Instinct for Developing and Ushering in Scientific Heights &amp; Innovation</t>
        </is>
      </c>
      <c r="C276" s="4" t="inlineStr">
        <is>
          <t>C25-SRC001</t>
        </is>
      </c>
      <c r="D276" s="4" t="inlineStr">
        <is>
          <t>Eligibility text</t>
        </is>
      </c>
      <c r="E276" s="4" t="inlineStr">
        <is>
          <t>Category A: The following are the primary eligibility criteria-</t>
        </is>
      </c>
      <c r="F276" s="4" t="inlineStr">
        <is>
          <t>MS-C25 / C25-P0020</t>
        </is>
      </c>
      <c r="G276" s="4" t="inlineStr"/>
      <c r="H276" s="7" t="inlineStr">
        <is>
          <t>Approved</t>
        </is>
      </c>
      <c r="I276" s="7" t="n"/>
      <c r="J276" s="4" t="inlineStr">
        <is>
          <t>Eligibility</t>
        </is>
      </c>
      <c r="K276" s="4" t="inlineStr">
        <is>
          <t>en.eligibilityCriteria.eligibilityDescription[0].children[0].children[0]</t>
        </is>
      </c>
      <c r="L276" s="4" t="inlineStr">
        <is>
          <t>C25@20261028-281bc008</t>
        </is>
      </c>
      <c r="M276" s="4" t="inlineStr">
        <is>
          <t>Source extract; not executable</t>
        </is>
      </c>
      <c r="N276" s="7" t="inlineStr">
        <is>
          <t>Unassigned</t>
        </is>
      </c>
      <c r="O276" s="7" t="inlineStr">
        <is>
          <t>1/1</t>
        </is>
      </c>
      <c r="P276" s="7" t="n"/>
    </row>
    <row r="277" ht="51.2" customHeight="1">
      <c r="A277" s="4" t="inlineStr">
        <is>
          <t>C25</t>
        </is>
      </c>
      <c r="B277" s="4" t="inlineStr">
        <is>
          <t>Women’s Instinct for Developing and Ushering in Scientific Heights &amp; Innovation</t>
        </is>
      </c>
      <c r="C277" s="4" t="inlineStr">
        <is>
          <t>C25-SRC002</t>
        </is>
      </c>
      <c r="D277" s="4" t="inlineStr">
        <is>
          <t>Eligibility text</t>
        </is>
      </c>
      <c r="E277" s="4" t="inlineStr">
        <is>
          <t>Employment: Women Scientists who are permanent employees but retiring in a year or already retired/superannuated from government academic/research institutions.</t>
        </is>
      </c>
      <c r="F277" s="4" t="inlineStr">
        <is>
          <t>MS-C25 / C25-P0021</t>
        </is>
      </c>
      <c r="G277" s="4" t="inlineStr"/>
      <c r="H277" s="7" t="inlineStr">
        <is>
          <t>Approved</t>
        </is>
      </c>
      <c r="I277" s="7" t="n"/>
      <c r="J277" s="4" t="inlineStr">
        <is>
          <t>Eligibility</t>
        </is>
      </c>
      <c r="K277" s="4" t="inlineStr">
        <is>
          <t>en.eligibilityCriteria.eligibilityDescription[0].children[1].children[0]</t>
        </is>
      </c>
      <c r="L277" s="4" t="inlineStr">
        <is>
          <t>C25@20261028-281bc008</t>
        </is>
      </c>
      <c r="M277" s="4" t="inlineStr">
        <is>
          <t>Source extract; not executable</t>
        </is>
      </c>
      <c r="N277" s="7" t="inlineStr">
        <is>
          <t>Unassigned</t>
        </is>
      </c>
      <c r="O277" s="7" t="inlineStr">
        <is>
          <t>1/1</t>
        </is>
      </c>
      <c r="P277" s="7" t="n"/>
    </row>
    <row r="278" ht="45" customHeight="1">
      <c r="A278" s="4" t="inlineStr">
        <is>
          <t>C25</t>
        </is>
      </c>
      <c r="B278" s="4" t="inlineStr">
        <is>
          <t>Women’s Instinct for Developing and Ushering in Scientific Heights &amp; Innovation</t>
        </is>
      </c>
      <c r="C278" s="4" t="inlineStr">
        <is>
          <t>C25-SRC003</t>
        </is>
      </c>
      <c r="D278" s="4" t="inlineStr">
        <is>
          <t>Eligibility text</t>
        </is>
      </c>
      <c r="E278" s="4" t="inlineStr">
        <is>
          <t>Age: 57-62 years</t>
        </is>
      </c>
      <c r="F278" s="4" t="inlineStr">
        <is>
          <t>MS-C25 / C25-P0022</t>
        </is>
      </c>
      <c r="G278" s="4" t="inlineStr"/>
      <c r="H278" s="7" t="inlineStr">
        <is>
          <t>Approved</t>
        </is>
      </c>
      <c r="I278" s="7" t="n"/>
      <c r="J278" s="4" t="inlineStr">
        <is>
          <t>Eligibility</t>
        </is>
      </c>
      <c r="K278" s="4" t="inlineStr">
        <is>
          <t>en.eligibilityCriteria.eligibilityDescription[0].children[1].children[1]</t>
        </is>
      </c>
      <c r="L278" s="4" t="inlineStr">
        <is>
          <t>C25@20261028-281bc008</t>
        </is>
      </c>
      <c r="M278" s="4" t="inlineStr">
        <is>
          <t>Source extract; not executable</t>
        </is>
      </c>
      <c r="N278" s="7" t="inlineStr">
        <is>
          <t>Unassigned</t>
        </is>
      </c>
      <c r="O278" s="7" t="inlineStr">
        <is>
          <t>1/1</t>
        </is>
      </c>
      <c r="P278" s="7" t="n"/>
    </row>
    <row r="279" ht="45" customHeight="1">
      <c r="A279" s="4" t="inlineStr">
        <is>
          <t>C25</t>
        </is>
      </c>
      <c r="B279" s="4" t="inlineStr">
        <is>
          <t>Women’s Instinct for Developing and Ushering in Scientific Heights &amp; Innovation</t>
        </is>
      </c>
      <c r="C279" s="4" t="inlineStr">
        <is>
          <t>C25-SRC004</t>
        </is>
      </c>
      <c r="D279" s="4" t="inlineStr">
        <is>
          <t>Eligibility text</t>
        </is>
      </c>
      <c r="E279" s="4" t="inlineStr">
        <is>
          <t>Qualification: Women Scientists having Ph.D. in Basic/Applied Sciences or equivalent degree.</t>
        </is>
      </c>
      <c r="F279" s="4" t="inlineStr">
        <is>
          <t>MS-C25 / C25-P0023</t>
        </is>
      </c>
      <c r="G279" s="4" t="inlineStr"/>
      <c r="H279" s="7" t="inlineStr">
        <is>
          <t>Approved</t>
        </is>
      </c>
      <c r="I279" s="7" t="n"/>
      <c r="J279" s="4" t="inlineStr">
        <is>
          <t>Eligibility</t>
        </is>
      </c>
      <c r="K279" s="4" t="inlineStr">
        <is>
          <t>en.eligibilityCriteria.eligibilityDescription[0].children[1].children[2]</t>
        </is>
      </c>
      <c r="L279" s="4" t="inlineStr">
        <is>
          <t>C25@20261028-281bc008</t>
        </is>
      </c>
      <c r="M279" s="4" t="inlineStr">
        <is>
          <t>Source extract; not executable</t>
        </is>
      </c>
      <c r="N279" s="7" t="inlineStr">
        <is>
          <t>Unassigned</t>
        </is>
      </c>
      <c r="O279" s="7" t="inlineStr">
        <is>
          <t>1/1</t>
        </is>
      </c>
      <c r="P279" s="7" t="n"/>
    </row>
    <row r="280" ht="45" customHeight="1">
      <c r="A280" s="4" t="inlineStr">
        <is>
          <t>C25</t>
        </is>
      </c>
      <c r="B280" s="4" t="inlineStr">
        <is>
          <t>Women’s Instinct for Developing and Ushering in Scientific Heights &amp; Innovation</t>
        </is>
      </c>
      <c r="C280" s="4" t="inlineStr">
        <is>
          <t>C25-SRC005</t>
        </is>
      </c>
      <c r="D280" s="4" t="inlineStr">
        <is>
          <t>Eligibility text</t>
        </is>
      </c>
      <c r="E280" s="4" t="inlineStr">
        <is>
          <t>Research Experience: Minimum 2 R&amp;D projects as Principal Investigator with excellent track record.</t>
        </is>
      </c>
      <c r="F280" s="4" t="inlineStr">
        <is>
          <t>MS-C25 / C25-P0024</t>
        </is>
      </c>
      <c r="G280" s="4" t="inlineStr"/>
      <c r="H280" s="7" t="inlineStr">
        <is>
          <t>Approved</t>
        </is>
      </c>
      <c r="I280" s="7" t="n"/>
      <c r="J280" s="4" t="inlineStr">
        <is>
          <t>Eligibility</t>
        </is>
      </c>
      <c r="K280" s="4" t="inlineStr">
        <is>
          <t>en.eligibilityCriteria.eligibilityDescription[0].children[1].children[3]</t>
        </is>
      </c>
      <c r="L280" s="4" t="inlineStr">
        <is>
          <t>C25@20261028-281bc008</t>
        </is>
      </c>
      <c r="M280" s="4" t="inlineStr">
        <is>
          <t>Source extract; not executable</t>
        </is>
      </c>
      <c r="N280" s="7" t="inlineStr">
        <is>
          <t>Unassigned</t>
        </is>
      </c>
      <c r="O280" s="7" t="inlineStr">
        <is>
          <t>1/1</t>
        </is>
      </c>
      <c r="P280" s="7" t="n"/>
    </row>
    <row r="281" ht="45" customHeight="1">
      <c r="A281" s="4" t="inlineStr">
        <is>
          <t>C25</t>
        </is>
      </c>
      <c r="B281" s="4" t="inlineStr">
        <is>
          <t>Women’s Instinct for Developing and Ushering in Scientific Heights &amp; Innovation</t>
        </is>
      </c>
      <c r="C281" s="4" t="inlineStr">
        <is>
          <t>C25-SRC006</t>
        </is>
      </c>
      <c r="D281" s="4" t="inlineStr">
        <is>
          <t>Eligibility text</t>
        </is>
      </c>
      <c r="E281" s="4" t="inlineStr">
        <is>
          <t>Publications: Minimum 20 research publications with impact factor.</t>
        </is>
      </c>
      <c r="F281" s="4" t="inlineStr">
        <is>
          <t>MS-C25 / C25-P0025</t>
        </is>
      </c>
      <c r="G281" s="4" t="inlineStr"/>
      <c r="H281" s="7" t="inlineStr">
        <is>
          <t>Approved</t>
        </is>
      </c>
      <c r="I281" s="7" t="n"/>
      <c r="J281" s="4" t="inlineStr">
        <is>
          <t>Eligibility</t>
        </is>
      </c>
      <c r="K281" s="4" t="inlineStr">
        <is>
          <t>en.eligibilityCriteria.eligibilityDescription[0].children[1].children[4]</t>
        </is>
      </c>
      <c r="L281" s="4" t="inlineStr">
        <is>
          <t>C25@20261028-281bc008</t>
        </is>
      </c>
      <c r="M281" s="4" t="inlineStr">
        <is>
          <t>Source extract; not executable</t>
        </is>
      </c>
      <c r="N281" s="7" t="inlineStr">
        <is>
          <t>Unassigned</t>
        </is>
      </c>
      <c r="O281" s="7" t="inlineStr">
        <is>
          <t>1/1</t>
        </is>
      </c>
      <c r="P281" s="7" t="n"/>
    </row>
    <row r="282" ht="45" customHeight="1">
      <c r="A282" s="4" t="inlineStr">
        <is>
          <t>C25</t>
        </is>
      </c>
      <c r="B282" s="4" t="inlineStr">
        <is>
          <t>Women’s Instinct for Developing and Ushering in Scientific Heights &amp; Innovation</t>
        </is>
      </c>
      <c r="C282" s="4" t="inlineStr">
        <is>
          <t>C25-SRC007</t>
        </is>
      </c>
      <c r="D282" s="4" t="inlineStr">
        <is>
          <t>Eligibility text</t>
        </is>
      </c>
      <c r="E282" s="4" t="inlineStr">
        <is>
          <t>Category B: The following are the primary eligibility criteria-</t>
        </is>
      </c>
      <c r="F282" s="4" t="inlineStr">
        <is>
          <t>MS-C25 / C25-P0026</t>
        </is>
      </c>
      <c r="G282" s="4" t="inlineStr"/>
      <c r="H282" s="7" t="inlineStr">
        <is>
          <t>Approved</t>
        </is>
      </c>
      <c r="I282" s="7" t="n"/>
      <c r="J282" s="4" t="inlineStr">
        <is>
          <t>Eligibility</t>
        </is>
      </c>
      <c r="K282" s="4" t="inlineStr">
        <is>
          <t>en.eligibilityCriteria.eligibilityDescription[0].children[2].children[0]</t>
        </is>
      </c>
      <c r="L282" s="4" t="inlineStr">
        <is>
          <t>C25@20261028-281bc008</t>
        </is>
      </c>
      <c r="M282" s="4" t="inlineStr">
        <is>
          <t>Source extract; not executable</t>
        </is>
      </c>
      <c r="N282" s="7" t="inlineStr">
        <is>
          <t>Unassigned</t>
        </is>
      </c>
      <c r="O282" s="7" t="inlineStr">
        <is>
          <t>1/1</t>
        </is>
      </c>
      <c r="P282" s="7" t="n"/>
    </row>
    <row r="283" ht="54.4" customHeight="1">
      <c r="A283" s="4" t="inlineStr">
        <is>
          <t>C25</t>
        </is>
      </c>
      <c r="B283" s="4" t="inlineStr">
        <is>
          <t>Women’s Instinct for Developing and Ushering in Scientific Heights &amp; Innovation</t>
        </is>
      </c>
      <c r="C283" s="4" t="inlineStr">
        <is>
          <t>C25-SRC008</t>
        </is>
      </c>
      <c r="D283" s="4" t="inlineStr">
        <is>
          <t>Eligibility text</t>
        </is>
      </c>
      <c r="E283" s="4" t="inlineStr">
        <is>
          <t>Employment: Women who are not permanent employees in any institution but working temporarily and have completed 2 independent research projects as Principal Investigator.</t>
        </is>
      </c>
      <c r="F283" s="4" t="inlineStr">
        <is>
          <t>MS-C25 / C25-P0027</t>
        </is>
      </c>
      <c r="G283" s="4" t="inlineStr"/>
      <c r="H283" s="7" t="inlineStr">
        <is>
          <t>Approved</t>
        </is>
      </c>
      <c r="I283" s="7" t="n"/>
      <c r="J283" s="4" t="inlineStr">
        <is>
          <t>Eligibility</t>
        </is>
      </c>
      <c r="K283" s="4" t="inlineStr">
        <is>
          <t>en.eligibilityCriteria.eligibilityDescription[0].children[3].children[0]</t>
        </is>
      </c>
      <c r="L283" s="4" t="inlineStr">
        <is>
          <t>C25@20261028-281bc008</t>
        </is>
      </c>
      <c r="M283" s="4" t="inlineStr">
        <is>
          <t>Source extract; not executable</t>
        </is>
      </c>
      <c r="N283" s="7" t="inlineStr">
        <is>
          <t>Unassigned</t>
        </is>
      </c>
      <c r="O283" s="7" t="inlineStr">
        <is>
          <t>1/1</t>
        </is>
      </c>
      <c r="P283" s="7" t="n"/>
    </row>
    <row r="284" ht="45" customHeight="1">
      <c r="A284" s="4" t="inlineStr">
        <is>
          <t>C25</t>
        </is>
      </c>
      <c r="B284" s="4" t="inlineStr">
        <is>
          <t>Women’s Instinct for Developing and Ushering in Scientific Heights &amp; Innovation</t>
        </is>
      </c>
      <c r="C284" s="4" t="inlineStr">
        <is>
          <t>C25-SRC009</t>
        </is>
      </c>
      <c r="D284" s="4" t="inlineStr">
        <is>
          <t>Eligibility text</t>
        </is>
      </c>
      <c r="E284" s="4" t="inlineStr">
        <is>
          <t>Age: 45-62 years</t>
        </is>
      </c>
      <c r="F284" s="4" t="inlineStr">
        <is>
          <t>MS-C25 / C25-P0028</t>
        </is>
      </c>
      <c r="G284" s="4" t="inlineStr"/>
      <c r="H284" s="7" t="inlineStr">
        <is>
          <t>Approved</t>
        </is>
      </c>
      <c r="I284" s="7" t="n"/>
      <c r="J284" s="4" t="inlineStr">
        <is>
          <t>Eligibility</t>
        </is>
      </c>
      <c r="K284" s="4" t="inlineStr">
        <is>
          <t>en.eligibilityCriteria.eligibilityDescription[0].children[3].children[1]</t>
        </is>
      </c>
      <c r="L284" s="4" t="inlineStr">
        <is>
          <t>C25@20261028-281bc008</t>
        </is>
      </c>
      <c r="M284" s="4" t="inlineStr">
        <is>
          <t>Source extract; not executable</t>
        </is>
      </c>
      <c r="N284" s="7" t="inlineStr">
        <is>
          <t>Unassigned</t>
        </is>
      </c>
      <c r="O284" s="7" t="inlineStr">
        <is>
          <t>1/1</t>
        </is>
      </c>
      <c r="P284" s="7" t="n"/>
    </row>
    <row r="285" ht="45" customHeight="1">
      <c r="A285" s="4" t="inlineStr">
        <is>
          <t>C25</t>
        </is>
      </c>
      <c r="B285" s="4" t="inlineStr">
        <is>
          <t>Women’s Instinct for Developing and Ushering in Scientific Heights &amp; Innovation</t>
        </is>
      </c>
      <c r="C285" s="4" t="inlineStr">
        <is>
          <t>C25-SRC010</t>
        </is>
      </c>
      <c r="D285" s="4" t="inlineStr">
        <is>
          <t>Eligibility text</t>
        </is>
      </c>
      <c r="E285" s="4" t="inlineStr">
        <is>
          <t>Qualification: Women Scientists having Ph.D. in Basic/Applied Sciences or equivalent degree.</t>
        </is>
      </c>
      <c r="F285" s="4" t="inlineStr">
        <is>
          <t>MS-C25 / C25-P0029</t>
        </is>
      </c>
      <c r="G285" s="4" t="inlineStr"/>
      <c r="H285" s="7" t="inlineStr">
        <is>
          <t>Approved</t>
        </is>
      </c>
      <c r="I285" s="7" t="n"/>
      <c r="J285" s="4" t="inlineStr">
        <is>
          <t>Eligibility</t>
        </is>
      </c>
      <c r="K285" s="4" t="inlineStr">
        <is>
          <t>en.eligibilityCriteria.eligibilityDescription[0].children[3].children[2]</t>
        </is>
      </c>
      <c r="L285" s="4" t="inlineStr">
        <is>
          <t>C25@20261028-281bc008</t>
        </is>
      </c>
      <c r="M285" s="4" t="inlineStr">
        <is>
          <t>Source extract; not executable</t>
        </is>
      </c>
      <c r="N285" s="7" t="inlineStr">
        <is>
          <t>Unassigned</t>
        </is>
      </c>
      <c r="O285" s="7" t="inlineStr">
        <is>
          <t>1/1</t>
        </is>
      </c>
      <c r="P285" s="7" t="n"/>
    </row>
    <row r="286" ht="45" customHeight="1">
      <c r="A286" s="4" t="inlineStr">
        <is>
          <t>C25</t>
        </is>
      </c>
      <c r="B286" s="4" t="inlineStr">
        <is>
          <t>Women’s Instinct for Developing and Ushering in Scientific Heights &amp; Innovation</t>
        </is>
      </c>
      <c r="C286" s="4" t="inlineStr">
        <is>
          <t>C25-SRC011</t>
        </is>
      </c>
      <c r="D286" s="4" t="inlineStr">
        <is>
          <t>Eligibility text</t>
        </is>
      </c>
      <c r="E286" s="4" t="inlineStr">
        <is>
          <t>Research Experience: Minimum 2 R&amp;D projects as Principal Investigator with excellent track record.</t>
        </is>
      </c>
      <c r="F286" s="4" t="inlineStr">
        <is>
          <t>MS-C25 / C25-P0030</t>
        </is>
      </c>
      <c r="G286" s="4" t="inlineStr"/>
      <c r="H286" s="7" t="inlineStr">
        <is>
          <t>Approved</t>
        </is>
      </c>
      <c r="I286" s="7" t="n"/>
      <c r="J286" s="4" t="inlineStr">
        <is>
          <t>Eligibility</t>
        </is>
      </c>
      <c r="K286" s="4" t="inlineStr">
        <is>
          <t>en.eligibilityCriteria.eligibilityDescription[0].children[3].children[3]</t>
        </is>
      </c>
      <c r="L286" s="4" t="inlineStr">
        <is>
          <t>C25@20261028-281bc008</t>
        </is>
      </c>
      <c r="M286" s="4" t="inlineStr">
        <is>
          <t>Source extract; not executable</t>
        </is>
      </c>
      <c r="N286" s="7" t="inlineStr">
        <is>
          <t>Unassigned</t>
        </is>
      </c>
      <c r="O286" s="7" t="inlineStr">
        <is>
          <t>1/1</t>
        </is>
      </c>
      <c r="P286" s="7" t="n"/>
    </row>
    <row r="287" ht="45" customHeight="1">
      <c r="A287" s="4" t="inlineStr">
        <is>
          <t>C25</t>
        </is>
      </c>
      <c r="B287" s="4" t="inlineStr">
        <is>
          <t>Women’s Instinct for Developing and Ushering in Scientific Heights &amp; Innovation</t>
        </is>
      </c>
      <c r="C287" s="4" t="inlineStr">
        <is>
          <t>C25-SRC012</t>
        </is>
      </c>
      <c r="D287" s="4" t="inlineStr">
        <is>
          <t>Eligibility text</t>
        </is>
      </c>
      <c r="E287" s="4" t="inlineStr">
        <is>
          <t>Publications: Minimum 10 research publications with impact factor.</t>
        </is>
      </c>
      <c r="F287" s="4" t="inlineStr">
        <is>
          <t>MS-C25 / C25-P0031</t>
        </is>
      </c>
      <c r="G287" s="4" t="inlineStr"/>
      <c r="H287" s="7" t="inlineStr">
        <is>
          <t>Approved</t>
        </is>
      </c>
      <c r="I287" s="7" t="n"/>
      <c r="J287" s="4" t="inlineStr">
        <is>
          <t>Eligibility</t>
        </is>
      </c>
      <c r="K287" s="4" t="inlineStr">
        <is>
          <t>en.eligibilityCriteria.eligibilityDescription[0].children[3].children[4]</t>
        </is>
      </c>
      <c r="L287" s="4" t="inlineStr">
        <is>
          <t>C25@20261028-281bc008</t>
        </is>
      </c>
      <c r="M287" s="4" t="inlineStr">
        <is>
          <t>Source extract; not executable</t>
        </is>
      </c>
      <c r="N287" s="7" t="inlineStr">
        <is>
          <t>Unassigned</t>
        </is>
      </c>
      <c r="O287" s="7" t="inlineStr">
        <is>
          <t>1/1</t>
        </is>
      </c>
      <c r="P287" s="7" t="n"/>
    </row>
    <row r="288" ht="45" customHeight="1">
      <c r="A288" s="4" t="inlineStr">
        <is>
          <t>C25</t>
        </is>
      </c>
      <c r="B288" s="4" t="inlineStr">
        <is>
          <t>Women’s Instinct for Developing and Ushering in Scientific Heights &amp; Innovation</t>
        </is>
      </c>
      <c r="C288" s="4" t="inlineStr">
        <is>
          <t>C25-EMPTY-Exclusions</t>
        </is>
      </c>
      <c r="D288" s="4" t="inlineStr">
        <is>
          <t>Exclusions</t>
        </is>
      </c>
      <c r="E288" s="4" t="inlineStr">
        <is>
          <t>Not stated in the captured source. Do not infer no restrictions.</t>
        </is>
      </c>
      <c r="F288" s="4" t="inlineStr">
        <is>
          <t>MS-C25</t>
        </is>
      </c>
      <c r="G288" s="4" t="inlineStr">
        <is>
          <t>Full official guidelines required.</t>
        </is>
      </c>
      <c r="H288" s="7" t="inlineStr">
        <is>
          <t>Approved</t>
        </is>
      </c>
      <c r="I288" s="7" t="n"/>
      <c r="J288" s="4" t="inlineStr">
        <is>
          <t>Exclusions</t>
        </is>
      </c>
      <c r="K288" s="4" t="inlineStr"/>
      <c r="L288" s="4" t="inlineStr">
        <is>
          <t>C25@20261028-281bc008</t>
        </is>
      </c>
      <c r="M288" s="4" t="inlineStr">
        <is>
          <t>Empty or absent in source</t>
        </is>
      </c>
      <c r="N288" s="7" t="inlineStr">
        <is>
          <t>Unassigned</t>
        </is>
      </c>
      <c r="O288" s="7" t="n"/>
      <c r="P288" s="7" t="n"/>
    </row>
    <row r="289" ht="45" customHeight="1">
      <c r="A289" s="4" t="inlineStr">
        <is>
          <t>C26</t>
        </is>
      </c>
      <c r="B289" s="4" t="inlineStr">
        <is>
          <t>Teachers Associateship for Research Excellence</t>
        </is>
      </c>
      <c r="C289" s="4" t="inlineStr">
        <is>
          <t>C26-SRC001</t>
        </is>
      </c>
      <c r="D289" s="4" t="inlineStr">
        <is>
          <t>Eligibility text</t>
        </is>
      </c>
      <c r="E289" s="4" t="inlineStr">
        <is>
          <t>Indian citizens residing in India holding a Ph.D. degree in Science/Engineering or MS/MD in Medicine are eligible to apply.</t>
        </is>
      </c>
      <c r="F289" s="4" t="inlineStr">
        <is>
          <t>MS-C26 / C26-P0008</t>
        </is>
      </c>
      <c r="G289" s="4" t="inlineStr"/>
      <c r="H289" s="7" t="inlineStr">
        <is>
          <t>Approved</t>
        </is>
      </c>
      <c r="I289" s="7" t="n"/>
      <c r="J289" s="4" t="inlineStr">
        <is>
          <t>Eligibility</t>
        </is>
      </c>
      <c r="K289" s="4" t="inlineStr">
        <is>
          <t>en.eligibilityCriteria.eligibilityDescription[0].children[0].children[0]</t>
        </is>
      </c>
      <c r="L289" s="4" t="inlineStr">
        <is>
          <t>C26@20261028-db2b8659</t>
        </is>
      </c>
      <c r="M289" s="4" t="inlineStr">
        <is>
          <t>Source extract; not executable</t>
        </is>
      </c>
      <c r="N289" s="7" t="inlineStr">
        <is>
          <t>Unassigned</t>
        </is>
      </c>
      <c r="O289" s="7" t="inlineStr">
        <is>
          <t>1/1</t>
        </is>
      </c>
      <c r="P289" s="7" t="n"/>
    </row>
    <row r="290" ht="45" customHeight="1">
      <c r="A290" s="4" t="inlineStr">
        <is>
          <t>C26</t>
        </is>
      </c>
      <c r="B290" s="4" t="inlineStr">
        <is>
          <t>Teachers Associateship for Research Excellence</t>
        </is>
      </c>
      <c r="C290" s="4" t="inlineStr">
        <is>
          <t>C26-SRC002</t>
        </is>
      </c>
      <c r="D290" s="4" t="inlineStr">
        <is>
          <t>Eligibility text</t>
        </is>
      </c>
      <c r="E290" s="4" t="inlineStr">
        <is>
          <t>The applicant(s) must hold a regular academic/research position in State Universities/ Colleges and private Academic Institutions.</t>
        </is>
      </c>
      <c r="F290" s="4" t="inlineStr">
        <is>
          <t>MS-C26 / C26-P0009</t>
        </is>
      </c>
      <c r="G290" s="4" t="inlineStr"/>
      <c r="H290" s="7" t="inlineStr">
        <is>
          <t>Approved</t>
        </is>
      </c>
      <c r="I290" s="7" t="n"/>
      <c r="J290" s="4" t="inlineStr">
        <is>
          <t>Eligibility</t>
        </is>
      </c>
      <c r="K290" s="4" t="inlineStr">
        <is>
          <t>en.eligibilityCriteria.eligibilityDescription[0].children[0].children[1]</t>
        </is>
      </c>
      <c r="L290" s="4" t="inlineStr">
        <is>
          <t>C26@20261028-db2b8659</t>
        </is>
      </c>
      <c r="M290" s="4" t="inlineStr">
        <is>
          <t>Source extract; not executable</t>
        </is>
      </c>
      <c r="N290" s="7" t="inlineStr">
        <is>
          <t>Unassigned</t>
        </is>
      </c>
      <c r="O290" s="7" t="inlineStr">
        <is>
          <t>1/1</t>
        </is>
      </c>
      <c r="P290" s="7" t="n"/>
    </row>
    <row r="291" ht="45" customHeight="1">
      <c r="A291" s="4" t="inlineStr">
        <is>
          <t>C26</t>
        </is>
      </c>
      <c r="B291" s="4" t="inlineStr">
        <is>
          <t>Teachers Associateship for Research Excellence</t>
        </is>
      </c>
      <c r="C291" s="4" t="inlineStr">
        <is>
          <t>C26-SRC003</t>
        </is>
      </c>
      <c r="D291" s="4" t="inlineStr">
        <is>
          <t>Eligibility text</t>
        </is>
      </c>
      <c r="E291" s="4" t="inlineStr">
        <is>
          <t>Applicant should not hold any ongoing research projects or any fellowship at the time of submission of application.</t>
        </is>
      </c>
      <c r="F291" s="4" t="inlineStr">
        <is>
          <t>MS-C26 / C26-P0010</t>
        </is>
      </c>
      <c r="G291" s="4" t="inlineStr"/>
      <c r="H291" s="7" t="inlineStr">
        <is>
          <t>Approved</t>
        </is>
      </c>
      <c r="I291" s="7" t="n"/>
      <c r="J291" s="4" t="inlineStr">
        <is>
          <t>Eligibility</t>
        </is>
      </c>
      <c r="K291" s="4" t="inlineStr">
        <is>
          <t>en.eligibilityCriteria.eligibilityDescription[0].children[0].children[2]</t>
        </is>
      </c>
      <c r="L291" s="4" t="inlineStr">
        <is>
          <t>C26@20261028-db2b8659</t>
        </is>
      </c>
      <c r="M291" s="4" t="inlineStr">
        <is>
          <t>Source extract; not executable</t>
        </is>
      </c>
      <c r="N291" s="7" t="inlineStr">
        <is>
          <t>Unassigned</t>
        </is>
      </c>
      <c r="O291" s="7" t="inlineStr">
        <is>
          <t>1/1</t>
        </is>
      </c>
      <c r="P291" s="7" t="n"/>
    </row>
    <row r="292" ht="70.72" customHeight="1">
      <c r="A292" s="4" t="inlineStr">
        <is>
          <t>C26</t>
        </is>
      </c>
      <c r="B292" s="4" t="inlineStr">
        <is>
          <t>Teachers Associateship for Research Excellence</t>
        </is>
      </c>
      <c r="C292" s="4" t="inlineStr">
        <is>
          <t>C26-SRC004</t>
        </is>
      </c>
      <c r="D292" s="4" t="inlineStr">
        <is>
          <t>Exception candidate</t>
        </is>
      </c>
      <c r="E292" s="4" t="inlineStr">
        <is>
          <t>The upper age limit for the award is 45 years at the time of the submission of the application. Age relaxation of 5 (five) years will be given to candidates belonging to SC/ST/OBC/Physically Challenged &amp; Women candidates.</t>
        </is>
      </c>
      <c r="F292" s="4" t="inlineStr">
        <is>
          <t>MS-C26 / C26-P0011</t>
        </is>
      </c>
      <c r="G292" s="4" t="inlineStr"/>
      <c r="H292" s="7" t="inlineStr">
        <is>
          <t>Approved</t>
        </is>
      </c>
      <c r="I292" s="7" t="n"/>
      <c r="J292" s="4" t="inlineStr">
        <is>
          <t>Eligibility</t>
        </is>
      </c>
      <c r="K292" s="4" t="inlineStr">
        <is>
          <t>en.eligibilityCriteria.eligibilityDescription[0].children[0].children[3]</t>
        </is>
      </c>
      <c r="L292" s="4" t="inlineStr">
        <is>
          <t>C26@20261028-db2b8659</t>
        </is>
      </c>
      <c r="M292" s="4" t="inlineStr">
        <is>
          <t>Source extract; not executable</t>
        </is>
      </c>
      <c r="N292" s="7" t="inlineStr">
        <is>
          <t>Unassigned</t>
        </is>
      </c>
      <c r="O292" s="7" t="inlineStr">
        <is>
          <t>1/1</t>
        </is>
      </c>
      <c r="P292" s="7" t="n"/>
    </row>
    <row r="293" ht="45" customHeight="1">
      <c r="A293" s="4" t="inlineStr">
        <is>
          <t>C26</t>
        </is>
      </c>
      <c r="B293" s="4" t="inlineStr">
        <is>
          <t>Teachers Associateship for Research Excellence</t>
        </is>
      </c>
      <c r="C293" s="4" t="inlineStr">
        <is>
          <t>C26-SRC005</t>
        </is>
      </c>
      <c r="D293" s="4" t="inlineStr">
        <is>
          <t>Eligibility text</t>
        </is>
      </c>
      <c r="E293" s="4" t="inlineStr">
        <is>
          <t>Mentor should be at the level of Associate Professor/Scientist E, or higher level.</t>
        </is>
      </c>
      <c r="F293" s="4" t="inlineStr">
        <is>
          <t>MS-C26 / C26-P0012</t>
        </is>
      </c>
      <c r="G293" s="4" t="inlineStr"/>
      <c r="H293" s="7" t="inlineStr">
        <is>
          <t>Approved</t>
        </is>
      </c>
      <c r="I293" s="7" t="n"/>
      <c r="J293" s="4" t="inlineStr">
        <is>
          <t>Eligibility</t>
        </is>
      </c>
      <c r="K293" s="4" t="inlineStr">
        <is>
          <t>en.eligibilityCriteria.eligibilityDescription[0].children[0].children[4]</t>
        </is>
      </c>
      <c r="L293" s="4" t="inlineStr">
        <is>
          <t>C26@20261028-db2b8659</t>
        </is>
      </c>
      <c r="M293" s="4" t="inlineStr">
        <is>
          <t>Source extract; not executable</t>
        </is>
      </c>
      <c r="N293" s="7" t="inlineStr">
        <is>
          <t>Unassigned</t>
        </is>
      </c>
      <c r="O293" s="7" t="inlineStr">
        <is>
          <t>1/1</t>
        </is>
      </c>
      <c r="P293" s="7" t="n"/>
    </row>
    <row r="294" ht="45" customHeight="1">
      <c r="A294" s="4" t="inlineStr">
        <is>
          <t>C26</t>
        </is>
      </c>
      <c r="B294" s="4" t="inlineStr">
        <is>
          <t>Teachers Associateship for Research Excellence</t>
        </is>
      </c>
      <c r="C294" s="4" t="inlineStr">
        <is>
          <t>C26-SRC006</t>
        </is>
      </c>
      <c r="D294" s="4" t="inlineStr">
        <is>
          <t>Eligibility text</t>
        </is>
      </c>
      <c r="E294" s="4" t="inlineStr">
        <is>
          <t>Only one candidate will be allowed to work with a mentor at any given point of time.</t>
        </is>
      </c>
      <c r="F294" s="4" t="inlineStr">
        <is>
          <t>MS-C26 / C26-P0013</t>
        </is>
      </c>
      <c r="G294" s="4" t="inlineStr"/>
      <c r="H294" s="7" t="inlineStr">
        <is>
          <t>Approved</t>
        </is>
      </c>
      <c r="I294" s="7" t="n"/>
      <c r="J294" s="4" t="inlineStr">
        <is>
          <t>Eligibility</t>
        </is>
      </c>
      <c r="K294" s="4" t="inlineStr">
        <is>
          <t>en.eligibilityCriteria.eligibilityDescription[0].children[0].children[5]</t>
        </is>
      </c>
      <c r="L294" s="4" t="inlineStr">
        <is>
          <t>C26@20261028-db2b8659</t>
        </is>
      </c>
      <c r="M294" s="4" t="inlineStr">
        <is>
          <t>Source extract; not executable</t>
        </is>
      </c>
      <c r="N294" s="7" t="inlineStr">
        <is>
          <t>Unassigned</t>
        </is>
      </c>
      <c r="O294" s="7" t="inlineStr">
        <is>
          <t>1/1</t>
        </is>
      </c>
      <c r="P294" s="7" t="n"/>
    </row>
    <row r="295" ht="45" customHeight="1">
      <c r="A295" s="4" t="inlineStr">
        <is>
          <t>C26</t>
        </is>
      </c>
      <c r="B295" s="4" t="inlineStr">
        <is>
          <t>Teachers Associateship for Research Excellence</t>
        </is>
      </c>
      <c r="C295" s="4" t="inlineStr">
        <is>
          <t>C26-EMPTY-Exclusions</t>
        </is>
      </c>
      <c r="D295" s="4" t="inlineStr">
        <is>
          <t>Exclusions</t>
        </is>
      </c>
      <c r="E295" s="4" t="inlineStr">
        <is>
          <t>Not stated in the captured source. Do not infer no restrictions.</t>
        </is>
      </c>
      <c r="F295" s="4" t="inlineStr">
        <is>
          <t>MS-C26</t>
        </is>
      </c>
      <c r="G295" s="4" t="inlineStr">
        <is>
          <t>Full official guidelines required.</t>
        </is>
      </c>
      <c r="H295" s="7" t="inlineStr">
        <is>
          <t>Approved</t>
        </is>
      </c>
      <c r="I295" s="7" t="n"/>
      <c r="J295" s="4" t="inlineStr">
        <is>
          <t>Exclusions</t>
        </is>
      </c>
      <c r="K295" s="4" t="inlineStr"/>
      <c r="L295" s="4" t="inlineStr">
        <is>
          <t>C26@20261028-db2b8659</t>
        </is>
      </c>
      <c r="M295" s="4" t="inlineStr">
        <is>
          <t>Empty or absent in source</t>
        </is>
      </c>
      <c r="N295" s="7" t="inlineStr">
        <is>
          <t>Unassigned</t>
        </is>
      </c>
      <c r="O295" s="7" t="n"/>
      <c r="P295" s="7" t="n"/>
    </row>
    <row r="296" ht="51.2" customHeight="1">
      <c r="A296" s="4" t="inlineStr">
        <is>
          <t>C27</t>
        </is>
      </c>
      <c r="B296" s="4" t="inlineStr">
        <is>
          <t>Pradhan Mantri Virasat ka Samvardhan</t>
        </is>
      </c>
      <c r="C296" s="4" t="inlineStr">
        <is>
          <t>C27-SRC001</t>
        </is>
      </c>
      <c r="D296" s="4" t="inlineStr">
        <is>
          <t>Eligibility text</t>
        </is>
      </c>
      <c r="E296" s="4" t="inlineStr">
        <is>
          <t>1)	The Age of the applicant should be 14 to 45 years for skilling and education component and 18 to 45 years for Women Leadership and Entrepreneurship Component</t>
        </is>
      </c>
      <c r="F296" s="4" t="inlineStr">
        <is>
          <t>MS-C27 / C27-P0032</t>
        </is>
      </c>
      <c r="G296" s="4" t="inlineStr"/>
      <c r="H296" s="7" t="inlineStr">
        <is>
          <t>Approved</t>
        </is>
      </c>
      <c r="I296" s="7" t="n"/>
      <c r="J296" s="4" t="inlineStr">
        <is>
          <t>Eligibility</t>
        </is>
      </c>
      <c r="K296" s="4" t="inlineStr">
        <is>
          <t>en.eligibilityCriteria.eligibilityDescription[0]</t>
        </is>
      </c>
      <c r="L296" s="4" t="inlineStr">
        <is>
          <t>C27@20261028-7c3ca7ef</t>
        </is>
      </c>
      <c r="M296" s="4" t="inlineStr">
        <is>
          <t>Source extract; not executable</t>
        </is>
      </c>
      <c r="N296" s="7" t="inlineStr">
        <is>
          <t>Unassigned</t>
        </is>
      </c>
      <c r="O296" s="7" t="inlineStr">
        <is>
          <t>1/1</t>
        </is>
      </c>
      <c r="P296" s="7" t="n"/>
    </row>
    <row r="297" ht="63.68" customHeight="1">
      <c r="A297" s="4" t="inlineStr">
        <is>
          <t>C27</t>
        </is>
      </c>
      <c r="B297" s="4" t="inlineStr">
        <is>
          <t>Pradhan Mantri Virasat ka Samvardhan</t>
        </is>
      </c>
      <c r="C297" s="4" t="inlineStr">
        <is>
          <t>C27-SRC002</t>
        </is>
      </c>
      <c r="D297" s="4" t="inlineStr">
        <is>
          <t>Eligibility text</t>
        </is>
      </c>
      <c r="E297" s="4" t="inlineStr">
        <is>
          <t>2)	33% of total seats in Skilling and Training component, 50% of total seats in Education component and 100% of total seats in Women Leadership and Entrepreneurship component are earmarked for women.</t>
        </is>
      </c>
      <c r="F297" s="4" t="inlineStr">
        <is>
          <t>MS-C27 / C27-P0033</t>
        </is>
      </c>
      <c r="G297" s="4" t="inlineStr"/>
      <c r="H297" s="7" t="inlineStr">
        <is>
          <t>Approved</t>
        </is>
      </c>
      <c r="I297" s="7" t="n"/>
      <c r="J297" s="4" t="inlineStr">
        <is>
          <t>Eligibility</t>
        </is>
      </c>
      <c r="K297" s="4" t="inlineStr">
        <is>
          <t>en.eligibilityCriteria.eligibilityDescription[2]</t>
        </is>
      </c>
      <c r="L297" s="4" t="inlineStr">
        <is>
          <t>C27@20261028-7c3ca7ef</t>
        </is>
      </c>
      <c r="M297" s="4" t="inlineStr">
        <is>
          <t>Source extract; not executable</t>
        </is>
      </c>
      <c r="N297" s="7" t="inlineStr">
        <is>
          <t>Unassigned</t>
        </is>
      </c>
      <c r="O297" s="7" t="inlineStr">
        <is>
          <t>1/1</t>
        </is>
      </c>
      <c r="P297" s="7" t="n"/>
    </row>
    <row r="298" ht="84.8" customHeight="1">
      <c r="A298" s="4" t="inlineStr">
        <is>
          <t>C27</t>
        </is>
      </c>
      <c r="B298" s="4" t="inlineStr">
        <is>
          <t>Pradhan Mantri Virasat ka Samvardhan</t>
        </is>
      </c>
      <c r="C298" s="4" t="inlineStr">
        <is>
          <t>C27-SRC003</t>
        </is>
      </c>
      <c r="D298" s="4" t="inlineStr">
        <is>
          <t>Eligibility text</t>
        </is>
      </c>
      <c r="E298" s="4" t="inlineStr">
        <is>
          <t>3)	The education qualification for Skilling and Training component would be as per NSQF norms and Education component would be as per NIOS norms. Candidates with aptitude and leadership qualities will be selected for Women Leadership and Entrepreneurship component.</t>
        </is>
      </c>
      <c r="F298" s="4" t="inlineStr">
        <is>
          <t>MS-C27 / C27-P0034</t>
        </is>
      </c>
      <c r="G298" s="4" t="inlineStr"/>
      <c r="H298" s="7" t="inlineStr">
        <is>
          <t>Approved</t>
        </is>
      </c>
      <c r="I298" s="7" t="n"/>
      <c r="J298" s="4" t="inlineStr">
        <is>
          <t>Eligibility</t>
        </is>
      </c>
      <c r="K298" s="4" t="inlineStr">
        <is>
          <t>en.eligibilityCriteria.eligibilityDescription[4]</t>
        </is>
      </c>
      <c r="L298" s="4" t="inlineStr">
        <is>
          <t>C27@20261028-7c3ca7ef</t>
        </is>
      </c>
      <c r="M298" s="4" t="inlineStr">
        <is>
          <t>Source extract; not executable</t>
        </is>
      </c>
      <c r="N298" s="7" t="inlineStr">
        <is>
          <t>Unassigned</t>
        </is>
      </c>
      <c r="O298" s="7" t="inlineStr">
        <is>
          <t>1/1</t>
        </is>
      </c>
      <c r="P298" s="7" t="n"/>
    </row>
    <row r="299" ht="45" customHeight="1">
      <c r="A299" s="4" t="inlineStr">
        <is>
          <t>C27</t>
        </is>
      </c>
      <c r="B299" s="4" t="inlineStr">
        <is>
          <t>Pradhan Mantri Virasat ka Samvardhan</t>
        </is>
      </c>
      <c r="C299" s="4" t="inlineStr">
        <is>
          <t>C27-EMPTY-Exclusions</t>
        </is>
      </c>
      <c r="D299" s="4" t="inlineStr">
        <is>
          <t>Exclusions</t>
        </is>
      </c>
      <c r="E299" s="4" t="inlineStr">
        <is>
          <t>Not stated in the captured source. Do not infer no restrictions.</t>
        </is>
      </c>
      <c r="F299" s="4" t="inlineStr">
        <is>
          <t>MS-C27</t>
        </is>
      </c>
      <c r="G299" s="4" t="inlineStr">
        <is>
          <t>Full official guidelines required.</t>
        </is>
      </c>
      <c r="H299" s="7" t="inlineStr">
        <is>
          <t>Approved</t>
        </is>
      </c>
      <c r="I299" s="7" t="n"/>
      <c r="J299" s="4" t="inlineStr">
        <is>
          <t>Exclusions</t>
        </is>
      </c>
      <c r="K299" s="4" t="inlineStr"/>
      <c r="L299" s="4" t="inlineStr">
        <is>
          <t>C27@20261028-7c3ca7ef</t>
        </is>
      </c>
      <c r="M299" s="4" t="inlineStr">
        <is>
          <t>Empty or absent in source</t>
        </is>
      </c>
      <c r="N299" s="7" t="inlineStr">
        <is>
          <t>Unassigned</t>
        </is>
      </c>
      <c r="O299" s="7" t="n"/>
      <c r="P299" s="7" t="n"/>
    </row>
    <row r="300" ht="45" customHeight="1">
      <c r="A300" s="4" t="inlineStr">
        <is>
          <t>C28</t>
        </is>
      </c>
      <c r="B300" s="4" t="inlineStr">
        <is>
          <t>Agnipath Yojana</t>
        </is>
      </c>
      <c r="C300" s="4" t="inlineStr">
        <is>
          <t>C28-SRC001</t>
        </is>
      </c>
      <c r="D300" s="4" t="inlineStr">
        <is>
          <t>Eligibility text</t>
        </is>
      </c>
      <c r="E300" s="4" t="inlineStr">
        <is>
          <t>The applicant must be a citizen of India.</t>
        </is>
      </c>
      <c r="F300" s="4" t="inlineStr">
        <is>
          <t>MS-C28 / C28-P0045</t>
        </is>
      </c>
      <c r="G300" s="4" t="inlineStr"/>
      <c r="H300" s="7" t="inlineStr">
        <is>
          <t>Approved</t>
        </is>
      </c>
      <c r="I300" s="7" t="n"/>
      <c r="J300" s="4" t="inlineStr">
        <is>
          <t>Eligibility</t>
        </is>
      </c>
      <c r="K300" s="4" t="inlineStr">
        <is>
          <t>en.eligibilityCriteria.eligibilityDescription[0].children[0].children[0]</t>
        </is>
      </c>
      <c r="L300" s="4" t="inlineStr">
        <is>
          <t>C28@20261028-f53d5aa4</t>
        </is>
      </c>
      <c r="M300" s="4" t="inlineStr">
        <is>
          <t>Source extract; not executable</t>
        </is>
      </c>
      <c r="N300" s="7" t="inlineStr">
        <is>
          <t>Unassigned</t>
        </is>
      </c>
      <c r="O300" s="7" t="inlineStr">
        <is>
          <t>1/1</t>
        </is>
      </c>
      <c r="P300" s="7" t="n"/>
    </row>
    <row r="301" ht="54.4" customHeight="1">
      <c r="A301" s="4" t="inlineStr">
        <is>
          <t>C28</t>
        </is>
      </c>
      <c r="B301" s="4" t="inlineStr">
        <is>
          <t>Agnipath Yojana</t>
        </is>
      </c>
      <c r="C301" s="4" t="inlineStr">
        <is>
          <t>C28-SRC002</t>
        </is>
      </c>
      <c r="D301" s="4" t="inlineStr">
        <is>
          <t>Eligibility text</t>
        </is>
      </c>
      <c r="E301" s="4" t="inlineStr">
        <is>
          <t>For the 2022 intake, the age of the applicant should be between 17.5 to 23 years. For the subsequent intakes, the age of the applicant should be between 17.5 to 21 years.</t>
        </is>
      </c>
      <c r="F301" s="4" t="inlineStr">
        <is>
          <t>MS-C28 / C28-P0046</t>
        </is>
      </c>
      <c r="G301" s="4" t="inlineStr"/>
      <c r="H301" s="7" t="inlineStr">
        <is>
          <t>Approved</t>
        </is>
      </c>
      <c r="I301" s="7" t="n"/>
      <c r="J301" s="4" t="inlineStr">
        <is>
          <t>Eligibility</t>
        </is>
      </c>
      <c r="K301" s="4" t="inlineStr">
        <is>
          <t>en.eligibilityCriteria.eligibilityDescription[0].children[0].children[1]</t>
        </is>
      </c>
      <c r="L301" s="4" t="inlineStr">
        <is>
          <t>C28@20261028-f53d5aa4</t>
        </is>
      </c>
      <c r="M301" s="4" t="inlineStr">
        <is>
          <t>Source extract; not executable</t>
        </is>
      </c>
      <c r="N301" s="7" t="inlineStr">
        <is>
          <t>Unassigned</t>
        </is>
      </c>
      <c r="O301" s="7" t="inlineStr">
        <is>
          <t>1/1</t>
        </is>
      </c>
      <c r="P301" s="7" t="n"/>
    </row>
    <row r="302" ht="47.68" customHeight="1">
      <c r="A302" s="4" t="inlineStr">
        <is>
          <t>C28</t>
        </is>
      </c>
      <c r="B302" s="4" t="inlineStr">
        <is>
          <t>Agnipath Yojana</t>
        </is>
      </c>
      <c r="C302" s="4" t="inlineStr">
        <is>
          <t>C28-SRC003</t>
        </is>
      </c>
      <c r="D302" s="4" t="inlineStr">
        <is>
          <t>Eligibility text</t>
        </is>
      </c>
      <c r="E302" s="4" t="inlineStr">
        <is>
          <t>The applicant must fulfill the educational qualifications and physical and medical standards set by the Indian Army / Indian Navy / Indian Air Force.</t>
        </is>
      </c>
      <c r="F302" s="4" t="inlineStr">
        <is>
          <t>MS-C28 / C28-P0047</t>
        </is>
      </c>
      <c r="G302" s="4" t="inlineStr"/>
      <c r="H302" s="7" t="inlineStr">
        <is>
          <t>Approved</t>
        </is>
      </c>
      <c r="I302" s="7" t="n"/>
      <c r="J302" s="4" t="inlineStr">
        <is>
          <t>Eligibility</t>
        </is>
      </c>
      <c r="K302" s="4" t="inlineStr">
        <is>
          <t>en.eligibilityCriteria.eligibilityDescription[0].children[0].children[2]</t>
        </is>
      </c>
      <c r="L302" s="4" t="inlineStr">
        <is>
          <t>C28@20261028-f53d5aa4</t>
        </is>
      </c>
      <c r="M302" s="4" t="inlineStr">
        <is>
          <t>Source extract; not executable</t>
        </is>
      </c>
      <c r="N302" s="7" t="inlineStr">
        <is>
          <t>Unassigned</t>
        </is>
      </c>
      <c r="O302" s="7" t="inlineStr">
        <is>
          <t>1/1</t>
        </is>
      </c>
      <c r="P302" s="7" t="n"/>
    </row>
    <row r="303" ht="65.59999999999999" customHeight="1">
      <c r="A303" s="4" t="inlineStr">
        <is>
          <t>C28</t>
        </is>
      </c>
      <c r="B303" s="4" t="inlineStr">
        <is>
          <t>Agnipath Yojana</t>
        </is>
      </c>
      <c r="C303" s="4" t="inlineStr">
        <is>
          <t>C28-SRC004</t>
        </is>
      </c>
      <c r="D303" s="4" t="inlineStr">
        <is>
          <t>Eligibility text</t>
        </is>
      </c>
      <c r="E303" s="4" t="inlineStr">
        <is>
          <t>Note 01: The Agniveers will be enrolled in the Forces under respective Service Acts for a period of four years. They would form a distinct rank in the Armed Forces, different from any other existing ranks.</t>
        </is>
      </c>
      <c r="F303" s="4" t="inlineStr">
        <is>
          <t>MS-C28 / C28-P0048</t>
        </is>
      </c>
      <c r="G303" s="4" t="inlineStr"/>
      <c r="H303" s="7" t="inlineStr">
        <is>
          <t>Approved</t>
        </is>
      </c>
      <c r="I303" s="7" t="n"/>
      <c r="J303" s="4" t="inlineStr">
        <is>
          <t>Eligibility</t>
        </is>
      </c>
      <c r="K303" s="4" t="inlineStr">
        <is>
          <t>en.eligibilityCriteria.eligibilityDescription[1].children[0]</t>
        </is>
      </c>
      <c r="L303" s="4" t="inlineStr">
        <is>
          <t>C28@20261028-f53d5aa4</t>
        </is>
      </c>
      <c r="M303" s="4" t="inlineStr">
        <is>
          <t>Source extract; not executable</t>
        </is>
      </c>
      <c r="N303" s="7" t="inlineStr">
        <is>
          <t>Unassigned</t>
        </is>
      </c>
      <c r="O303" s="7" t="inlineStr">
        <is>
          <t>1/1</t>
        </is>
      </c>
      <c r="P303" s="7" t="n"/>
    </row>
    <row r="304" ht="80" customHeight="1">
      <c r="A304" s="4" t="inlineStr">
        <is>
          <t>C28</t>
        </is>
      </c>
      <c r="B304" s="4" t="inlineStr">
        <is>
          <t>Agnipath Yojana</t>
        </is>
      </c>
      <c r="C304" s="4" t="inlineStr">
        <is>
          <t>C28-SRC005</t>
        </is>
      </c>
      <c r="D304" s="4" t="inlineStr">
        <is>
          <t>Eligibility text</t>
        </is>
      </c>
      <c r="E304" s="4" t="inlineStr">
        <is>
          <t>Note 02: Upon the completion of four years of service, based on organizational requirements and policies promulgated by the Armed Forces from time to time, Agniveers will be offered an opportunity to apply for permanent enrolment in the Armed Forces.</t>
        </is>
      </c>
      <c r="F304" s="4" t="inlineStr">
        <is>
          <t>MS-C28 / C28-P0049</t>
        </is>
      </c>
      <c r="G304" s="4" t="inlineStr"/>
      <c r="H304" s="7" t="inlineStr">
        <is>
          <t>Approved</t>
        </is>
      </c>
      <c r="I304" s="7" t="n"/>
      <c r="J304" s="4" t="inlineStr">
        <is>
          <t>Eligibility</t>
        </is>
      </c>
      <c r="K304" s="4" t="inlineStr">
        <is>
          <t>en.eligibilityCriteria.eligibilityDescription[1].children[1]</t>
        </is>
      </c>
      <c r="L304" s="4" t="inlineStr">
        <is>
          <t>C28@20261028-f53d5aa4</t>
        </is>
      </c>
      <c r="M304" s="4" t="inlineStr">
        <is>
          <t>Source extract; not executable</t>
        </is>
      </c>
      <c r="N304" s="7" t="inlineStr">
        <is>
          <t>Unassigned</t>
        </is>
      </c>
      <c r="O304" s="7" t="inlineStr">
        <is>
          <t>1/1</t>
        </is>
      </c>
      <c r="P304" s="7" t="n"/>
    </row>
    <row r="305" ht="115.84" customHeight="1">
      <c r="A305" s="4" t="inlineStr">
        <is>
          <t>C28</t>
        </is>
      </c>
      <c r="B305" s="4" t="inlineStr">
        <is>
          <t>Agnipath Yojana</t>
        </is>
      </c>
      <c r="C305" s="4" t="inlineStr">
        <is>
          <t>C28-SRC006</t>
        </is>
      </c>
      <c r="D305" s="4" t="inlineStr">
        <is>
          <t>Eligibility text</t>
        </is>
      </c>
      <c r="E305" s="4" t="inlineStr">
        <is>
          <t>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t>
        </is>
      </c>
      <c r="F305" s="4" t="inlineStr">
        <is>
          <t>MS-C28 / C28-P0050</t>
        </is>
      </c>
      <c r="G305" s="4" t="inlineStr"/>
      <c r="H305" s="7" t="inlineStr">
        <is>
          <t>Approved</t>
        </is>
      </c>
      <c r="I305" s="7" t="n"/>
      <c r="J305" s="4" t="inlineStr">
        <is>
          <t>Eligibility</t>
        </is>
      </c>
      <c r="K305" s="4" t="inlineStr">
        <is>
          <t>en.eligibilityCriteria.eligibilityDescription[1].children[2]</t>
        </is>
      </c>
      <c r="L305" s="4" t="inlineStr">
        <is>
          <t>C28@20261028-f53d5aa4</t>
        </is>
      </c>
      <c r="M305" s="4" t="inlineStr">
        <is>
          <t>Source extract; not executable</t>
        </is>
      </c>
      <c r="N305" s="7" t="inlineStr">
        <is>
          <t>Unassigned</t>
        </is>
      </c>
      <c r="O305" s="7" t="inlineStr">
        <is>
          <t>1/1</t>
        </is>
      </c>
      <c r="P305" s="7" t="n"/>
    </row>
    <row r="306" ht="49.28" customHeight="1">
      <c r="A306" s="4" t="inlineStr">
        <is>
          <t>C28</t>
        </is>
      </c>
      <c r="B306" s="4" t="inlineStr">
        <is>
          <t>Agnipath Yojana</t>
        </is>
      </c>
      <c r="C306" s="4" t="inlineStr">
        <is>
          <t>C28-SRC007</t>
        </is>
      </c>
      <c r="D306" s="4" t="inlineStr">
        <is>
          <t>Eligibility text</t>
        </is>
      </c>
      <c r="E306" s="4" t="inlineStr">
        <is>
          <t>Note 04: Agniveers will meet the medical eligibility conditions laid down for enrolment in the armed forces as applicable to respective categories/trades.</t>
        </is>
      </c>
      <c r="F306" s="4" t="inlineStr">
        <is>
          <t>MS-C28 / C28-P0051</t>
        </is>
      </c>
      <c r="G306" s="4" t="inlineStr"/>
      <c r="H306" s="7" t="inlineStr">
        <is>
          <t>Approved</t>
        </is>
      </c>
      <c r="I306" s="7" t="n"/>
      <c r="J306" s="4" t="inlineStr">
        <is>
          <t>Eligibility</t>
        </is>
      </c>
      <c r="K306" s="4" t="inlineStr">
        <is>
          <t>en.eligibilityCriteria.eligibilityDescription[1].children[3]</t>
        </is>
      </c>
      <c r="L306" s="4" t="inlineStr">
        <is>
          <t>C28@20261028-f53d5aa4</t>
        </is>
      </c>
      <c r="M306" s="4" t="inlineStr">
        <is>
          <t>Source extract; not executable</t>
        </is>
      </c>
      <c r="N306" s="7" t="inlineStr">
        <is>
          <t>Unassigned</t>
        </is>
      </c>
      <c r="O306" s="7" t="inlineStr">
        <is>
          <t>1/1</t>
        </is>
      </c>
      <c r="P306" s="7" t="n"/>
    </row>
    <row r="307" ht="45" customHeight="1">
      <c r="A307" s="4" t="inlineStr">
        <is>
          <t>C28</t>
        </is>
      </c>
      <c r="B307" s="4" t="inlineStr">
        <is>
          <t>Agnipath Yojana</t>
        </is>
      </c>
      <c r="C307" s="4" t="inlineStr">
        <is>
          <t>C28-SRC008</t>
        </is>
      </c>
      <c r="D307" s="4" t="inlineStr">
        <is>
          <t>Eligibility text</t>
        </is>
      </c>
      <c r="E307" s="4" t="inlineStr">
        <is>
          <t>Note 05: The educational qualification for Agniveers will remain as in vogue for enrollment in various categories.</t>
        </is>
      </c>
      <c r="F307" s="4" t="inlineStr">
        <is>
          <t>MS-C28 / C28-P0052</t>
        </is>
      </c>
      <c r="G307" s="4" t="inlineStr"/>
      <c r="H307" s="7" t="inlineStr">
        <is>
          <t>Approved</t>
        </is>
      </c>
      <c r="I307" s="7" t="n"/>
      <c r="J307" s="4" t="inlineStr">
        <is>
          <t>Eligibility</t>
        </is>
      </c>
      <c r="K307" s="4" t="inlineStr">
        <is>
          <t>en.eligibilityCriteria.eligibilityDescription[1].children[4]</t>
        </is>
      </c>
      <c r="L307" s="4" t="inlineStr">
        <is>
          <t>C28@20261028-f53d5aa4</t>
        </is>
      </c>
      <c r="M307" s="4" t="inlineStr">
        <is>
          <t>Source extract; not executable</t>
        </is>
      </c>
      <c r="N307" s="7" t="inlineStr">
        <is>
          <t>Unassigned</t>
        </is>
      </c>
      <c r="O307" s="7" t="inlineStr">
        <is>
          <t>1/1</t>
        </is>
      </c>
      <c r="P307" s="7" t="n"/>
    </row>
    <row r="308" ht="45" customHeight="1">
      <c r="A308" s="4" t="inlineStr">
        <is>
          <t>C28</t>
        </is>
      </c>
      <c r="B308" s="4" t="inlineStr">
        <is>
          <t>Agnipath Yojana</t>
        </is>
      </c>
      <c r="C308" s="4" t="inlineStr">
        <is>
          <t>C28-SRC009</t>
        </is>
      </c>
      <c r="D308" s="4" t="inlineStr">
        <is>
          <t>Exclusion text</t>
        </is>
      </c>
      <c r="E308" s="4" t="inlineStr">
        <is>
          <t>The scheme is applicable at the soldier (jawan) level, and not the officer level.</t>
        </is>
      </c>
      <c r="F308" s="4" t="inlineStr">
        <is>
          <t>MS-C28 / C28-P0053</t>
        </is>
      </c>
      <c r="G308" s="4" t="inlineStr"/>
      <c r="H308" s="7" t="inlineStr">
        <is>
          <t>Approved</t>
        </is>
      </c>
      <c r="I308" s="7" t="n"/>
      <c r="J308" s="4" t="inlineStr">
        <is>
          <t>Exclusions</t>
        </is>
      </c>
      <c r="K308" s="4" t="inlineStr">
        <is>
          <t>en.schemeContent.exclusions[0]</t>
        </is>
      </c>
      <c r="L308" s="4" t="inlineStr">
        <is>
          <t>C28@20261028-f53d5aa4</t>
        </is>
      </c>
      <c r="M308" s="4" t="inlineStr">
        <is>
          <t>Source extract; not executable</t>
        </is>
      </c>
      <c r="N308" s="7" t="inlineStr">
        <is>
          <t>Unassigned</t>
        </is>
      </c>
      <c r="O308" s="7" t="inlineStr">
        <is>
          <t>1/1</t>
        </is>
      </c>
      <c r="P308" s="7" t="n"/>
    </row>
    <row r="309" ht="45" customHeight="1">
      <c r="A309" s="4" t="inlineStr">
        <is>
          <t>C29</t>
        </is>
      </c>
      <c r="B309" s="4" t="inlineStr">
        <is>
          <t>Indira Gandhi National Disability Pension Scheme</t>
        </is>
      </c>
      <c r="C309" s="4" t="inlineStr">
        <is>
          <t>C29-SRC001</t>
        </is>
      </c>
      <c r="D309" s="4" t="inlineStr">
        <is>
          <t>Eligibility text</t>
        </is>
      </c>
      <c r="E309" s="4" t="inlineStr">
        <is>
          <t>The eligibility criteria for a disabled person to avail of the benefits are as follows.</t>
        </is>
      </c>
      <c r="F309" s="4" t="inlineStr">
        <is>
          <t>MS-C29 / C29-P0004</t>
        </is>
      </c>
      <c r="G309" s="4" t="inlineStr"/>
      <c r="H309" s="7" t="inlineStr">
        <is>
          <t>Approved</t>
        </is>
      </c>
      <c r="I309" s="7" t="n"/>
      <c r="J309" s="4" t="inlineStr">
        <is>
          <t>Eligibility</t>
        </is>
      </c>
      <c r="K309" s="4" t="inlineStr">
        <is>
          <t>en.eligibilityCriteria.eligibilityDescription[0]</t>
        </is>
      </c>
      <c r="L309" s="4" t="inlineStr">
        <is>
          <t>C29@20261028-2bdc71e1</t>
        </is>
      </c>
      <c r="M309" s="4" t="inlineStr">
        <is>
          <t>Source extract; not executable</t>
        </is>
      </c>
      <c r="N309" s="7" t="inlineStr">
        <is>
          <t>Unassigned</t>
        </is>
      </c>
      <c r="O309" s="7" t="inlineStr">
        <is>
          <t>1/1</t>
        </is>
      </c>
      <c r="P309" s="7" t="n"/>
    </row>
    <row r="310" ht="45" customHeight="1">
      <c r="A310" s="4" t="inlineStr">
        <is>
          <t>C29</t>
        </is>
      </c>
      <c r="B310" s="4" t="inlineStr">
        <is>
          <t>Indira Gandhi National Disability Pension Scheme</t>
        </is>
      </c>
      <c r="C310" s="4" t="inlineStr">
        <is>
          <t>C29-SRC002</t>
        </is>
      </c>
      <c r="D310" s="4" t="inlineStr">
        <is>
          <t>Eligibility text</t>
        </is>
      </c>
      <c r="E310" s="4" t="inlineStr">
        <is>
          <t>The age of the applicant should be 18 years and above.</t>
        </is>
      </c>
      <c r="F310" s="4" t="inlineStr">
        <is>
          <t>MS-C29 / C29-P0005</t>
        </is>
      </c>
      <c r="G310" s="4" t="inlineStr"/>
      <c r="H310" s="7" t="inlineStr">
        <is>
          <t>Approved</t>
        </is>
      </c>
      <c r="I310" s="7" t="n"/>
      <c r="J310" s="4" t="inlineStr">
        <is>
          <t>Eligibility</t>
        </is>
      </c>
      <c r="K310" s="4" t="inlineStr">
        <is>
          <t>en.eligibilityCriteria.eligibilityDescription[2].children[0]</t>
        </is>
      </c>
      <c r="L310" s="4" t="inlineStr">
        <is>
          <t>C29@20261028-2bdc71e1</t>
        </is>
      </c>
      <c r="M310" s="4" t="inlineStr">
        <is>
          <t>Source extract; not executable</t>
        </is>
      </c>
      <c r="N310" s="7" t="inlineStr">
        <is>
          <t>Unassigned</t>
        </is>
      </c>
      <c r="O310" s="7" t="inlineStr">
        <is>
          <t>1/1</t>
        </is>
      </c>
      <c r="P310" s="7" t="n"/>
    </row>
    <row r="311" ht="45" customHeight="1">
      <c r="A311" s="4" t="inlineStr">
        <is>
          <t>C29</t>
        </is>
      </c>
      <c r="B311" s="4" t="inlineStr">
        <is>
          <t>Indira Gandhi National Disability Pension Scheme</t>
        </is>
      </c>
      <c r="C311" s="4" t="inlineStr">
        <is>
          <t>C29-SRC003</t>
        </is>
      </c>
      <c r="D311" s="4" t="inlineStr">
        <is>
          <t>Eligibility text</t>
        </is>
      </c>
      <c r="E311" s="4" t="inlineStr">
        <is>
          <t>The applicant should be a resident of India.</t>
        </is>
      </c>
      <c r="F311" s="4" t="inlineStr">
        <is>
          <t>MS-C29 / C29-P0006</t>
        </is>
      </c>
      <c r="G311" s="4" t="inlineStr"/>
      <c r="H311" s="7" t="inlineStr">
        <is>
          <t>Approved</t>
        </is>
      </c>
      <c r="I311" s="7" t="n"/>
      <c r="J311" s="4" t="inlineStr">
        <is>
          <t>Eligibility</t>
        </is>
      </c>
      <c r="K311" s="4" t="inlineStr">
        <is>
          <t>en.eligibilityCriteria.eligibilityDescription[2].children[1]</t>
        </is>
      </c>
      <c r="L311" s="4" t="inlineStr">
        <is>
          <t>C29@20261028-2bdc71e1</t>
        </is>
      </c>
      <c r="M311" s="4" t="inlineStr">
        <is>
          <t>Source extract; not executable</t>
        </is>
      </c>
      <c r="N311" s="7" t="inlineStr">
        <is>
          <t>Unassigned</t>
        </is>
      </c>
      <c r="O311" s="7" t="inlineStr">
        <is>
          <t>1/1</t>
        </is>
      </c>
      <c r="P311" s="7" t="n"/>
    </row>
    <row r="312" ht="45" customHeight="1">
      <c r="A312" s="4" t="inlineStr">
        <is>
          <t>C29</t>
        </is>
      </c>
      <c r="B312" s="4" t="inlineStr">
        <is>
          <t>Indira Gandhi National Disability Pension Scheme</t>
        </is>
      </c>
      <c r="C312" s="4" t="inlineStr">
        <is>
          <t>C29-SRC004</t>
        </is>
      </c>
      <c r="D312" s="4" t="inlineStr">
        <is>
          <t>Eligibility text</t>
        </is>
      </c>
      <c r="E312" s="4" t="inlineStr">
        <is>
          <t>The applicant should be a physically or mentally disabled person.</t>
        </is>
      </c>
      <c r="F312" s="4" t="inlineStr">
        <is>
          <t>MS-C29 / C29-P0007</t>
        </is>
      </c>
      <c r="G312" s="4" t="inlineStr"/>
      <c r="H312" s="7" t="inlineStr">
        <is>
          <t>Approved</t>
        </is>
      </c>
      <c r="I312" s="7" t="n"/>
      <c r="J312" s="4" t="inlineStr">
        <is>
          <t>Eligibility</t>
        </is>
      </c>
      <c r="K312" s="4" t="inlineStr">
        <is>
          <t>en.eligibilityCriteria.eligibilityDescription[2].children[2]</t>
        </is>
      </c>
      <c r="L312" s="4" t="inlineStr">
        <is>
          <t>C29@20261028-2bdc71e1</t>
        </is>
      </c>
      <c r="M312" s="4" t="inlineStr">
        <is>
          <t>Source extract; not executable</t>
        </is>
      </c>
      <c r="N312" s="7" t="inlineStr">
        <is>
          <t>Unassigned</t>
        </is>
      </c>
      <c r="O312" s="7" t="inlineStr">
        <is>
          <t>1/1</t>
        </is>
      </c>
      <c r="P312" s="7" t="n"/>
    </row>
    <row r="313" ht="45" customHeight="1">
      <c r="A313" s="4" t="inlineStr">
        <is>
          <t>C29</t>
        </is>
      </c>
      <c r="B313" s="4" t="inlineStr">
        <is>
          <t>Indira Gandhi National Disability Pension Scheme</t>
        </is>
      </c>
      <c r="C313" s="4" t="inlineStr">
        <is>
          <t>C29-SRC005</t>
        </is>
      </c>
      <c r="D313" s="4" t="inlineStr">
        <is>
          <t>Eligibility text</t>
        </is>
      </c>
      <c r="E313" s="4" t="inlineStr">
        <is>
          <t>The applicant’s disability should be more than 80%.</t>
        </is>
      </c>
      <c r="F313" s="4" t="inlineStr">
        <is>
          <t>MS-C29 / C29-P0008</t>
        </is>
      </c>
      <c r="G313" s="4" t="inlineStr"/>
      <c r="H313" s="7" t="inlineStr">
        <is>
          <t>Approved</t>
        </is>
      </c>
      <c r="I313" s="7" t="n"/>
      <c r="J313" s="4" t="inlineStr">
        <is>
          <t>Eligibility</t>
        </is>
      </c>
      <c r="K313" s="4" t="inlineStr">
        <is>
          <t>en.eligibilityCriteria.eligibilityDescription[2].children[3]</t>
        </is>
      </c>
      <c r="L313" s="4" t="inlineStr">
        <is>
          <t>C29@20261028-2bdc71e1</t>
        </is>
      </c>
      <c r="M313" s="4" t="inlineStr">
        <is>
          <t>Source extract; not executable</t>
        </is>
      </c>
      <c r="N313" s="7" t="inlineStr">
        <is>
          <t>Unassigned</t>
        </is>
      </c>
      <c r="O313" s="7" t="inlineStr">
        <is>
          <t>1/1</t>
        </is>
      </c>
      <c r="P313" s="7" t="n"/>
    </row>
    <row r="314" ht="45" customHeight="1">
      <c r="A314" s="4" t="inlineStr">
        <is>
          <t>C29</t>
        </is>
      </c>
      <c r="B314" s="4" t="inlineStr">
        <is>
          <t>Indira Gandhi National Disability Pension Scheme</t>
        </is>
      </c>
      <c r="C314" s="4" t="inlineStr">
        <is>
          <t>C29-SRC006</t>
        </is>
      </c>
      <c r="D314" s="4" t="inlineStr">
        <is>
          <t>Eligibility text</t>
        </is>
      </c>
      <c r="E314" s="4" t="inlineStr">
        <is>
          <t>Dwarfs are also eligible for this scheme.</t>
        </is>
      </c>
      <c r="F314" s="4" t="inlineStr">
        <is>
          <t>MS-C29 / C29-P0009</t>
        </is>
      </c>
      <c r="G314" s="4" t="inlineStr"/>
      <c r="H314" s="7" t="inlineStr">
        <is>
          <t>Approved</t>
        </is>
      </c>
      <c r="I314" s="7" t="n"/>
      <c r="J314" s="4" t="inlineStr">
        <is>
          <t>Eligibility</t>
        </is>
      </c>
      <c r="K314" s="4" t="inlineStr">
        <is>
          <t>en.eligibilityCriteria.eligibilityDescription[2].children[4]</t>
        </is>
      </c>
      <c r="L314" s="4" t="inlineStr">
        <is>
          <t>C29@20261028-2bdc71e1</t>
        </is>
      </c>
      <c r="M314" s="4" t="inlineStr">
        <is>
          <t>Source extract; not executable</t>
        </is>
      </c>
      <c r="N314" s="7" t="inlineStr">
        <is>
          <t>Unassigned</t>
        </is>
      </c>
      <c r="O314" s="7" t="inlineStr">
        <is>
          <t>1/1</t>
        </is>
      </c>
      <c r="P314" s="7" t="n"/>
    </row>
    <row r="315" ht="45" customHeight="1">
      <c r="A315" s="4" t="inlineStr">
        <is>
          <t>C29</t>
        </is>
      </c>
      <c r="B315" s="4" t="inlineStr">
        <is>
          <t>Indira Gandhi National Disability Pension Scheme</t>
        </is>
      </c>
      <c r="C315" s="4" t="inlineStr">
        <is>
          <t>C29-SRC007</t>
        </is>
      </c>
      <c r="D315" s="4" t="inlineStr">
        <is>
          <t>Eligibility text</t>
        </is>
      </c>
      <c r="E315" s="4" t="inlineStr">
        <is>
          <t>The applicant should belong to the Below Poverty Line.</t>
        </is>
      </c>
      <c r="F315" s="4" t="inlineStr">
        <is>
          <t>MS-C29 / C29-P0010</t>
        </is>
      </c>
      <c r="G315" s="4" t="inlineStr"/>
      <c r="H315" s="7" t="inlineStr">
        <is>
          <t>Approved</t>
        </is>
      </c>
      <c r="I315" s="7" t="n"/>
      <c r="J315" s="4" t="inlineStr">
        <is>
          <t>Eligibility</t>
        </is>
      </c>
      <c r="K315" s="4" t="inlineStr">
        <is>
          <t>en.eligibilityCriteria.eligibilityDescription[2].children[5]</t>
        </is>
      </c>
      <c r="L315" s="4" t="inlineStr">
        <is>
          <t>C29@20261028-2bdc71e1</t>
        </is>
      </c>
      <c r="M315" s="4" t="inlineStr">
        <is>
          <t>Source extract; not executable</t>
        </is>
      </c>
      <c r="N315" s="7" t="inlineStr">
        <is>
          <t>Unassigned</t>
        </is>
      </c>
      <c r="O315" s="7" t="inlineStr">
        <is>
          <t>1/1</t>
        </is>
      </c>
      <c r="P315" s="7" t="n"/>
    </row>
    <row r="316" ht="45" customHeight="1">
      <c r="A316" s="4" t="inlineStr">
        <is>
          <t>C29</t>
        </is>
      </c>
      <c r="B316" s="4" t="inlineStr">
        <is>
          <t>Indira Gandhi National Disability Pension Scheme</t>
        </is>
      </c>
      <c r="C316" s="4" t="inlineStr">
        <is>
          <t>C29-EMPTY-Exclusions</t>
        </is>
      </c>
      <c r="D316" s="4" t="inlineStr">
        <is>
          <t>Exclusions</t>
        </is>
      </c>
      <c r="E316" s="4" t="inlineStr">
        <is>
          <t>Not stated in the captured source. Do not infer no restrictions.</t>
        </is>
      </c>
      <c r="F316" s="4" t="inlineStr">
        <is>
          <t>MS-C29</t>
        </is>
      </c>
      <c r="G316" s="4" t="inlineStr">
        <is>
          <t>Full official guidelines required.</t>
        </is>
      </c>
      <c r="H316" s="7" t="inlineStr">
        <is>
          <t>Approved</t>
        </is>
      </c>
      <c r="I316" s="7" t="n"/>
      <c r="J316" s="4" t="inlineStr">
        <is>
          <t>Exclusions</t>
        </is>
      </c>
      <c r="K316" s="4" t="inlineStr"/>
      <c r="L316" s="4" t="inlineStr">
        <is>
          <t>C29@20261028-2bdc71e1</t>
        </is>
      </c>
      <c r="M316" s="4" t="inlineStr">
        <is>
          <t>Empty or absent in source</t>
        </is>
      </c>
      <c r="N316" s="7" t="inlineStr">
        <is>
          <t>Unassigned</t>
        </is>
      </c>
      <c r="O316" s="7" t="n"/>
      <c r="P316" s="7" t="n"/>
    </row>
    <row r="317" ht="107.2" customHeight="1">
      <c r="A317" s="4" t="inlineStr">
        <is>
          <t>C30</t>
        </is>
      </c>
      <c r="B317" s="4" t="inlineStr">
        <is>
          <t>Persons With Disabilities Scheme In Colleges: Higher Education For Persons With Special Needs</t>
        </is>
      </c>
      <c r="C317" s="4" t="inlineStr">
        <is>
          <t>C30-SRC001</t>
        </is>
      </c>
      <c r="D317" s="4" t="inlineStr">
        <is>
          <t>Eligibility text</t>
        </is>
      </c>
      <c r="E317" s="4" t="inlineStr">
        <is>
          <t>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t>
        </is>
      </c>
      <c r="F317" s="4" t="inlineStr">
        <is>
          <t>MS-C30 / C30-P0026</t>
        </is>
      </c>
      <c r="G317" s="4" t="inlineStr"/>
      <c r="H317" s="7" t="inlineStr">
        <is>
          <t>Approved</t>
        </is>
      </c>
      <c r="I317" s="7" t="n"/>
      <c r="J317" s="4" t="inlineStr">
        <is>
          <t>Eligibility</t>
        </is>
      </c>
      <c r="K317" s="4" t="inlineStr">
        <is>
          <t>en.eligibilityCriteria.eligibilityDescription[0].children[0]</t>
        </is>
      </c>
      <c r="L317" s="4" t="inlineStr">
        <is>
          <t>C30@20261028-a5d3e6b4</t>
        </is>
      </c>
      <c r="M317" s="4" t="inlineStr">
        <is>
          <t>Source extract; not executable</t>
        </is>
      </c>
      <c r="N317" s="7" t="inlineStr">
        <is>
          <t>Unassigned</t>
        </is>
      </c>
      <c r="O317" s="7" t="inlineStr">
        <is>
          <t>1/1</t>
        </is>
      </c>
      <c r="P317" s="7" t="n"/>
    </row>
    <row r="318" ht="45" customHeight="1">
      <c r="A318" s="4" t="inlineStr">
        <is>
          <t>C30</t>
        </is>
      </c>
      <c r="B318" s="4" t="inlineStr">
        <is>
          <t>Persons With Disabilities Scheme In Colleges: Higher Education For Persons With Special Needs</t>
        </is>
      </c>
      <c r="C318" s="4" t="inlineStr">
        <is>
          <t>C30-SRC002</t>
        </is>
      </c>
      <c r="D318" s="4" t="inlineStr">
        <is>
          <t>Eligibility text</t>
        </is>
      </c>
      <c r="E318" s="4" t="inlineStr">
        <is>
          <t>Institutions applying for the scheme should have been approved by the UGC under Sections 2(f) and 12 B.</t>
        </is>
      </c>
      <c r="F318" s="4" t="inlineStr">
        <is>
          <t>MS-C30 / C30-P0027</t>
        </is>
      </c>
      <c r="G318" s="4" t="inlineStr"/>
      <c r="H318" s="7" t="inlineStr">
        <is>
          <t>Approved</t>
        </is>
      </c>
      <c r="I318" s="7" t="n"/>
      <c r="J318" s="4" t="inlineStr">
        <is>
          <t>Eligibility</t>
        </is>
      </c>
      <c r="K318" s="4" t="inlineStr">
        <is>
          <t>en.eligibilityCriteria.eligibilityDescription[0].children[1]</t>
        </is>
      </c>
      <c r="L318" s="4" t="inlineStr">
        <is>
          <t>C30@20261028-a5d3e6b4</t>
        </is>
      </c>
      <c r="M318" s="4" t="inlineStr">
        <is>
          <t>Source extract; not executable</t>
        </is>
      </c>
      <c r="N318" s="7" t="inlineStr">
        <is>
          <t>Unassigned</t>
        </is>
      </c>
      <c r="O318" s="7" t="inlineStr">
        <is>
          <t>1/1</t>
        </is>
      </c>
      <c r="P318" s="7" t="n"/>
    </row>
    <row r="319" ht="80.96000000000001" customHeight="1">
      <c r="A319" s="4" t="inlineStr">
        <is>
          <t>C30</t>
        </is>
      </c>
      <c r="B319" s="4" t="inlineStr">
        <is>
          <t>Persons With Disabilities Scheme In Colleges: Higher Education For Persons With Special Needs</t>
        </is>
      </c>
      <c r="C319" s="4" t="inlineStr">
        <is>
          <t>C30-SRC003</t>
        </is>
      </c>
      <c r="D319" s="4" t="inlineStr">
        <is>
          <t>Eligibility text</t>
        </is>
      </c>
      <c r="E319" s="4" t="inlineStr">
        <is>
          <t>The college should have constituted an expert committee involving faculty members, experts in the field and differently-abled persons themselves. The committee should meet at least once a year to review the activities related to the concerned scheme(s).</t>
        </is>
      </c>
      <c r="F319" s="4" t="inlineStr">
        <is>
          <t>MS-C30 / C30-P0028</t>
        </is>
      </c>
      <c r="G319" s="4" t="inlineStr"/>
      <c r="H319" s="7" t="inlineStr">
        <is>
          <t>Approved</t>
        </is>
      </c>
      <c r="I319" s="7" t="n"/>
      <c r="J319" s="4" t="inlineStr">
        <is>
          <t>Eligibility</t>
        </is>
      </c>
      <c r="K319" s="4" t="inlineStr">
        <is>
          <t>en.eligibilityCriteria.eligibilityDescription[0].children[2]</t>
        </is>
      </c>
      <c r="L319" s="4" t="inlineStr">
        <is>
          <t>C30@20261028-a5d3e6b4</t>
        </is>
      </c>
      <c r="M319" s="4" t="inlineStr">
        <is>
          <t>Source extract; not executable</t>
        </is>
      </c>
      <c r="N319" s="7" t="inlineStr">
        <is>
          <t>Unassigned</t>
        </is>
      </c>
      <c r="O319" s="7" t="inlineStr">
        <is>
          <t>1/1</t>
        </is>
      </c>
      <c r="P319" s="7" t="n"/>
    </row>
    <row r="320" ht="45" customHeight="1">
      <c r="A320" s="4" t="inlineStr">
        <is>
          <t>C30</t>
        </is>
      </c>
      <c r="B320" s="4" t="inlineStr">
        <is>
          <t>Persons With Disabilities Scheme In Colleges: Higher Education For Persons With Special Needs</t>
        </is>
      </c>
      <c r="C320" s="4" t="inlineStr">
        <is>
          <t>C30-EMPTY-Exclusions</t>
        </is>
      </c>
      <c r="D320" s="4" t="inlineStr">
        <is>
          <t>Exclusions</t>
        </is>
      </c>
      <c r="E320" s="4" t="inlineStr">
        <is>
          <t>Not stated in the captured source. Do not infer no restrictions.</t>
        </is>
      </c>
      <c r="F320" s="4" t="inlineStr">
        <is>
          <t>MS-C30</t>
        </is>
      </c>
      <c r="G320" s="4" t="inlineStr">
        <is>
          <t>Full official guidelines required.</t>
        </is>
      </c>
      <c r="H320" s="7" t="inlineStr">
        <is>
          <t>Approved</t>
        </is>
      </c>
      <c r="I320" s="7" t="n"/>
      <c r="J320" s="4" t="inlineStr">
        <is>
          <t>Exclusions</t>
        </is>
      </c>
      <c r="K320" s="4" t="inlineStr"/>
      <c r="L320" s="4" t="inlineStr">
        <is>
          <t>C30@20261028-a5d3e6b4</t>
        </is>
      </c>
      <c r="M320" s="4" t="inlineStr">
        <is>
          <t>Empty or absent in source</t>
        </is>
      </c>
      <c r="N320" s="7" t="inlineStr">
        <is>
          <t>Unassigned</t>
        </is>
      </c>
      <c r="O320" s="7" t="n"/>
      <c r="P320" s="7" t="n"/>
    </row>
    <row r="321" ht="45" customHeight="1">
      <c r="A321" s="4" t="inlineStr">
        <is>
          <t>C31</t>
        </is>
      </c>
      <c r="B321" s="4" t="inlineStr">
        <is>
          <t>Scheme For Financial Assistance For Veteran Artists</t>
        </is>
      </c>
      <c r="C321" s="4" t="inlineStr">
        <is>
          <t>C31-SRC001</t>
        </is>
      </c>
      <c r="D321" s="4" t="inlineStr">
        <is>
          <t>Eligibility text</t>
        </is>
      </c>
      <c r="E321" s="4" t="inlineStr">
        <is>
          <t>To be eligible for assistance under the Scheme, a person's contribution to art and letters, etc. must be of significance.</t>
        </is>
      </c>
      <c r="F321" s="4" t="inlineStr">
        <is>
          <t>MS-C31 / C31-P0016</t>
        </is>
      </c>
      <c r="G321" s="4" t="inlineStr"/>
      <c r="H321" s="7" t="inlineStr">
        <is>
          <t>Approved</t>
        </is>
      </c>
      <c r="I321" s="7" t="n"/>
      <c r="J321" s="4" t="inlineStr">
        <is>
          <t>Eligibility</t>
        </is>
      </c>
      <c r="K321" s="4" t="inlineStr">
        <is>
          <t>en.eligibilityCriteria.eligibilityDescription[0].children[0].children[0]</t>
        </is>
      </c>
      <c r="L321" s="4" t="inlineStr">
        <is>
          <t>C31@20261028-f9d1bef9</t>
        </is>
      </c>
      <c r="M321" s="4" t="inlineStr">
        <is>
          <t>Source extract; not executable</t>
        </is>
      </c>
      <c r="N321" s="7" t="inlineStr">
        <is>
          <t>Unassigned</t>
        </is>
      </c>
      <c r="O321" s="7" t="inlineStr">
        <is>
          <t>1/1</t>
        </is>
      </c>
      <c r="P321" s="7" t="n"/>
    </row>
    <row r="322" ht="48.32" customHeight="1">
      <c r="A322" s="4" t="inlineStr">
        <is>
          <t>C31</t>
        </is>
      </c>
      <c r="B322" s="4" t="inlineStr">
        <is>
          <t>Scheme For Financial Assistance For Veteran Artists</t>
        </is>
      </c>
      <c r="C322" s="4" t="inlineStr">
        <is>
          <t>C31-SRC002</t>
        </is>
      </c>
      <c r="D322" s="4" t="inlineStr">
        <is>
          <t>Eligibility text</t>
        </is>
      </c>
      <c r="E322" s="4" t="inlineStr">
        <is>
          <t>Traditional scholars who have made significant contributions in their fields would also be eligible notwithstanding the absence of any published works.</t>
        </is>
      </c>
      <c r="F322" s="4" t="inlineStr">
        <is>
          <t>MS-C31 / C31-P0017</t>
        </is>
      </c>
      <c r="G322" s="4" t="inlineStr"/>
      <c r="H322" s="7" t="inlineStr">
        <is>
          <t>Approved</t>
        </is>
      </c>
      <c r="I322" s="7" t="n"/>
      <c r="J322" s="4" t="inlineStr">
        <is>
          <t>Eligibility</t>
        </is>
      </c>
      <c r="K322" s="4" t="inlineStr">
        <is>
          <t>en.eligibilityCriteria.eligibilityDescription[0].children[0].children[1]</t>
        </is>
      </c>
      <c r="L322" s="4" t="inlineStr">
        <is>
          <t>C31@20261028-f9d1bef9</t>
        </is>
      </c>
      <c r="M322" s="4" t="inlineStr">
        <is>
          <t>Source extract; not executable</t>
        </is>
      </c>
      <c r="N322" s="7" t="inlineStr">
        <is>
          <t>Unassigned</t>
        </is>
      </c>
      <c r="O322" s="7" t="inlineStr">
        <is>
          <t>1/1</t>
        </is>
      </c>
      <c r="P322" s="7" t="n"/>
    </row>
    <row r="323" ht="102.08" customHeight="1">
      <c r="A323" s="4" t="inlineStr">
        <is>
          <t>C31</t>
        </is>
      </c>
      <c r="B323" s="4" t="inlineStr">
        <is>
          <t>Scheme For Financial Assistance For Veteran Artists</t>
        </is>
      </c>
      <c r="C323" s="4" t="inlineStr">
        <is>
          <t>C31-SRC003</t>
        </is>
      </c>
      <c r="D323" s="4" t="inlineStr">
        <is>
          <t>Eligibility text</t>
        </is>
      </c>
      <c r="E323" s="4" t="inlineStr">
        <is>
          <t>The personal income of the applicant (including the income of the spouse) must not exceed ₹4,000/- per month or an annual income of ₹48,000/-. [This excludes artiste pension assistance amount already getting by a beneficiary from the Government (i.e. concerned State Govt./UT Administration and/or Ministry of Culture)]</t>
        </is>
      </c>
      <c r="F323" s="4" t="inlineStr">
        <is>
          <t>MS-C31 / C31-P0018</t>
        </is>
      </c>
      <c r="G323" s="4" t="inlineStr"/>
      <c r="H323" s="7" t="inlineStr">
        <is>
          <t>Approved</t>
        </is>
      </c>
      <c r="I323" s="7" t="n"/>
      <c r="J323" s="4" t="inlineStr">
        <is>
          <t>Eligibility</t>
        </is>
      </c>
      <c r="K323" s="4" t="inlineStr">
        <is>
          <t>en.eligibilityCriteria.eligibilityDescription[0].children[0].children[2]</t>
        </is>
      </c>
      <c r="L323" s="4" t="inlineStr">
        <is>
          <t>C31@20261028-f9d1bef9</t>
        </is>
      </c>
      <c r="M323" s="4" t="inlineStr">
        <is>
          <t>Source extract; not executable</t>
        </is>
      </c>
      <c r="N323" s="7" t="inlineStr">
        <is>
          <t>Unassigned</t>
        </is>
      </c>
      <c r="O323" s="7" t="inlineStr">
        <is>
          <t>1/1</t>
        </is>
      </c>
      <c r="P323" s="7" t="n"/>
    </row>
    <row r="324" ht="45" customHeight="1">
      <c r="A324" s="4" t="inlineStr">
        <is>
          <t>C31</t>
        </is>
      </c>
      <c r="B324" s="4" t="inlineStr">
        <is>
          <t>Scheme For Financial Assistance For Veteran Artists</t>
        </is>
      </c>
      <c r="C324" s="4" t="inlineStr">
        <is>
          <t>C31-SRC004</t>
        </is>
      </c>
      <c r="D324" s="4" t="inlineStr">
        <is>
          <t>Eligibility text</t>
        </is>
      </c>
      <c r="E324" s="4" t="inlineStr">
        <is>
          <t>The applicant should not be less than 60 (sixty) years of age (This does not apply in the case of a spouse).</t>
        </is>
      </c>
      <c r="F324" s="4" t="inlineStr">
        <is>
          <t>MS-C31 / C31-P0019</t>
        </is>
      </c>
      <c r="G324" s="4" t="inlineStr"/>
      <c r="H324" s="7" t="inlineStr">
        <is>
          <t>Approved</t>
        </is>
      </c>
      <c r="I324" s="7" t="n"/>
      <c r="J324" s="4" t="inlineStr">
        <is>
          <t>Eligibility</t>
        </is>
      </c>
      <c r="K324" s="4" t="inlineStr">
        <is>
          <t>en.eligibilityCriteria.eligibilityDescription[0].children[0].children[3]</t>
        </is>
      </c>
      <c r="L324" s="4" t="inlineStr">
        <is>
          <t>C31@20261028-f9d1bef9</t>
        </is>
      </c>
      <c r="M324" s="4" t="inlineStr">
        <is>
          <t>Source extract; not executable</t>
        </is>
      </c>
      <c r="N324" s="7" t="inlineStr">
        <is>
          <t>Unassigned</t>
        </is>
      </c>
      <c r="O324" s="7" t="inlineStr">
        <is>
          <t>1/1</t>
        </is>
      </c>
      <c r="P324" s="7" t="n"/>
    </row>
    <row r="325" ht="85.76000000000001" customHeight="1">
      <c r="A325" s="4" t="inlineStr">
        <is>
          <t>C31</t>
        </is>
      </c>
      <c r="B325" s="4" t="inlineStr">
        <is>
          <t>Scheme For Financial Assistance For Veteran Artists</t>
        </is>
      </c>
      <c r="C325" s="4" t="inlineStr">
        <is>
          <t>C31-SRC005</t>
        </is>
      </c>
      <c r="D325" s="4" t="inlineStr">
        <is>
          <t>Eligibility text</t>
        </is>
      </c>
      <c r="E325" s="4" t="inlineStr">
        <is>
          <t>The applicant artiste is getting a pension of at least ₹500/- per month from the concerned State Government/UT Administration or is recommended by the Zonal Cultural Centres, Ministry of Culture, for the artists of their Members State where State Pension is not there.</t>
        </is>
      </c>
      <c r="F325" s="4" t="inlineStr">
        <is>
          <t>MS-C31 / C31-P0020</t>
        </is>
      </c>
      <c r="G325" s="4" t="inlineStr"/>
      <c r="H325" s="7" t="inlineStr">
        <is>
          <t>Approved</t>
        </is>
      </c>
      <c r="I325" s="7" t="n"/>
      <c r="J325" s="4" t="inlineStr">
        <is>
          <t>Eligibility</t>
        </is>
      </c>
      <c r="K325" s="4" t="inlineStr">
        <is>
          <t>en.eligibilityCriteria.eligibilityDescription[0].children[0].children[4]</t>
        </is>
      </c>
      <c r="L325" s="4" t="inlineStr">
        <is>
          <t>C31@20261028-f9d1bef9</t>
        </is>
      </c>
      <c r="M325" s="4" t="inlineStr">
        <is>
          <t>Source extract; not executable</t>
        </is>
      </c>
      <c r="N325" s="7" t="inlineStr">
        <is>
          <t>Unassigned</t>
        </is>
      </c>
      <c r="O325" s="7" t="inlineStr">
        <is>
          <t>1/1</t>
        </is>
      </c>
      <c r="P325" s="7" t="n"/>
    </row>
    <row r="326" ht="45" customHeight="1">
      <c r="A326" s="4" t="inlineStr">
        <is>
          <t>C31</t>
        </is>
      </c>
      <c r="B326" s="4" t="inlineStr">
        <is>
          <t>Scheme For Financial Assistance For Veteran Artists</t>
        </is>
      </c>
      <c r="C326" s="4" t="inlineStr">
        <is>
          <t>C31-SRC006</t>
        </is>
      </c>
      <c r="D326" s="4" t="inlineStr">
        <is>
          <t>Eligibility text</t>
        </is>
      </c>
      <c r="E326" s="4" t="inlineStr">
        <is>
          <t>The applicant artists should not be getting financial assistance under other Schemes of the Ministry viz. Repertory Grant etc.</t>
        </is>
      </c>
      <c r="F326" s="4" t="inlineStr">
        <is>
          <t>MS-C31 / C31-P0021</t>
        </is>
      </c>
      <c r="G326" s="4" t="inlineStr"/>
      <c r="H326" s="7" t="inlineStr">
        <is>
          <t>Approved</t>
        </is>
      </c>
      <c r="I326" s="7" t="n"/>
      <c r="J326" s="4" t="inlineStr">
        <is>
          <t>Eligibility</t>
        </is>
      </c>
      <c r="K326" s="4" t="inlineStr">
        <is>
          <t>en.eligibilityCriteria.eligibilityDescription[0].children[0].children[5]</t>
        </is>
      </c>
      <c r="L326" s="4" t="inlineStr">
        <is>
          <t>C31@20261028-f9d1bef9</t>
        </is>
      </c>
      <c r="M326" s="4" t="inlineStr">
        <is>
          <t>Source extract; not executable</t>
        </is>
      </c>
      <c r="N326" s="7" t="inlineStr">
        <is>
          <t>Unassigned</t>
        </is>
      </c>
      <c r="O326" s="7" t="inlineStr">
        <is>
          <t>1/1</t>
        </is>
      </c>
      <c r="P326" s="7" t="n"/>
    </row>
    <row r="327" ht="45" customHeight="1">
      <c r="A327" s="4" t="inlineStr">
        <is>
          <t>C31</t>
        </is>
      </c>
      <c r="B327" s="4" t="inlineStr">
        <is>
          <t>Scheme For Financial Assistance For Veteran Artists</t>
        </is>
      </c>
      <c r="C327" s="4" t="inlineStr">
        <is>
          <t>C31-EMPTY-Exclusions</t>
        </is>
      </c>
      <c r="D327" s="4" t="inlineStr">
        <is>
          <t>Exclusions</t>
        </is>
      </c>
      <c r="E327" s="4" t="inlineStr">
        <is>
          <t>Not stated in the captured source. Do not infer no restrictions.</t>
        </is>
      </c>
      <c r="F327" s="4" t="inlineStr">
        <is>
          <t>MS-C31</t>
        </is>
      </c>
      <c r="G327" s="4" t="inlineStr">
        <is>
          <t>Full official guidelines required.</t>
        </is>
      </c>
      <c r="H327" s="7" t="inlineStr">
        <is>
          <t>Approved</t>
        </is>
      </c>
      <c r="I327" s="7" t="n"/>
      <c r="J327" s="4" t="inlineStr">
        <is>
          <t>Exclusions</t>
        </is>
      </c>
      <c r="K327" s="4" t="inlineStr"/>
      <c r="L327" s="4" t="inlineStr">
        <is>
          <t>C31@20261028-f9d1bef9</t>
        </is>
      </c>
      <c r="M327" s="4" t="inlineStr">
        <is>
          <t>Empty or absent in source</t>
        </is>
      </c>
      <c r="N327" s="7" t="inlineStr">
        <is>
          <t>Unassigned</t>
        </is>
      </c>
      <c r="O327" s="7" t="n"/>
      <c r="P327" s="7" t="n"/>
    </row>
    <row r="328" ht="107.2" customHeight="1">
      <c r="A328" s="4" t="inlineStr">
        <is>
          <t>C32</t>
        </is>
      </c>
      <c r="B328" s="4" t="inlineStr">
        <is>
          <t>Free Education For Sports Medal Winners / Participants Of National/ International Events</t>
        </is>
      </c>
      <c r="C328" s="4" t="inlineStr">
        <is>
          <t>C32-SRC001</t>
        </is>
      </c>
      <c r="D328" s="4" t="inlineStr">
        <is>
          <t>Eligibility text</t>
        </is>
      </c>
      <c r="E328" s="4" t="inlineStr">
        <is>
          <t>(i)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t>
        </is>
      </c>
      <c r="F328" s="4" t="inlineStr">
        <is>
          <t>MS-C32 / C32-P0034</t>
        </is>
      </c>
      <c r="G328" s="4" t="inlineStr"/>
      <c r="H328" s="7" t="inlineStr">
        <is>
          <t>Approved</t>
        </is>
      </c>
      <c r="I328" s="7" t="n"/>
      <c r="J328" s="4" t="inlineStr">
        <is>
          <t>Eligibility</t>
        </is>
      </c>
      <c r="K328" s="4" t="inlineStr">
        <is>
          <t>en.eligibilityCriteria.eligibilityDescription[0]</t>
        </is>
      </c>
      <c r="L328" s="4" t="inlineStr">
        <is>
          <t>C32@20261028-67ab4e80</t>
        </is>
      </c>
      <c r="M328" s="4" t="inlineStr">
        <is>
          <t>Source extract; not executable</t>
        </is>
      </c>
      <c r="N328" s="7" t="inlineStr">
        <is>
          <t>Unassigned</t>
        </is>
      </c>
      <c r="O328" s="7" t="inlineStr">
        <is>
          <t>1/1</t>
        </is>
      </c>
      <c r="P328" s="7" t="n"/>
    </row>
    <row r="329" ht="45" customHeight="1">
      <c r="A329" s="4" t="inlineStr">
        <is>
          <t>C32</t>
        </is>
      </c>
      <c r="B329" s="4" t="inlineStr">
        <is>
          <t>Free Education For Sports Medal Winners / Participants Of National/ International Events</t>
        </is>
      </c>
      <c r="C329" s="4" t="inlineStr">
        <is>
          <t>C32-SRC002</t>
        </is>
      </c>
      <c r="D329" s="4" t="inlineStr">
        <is>
          <t>Eligibility text</t>
        </is>
      </c>
      <c r="E329" s="4" t="inlineStr">
        <is>
          <t>Universities/Institutions/Colleges included under sections 2(f) and 12(b) of the UGC Act, 1956.</t>
        </is>
      </c>
      <c r="F329" s="4" t="inlineStr">
        <is>
          <t>MS-C32 / C32-P0035</t>
        </is>
      </c>
      <c r="G329" s="4" t="inlineStr"/>
      <c r="H329" s="7" t="inlineStr">
        <is>
          <t>Approved</t>
        </is>
      </c>
      <c r="I329" s="7" t="n"/>
      <c r="J329" s="4" t="inlineStr">
        <is>
          <t>Eligibility</t>
        </is>
      </c>
      <c r="K329" s="4" t="inlineStr">
        <is>
          <t>en.eligibilityCriteria.eligibilityDescription[1].children[0]</t>
        </is>
      </c>
      <c r="L329" s="4" t="inlineStr">
        <is>
          <t>C32@20261028-67ab4e80</t>
        </is>
      </c>
      <c r="M329" s="4" t="inlineStr">
        <is>
          <t>Source extract; not executable</t>
        </is>
      </c>
      <c r="N329" s="7" t="inlineStr">
        <is>
          <t>Unassigned</t>
        </is>
      </c>
      <c r="O329" s="7" t="inlineStr">
        <is>
          <t>1/1</t>
        </is>
      </c>
      <c r="P329" s="7" t="n"/>
    </row>
    <row r="330" ht="45" customHeight="1">
      <c r="A330" s="4" t="inlineStr">
        <is>
          <t>C32</t>
        </is>
      </c>
      <c r="B330" s="4" t="inlineStr">
        <is>
          <t>Free Education For Sports Medal Winners / Participants Of National/ International Events</t>
        </is>
      </c>
      <c r="C330" s="4" t="inlineStr">
        <is>
          <t>C32-SRC003</t>
        </is>
      </c>
      <c r="D330" s="4" t="inlineStr">
        <is>
          <t>Eligibility text</t>
        </is>
      </c>
      <c r="E330" s="4" t="inlineStr">
        <is>
          <t>Deemed to be Universities under section 3 of the UGC Act, 1956 which are eligible to receive grants</t>
        </is>
      </c>
      <c r="F330" s="4" t="inlineStr">
        <is>
          <t>MS-C32 / C32-P0036</t>
        </is>
      </c>
      <c r="G330" s="4" t="inlineStr"/>
      <c r="H330" s="7" t="inlineStr">
        <is>
          <t>Approved</t>
        </is>
      </c>
      <c r="I330" s="7" t="n"/>
      <c r="J330" s="4" t="inlineStr">
        <is>
          <t>Eligibility</t>
        </is>
      </c>
      <c r="K330" s="4" t="inlineStr">
        <is>
          <t>en.eligibilityCriteria.eligibilityDescription[1].children[1]</t>
        </is>
      </c>
      <c r="L330" s="4" t="inlineStr">
        <is>
          <t>C32@20261028-67ab4e80</t>
        </is>
      </c>
      <c r="M330" s="4" t="inlineStr">
        <is>
          <t>Source extract; not executable</t>
        </is>
      </c>
      <c r="N330" s="7" t="inlineStr">
        <is>
          <t>Unassigned</t>
        </is>
      </c>
      <c r="O330" s="7" t="inlineStr">
        <is>
          <t>1/1</t>
        </is>
      </c>
      <c r="P330" s="7" t="n"/>
    </row>
    <row r="331" ht="45" customHeight="1">
      <c r="A331" s="4" t="inlineStr">
        <is>
          <t>C32</t>
        </is>
      </c>
      <c r="B331" s="4" t="inlineStr">
        <is>
          <t>Free Education For Sports Medal Winners / Participants Of National/ International Events</t>
        </is>
      </c>
      <c r="C331" s="4" t="inlineStr">
        <is>
          <t>C32-SRC004</t>
        </is>
      </c>
      <c r="D331" s="4" t="inlineStr">
        <is>
          <t>Eligibility text</t>
        </is>
      </c>
      <c r="E331" s="4" t="inlineStr">
        <is>
          <t>in aid from UGC.</t>
        </is>
      </c>
      <c r="F331" s="4" t="inlineStr">
        <is>
          <t>MS-C32 / C32-P0037</t>
        </is>
      </c>
      <c r="G331" s="4" t="inlineStr"/>
      <c r="H331" s="7" t="inlineStr">
        <is>
          <t>Approved</t>
        </is>
      </c>
      <c r="I331" s="7" t="n"/>
      <c r="J331" s="4" t="inlineStr">
        <is>
          <t>Eligibility</t>
        </is>
      </c>
      <c r="K331" s="4" t="inlineStr">
        <is>
          <t>en.eligibilityCriteria.eligibilityDescription[1].children[2]</t>
        </is>
      </c>
      <c r="L331" s="4" t="inlineStr">
        <is>
          <t>C32@20261028-67ab4e80</t>
        </is>
      </c>
      <c r="M331" s="4" t="inlineStr">
        <is>
          <t>Source extract; not executable</t>
        </is>
      </c>
      <c r="N331" s="7" t="inlineStr">
        <is>
          <t>Unassigned</t>
        </is>
      </c>
      <c r="O331" s="7" t="inlineStr">
        <is>
          <t>1/1</t>
        </is>
      </c>
      <c r="P331" s="7" t="n"/>
    </row>
    <row r="332" ht="45" customHeight="1">
      <c r="A332" s="4" t="inlineStr">
        <is>
          <t>C32</t>
        </is>
      </c>
      <c r="B332" s="4" t="inlineStr">
        <is>
          <t>Free Education For Sports Medal Winners / Participants Of National/ International Events</t>
        </is>
      </c>
      <c r="C332" s="4" t="inlineStr">
        <is>
          <t>C32-SRC005</t>
        </is>
      </c>
      <c r="D332" s="4" t="inlineStr">
        <is>
          <t>Eligibility text</t>
        </is>
      </c>
      <c r="E332" s="4" t="inlineStr">
        <is>
          <t>Universities/Institutions/Colleges funded by Central/ State Govt.</t>
        </is>
      </c>
      <c r="F332" s="4" t="inlineStr">
        <is>
          <t>MS-C32 / C32-P0038</t>
        </is>
      </c>
      <c r="G332" s="4" t="inlineStr"/>
      <c r="H332" s="7" t="inlineStr">
        <is>
          <t>Approved</t>
        </is>
      </c>
      <c r="I332" s="7" t="n"/>
      <c r="J332" s="4" t="inlineStr">
        <is>
          <t>Eligibility</t>
        </is>
      </c>
      <c r="K332" s="4" t="inlineStr">
        <is>
          <t>en.eligibilityCriteria.eligibilityDescription[1].children[3]</t>
        </is>
      </c>
      <c r="L332" s="4" t="inlineStr">
        <is>
          <t>C32@20261028-67ab4e80</t>
        </is>
      </c>
      <c r="M332" s="4" t="inlineStr">
        <is>
          <t>Source extract; not executable</t>
        </is>
      </c>
      <c r="N332" s="7" t="inlineStr">
        <is>
          <t>Unassigned</t>
        </is>
      </c>
      <c r="O332" s="7" t="inlineStr">
        <is>
          <t>1/1</t>
        </is>
      </c>
      <c r="P332" s="7" t="n"/>
    </row>
    <row r="333" ht="45" customHeight="1">
      <c r="A333" s="4" t="inlineStr">
        <is>
          <t>C32</t>
        </is>
      </c>
      <c r="B333" s="4" t="inlineStr">
        <is>
          <t>Free Education For Sports Medal Winners / Participants Of National/ International Events</t>
        </is>
      </c>
      <c r="C333" s="4" t="inlineStr">
        <is>
          <t>C32-SRC006</t>
        </is>
      </c>
      <c r="D333" s="4" t="inlineStr">
        <is>
          <t>Eligibility text</t>
        </is>
      </c>
      <c r="E333" s="4" t="inlineStr">
        <is>
          <t>Institutes of National Importance.</t>
        </is>
      </c>
      <c r="F333" s="4" t="inlineStr">
        <is>
          <t>MS-C32 / C32-P0039</t>
        </is>
      </c>
      <c r="G333" s="4" t="inlineStr"/>
      <c r="H333" s="7" t="inlineStr">
        <is>
          <t>Approved</t>
        </is>
      </c>
      <c r="I333" s="7" t="n"/>
      <c r="J333" s="4" t="inlineStr">
        <is>
          <t>Eligibility</t>
        </is>
      </c>
      <c r="K333" s="4" t="inlineStr">
        <is>
          <t>en.eligibilityCriteria.eligibilityDescription[1].children[4]</t>
        </is>
      </c>
      <c r="L333" s="4" t="inlineStr">
        <is>
          <t>C32@20261028-67ab4e80</t>
        </is>
      </c>
      <c r="M333" s="4" t="inlineStr">
        <is>
          <t>Source extract; not executable</t>
        </is>
      </c>
      <c r="N333" s="7" t="inlineStr">
        <is>
          <t>Unassigned</t>
        </is>
      </c>
      <c r="O333" s="7" t="inlineStr">
        <is>
          <t>1/1</t>
        </is>
      </c>
      <c r="P333" s="7" t="n"/>
    </row>
    <row r="334" ht="45" customHeight="1">
      <c r="A334" s="4" t="inlineStr">
        <is>
          <t>C32</t>
        </is>
      </c>
      <c r="B334" s="4" t="inlineStr">
        <is>
          <t>Free Education For Sports Medal Winners / Participants Of National/ International Events</t>
        </is>
      </c>
      <c r="C334" s="4" t="inlineStr">
        <is>
          <t>C32-SRC007</t>
        </is>
      </c>
      <c r="D334" s="4" t="inlineStr">
        <is>
          <t>Eligibility text</t>
        </is>
      </c>
      <c r="E334" s="4" t="inlineStr">
        <is>
          <t>(ii) In the subsequent years this scholarship shall depend on their subsequent sports performance.</t>
        </is>
      </c>
      <c r="F334" s="4" t="inlineStr">
        <is>
          <t>MS-C32 / C32-P0040</t>
        </is>
      </c>
      <c r="G334" s="4" t="inlineStr"/>
      <c r="H334" s="7" t="inlineStr">
        <is>
          <t>Approved</t>
        </is>
      </c>
      <c r="I334" s="7" t="n"/>
      <c r="J334" s="4" t="inlineStr">
        <is>
          <t>Eligibility</t>
        </is>
      </c>
      <c r="K334" s="4" t="inlineStr">
        <is>
          <t>en.eligibilityCriteria.eligibilityDescription[2]</t>
        </is>
      </c>
      <c r="L334" s="4" t="inlineStr">
        <is>
          <t>C32@20261028-67ab4e80</t>
        </is>
      </c>
      <c r="M334" s="4" t="inlineStr">
        <is>
          <t>Source extract; not executable</t>
        </is>
      </c>
      <c r="N334" s="7" t="inlineStr">
        <is>
          <t>Unassigned</t>
        </is>
      </c>
      <c r="O334" s="7" t="inlineStr">
        <is>
          <t>1/1</t>
        </is>
      </c>
      <c r="P334" s="7" t="n"/>
    </row>
    <row r="335" ht="45" customHeight="1">
      <c r="A335" s="4" t="inlineStr">
        <is>
          <t>C32</t>
        </is>
      </c>
      <c r="B335" s="4" t="inlineStr">
        <is>
          <t>Free Education For Sports Medal Winners / Participants Of National/ International Events</t>
        </is>
      </c>
      <c r="C335" s="4" t="inlineStr">
        <is>
          <t>C32-SRC008</t>
        </is>
      </c>
      <c r="D335" s="4" t="inlineStr">
        <is>
          <t>Source heading</t>
        </is>
      </c>
      <c r="E335" s="4" t="inlineStr">
        <is>
          <t>CANCELLATION OF SCHOLARSHIP</t>
        </is>
      </c>
      <c r="F335" s="4" t="inlineStr">
        <is>
          <t>MS-C32 / C32-P0041</t>
        </is>
      </c>
      <c r="G335" s="4" t="inlineStr">
        <is>
          <t>CANCELLATION OF SCHOLARSHIP</t>
        </is>
      </c>
      <c r="H335" s="7" t="inlineStr">
        <is>
          <t>Approved</t>
        </is>
      </c>
      <c r="I335" s="7" t="n"/>
      <c r="J335" s="4" t="inlineStr">
        <is>
          <t>Exclusions</t>
        </is>
      </c>
      <c r="K335" s="4" t="inlineStr">
        <is>
          <t>en.schemeContent.exclusions[0]</t>
        </is>
      </c>
      <c r="L335" s="4" t="inlineStr">
        <is>
          <t>C32@20261028-67ab4e80</t>
        </is>
      </c>
      <c r="M335" s="4" t="inlineStr">
        <is>
          <t>Source extract; not executable</t>
        </is>
      </c>
      <c r="N335" s="7" t="inlineStr">
        <is>
          <t>Unassigned</t>
        </is>
      </c>
      <c r="O335" s="7" t="inlineStr">
        <is>
          <t>1/1</t>
        </is>
      </c>
      <c r="P335" s="7" t="n"/>
    </row>
    <row r="336" ht="45" customHeight="1">
      <c r="A336" s="4" t="inlineStr">
        <is>
          <t>C32</t>
        </is>
      </c>
      <c r="B336" s="4" t="inlineStr">
        <is>
          <t>Free Education For Sports Medal Winners / Participants Of National/ International Events</t>
        </is>
      </c>
      <c r="C336" s="4" t="inlineStr">
        <is>
          <t>C32-SRC009</t>
        </is>
      </c>
      <c r="D336" s="4" t="inlineStr">
        <is>
          <t>Exclusion text</t>
        </is>
      </c>
      <c r="E336" s="4" t="inlineStr">
        <is>
          <t>UGC may terminate the scholarship of any student in the case of the:</t>
        </is>
      </c>
      <c r="F336" s="4" t="inlineStr">
        <is>
          <t>MS-C32 / C32-P0042</t>
        </is>
      </c>
      <c r="G336" s="4" t="inlineStr">
        <is>
          <t>CANCELLATION OF SCHOLARSHIP</t>
        </is>
      </c>
      <c r="H336" s="7" t="inlineStr">
        <is>
          <t>Approved</t>
        </is>
      </c>
      <c r="I336" s="7" t="n"/>
      <c r="J336" s="4" t="inlineStr">
        <is>
          <t>Exclusions</t>
        </is>
      </c>
      <c r="K336" s="4" t="inlineStr">
        <is>
          <t>en.schemeContent.exclusions[1]</t>
        </is>
      </c>
      <c r="L336" s="4" t="inlineStr">
        <is>
          <t>C32@20261028-67ab4e80</t>
        </is>
      </c>
      <c r="M336" s="4" t="inlineStr">
        <is>
          <t>Source extract; not executable</t>
        </is>
      </c>
      <c r="N336" s="7" t="inlineStr">
        <is>
          <t>Unassigned</t>
        </is>
      </c>
      <c r="O336" s="7" t="inlineStr">
        <is>
          <t>1/1</t>
        </is>
      </c>
      <c r="P336" s="7" t="n"/>
    </row>
    <row r="337" ht="45" customHeight="1">
      <c r="A337" s="4" t="inlineStr">
        <is>
          <t>C32</t>
        </is>
      </c>
      <c r="B337" s="4" t="inlineStr">
        <is>
          <t>Free Education For Sports Medal Winners / Participants Of National/ International Events</t>
        </is>
      </c>
      <c r="C337" s="4" t="inlineStr">
        <is>
          <t>C32-SRC010</t>
        </is>
      </c>
      <c r="D337" s="4" t="inlineStr">
        <is>
          <t>Exclusion text</t>
        </is>
      </c>
      <c r="E337" s="4" t="inlineStr">
        <is>
          <t>(i) Misconduct of the candidate, if any, reported by the University/College/Institution.</t>
        </is>
      </c>
      <c r="F337" s="4" t="inlineStr">
        <is>
          <t>MS-C32 / C32-P0043</t>
        </is>
      </c>
      <c r="G337" s="4" t="inlineStr">
        <is>
          <t>CANCELLATION OF SCHOLARSHIP</t>
        </is>
      </c>
      <c r="H337" s="7" t="inlineStr">
        <is>
          <t>Approved</t>
        </is>
      </c>
      <c r="I337" s="7" t="n"/>
      <c r="J337" s="4" t="inlineStr">
        <is>
          <t>Exclusions</t>
        </is>
      </c>
      <c r="K337" s="4" t="inlineStr">
        <is>
          <t>en.schemeContent.exclusions[2]</t>
        </is>
      </c>
      <c r="L337" s="4" t="inlineStr">
        <is>
          <t>C32@20261028-67ab4e80</t>
        </is>
      </c>
      <c r="M337" s="4" t="inlineStr">
        <is>
          <t>Source extract; not executable</t>
        </is>
      </c>
      <c r="N337" s="7" t="inlineStr">
        <is>
          <t>Unassigned</t>
        </is>
      </c>
      <c r="O337" s="7" t="inlineStr">
        <is>
          <t>1/1</t>
        </is>
      </c>
      <c r="P337" s="7" t="n"/>
    </row>
    <row r="338" ht="45" customHeight="1">
      <c r="A338" s="4" t="inlineStr">
        <is>
          <t>C32</t>
        </is>
      </c>
      <c r="B338" s="4" t="inlineStr">
        <is>
          <t>Free Education For Sports Medal Winners / Participants Of National/ International Events</t>
        </is>
      </c>
      <c r="C338" s="4" t="inlineStr">
        <is>
          <t>C32-SRC011</t>
        </is>
      </c>
      <c r="D338" s="4" t="inlineStr">
        <is>
          <t>Exclusion text</t>
        </is>
      </c>
      <c r="E338" s="4" t="inlineStr">
        <is>
          <t>(ii) Unsatisfactory progress report i.e. if the candidate frequently fails in his/her examination will not be given further assistance.</t>
        </is>
      </c>
      <c r="F338" s="4" t="inlineStr">
        <is>
          <t>MS-C32 / C32-P0044</t>
        </is>
      </c>
      <c r="G338" s="4" t="inlineStr">
        <is>
          <t>CANCELLATION OF SCHOLARSHIP</t>
        </is>
      </c>
      <c r="H338" s="7" t="inlineStr">
        <is>
          <t>Approved</t>
        </is>
      </c>
      <c r="I338" s="7" t="n"/>
      <c r="J338" s="4" t="inlineStr">
        <is>
          <t>Exclusions</t>
        </is>
      </c>
      <c r="K338" s="4" t="inlineStr">
        <is>
          <t>en.schemeContent.exclusions[3]</t>
        </is>
      </c>
      <c r="L338" s="4" t="inlineStr">
        <is>
          <t>C32@20261028-67ab4e80</t>
        </is>
      </c>
      <c r="M338" s="4" t="inlineStr">
        <is>
          <t>Source extract; not executable</t>
        </is>
      </c>
      <c r="N338" s="7" t="inlineStr">
        <is>
          <t>Unassigned</t>
        </is>
      </c>
      <c r="O338" s="7" t="inlineStr">
        <is>
          <t>1/1</t>
        </is>
      </c>
      <c r="P338" s="7" t="n"/>
    </row>
    <row r="339" ht="45" customHeight="1">
      <c r="A339" s="4" t="inlineStr">
        <is>
          <t>C32</t>
        </is>
      </c>
      <c r="B339" s="4" t="inlineStr">
        <is>
          <t>Free Education For Sports Medal Winners / Participants Of National/ International Events</t>
        </is>
      </c>
      <c r="C339" s="4" t="inlineStr">
        <is>
          <t>C32-SRC012</t>
        </is>
      </c>
      <c r="D339" s="4" t="inlineStr">
        <is>
          <t>Exclusion text</t>
        </is>
      </c>
      <c r="E339" s="4" t="inlineStr">
        <is>
          <t>(iii) The scholarship may be terminated by the Commission, on the recommendation of the University at</t>
        </is>
      </c>
      <c r="F339" s="4" t="inlineStr">
        <is>
          <t>MS-C32 / C32-P0045</t>
        </is>
      </c>
      <c r="G339" s="4" t="inlineStr">
        <is>
          <t>CANCELLATION OF SCHOLARSHIP</t>
        </is>
      </c>
      <c r="H339" s="7" t="inlineStr">
        <is>
          <t>Approved</t>
        </is>
      </c>
      <c r="I339" s="7" t="n"/>
      <c r="J339" s="4" t="inlineStr">
        <is>
          <t>Exclusions</t>
        </is>
      </c>
      <c r="K339" s="4" t="inlineStr">
        <is>
          <t>en.schemeContent.exclusions[4]</t>
        </is>
      </c>
      <c r="L339" s="4" t="inlineStr">
        <is>
          <t>C32@20261028-67ab4e80</t>
        </is>
      </c>
      <c r="M339" s="4" t="inlineStr">
        <is>
          <t>Source extract; not executable</t>
        </is>
      </c>
      <c r="N339" s="7" t="inlineStr">
        <is>
          <t>Unassigned</t>
        </is>
      </c>
      <c r="O339" s="7" t="inlineStr">
        <is>
          <t>1/1</t>
        </is>
      </c>
      <c r="P339" s="7" t="n"/>
    </row>
    <row r="340" ht="45" customHeight="1">
      <c r="A340" s="4" t="inlineStr">
        <is>
          <t>C32</t>
        </is>
      </c>
      <c r="B340" s="4" t="inlineStr">
        <is>
          <t>Free Education For Sports Medal Winners / Participants Of National/ International Events</t>
        </is>
      </c>
      <c r="C340" s="4" t="inlineStr">
        <is>
          <t>C32-SRC013</t>
        </is>
      </c>
      <c r="D340" s="4" t="inlineStr">
        <is>
          <t>Exclusion text</t>
        </is>
      </c>
      <c r="E340" s="4" t="inlineStr">
        <is>
          <t>anytime during the tenure and the decision of the Commission will be final and binding.</t>
        </is>
      </c>
      <c r="F340" s="4" t="inlineStr">
        <is>
          <t>MS-C32 / C32-P0046</t>
        </is>
      </c>
      <c r="G340" s="4" t="inlineStr">
        <is>
          <t>CANCELLATION OF SCHOLARSHIP</t>
        </is>
      </c>
      <c r="H340" s="7" t="inlineStr">
        <is>
          <t>Approved</t>
        </is>
      </c>
      <c r="I340" s="7" t="n"/>
      <c r="J340" s="4" t="inlineStr">
        <is>
          <t>Exclusions</t>
        </is>
      </c>
      <c r="K340" s="4" t="inlineStr">
        <is>
          <t>en.schemeContent.exclusions[5]</t>
        </is>
      </c>
      <c r="L340" s="4" t="inlineStr">
        <is>
          <t>C32@20261028-67ab4e80</t>
        </is>
      </c>
      <c r="M340" s="4" t="inlineStr">
        <is>
          <t>Source extract; not executable</t>
        </is>
      </c>
      <c r="N340" s="7" t="inlineStr">
        <is>
          <t>Unassigned</t>
        </is>
      </c>
      <c r="O340" s="7" t="inlineStr">
        <is>
          <t>1/1</t>
        </is>
      </c>
      <c r="P340" s="7" t="n"/>
    </row>
    <row r="341" ht="67.84" customHeight="1">
      <c r="A341" s="4" t="inlineStr">
        <is>
          <t>C33</t>
        </is>
      </c>
      <c r="B341" s="4" t="inlineStr">
        <is>
          <t>GST Exemption Certificate Scheme</t>
        </is>
      </c>
      <c r="C341" s="4" t="inlineStr">
        <is>
          <t>C33-SRC001</t>
        </is>
      </c>
      <c r="D341" s="4" t="inlineStr">
        <is>
          <t>Eligibility text</t>
        </is>
      </c>
      <c r="E341" s="4" t="inlineStr">
        <is>
          <t>Any Orthopedic Physically handicapped person having a permanent disability of 40% &amp; above can apply for the benefit under the scheme, irrespective of whether the applicant drives the vehicle himself or otherwise.</t>
        </is>
      </c>
      <c r="F341" s="4" t="inlineStr">
        <is>
          <t>MS-C33 / C33-P0005</t>
        </is>
      </c>
      <c r="G341" s="4" t="inlineStr"/>
      <c r="H341" s="7" t="inlineStr">
        <is>
          <t>Approved</t>
        </is>
      </c>
      <c r="I341" s="7" t="n"/>
      <c r="J341" s="4" t="inlineStr">
        <is>
          <t>Eligibility</t>
        </is>
      </c>
      <c r="K341" s="4" t="inlineStr">
        <is>
          <t>en.eligibilityCriteria.eligibilityDescription[0].children[0]</t>
        </is>
      </c>
      <c r="L341" s="4" t="inlineStr">
        <is>
          <t>C33@20261028-8bc30e69</t>
        </is>
      </c>
      <c r="M341" s="4" t="inlineStr">
        <is>
          <t>Source extract; not executable</t>
        </is>
      </c>
      <c r="N341" s="7" t="inlineStr">
        <is>
          <t>Unassigned</t>
        </is>
      </c>
      <c r="O341" s="7" t="inlineStr">
        <is>
          <t>1/1</t>
        </is>
      </c>
      <c r="P341" s="7" t="n"/>
    </row>
    <row r="342" ht="78.40000000000001" customHeight="1">
      <c r="A342" s="4" t="inlineStr">
        <is>
          <t>C33</t>
        </is>
      </c>
      <c r="B342" s="4" t="inlineStr">
        <is>
          <t>GST Exemption Certificate Scheme</t>
        </is>
      </c>
      <c r="C342" s="4" t="inlineStr">
        <is>
          <t>C33-SRC002</t>
        </is>
      </c>
      <c r="D342" s="4" t="inlineStr">
        <is>
          <t>Eligibility text</t>
        </is>
      </c>
      <c r="E342" s="4" t="inlineStr">
        <is>
          <t>Cars (automatic or manual) having a length less than or equal to 4m and engine capacity of not more than 1200 cc (petrol, Liquefied Petroleum Gases (LPG) or compressed natural gas (CNG) or 1500 cc (diesel) qualify for purchase under this scheme.</t>
        </is>
      </c>
      <c r="F342" s="4" t="inlineStr">
        <is>
          <t>MS-C33 / C33-P0006</t>
        </is>
      </c>
      <c r="G342" s="4" t="inlineStr"/>
      <c r="H342" s="7" t="inlineStr">
        <is>
          <t>Approved</t>
        </is>
      </c>
      <c r="I342" s="7" t="n"/>
      <c r="J342" s="4" t="inlineStr">
        <is>
          <t>Eligibility</t>
        </is>
      </c>
      <c r="K342" s="4" t="inlineStr">
        <is>
          <t>en.eligibilityCriteria.eligibilityDescription[0].children[1]</t>
        </is>
      </c>
      <c r="L342" s="4" t="inlineStr">
        <is>
          <t>C33@20261028-8bc30e69</t>
        </is>
      </c>
      <c r="M342" s="4" t="inlineStr">
        <is>
          <t>Source extract; not executable</t>
        </is>
      </c>
      <c r="N342" s="7" t="inlineStr">
        <is>
          <t>Unassigned</t>
        </is>
      </c>
      <c r="O342" s="7" t="inlineStr">
        <is>
          <t>1/1</t>
        </is>
      </c>
      <c r="P342" s="7" t="n"/>
    </row>
    <row r="343" ht="81.28" customHeight="1">
      <c r="A343" s="4" t="inlineStr">
        <is>
          <t>C33</t>
        </is>
      </c>
      <c r="B343" s="4" t="inlineStr">
        <is>
          <t>GST Exemption Certificate Scheme</t>
        </is>
      </c>
      <c r="C343" s="4" t="inlineStr">
        <is>
          <t>C33-SRC003</t>
        </is>
      </c>
      <c r="D343" s="4" t="inlineStr">
        <is>
          <t>Eligibility text</t>
        </is>
      </c>
      <c r="E343" s="4" t="inlineStr">
        <is>
          <t>The said Certificate for availing the GST concession would be valid for a period of three months from the date of issue of the certificate and the vehicle would have to be purchased by the applicant within this three-month period to avail the concession.</t>
        </is>
      </c>
      <c r="F343" s="4" t="inlineStr">
        <is>
          <t>MS-C33 / C33-P0007</t>
        </is>
      </c>
      <c r="G343" s="4" t="inlineStr"/>
      <c r="H343" s="7" t="inlineStr">
        <is>
          <t>Approved</t>
        </is>
      </c>
      <c r="I343" s="7" t="n"/>
      <c r="J343" s="4" t="inlineStr">
        <is>
          <t>Eligibility</t>
        </is>
      </c>
      <c r="K343" s="4" t="inlineStr">
        <is>
          <t>en.eligibilityCriteria.eligibilityDescription[0].children[2]</t>
        </is>
      </c>
      <c r="L343" s="4" t="inlineStr">
        <is>
          <t>C33@20261028-8bc30e69</t>
        </is>
      </c>
      <c r="M343" s="4" t="inlineStr">
        <is>
          <t>Source extract; not executable</t>
        </is>
      </c>
      <c r="N343" s="7" t="inlineStr">
        <is>
          <t>Unassigned</t>
        </is>
      </c>
      <c r="O343" s="7" t="inlineStr">
        <is>
          <t>1/1</t>
        </is>
      </c>
      <c r="P343" s="7" t="n"/>
    </row>
    <row r="344" ht="45" customHeight="1">
      <c r="A344" s="4" t="inlineStr">
        <is>
          <t>C33</t>
        </is>
      </c>
      <c r="B344" s="4" t="inlineStr">
        <is>
          <t>GST Exemption Certificate Scheme</t>
        </is>
      </c>
      <c r="C344" s="4" t="inlineStr">
        <is>
          <t>C33-EMPTY-Exclusions</t>
        </is>
      </c>
      <c r="D344" s="4" t="inlineStr">
        <is>
          <t>Exclusions</t>
        </is>
      </c>
      <c r="E344" s="4" t="inlineStr">
        <is>
          <t>Not stated in the captured source. Do not infer no restrictions.</t>
        </is>
      </c>
      <c r="F344" s="4" t="inlineStr">
        <is>
          <t>MS-C33</t>
        </is>
      </c>
      <c r="G344" s="4" t="inlineStr">
        <is>
          <t>Full official guidelines required.</t>
        </is>
      </c>
      <c r="H344" s="7" t="inlineStr">
        <is>
          <t>Approved</t>
        </is>
      </c>
      <c r="I344" s="7" t="n"/>
      <c r="J344" s="4" t="inlineStr">
        <is>
          <t>Exclusions</t>
        </is>
      </c>
      <c r="K344" s="4" t="inlineStr"/>
      <c r="L344" s="4" t="inlineStr">
        <is>
          <t>C33@20261028-8bc30e69</t>
        </is>
      </c>
      <c r="M344" s="4" t="inlineStr">
        <is>
          <t>Empty or absent in source</t>
        </is>
      </c>
      <c r="N344" s="7" t="inlineStr">
        <is>
          <t>Unassigned</t>
        </is>
      </c>
      <c r="O344" s="7" t="n"/>
      <c r="P344" s="7" t="n"/>
    </row>
    <row r="345" ht="60.8" customHeight="1">
      <c r="A345" s="4" t="inlineStr">
        <is>
          <t>C34</t>
        </is>
      </c>
      <c r="B345" s="4" t="inlineStr">
        <is>
          <t>National Energy Conservation Award</t>
        </is>
      </c>
      <c r="C345" s="4" t="inlineStr">
        <is>
          <t>C34-SRC001</t>
        </is>
      </c>
      <c r="D345" s="4" t="inlineStr">
        <is>
          <t>Eligibility text</t>
        </is>
      </c>
      <c r="E345" s="4" t="inlineStr">
        <is>
          <t>All organizations are eligible to apply free of cost for the National Energy Conservation Award subject to the condition that their sector should be eligible for Award for a particular year.</t>
        </is>
      </c>
      <c r="F345" s="4" t="inlineStr">
        <is>
          <t>MS-C34 / C34-P0006</t>
        </is>
      </c>
      <c r="G345" s="4" t="inlineStr"/>
      <c r="H345" s="7" t="inlineStr">
        <is>
          <t>Approved</t>
        </is>
      </c>
      <c r="I345" s="7" t="n"/>
      <c r="J345" s="4" t="inlineStr">
        <is>
          <t>Eligibility</t>
        </is>
      </c>
      <c r="K345" s="4" t="inlineStr">
        <is>
          <t>en.eligibilityCriteria.eligibilityDescription[0]</t>
        </is>
      </c>
      <c r="L345" s="4" t="inlineStr">
        <is>
          <t>C34@20261028-aa340d6f</t>
        </is>
      </c>
      <c r="M345" s="4" t="inlineStr">
        <is>
          <t>Source extract; not executable</t>
        </is>
      </c>
      <c r="N345" s="7" t="inlineStr">
        <is>
          <t>Unassigned</t>
        </is>
      </c>
      <c r="O345" s="7" t="inlineStr">
        <is>
          <t>1/1</t>
        </is>
      </c>
      <c r="P345" s="7" t="n"/>
    </row>
    <row r="346" ht="45" customHeight="1">
      <c r="A346" s="4" t="inlineStr">
        <is>
          <t>C34</t>
        </is>
      </c>
      <c r="B346" s="4" t="inlineStr">
        <is>
          <t>National Energy Conservation Award</t>
        </is>
      </c>
      <c r="C346" s="4" t="inlineStr">
        <is>
          <t>C34-SRC002</t>
        </is>
      </c>
      <c r="D346" s="4" t="inlineStr">
        <is>
          <t>Source heading</t>
        </is>
      </c>
      <c r="E346" s="4" t="inlineStr">
        <is>
          <t>However, the following organizations cannot apply for the Award:</t>
        </is>
      </c>
      <c r="F346" s="4" t="inlineStr">
        <is>
          <t>MS-C34 / C34-P0007</t>
        </is>
      </c>
      <c r="G346" s="4" t="inlineStr">
        <is>
          <t>However, the following organizations cannot apply for the Award:</t>
        </is>
      </c>
      <c r="H346" s="7" t="inlineStr">
        <is>
          <t>Approved</t>
        </is>
      </c>
      <c r="I346" s="7" t="n"/>
      <c r="J346" s="4" t="inlineStr">
        <is>
          <t>Exclusions</t>
        </is>
      </c>
      <c r="K346" s="4" t="inlineStr">
        <is>
          <t>en.schemeContent.exclusions[0]</t>
        </is>
      </c>
      <c r="L346" s="4" t="inlineStr">
        <is>
          <t>C34@20261028-aa340d6f</t>
        </is>
      </c>
      <c r="M346" s="4" t="inlineStr">
        <is>
          <t>Source extract; not executable</t>
        </is>
      </c>
      <c r="N346" s="7" t="inlineStr">
        <is>
          <t>Unassigned</t>
        </is>
      </c>
      <c r="O346" s="7" t="inlineStr">
        <is>
          <t>1/1</t>
        </is>
      </c>
      <c r="P346" s="7" t="n"/>
    </row>
    <row r="347" ht="45" customHeight="1">
      <c r="A347" s="4" t="inlineStr">
        <is>
          <t>C34</t>
        </is>
      </c>
      <c r="B347" s="4" t="inlineStr">
        <is>
          <t>National Energy Conservation Award</t>
        </is>
      </c>
      <c r="C347" s="4" t="inlineStr">
        <is>
          <t>C34-SRC003</t>
        </is>
      </c>
      <c r="D347" s="4" t="inlineStr">
        <is>
          <t>Exclusion text</t>
        </is>
      </c>
      <c r="E347" s="4" t="inlineStr">
        <is>
          <t>a. Organizations having legal issues, blacklisted, or defaulters in any of the government schemes.</t>
        </is>
      </c>
      <c r="F347" s="4" t="inlineStr">
        <is>
          <t>MS-C34 / C34-P0008</t>
        </is>
      </c>
      <c r="G347" s="4" t="inlineStr">
        <is>
          <t>However, the following organizations cannot apply for the Award:</t>
        </is>
      </c>
      <c r="H347" s="7" t="inlineStr">
        <is>
          <t>Approved</t>
        </is>
      </c>
      <c r="I347" s="7" t="n"/>
      <c r="J347" s="4" t="inlineStr">
        <is>
          <t>Exclusions</t>
        </is>
      </c>
      <c r="K347" s="4" t="inlineStr">
        <is>
          <t>en.schemeContent.exclusions[1]</t>
        </is>
      </c>
      <c r="L347" s="4" t="inlineStr">
        <is>
          <t>C34@20261028-aa340d6f</t>
        </is>
      </c>
      <c r="M347" s="4" t="inlineStr">
        <is>
          <t>Source extract; not executable</t>
        </is>
      </c>
      <c r="N347" s="7" t="inlineStr">
        <is>
          <t>Unassigned</t>
        </is>
      </c>
      <c r="O347" s="7" t="inlineStr">
        <is>
          <t>1/1</t>
        </is>
      </c>
      <c r="P347" s="7" t="n"/>
    </row>
    <row r="348" ht="45" customHeight="1">
      <c r="A348" s="4" t="inlineStr">
        <is>
          <t>C34</t>
        </is>
      </c>
      <c r="B348" s="4" t="inlineStr">
        <is>
          <t>National Energy Conservation Award</t>
        </is>
      </c>
      <c r="C348" s="4" t="inlineStr">
        <is>
          <t>C34-SRC004</t>
        </is>
      </c>
      <c r="D348" s="4" t="inlineStr">
        <is>
          <t>Exclusion text</t>
        </is>
      </c>
      <c r="E348" s="4" t="inlineStr">
        <is>
          <t>b. Defaulters/repeated defaulters under the Perform Achieve and Trade scheme of the Bureau of Energy Efficiency, Ministry of Power.</t>
        </is>
      </c>
      <c r="F348" s="4" t="inlineStr">
        <is>
          <t>MS-C34 / C34-P0009</t>
        </is>
      </c>
      <c r="G348" s="4" t="inlineStr">
        <is>
          <t>However, the following organizations cannot apply for the Award:</t>
        </is>
      </c>
      <c r="H348" s="7" t="inlineStr">
        <is>
          <t>Approved</t>
        </is>
      </c>
      <c r="I348" s="7" t="n"/>
      <c r="J348" s="4" t="inlineStr">
        <is>
          <t>Exclusions</t>
        </is>
      </c>
      <c r="K348" s="4" t="inlineStr">
        <is>
          <t>en.schemeContent.exclusions[2]</t>
        </is>
      </c>
      <c r="L348" s="4" t="inlineStr">
        <is>
          <t>C34@20261028-aa340d6f</t>
        </is>
      </c>
      <c r="M348" s="4" t="inlineStr">
        <is>
          <t>Source extract; not executable</t>
        </is>
      </c>
      <c r="N348" s="7" t="inlineStr">
        <is>
          <t>Unassigned</t>
        </is>
      </c>
      <c r="O348" s="7" t="inlineStr">
        <is>
          <t>1/1</t>
        </is>
      </c>
      <c r="P348" s="7" t="n"/>
    </row>
    <row r="349" ht="191.36" customHeight="1">
      <c r="A349" s="4" t="inlineStr">
        <is>
          <t>C35</t>
        </is>
      </c>
      <c r="B349" s="4" t="inlineStr">
        <is>
          <t>Marketing Development Assistance Scheme</t>
        </is>
      </c>
      <c r="C349" s="4" t="inlineStr">
        <is>
          <t>C35-SRC001</t>
        </is>
      </c>
      <c r="D349" s="4" t="inlineStr">
        <is>
          <t>Eligibility text</t>
        </is>
      </c>
      <c r="E349" s="4" t="inlineStr">
        <is>
          <t>The tourism service providers should be travel agents, inbound tour operators, tourist transport operators, classified hotels, classified bed &amp; breakfast units, classified home stays, classified motels, guest houses &amp;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t>
        </is>
      </c>
      <c r="F349" s="4" t="inlineStr">
        <is>
          <t>MS-C35 / C35-P0038</t>
        </is>
      </c>
      <c r="G349" s="4" t="inlineStr"/>
      <c r="H349" s="7" t="inlineStr">
        <is>
          <t>Approved</t>
        </is>
      </c>
      <c r="I349" s="7" t="n"/>
      <c r="J349" s="4" t="inlineStr">
        <is>
          <t>Eligibility</t>
        </is>
      </c>
      <c r="K349" s="4" t="inlineStr">
        <is>
          <t>en.eligibilityCriteria.eligibilityDescription[0].children[0]</t>
        </is>
      </c>
      <c r="L349" s="4" t="inlineStr">
        <is>
          <t>C35@20261028-c67e587f</t>
        </is>
      </c>
      <c r="M349" s="4" t="inlineStr">
        <is>
          <t>Source extract; not executable</t>
        </is>
      </c>
      <c r="N349" s="7" t="inlineStr">
        <is>
          <t>Unassigned</t>
        </is>
      </c>
      <c r="O349" s="7" t="inlineStr">
        <is>
          <t>1/1</t>
        </is>
      </c>
      <c r="P349" s="7" t="n"/>
    </row>
    <row r="350" ht="50.56" customHeight="1">
      <c r="A350" s="4" t="inlineStr">
        <is>
          <t>C35</t>
        </is>
      </c>
      <c r="B350" s="4" t="inlineStr">
        <is>
          <t>Marketing Development Assistance Scheme</t>
        </is>
      </c>
      <c r="C350" s="4" t="inlineStr">
        <is>
          <t>C35-SRC002</t>
        </is>
      </c>
      <c r="D350" s="4" t="inlineStr">
        <is>
          <t>Eligibility text</t>
        </is>
      </c>
      <c r="E350" s="4" t="inlineStr">
        <is>
          <t>The tourism service providers should be approved by the Ministry of Tourism, Government of India, or the concerned State / Union Territory Tourism Department.</t>
        </is>
      </c>
      <c r="F350" s="4" t="inlineStr">
        <is>
          <t>MS-C35 / C35-P0039</t>
        </is>
      </c>
      <c r="G350" s="4" t="inlineStr"/>
      <c r="H350" s="7" t="inlineStr">
        <is>
          <t>Approved</t>
        </is>
      </c>
      <c r="I350" s="7" t="n"/>
      <c r="J350" s="4" t="inlineStr">
        <is>
          <t>Eligibility</t>
        </is>
      </c>
      <c r="K350" s="4" t="inlineStr">
        <is>
          <t>en.eligibilityCriteria.eligibilityDescription[0].children[1]</t>
        </is>
      </c>
      <c r="L350" s="4" t="inlineStr">
        <is>
          <t>C35@20261028-c67e587f</t>
        </is>
      </c>
      <c r="M350" s="4" t="inlineStr">
        <is>
          <t>Source extract; not executable</t>
        </is>
      </c>
      <c r="N350" s="7" t="inlineStr">
        <is>
          <t>Unassigned</t>
        </is>
      </c>
      <c r="O350" s="7" t="inlineStr">
        <is>
          <t>1/1</t>
        </is>
      </c>
      <c r="P350" s="7" t="n"/>
    </row>
    <row r="351" ht="73.60000000000001" customHeight="1">
      <c r="A351" s="4" t="inlineStr">
        <is>
          <t>C35</t>
        </is>
      </c>
      <c r="B351" s="4" t="inlineStr">
        <is>
          <t>Marketing Development Assistance Scheme</t>
        </is>
      </c>
      <c r="C351" s="4" t="inlineStr">
        <is>
          <t>C35-SRC003</t>
        </is>
      </c>
      <c r="D351" s="4" t="inlineStr">
        <is>
          <t>Eligibility text</t>
        </is>
      </c>
      <c r="E351" s="4" t="inlineStr">
        <is>
          <t>The approved tourism service providers should show a minimum fee of ₹1.00 crore – ₹2.00 crore in any of the preceding two years i.e. 2018-19 or 2019-20, the number of tours may be limited to a maximum of two in one financial year.</t>
        </is>
      </c>
      <c r="F351" s="4" t="inlineStr">
        <is>
          <t>MS-C35 / C35-P0040</t>
        </is>
      </c>
      <c r="G351" s="4" t="inlineStr"/>
      <c r="H351" s="7" t="inlineStr">
        <is>
          <t>Approved</t>
        </is>
      </c>
      <c r="I351" s="7" t="n"/>
      <c r="J351" s="4" t="inlineStr">
        <is>
          <t>Eligibility</t>
        </is>
      </c>
      <c r="K351" s="4" t="inlineStr">
        <is>
          <t>en.eligibilityCriteria.eligibilityDescription[0].children[2]</t>
        </is>
      </c>
      <c r="L351" s="4" t="inlineStr">
        <is>
          <t>C35@20261028-c67e587f</t>
        </is>
      </c>
      <c r="M351" s="4" t="inlineStr">
        <is>
          <t>Source extract; not executable</t>
        </is>
      </c>
      <c r="N351" s="7" t="inlineStr">
        <is>
          <t>Unassigned</t>
        </is>
      </c>
      <c r="O351" s="7" t="inlineStr">
        <is>
          <t>1/1</t>
        </is>
      </c>
      <c r="P351" s="7" t="n"/>
    </row>
    <row r="352" ht="72.96000000000001" customHeight="1">
      <c r="A352" s="4" t="inlineStr">
        <is>
          <t>C35</t>
        </is>
      </c>
      <c r="B352" s="4" t="inlineStr">
        <is>
          <t>Marketing Development Assistance Scheme</t>
        </is>
      </c>
      <c r="C352" s="4" t="inlineStr">
        <is>
          <t>C35-SRC004</t>
        </is>
      </c>
      <c r="D352" s="4" t="inlineStr">
        <is>
          <t>Eligibility text</t>
        </is>
      </c>
      <c r="E352" s="4" t="inlineStr">
        <is>
          <t>The approved tourism service providers should show a minimum fee of ₹2.00 crore and above in one of the preceding two years i.e. 2018-19 or 2019-20, the number of tours may be limited to a maximum of three in one financial year.</t>
        </is>
      </c>
      <c r="F352" s="4" t="inlineStr">
        <is>
          <t>MS-C35 / C35-P0041</t>
        </is>
      </c>
      <c r="G352" s="4" t="inlineStr"/>
      <c r="H352" s="7" t="inlineStr">
        <is>
          <t>Approved</t>
        </is>
      </c>
      <c r="I352" s="7" t="n"/>
      <c r="J352" s="4" t="inlineStr">
        <is>
          <t>Eligibility</t>
        </is>
      </c>
      <c r="K352" s="4" t="inlineStr">
        <is>
          <t>en.eligibilityCriteria.eligibilityDescription[0].children[3]</t>
        </is>
      </c>
      <c r="L352" s="4" t="inlineStr">
        <is>
          <t>C35@20261028-c67e587f</t>
        </is>
      </c>
      <c r="M352" s="4" t="inlineStr">
        <is>
          <t>Source extract; not executable</t>
        </is>
      </c>
      <c r="N352" s="7" t="inlineStr">
        <is>
          <t>Unassigned</t>
        </is>
      </c>
      <c r="O352" s="7" t="inlineStr">
        <is>
          <t>1/1</t>
        </is>
      </c>
      <c r="P352" s="7" t="n"/>
    </row>
    <row r="353" ht="57.28" customHeight="1">
      <c r="A353" s="4" t="inlineStr">
        <is>
          <t>C35</t>
        </is>
      </c>
      <c r="B353" s="4" t="inlineStr">
        <is>
          <t>Marketing Development Assistance Scheme</t>
        </is>
      </c>
      <c r="C353" s="4" t="inlineStr">
        <is>
          <t>C35-SRC005</t>
        </is>
      </c>
      <c r="D353" s="4" t="inlineStr">
        <is>
          <t>Eligibility text</t>
        </is>
      </c>
      <c r="E353" s="4" t="inlineStr">
        <is>
          <t>Tourism departments of State Governments / UT Administrations are also eligible to avail benefits under the Scheme. However, the above eligibility conditions do not apply to them.</t>
        </is>
      </c>
      <c r="F353" s="4" t="inlineStr">
        <is>
          <t>MS-C35 / C35-P0042</t>
        </is>
      </c>
      <c r="G353" s="4" t="inlineStr"/>
      <c r="H353" s="7" t="inlineStr">
        <is>
          <t>Approved</t>
        </is>
      </c>
      <c r="I353" s="7" t="n"/>
      <c r="J353" s="4" t="inlineStr">
        <is>
          <t>Eligibility</t>
        </is>
      </c>
      <c r="K353" s="4" t="inlineStr">
        <is>
          <t>en.eligibilityCriteria.eligibilityDescription[0].children[4]</t>
        </is>
      </c>
      <c r="L353" s="4" t="inlineStr">
        <is>
          <t>C35@20261028-c67e587f</t>
        </is>
      </c>
      <c r="M353" s="4" t="inlineStr">
        <is>
          <t>Source extract; not executable</t>
        </is>
      </c>
      <c r="N353" s="7" t="inlineStr">
        <is>
          <t>Unassigned</t>
        </is>
      </c>
      <c r="O353" s="7" t="inlineStr">
        <is>
          <t>1/1</t>
        </is>
      </c>
      <c r="P353" s="7" t="n"/>
    </row>
    <row r="354" ht="45" customHeight="1">
      <c r="A354" s="4" t="inlineStr">
        <is>
          <t>C35</t>
        </is>
      </c>
      <c r="B354" s="4" t="inlineStr">
        <is>
          <t>Marketing Development Assistance Scheme</t>
        </is>
      </c>
      <c r="C354" s="4" t="inlineStr">
        <is>
          <t>C35-EMPTY-Exclusions</t>
        </is>
      </c>
      <c r="D354" s="4" t="inlineStr">
        <is>
          <t>Exclusions</t>
        </is>
      </c>
      <c r="E354" s="4" t="inlineStr">
        <is>
          <t>Not stated in the captured source. Do not infer no restrictions.</t>
        </is>
      </c>
      <c r="F354" s="4" t="inlineStr">
        <is>
          <t>MS-C35</t>
        </is>
      </c>
      <c r="G354" s="4" t="inlineStr">
        <is>
          <t>Full official guidelines required.</t>
        </is>
      </c>
      <c r="H354" s="7" t="inlineStr">
        <is>
          <t>Approved</t>
        </is>
      </c>
      <c r="I354" s="7" t="n"/>
      <c r="J354" s="4" t="inlineStr">
        <is>
          <t>Exclusions</t>
        </is>
      </c>
      <c r="K354" s="4" t="inlineStr"/>
      <c r="L354" s="4" t="inlineStr">
        <is>
          <t>C35@20261028-c67e587f</t>
        </is>
      </c>
      <c r="M354" s="4" t="inlineStr">
        <is>
          <t>Empty or absent in source</t>
        </is>
      </c>
      <c r="N354" s="7" t="inlineStr">
        <is>
          <t>Unassigned</t>
        </is>
      </c>
      <c r="O354" s="7" t="n"/>
      <c r="P354" s="7" t="n"/>
    </row>
    <row r="355" ht="93.76000000000001" customHeight="1">
      <c r="A355" s="4" t="inlineStr">
        <is>
          <t>C36</t>
        </is>
      </c>
      <c r="B355" s="4" t="inlineStr">
        <is>
          <t>AICTE-INAE Travel Grant Scheme For Engineering Students From AICTE Approved Engineering College/Institution</t>
        </is>
      </c>
      <c r="C355" s="4" t="inlineStr">
        <is>
          <t>C36-SRC001</t>
        </is>
      </c>
      <c r="D355" s="4" t="inlineStr">
        <is>
          <t>Eligibility text</t>
        </is>
      </c>
      <c r="E355" s="4" t="inlineStr">
        <is>
          <t>The applicant must EITHER be a Pre-final/final year student of B.E./B.Tech, OR Integrated M.Tech and first/second-year student of M.E./M. Tech, OR Students pursuing MS Research, M.Sc. in Engineering, dual degree B.Tech and M.Tech or any degree with a minimum of 4 years of engineering studies.</t>
        </is>
      </c>
      <c r="F355" s="4" t="inlineStr">
        <is>
          <t>MS-C36 / C36-P0007</t>
        </is>
      </c>
      <c r="G355" s="4" t="inlineStr"/>
      <c r="H355" s="7" t="inlineStr">
        <is>
          <t>Approved</t>
        </is>
      </c>
      <c r="I355" s="7" t="n"/>
      <c r="J355" s="4" t="inlineStr">
        <is>
          <t>Eligibility</t>
        </is>
      </c>
      <c r="K355" s="4" t="inlineStr">
        <is>
          <t>en.eligibilityCriteria.eligibilityDescription[0].children[0]</t>
        </is>
      </c>
      <c r="L355" s="4" t="inlineStr">
        <is>
          <t>C36@20261028-c9ddf1f8</t>
        </is>
      </c>
      <c r="M355" s="4" t="inlineStr">
        <is>
          <t>Source extract; not executable</t>
        </is>
      </c>
      <c r="N355" s="7" t="inlineStr">
        <is>
          <t>Unassigned</t>
        </is>
      </c>
      <c r="O355" s="7" t="inlineStr">
        <is>
          <t>1/1</t>
        </is>
      </c>
      <c r="P355" s="7" t="n"/>
    </row>
    <row r="356" ht="45" customHeight="1">
      <c r="A356" s="4" t="inlineStr">
        <is>
          <t>C36</t>
        </is>
      </c>
      <c r="B356" s="4" t="inlineStr">
        <is>
          <t>AICTE-INAE Travel Grant Scheme For Engineering Students From AICTE Approved Engineering College/Institution</t>
        </is>
      </c>
      <c r="C356" s="4" t="inlineStr">
        <is>
          <t>C36-SRC002</t>
        </is>
      </c>
      <c r="D356" s="4" t="inlineStr">
        <is>
          <t>Eligibility text</t>
        </is>
      </c>
      <c r="E356" s="4" t="inlineStr">
        <is>
          <t>The applicant must be pursuing the degree course from an AICTE-approved Engineering Institution.</t>
        </is>
      </c>
      <c r="F356" s="4" t="inlineStr">
        <is>
          <t>MS-C36 / C36-P0008</t>
        </is>
      </c>
      <c r="G356" s="4" t="inlineStr"/>
      <c r="H356" s="7" t="inlineStr">
        <is>
          <t>Approved</t>
        </is>
      </c>
      <c r="I356" s="7" t="n"/>
      <c r="J356" s="4" t="inlineStr">
        <is>
          <t>Eligibility</t>
        </is>
      </c>
      <c r="K356" s="4" t="inlineStr">
        <is>
          <t>en.eligibilityCriteria.eligibilityDescription[0].children[1]</t>
        </is>
      </c>
      <c r="L356" s="4" t="inlineStr">
        <is>
          <t>C36@20261028-c9ddf1f8</t>
        </is>
      </c>
      <c r="M356" s="4" t="inlineStr">
        <is>
          <t>Source extract; not executable</t>
        </is>
      </c>
      <c r="N356" s="7" t="inlineStr">
        <is>
          <t>Unassigned</t>
        </is>
      </c>
      <c r="O356" s="7" t="inlineStr">
        <is>
          <t>1/1</t>
        </is>
      </c>
      <c r="P356" s="7" t="n"/>
    </row>
    <row r="357" ht="45" customHeight="1">
      <c r="A357" s="4" t="inlineStr">
        <is>
          <t>C36</t>
        </is>
      </c>
      <c r="B357" s="4" t="inlineStr">
        <is>
          <t>AICTE-INAE Travel Grant Scheme For Engineering Students From AICTE Approved Engineering College/Institution</t>
        </is>
      </c>
      <c r="C357" s="4" t="inlineStr">
        <is>
          <t>C36-SRC003</t>
        </is>
      </c>
      <c r="D357" s="4" t="inlineStr">
        <is>
          <t>Eligibility text</t>
        </is>
      </c>
      <c r="E357" s="4" t="inlineStr">
        <is>
          <t>The applicant must have scored a minimum of 7 CGPA or 65% in the previous year's annual examination.</t>
        </is>
      </c>
      <c r="F357" s="4" t="inlineStr">
        <is>
          <t>MS-C36 / C36-P0009</t>
        </is>
      </c>
      <c r="G357" s="4" t="inlineStr"/>
      <c r="H357" s="7" t="inlineStr">
        <is>
          <t>Approved</t>
        </is>
      </c>
      <c r="I357" s="7" t="n"/>
      <c r="J357" s="4" t="inlineStr">
        <is>
          <t>Eligibility</t>
        </is>
      </c>
      <c r="K357" s="4" t="inlineStr">
        <is>
          <t>en.eligibilityCriteria.eligibilityDescription[0].children[2]</t>
        </is>
      </c>
      <c r="L357" s="4" t="inlineStr">
        <is>
          <t>C36@20261028-c9ddf1f8</t>
        </is>
      </c>
      <c r="M357" s="4" t="inlineStr">
        <is>
          <t>Source extract; not executable</t>
        </is>
      </c>
      <c r="N357" s="7" t="inlineStr">
        <is>
          <t>Unassigned</t>
        </is>
      </c>
      <c r="O357" s="7" t="inlineStr">
        <is>
          <t>1/1</t>
        </is>
      </c>
      <c r="P357" s="7" t="n"/>
    </row>
    <row r="358" ht="48.64" customHeight="1">
      <c r="A358" s="4" t="inlineStr">
        <is>
          <t>C36</t>
        </is>
      </c>
      <c r="B358" s="4" t="inlineStr">
        <is>
          <t>AICTE-INAE Travel Grant Scheme For Engineering Students From AICTE Approved Engineering College/Institution</t>
        </is>
      </c>
      <c r="C358" s="4" t="inlineStr">
        <is>
          <t>C36-SRC004</t>
        </is>
      </c>
      <c r="D358" s="4" t="inlineStr">
        <is>
          <t>Eligibility text</t>
        </is>
      </c>
      <c r="E358" s="4" t="inlineStr">
        <is>
          <t>The applicant must possess a letter of acceptance for presenting a research paper accepted in a conference/seminar/symposium/workshop/exhibition abroad.</t>
        </is>
      </c>
      <c r="F358" s="4" t="inlineStr">
        <is>
          <t>MS-C36 / C36-P0010</t>
        </is>
      </c>
      <c r="G358" s="4" t="inlineStr"/>
      <c r="H358" s="7" t="inlineStr">
        <is>
          <t>Approved</t>
        </is>
      </c>
      <c r="I358" s="7" t="n"/>
      <c r="J358" s="4" t="inlineStr">
        <is>
          <t>Eligibility</t>
        </is>
      </c>
      <c r="K358" s="4" t="inlineStr">
        <is>
          <t>en.eligibilityCriteria.eligibilityDescription[0].children[3]</t>
        </is>
      </c>
      <c r="L358" s="4" t="inlineStr">
        <is>
          <t>C36@20261028-c9ddf1f8</t>
        </is>
      </c>
      <c r="M358" s="4" t="inlineStr">
        <is>
          <t>Source extract; not executable</t>
        </is>
      </c>
      <c r="N358" s="7" t="inlineStr">
        <is>
          <t>Unassigned</t>
        </is>
      </c>
      <c r="O358" s="7" t="inlineStr">
        <is>
          <t>1/1</t>
        </is>
      </c>
      <c r="P358" s="7" t="n"/>
    </row>
    <row r="359" ht="45" customHeight="1">
      <c r="A359" s="4" t="inlineStr">
        <is>
          <t>C36</t>
        </is>
      </c>
      <c r="B359" s="4" t="inlineStr">
        <is>
          <t>AICTE-INAE Travel Grant Scheme For Engineering Students From AICTE Approved Engineering College/Institution</t>
        </is>
      </c>
      <c r="C359" s="4" t="inlineStr">
        <is>
          <t>C36-SRC005</t>
        </is>
      </c>
      <c r="D359" s="4" t="inlineStr">
        <is>
          <t>Eligibility text</t>
        </is>
      </c>
      <c r="E359" s="4" t="inlineStr">
        <is>
          <t>NOTE: A student is eligible only once during the course of his/her study for finance al support under the subject scheme.</t>
        </is>
      </c>
      <c r="F359" s="4" t="inlineStr">
        <is>
          <t>MS-C36 / C36-P0011</t>
        </is>
      </c>
      <c r="G359" s="4" t="inlineStr"/>
      <c r="H359" s="7" t="inlineStr">
        <is>
          <t>Approved</t>
        </is>
      </c>
      <c r="I359" s="7" t="n"/>
      <c r="J359" s="4" t="inlineStr">
        <is>
          <t>Eligibility</t>
        </is>
      </c>
      <c r="K359" s="4" t="inlineStr">
        <is>
          <t>en.eligibilityCriteria.eligibilityDescription[2]</t>
        </is>
      </c>
      <c r="L359" s="4" t="inlineStr">
        <is>
          <t>C36@20261028-c9ddf1f8</t>
        </is>
      </c>
      <c r="M359" s="4" t="inlineStr">
        <is>
          <t>Source extract; not executable</t>
        </is>
      </c>
      <c r="N359" s="7" t="inlineStr">
        <is>
          <t>Unassigned</t>
        </is>
      </c>
      <c r="O359" s="7" t="inlineStr">
        <is>
          <t>1/1</t>
        </is>
      </c>
      <c r="P359" s="7" t="n"/>
    </row>
    <row r="360" ht="45" customHeight="1">
      <c r="A360" s="4" t="inlineStr">
        <is>
          <t>C36</t>
        </is>
      </c>
      <c r="B360" s="4" t="inlineStr">
        <is>
          <t>AICTE-INAE Travel Grant Scheme For Engineering Students From AICTE Approved Engineering College/Institution</t>
        </is>
      </c>
      <c r="C360" s="4" t="inlineStr">
        <is>
          <t>C36-EMPTY-Exclusions</t>
        </is>
      </c>
      <c r="D360" s="4" t="inlineStr">
        <is>
          <t>Exclusions</t>
        </is>
      </c>
      <c r="E360" s="4" t="inlineStr">
        <is>
          <t>Not stated in the captured source. Do not infer no restrictions.</t>
        </is>
      </c>
      <c r="F360" s="4" t="inlineStr">
        <is>
          <t>MS-C36</t>
        </is>
      </c>
      <c r="G360" s="4" t="inlineStr">
        <is>
          <t>Full official guidelines required.</t>
        </is>
      </c>
      <c r="H360" s="7" t="inlineStr">
        <is>
          <t>Approved</t>
        </is>
      </c>
      <c r="I360" s="7" t="n"/>
      <c r="J360" s="4" t="inlineStr">
        <is>
          <t>Exclusions</t>
        </is>
      </c>
      <c r="K360" s="4" t="inlineStr"/>
      <c r="L360" s="4" t="inlineStr">
        <is>
          <t>C36@20261028-c9ddf1f8</t>
        </is>
      </c>
      <c r="M360" s="4" t="inlineStr">
        <is>
          <t>Empty or absent in source</t>
        </is>
      </c>
      <c r="N360" s="7" t="inlineStr">
        <is>
          <t>Unassigned</t>
        </is>
      </c>
      <c r="O360" s="7" t="n"/>
      <c r="P360" s="7" t="n"/>
    </row>
    <row r="361" ht="45" customHeight="1">
      <c r="A361" s="4" t="inlineStr">
        <is>
          <t>C37</t>
        </is>
      </c>
      <c r="B361" s="4" t="inlineStr">
        <is>
          <t>Pilgrimage Rejuvenation and Spiritual Augmentation Drive (PRASHAD)</t>
        </is>
      </c>
      <c r="C361" s="4" t="inlineStr">
        <is>
          <t>C37-SRC001</t>
        </is>
      </c>
      <c r="D361" s="4" t="inlineStr">
        <is>
          <t>Eligibility text</t>
        </is>
      </c>
      <c r="E361" s="4" t="inlineStr">
        <is>
          <t>There are no eligibility requirements to avail the benefits of this scheme.</t>
        </is>
      </c>
      <c r="F361" s="4" t="inlineStr">
        <is>
          <t>MS-C37 / C37-P0017</t>
        </is>
      </c>
      <c r="G361" s="4" t="inlineStr"/>
      <c r="H361" s="7" t="inlineStr">
        <is>
          <t>Approved</t>
        </is>
      </c>
      <c r="I361" s="7" t="n"/>
      <c r="J361" s="4" t="inlineStr">
        <is>
          <t>Eligibility</t>
        </is>
      </c>
      <c r="K361" s="4" t="inlineStr">
        <is>
          <t>en.eligibilityCriteria.eligibilityDescription[0]</t>
        </is>
      </c>
      <c r="L361" s="4" t="inlineStr">
        <is>
          <t>C37@20261028-bd74d255</t>
        </is>
      </c>
      <c r="M361" s="4" t="inlineStr">
        <is>
          <t>Source extract; not executable</t>
        </is>
      </c>
      <c r="N361" s="7" t="inlineStr">
        <is>
          <t>Unassigned</t>
        </is>
      </c>
      <c r="O361" s="7" t="inlineStr">
        <is>
          <t>1/1</t>
        </is>
      </c>
      <c r="P361" s="7" t="n"/>
    </row>
    <row r="362" ht="45" customHeight="1">
      <c r="A362" s="4" t="inlineStr">
        <is>
          <t>C37</t>
        </is>
      </c>
      <c r="B362" s="4" t="inlineStr">
        <is>
          <t>Pilgrimage Rejuvenation and Spiritual Augmentation Drive (PRASHAD)</t>
        </is>
      </c>
      <c r="C362" s="4" t="inlineStr">
        <is>
          <t>C37-EMPTY-Exclusions</t>
        </is>
      </c>
      <c r="D362" s="4" t="inlineStr">
        <is>
          <t>Exclusions</t>
        </is>
      </c>
      <c r="E362" s="4" t="inlineStr">
        <is>
          <t>Not stated in the captured source. Do not infer no restrictions.</t>
        </is>
      </c>
      <c r="F362" s="4" t="inlineStr">
        <is>
          <t>MS-C37</t>
        </is>
      </c>
      <c r="G362" s="4" t="inlineStr">
        <is>
          <t>Full official guidelines required.</t>
        </is>
      </c>
      <c r="H362" s="7" t="inlineStr">
        <is>
          <t>Approved</t>
        </is>
      </c>
      <c r="I362" s="7" t="n"/>
      <c r="J362" s="4" t="inlineStr">
        <is>
          <t>Exclusions</t>
        </is>
      </c>
      <c r="K362" s="4" t="inlineStr"/>
      <c r="L362" s="4" t="inlineStr">
        <is>
          <t>C37@20261028-bd74d255</t>
        </is>
      </c>
      <c r="M362" s="4" t="inlineStr">
        <is>
          <t>Empty or absent in source</t>
        </is>
      </c>
      <c r="N362" s="7" t="inlineStr">
        <is>
          <t>Unassigned</t>
        </is>
      </c>
      <c r="O362" s="7" t="n"/>
      <c r="P362" s="7" t="n"/>
    </row>
    <row r="363" ht="45" customHeight="1">
      <c r="A363" s="4" t="inlineStr">
        <is>
          <t>C38</t>
        </is>
      </c>
      <c r="B363" s="4" t="inlineStr">
        <is>
          <t>Pratyaksh Hanstantrit Labh / Direct Benefits Transfer For LPG</t>
        </is>
      </c>
      <c r="C363" s="4" t="inlineStr">
        <is>
          <t>C38-SRC001</t>
        </is>
      </c>
      <c r="D363" s="4" t="inlineStr">
        <is>
          <t>Eligibility text</t>
        </is>
      </c>
      <c r="E363" s="4" t="inlineStr">
        <is>
          <t>The applicant must be an LPG user.</t>
        </is>
      </c>
      <c r="F363" s="4" t="inlineStr">
        <is>
          <t>MS-C38 / C38-P0005</t>
        </is>
      </c>
      <c r="G363" s="4" t="inlineStr"/>
      <c r="H363" s="7" t="inlineStr">
        <is>
          <t>Approved</t>
        </is>
      </c>
      <c r="I363" s="7" t="n"/>
      <c r="J363" s="4" t="inlineStr">
        <is>
          <t>Eligibility</t>
        </is>
      </c>
      <c r="K363" s="4" t="inlineStr">
        <is>
          <t>en.eligibilityCriteria.eligibilityDescription[0].children[0]</t>
        </is>
      </c>
      <c r="L363" s="4" t="inlineStr">
        <is>
          <t>C38@20261028-483e350c</t>
        </is>
      </c>
      <c r="M363" s="4" t="inlineStr">
        <is>
          <t>Source extract; not executable</t>
        </is>
      </c>
      <c r="N363" s="7" t="inlineStr">
        <is>
          <t>Unassigned</t>
        </is>
      </c>
      <c r="O363" s="7" t="inlineStr">
        <is>
          <t>1/1</t>
        </is>
      </c>
      <c r="P363" s="7" t="n"/>
    </row>
    <row r="364" ht="49.6" customHeight="1">
      <c r="A364" s="4" t="inlineStr">
        <is>
          <t>C38</t>
        </is>
      </c>
      <c r="B364" s="4" t="inlineStr">
        <is>
          <t>Pratyaksh Hanstantrit Labh / Direct Benefits Transfer For LPG</t>
        </is>
      </c>
      <c r="C364" s="4" t="inlineStr">
        <is>
          <t>C38-SRC002</t>
        </is>
      </c>
      <c r="D364" s="4" t="inlineStr">
        <is>
          <t>Eligibility text</t>
        </is>
      </c>
      <c r="E364" s="4" t="inlineStr">
        <is>
          <t>The combined taxable income of the applicant and their spouse should not exceed ₹10,00,000 in the previous financial year, as per the Income Tax Act, 1961.</t>
        </is>
      </c>
      <c r="F364" s="4" t="inlineStr">
        <is>
          <t>MS-C38 / C38-P0006</t>
        </is>
      </c>
      <c r="G364" s="4" t="inlineStr"/>
      <c r="H364" s="7" t="inlineStr">
        <is>
          <t>Approved</t>
        </is>
      </c>
      <c r="I364" s="7" t="n"/>
      <c r="J364" s="4" t="inlineStr">
        <is>
          <t>Eligibility</t>
        </is>
      </c>
      <c r="K364" s="4" t="inlineStr">
        <is>
          <t>en.eligibilityCriteria.eligibilityDescription[0].children[1]</t>
        </is>
      </c>
      <c r="L364" s="4" t="inlineStr">
        <is>
          <t>C38@20261028-483e350c</t>
        </is>
      </c>
      <c r="M364" s="4" t="inlineStr">
        <is>
          <t>Source extract; not executable</t>
        </is>
      </c>
      <c r="N364" s="7" t="inlineStr">
        <is>
          <t>Unassigned</t>
        </is>
      </c>
      <c r="O364" s="7" t="inlineStr">
        <is>
          <t>1/1</t>
        </is>
      </c>
      <c r="P364" s="7" t="n"/>
    </row>
    <row r="365" ht="45" customHeight="1">
      <c r="A365" s="4" t="inlineStr">
        <is>
          <t>C38</t>
        </is>
      </c>
      <c r="B365" s="4" t="inlineStr">
        <is>
          <t>Pratyaksh Hanstantrit Labh / Direct Benefits Transfer For LPG</t>
        </is>
      </c>
      <c r="C365" s="4" t="inlineStr">
        <is>
          <t>C38-EMPTY-Exclusions</t>
        </is>
      </c>
      <c r="D365" s="4" t="inlineStr">
        <is>
          <t>Exclusions</t>
        </is>
      </c>
      <c r="E365" s="4" t="inlineStr">
        <is>
          <t>Not stated in the captured source. Do not infer no restrictions.</t>
        </is>
      </c>
      <c r="F365" s="4" t="inlineStr">
        <is>
          <t>MS-C38</t>
        </is>
      </c>
      <c r="G365" s="4" t="inlineStr">
        <is>
          <t>Full official guidelines required.</t>
        </is>
      </c>
      <c r="H365" s="7" t="inlineStr">
        <is>
          <t>Approved</t>
        </is>
      </c>
      <c r="I365" s="7" t="n"/>
      <c r="J365" s="4" t="inlineStr">
        <is>
          <t>Exclusions</t>
        </is>
      </c>
      <c r="K365" s="4" t="inlineStr"/>
      <c r="L365" s="4" t="inlineStr">
        <is>
          <t>C38@20261028-483e350c</t>
        </is>
      </c>
      <c r="M365" s="4" t="inlineStr">
        <is>
          <t>Empty or absent in source</t>
        </is>
      </c>
      <c r="N365" s="7" t="inlineStr">
        <is>
          <t>Unassigned</t>
        </is>
      </c>
      <c r="O365" s="7" t="n"/>
      <c r="P365" s="7" t="n"/>
    </row>
    <row r="366" ht="45" customHeight="1">
      <c r="A366" s="4" t="inlineStr">
        <is>
          <t>C39</t>
        </is>
      </c>
      <c r="B366" s="4" t="inlineStr">
        <is>
          <t>Atal Bhujal Yojana</t>
        </is>
      </c>
      <c r="C366" s="4" t="inlineStr">
        <is>
          <t>C39-SRC001</t>
        </is>
      </c>
      <c r="D366" s="4" t="inlineStr">
        <is>
          <t>Eligibility text</t>
        </is>
      </c>
      <c r="E366" s="4" t="inlineStr">
        <is>
          <t>The applicant must reside or operate within the identified water-stressed districts, blocks, or Gram Panchayats selected for the scheme.</t>
        </is>
      </c>
      <c r="F366" s="4" t="inlineStr">
        <is>
          <t>MS-C39 / C39-P0014</t>
        </is>
      </c>
      <c r="G366" s="4" t="inlineStr"/>
      <c r="H366" s="7" t="inlineStr">
        <is>
          <t>Approved</t>
        </is>
      </c>
      <c r="I366" s="7" t="n"/>
      <c r="J366" s="4" t="inlineStr">
        <is>
          <t>Eligibility</t>
        </is>
      </c>
      <c r="K366" s="4" t="inlineStr">
        <is>
          <t>en.eligibilityCriteria.eligibilityDescription[0].children[0]</t>
        </is>
      </c>
      <c r="L366" s="4" t="inlineStr">
        <is>
          <t>C39@20261028-5776a732</t>
        </is>
      </c>
      <c r="M366" s="4" t="inlineStr">
        <is>
          <t>Source extract; not executable</t>
        </is>
      </c>
      <c r="N366" s="7" t="inlineStr">
        <is>
          <t>Unassigned</t>
        </is>
      </c>
      <c r="O366" s="7" t="inlineStr">
        <is>
          <t>1/1</t>
        </is>
      </c>
      <c r="P366" s="7" t="n"/>
    </row>
    <row r="367" ht="52.8" customHeight="1">
      <c r="A367" s="4" t="inlineStr">
        <is>
          <t>C39</t>
        </is>
      </c>
      <c r="B367" s="4" t="inlineStr">
        <is>
          <t>Atal Bhujal Yojana</t>
        </is>
      </c>
      <c r="C367" s="4" t="inlineStr">
        <is>
          <t>C39-SRC002</t>
        </is>
      </c>
      <c r="D367" s="4" t="inlineStr">
        <is>
          <t>Eligibility text</t>
        </is>
      </c>
      <c r="E367" s="4" t="inlineStr">
        <is>
          <t>The applicant must be located in one of the seven participating states, namely Gujarat, Haryana, Karnataka, Madhya Pradesh, Maharashtra, Rajasthan, or Uttar Pradesh.</t>
        </is>
      </c>
      <c r="F367" s="4" t="inlineStr">
        <is>
          <t>MS-C39 / C39-P0015</t>
        </is>
      </c>
      <c r="G367" s="4" t="inlineStr"/>
      <c r="H367" s="7" t="inlineStr">
        <is>
          <t>Approved</t>
        </is>
      </c>
      <c r="I367" s="7" t="n"/>
      <c r="J367" s="4" t="inlineStr">
        <is>
          <t>Eligibility</t>
        </is>
      </c>
      <c r="K367" s="4" t="inlineStr">
        <is>
          <t>en.eligibilityCriteria.eligibilityDescription[0].children[1]</t>
        </is>
      </c>
      <c r="L367" s="4" t="inlineStr">
        <is>
          <t>C39@20261028-5776a732</t>
        </is>
      </c>
      <c r="M367" s="4" t="inlineStr">
        <is>
          <t>Source extract; not executable</t>
        </is>
      </c>
      <c r="N367" s="7" t="inlineStr">
        <is>
          <t>Unassigned</t>
        </is>
      </c>
      <c r="O367" s="7" t="inlineStr">
        <is>
          <t>1/1</t>
        </is>
      </c>
      <c r="P367" s="7" t="n"/>
    </row>
    <row r="368" ht="45" customHeight="1">
      <c r="A368" s="4" t="inlineStr">
        <is>
          <t>C39</t>
        </is>
      </c>
      <c r="B368" s="4" t="inlineStr">
        <is>
          <t>Atal Bhujal Yojana</t>
        </is>
      </c>
      <c r="C368" s="4" t="inlineStr">
        <is>
          <t>C39-SRC003</t>
        </is>
      </c>
      <c r="D368" s="4" t="inlineStr">
        <is>
          <t>Eligibility text</t>
        </is>
      </c>
      <c r="E368" s="4" t="inlineStr">
        <is>
          <t>The applicant must formulate a Water Security Plan with active community participation.</t>
        </is>
      </c>
      <c r="F368" s="4" t="inlineStr">
        <is>
          <t>MS-C39 / C39-P0016</t>
        </is>
      </c>
      <c r="G368" s="4" t="inlineStr"/>
      <c r="H368" s="7" t="inlineStr">
        <is>
          <t>Approved</t>
        </is>
      </c>
      <c r="I368" s="7" t="n"/>
      <c r="J368" s="4" t="inlineStr">
        <is>
          <t>Eligibility</t>
        </is>
      </c>
      <c r="K368" s="4" t="inlineStr">
        <is>
          <t>en.eligibilityCriteria.eligibilityDescription[0].children[2]</t>
        </is>
      </c>
      <c r="L368" s="4" t="inlineStr">
        <is>
          <t>C39@20261028-5776a732</t>
        </is>
      </c>
      <c r="M368" s="4" t="inlineStr">
        <is>
          <t>Source extract; not executable</t>
        </is>
      </c>
      <c r="N368" s="7" t="inlineStr">
        <is>
          <t>Unassigned</t>
        </is>
      </c>
      <c r="O368" s="7" t="inlineStr">
        <is>
          <t>1/1</t>
        </is>
      </c>
      <c r="P368" s="7" t="n"/>
    </row>
    <row r="369" ht="45" customHeight="1">
      <c r="A369" s="4" t="inlineStr">
        <is>
          <t>C39</t>
        </is>
      </c>
      <c r="B369" s="4" t="inlineStr">
        <is>
          <t>Atal Bhujal Yojana</t>
        </is>
      </c>
      <c r="C369" s="4" t="inlineStr">
        <is>
          <t>C39-SRC004</t>
        </is>
      </c>
      <c r="D369" s="4" t="inlineStr">
        <is>
          <t>Eligibility text</t>
        </is>
      </c>
      <c r="E369" s="4" t="inlineStr">
        <is>
          <t>The applicant must obtain the final approval of the prepared Water Security Plan from the Gram Sabha.</t>
        </is>
      </c>
      <c r="F369" s="4" t="inlineStr">
        <is>
          <t>MS-C39 / C39-P0017</t>
        </is>
      </c>
      <c r="G369" s="4" t="inlineStr"/>
      <c r="H369" s="7" t="inlineStr">
        <is>
          <t>Approved</t>
        </is>
      </c>
      <c r="I369" s="7" t="n"/>
      <c r="J369" s="4" t="inlineStr">
        <is>
          <t>Eligibility</t>
        </is>
      </c>
      <c r="K369" s="4" t="inlineStr">
        <is>
          <t>en.eligibilityCriteria.eligibilityDescription[0].children[3]</t>
        </is>
      </c>
      <c r="L369" s="4" t="inlineStr">
        <is>
          <t>C39@20261028-5776a732</t>
        </is>
      </c>
      <c r="M369" s="4" t="inlineStr">
        <is>
          <t>Source extract; not executable</t>
        </is>
      </c>
      <c r="N369" s="7" t="inlineStr">
        <is>
          <t>Unassigned</t>
        </is>
      </c>
      <c r="O369" s="7" t="inlineStr">
        <is>
          <t>1/1</t>
        </is>
      </c>
      <c r="P369" s="7" t="n"/>
    </row>
    <row r="370" ht="52.8" customHeight="1">
      <c r="A370" s="4" t="inlineStr">
        <is>
          <t>C39</t>
        </is>
      </c>
      <c r="B370" s="4" t="inlineStr">
        <is>
          <t>Atal Bhujal Yojana</t>
        </is>
      </c>
      <c r="C370" s="4" t="inlineStr">
        <is>
          <t>C39-SRC005</t>
        </is>
      </c>
      <c r="D370" s="4" t="inlineStr">
        <is>
          <t>Eligibility text</t>
        </is>
      </c>
      <c r="E370" s="4" t="inlineStr">
        <is>
          <t>The applicant must ensure the presence of at least 33% female members in the Gram Panchayat-level Water User Associations or Village Water and Sanitation Committees.</t>
        </is>
      </c>
      <c r="F370" s="4" t="inlineStr">
        <is>
          <t>MS-C39 / C39-P0018</t>
        </is>
      </c>
      <c r="G370" s="4" t="inlineStr"/>
      <c r="H370" s="7" t="inlineStr">
        <is>
          <t>Approved</t>
        </is>
      </c>
      <c r="I370" s="7" t="n"/>
      <c r="J370" s="4" t="inlineStr">
        <is>
          <t>Eligibility</t>
        </is>
      </c>
      <c r="K370" s="4" t="inlineStr">
        <is>
          <t>en.eligibilityCriteria.eligibilityDescription[0].children[4]</t>
        </is>
      </c>
      <c r="L370" s="4" t="inlineStr">
        <is>
          <t>C39@20261028-5776a732</t>
        </is>
      </c>
      <c r="M370" s="4" t="inlineStr">
        <is>
          <t>Source extract; not executable</t>
        </is>
      </c>
      <c r="N370" s="7" t="inlineStr">
        <is>
          <t>Unassigned</t>
        </is>
      </c>
      <c r="O370" s="7" t="inlineStr">
        <is>
          <t>1/1</t>
        </is>
      </c>
      <c r="P370" s="7" t="n"/>
    </row>
    <row r="371" ht="45" customHeight="1">
      <c r="A371" s="4" t="inlineStr">
        <is>
          <t>C39</t>
        </is>
      </c>
      <c r="B371" s="4" t="inlineStr">
        <is>
          <t>Atal Bhujal Yojana</t>
        </is>
      </c>
      <c r="C371" s="4" t="inlineStr">
        <is>
          <t>C39-SRC006</t>
        </is>
      </c>
      <c r="D371" s="4" t="inlineStr">
        <is>
          <t>Eligibility text</t>
        </is>
      </c>
      <c r="E371" s="4" t="inlineStr">
        <is>
          <t>The applicant should identify and train local volunteers or community resource persons to handle data collection equipment.</t>
        </is>
      </c>
      <c r="F371" s="4" t="inlineStr">
        <is>
          <t>MS-C39 / C39-P0019</t>
        </is>
      </c>
      <c r="G371" s="4" t="inlineStr"/>
      <c r="H371" s="7" t="inlineStr">
        <is>
          <t>Approved</t>
        </is>
      </c>
      <c r="I371" s="7" t="n"/>
      <c r="J371" s="4" t="inlineStr">
        <is>
          <t>Eligibility</t>
        </is>
      </c>
      <c r="K371" s="4" t="inlineStr">
        <is>
          <t>en.eligibilityCriteria.eligibilityDescription[0].children[5]</t>
        </is>
      </c>
      <c r="L371" s="4" t="inlineStr">
        <is>
          <t>C39@20261028-5776a732</t>
        </is>
      </c>
      <c r="M371" s="4" t="inlineStr">
        <is>
          <t>Source extract; not executable</t>
        </is>
      </c>
      <c r="N371" s="7" t="inlineStr">
        <is>
          <t>Unassigned</t>
        </is>
      </c>
      <c r="O371" s="7" t="inlineStr">
        <is>
          <t>1/1</t>
        </is>
      </c>
      <c r="P371" s="7" t="n"/>
    </row>
    <row r="372" ht="45" customHeight="1">
      <c r="A372" s="4" t="inlineStr">
        <is>
          <t>C39</t>
        </is>
      </c>
      <c r="B372" s="4" t="inlineStr">
        <is>
          <t>Atal Bhujal Yojana</t>
        </is>
      </c>
      <c r="C372" s="4" t="inlineStr">
        <is>
          <t>C39-SRC007</t>
        </is>
      </c>
      <c r="D372" s="4" t="inlineStr">
        <is>
          <t>Exclusion text</t>
        </is>
      </c>
      <c r="E372" s="4" t="inlineStr">
        <is>
          <t>The applicant MUST NOT utilize the scheme funds for -</t>
        </is>
      </c>
      <c r="F372" s="4" t="inlineStr">
        <is>
          <t>MS-C39 / C39-P0020</t>
        </is>
      </c>
      <c r="G372" s="4" t="inlineStr"/>
      <c r="H372" s="7" t="inlineStr">
        <is>
          <t>Approved</t>
        </is>
      </c>
      <c r="I372" s="7" t="n"/>
      <c r="J372" s="4" t="inlineStr">
        <is>
          <t>Exclusions</t>
        </is>
      </c>
      <c r="K372" s="4" t="inlineStr">
        <is>
          <t>en.schemeContent.exclusions[0]</t>
        </is>
      </c>
      <c r="L372" s="4" t="inlineStr">
        <is>
          <t>C39@20261028-5776a732</t>
        </is>
      </c>
      <c r="M372" s="4" t="inlineStr">
        <is>
          <t>Source extract; not executable</t>
        </is>
      </c>
      <c r="N372" s="7" t="inlineStr">
        <is>
          <t>Unassigned</t>
        </is>
      </c>
      <c r="O372" s="7" t="inlineStr">
        <is>
          <t>1/1</t>
        </is>
      </c>
      <c r="P372" s="7" t="n"/>
    </row>
    <row r="373" ht="45" customHeight="1">
      <c r="A373" s="4" t="inlineStr">
        <is>
          <t>C39</t>
        </is>
      </c>
      <c r="B373" s="4" t="inlineStr">
        <is>
          <t>Atal Bhujal Yojana</t>
        </is>
      </c>
      <c r="C373" s="4" t="inlineStr">
        <is>
          <t>C39-SRC008</t>
        </is>
      </c>
      <c r="D373" s="4" t="inlineStr">
        <is>
          <t>Exclusion text</t>
        </is>
      </c>
      <c r="E373" s="4" t="inlineStr">
        <is>
          <t>Construction of major or minor dams.</t>
        </is>
      </c>
      <c r="F373" s="4" t="inlineStr">
        <is>
          <t>MS-C39 / C39-P0021</t>
        </is>
      </c>
      <c r="G373" s="4" t="inlineStr"/>
      <c r="H373" s="7" t="inlineStr">
        <is>
          <t>Approved</t>
        </is>
      </c>
      <c r="I373" s="7" t="n"/>
      <c r="J373" s="4" t="inlineStr">
        <is>
          <t>Exclusions</t>
        </is>
      </c>
      <c r="K373" s="4" t="inlineStr">
        <is>
          <t>en.schemeContent.exclusions[1].children[0]</t>
        </is>
      </c>
      <c r="L373" s="4" t="inlineStr">
        <is>
          <t>C39@20261028-5776a732</t>
        </is>
      </c>
      <c r="M373" s="4" t="inlineStr">
        <is>
          <t>Source extract; not executable</t>
        </is>
      </c>
      <c r="N373" s="7" t="inlineStr">
        <is>
          <t>Unassigned</t>
        </is>
      </c>
      <c r="O373" s="7" t="inlineStr">
        <is>
          <t>1/1</t>
        </is>
      </c>
      <c r="P373" s="7" t="n"/>
    </row>
    <row r="374" ht="45" customHeight="1">
      <c r="A374" s="4" t="inlineStr">
        <is>
          <t>C39</t>
        </is>
      </c>
      <c r="B374" s="4" t="inlineStr">
        <is>
          <t>Atal Bhujal Yojana</t>
        </is>
      </c>
      <c r="C374" s="4" t="inlineStr">
        <is>
          <t>C39-SRC009</t>
        </is>
      </c>
      <c r="D374" s="4" t="inlineStr">
        <is>
          <t>Exclusion text</t>
        </is>
      </c>
      <c r="E374" s="4" t="inlineStr">
        <is>
          <t>Construction of new large-scale irrigation systems.</t>
        </is>
      </c>
      <c r="F374" s="4" t="inlineStr">
        <is>
          <t>MS-C39 / C39-P0022</t>
        </is>
      </c>
      <c r="G374" s="4" t="inlineStr"/>
      <c r="H374" s="7" t="inlineStr">
        <is>
          <t>Approved</t>
        </is>
      </c>
      <c r="I374" s="7" t="n"/>
      <c r="J374" s="4" t="inlineStr">
        <is>
          <t>Exclusions</t>
        </is>
      </c>
      <c r="K374" s="4" t="inlineStr">
        <is>
          <t>en.schemeContent.exclusions[1].children[1]</t>
        </is>
      </c>
      <c r="L374" s="4" t="inlineStr">
        <is>
          <t>C39@20261028-5776a732</t>
        </is>
      </c>
      <c r="M374" s="4" t="inlineStr">
        <is>
          <t>Source extract; not executable</t>
        </is>
      </c>
      <c r="N374" s="7" t="inlineStr">
        <is>
          <t>Unassigned</t>
        </is>
      </c>
      <c r="O374" s="7" t="inlineStr">
        <is>
          <t>1/1</t>
        </is>
      </c>
      <c r="P374" s="7" t="n"/>
    </row>
    <row r="375" ht="45" customHeight="1">
      <c r="A375" s="4" t="inlineStr">
        <is>
          <t>C39</t>
        </is>
      </c>
      <c r="B375" s="4" t="inlineStr">
        <is>
          <t>Atal Bhujal Yojana</t>
        </is>
      </c>
      <c r="C375" s="4" t="inlineStr">
        <is>
          <t>C39-SRC010</t>
        </is>
      </c>
      <c r="D375" s="4" t="inlineStr">
        <is>
          <t>Exclusion text</t>
        </is>
      </c>
      <c r="E375" s="4" t="inlineStr">
        <is>
          <t>Major industrial wastewater collection, treatment, and injection systems.</t>
        </is>
      </c>
      <c r="F375" s="4" t="inlineStr">
        <is>
          <t>MS-C39 / C39-P0023</t>
        </is>
      </c>
      <c r="G375" s="4" t="inlineStr"/>
      <c r="H375" s="7" t="inlineStr">
        <is>
          <t>Approved</t>
        </is>
      </c>
      <c r="I375" s="7" t="n"/>
      <c r="J375" s="4" t="inlineStr">
        <is>
          <t>Exclusions</t>
        </is>
      </c>
      <c r="K375" s="4" t="inlineStr">
        <is>
          <t>en.schemeContent.exclusions[1].children[2]</t>
        </is>
      </c>
      <c r="L375" s="4" t="inlineStr">
        <is>
          <t>C39@20261028-5776a732</t>
        </is>
      </c>
      <c r="M375" s="4" t="inlineStr">
        <is>
          <t>Source extract; not executable</t>
        </is>
      </c>
      <c r="N375" s="7" t="inlineStr">
        <is>
          <t>Unassigned</t>
        </is>
      </c>
      <c r="O375" s="7" t="inlineStr">
        <is>
          <t>1/1</t>
        </is>
      </c>
      <c r="P375" s="7" t="n"/>
    </row>
    <row r="376" ht="45" customHeight="1">
      <c r="A376" s="4" t="inlineStr">
        <is>
          <t>C39</t>
        </is>
      </c>
      <c r="B376" s="4" t="inlineStr">
        <is>
          <t>Atal Bhujal Yojana</t>
        </is>
      </c>
      <c r="C376" s="4" t="inlineStr">
        <is>
          <t>C39-SRC011</t>
        </is>
      </c>
      <c r="D376" s="4" t="inlineStr">
        <is>
          <t>Exclusion text</t>
        </is>
      </c>
      <c r="E376" s="4" t="inlineStr">
        <is>
          <t>Payment of salaries to government employees.</t>
        </is>
      </c>
      <c r="F376" s="4" t="inlineStr">
        <is>
          <t>MS-C39 / C39-P0024</t>
        </is>
      </c>
      <c r="G376" s="4" t="inlineStr"/>
      <c r="H376" s="7" t="inlineStr">
        <is>
          <t>Approved</t>
        </is>
      </c>
      <c r="I376" s="7" t="n"/>
      <c r="J376" s="4" t="inlineStr">
        <is>
          <t>Exclusions</t>
        </is>
      </c>
      <c r="K376" s="4" t="inlineStr">
        <is>
          <t>en.schemeContent.exclusions[1].children[3]</t>
        </is>
      </c>
      <c r="L376" s="4" t="inlineStr">
        <is>
          <t>C39@20261028-5776a732</t>
        </is>
      </c>
      <c r="M376" s="4" t="inlineStr">
        <is>
          <t>Source extract; not executable</t>
        </is>
      </c>
      <c r="N376" s="7" t="inlineStr">
        <is>
          <t>Unassigned</t>
        </is>
      </c>
      <c r="O376" s="7" t="inlineStr">
        <is>
          <t>1/1</t>
        </is>
      </c>
      <c r="P376" s="7" t="n"/>
    </row>
    <row r="377" ht="45" customHeight="1">
      <c r="A377" s="4" t="inlineStr">
        <is>
          <t>C39</t>
        </is>
      </c>
      <c r="B377" s="4" t="inlineStr">
        <is>
          <t>Atal Bhujal Yojana</t>
        </is>
      </c>
      <c r="C377" s="4" t="inlineStr">
        <is>
          <t>C39-SRC012</t>
        </is>
      </c>
      <c r="D377" s="4" t="inlineStr">
        <is>
          <t>Exclusion text</t>
        </is>
      </c>
      <c r="E377" s="4" t="inlineStr">
        <is>
          <t>Construction or maintenance of religious structures such as temples, mosques, churches, or tombs.</t>
        </is>
      </c>
      <c r="F377" s="4" t="inlineStr">
        <is>
          <t>MS-C39 / C39-P0025</t>
        </is>
      </c>
      <c r="G377" s="4" t="inlineStr"/>
      <c r="H377" s="7" t="inlineStr">
        <is>
          <t>Approved</t>
        </is>
      </c>
      <c r="I377" s="7" t="n"/>
      <c r="J377" s="4" t="inlineStr">
        <is>
          <t>Exclusions</t>
        </is>
      </c>
      <c r="K377" s="4" t="inlineStr">
        <is>
          <t>en.schemeContent.exclusions[1].children[4]</t>
        </is>
      </c>
      <c r="L377" s="4" t="inlineStr">
        <is>
          <t>C39@20261028-5776a732</t>
        </is>
      </c>
      <c r="M377" s="4" t="inlineStr">
        <is>
          <t>Source extract; not executable</t>
        </is>
      </c>
      <c r="N377" s="7" t="inlineStr">
        <is>
          <t>Unassigned</t>
        </is>
      </c>
      <c r="O377" s="7" t="inlineStr">
        <is>
          <t>1/1</t>
        </is>
      </c>
      <c r="P377" s="7" t="n"/>
    </row>
    <row r="378" ht="45" customHeight="1">
      <c r="A378" s="4" t="inlineStr">
        <is>
          <t>C39</t>
        </is>
      </c>
      <c r="B378" s="4" t="inlineStr">
        <is>
          <t>Atal Bhujal Yojana</t>
        </is>
      </c>
      <c r="C378" s="4" t="inlineStr">
        <is>
          <t>C39-SRC013</t>
        </is>
      </c>
      <c r="D378" s="4" t="inlineStr">
        <is>
          <t>Exclusion text</t>
        </is>
      </c>
      <c r="E378" s="4" t="inlineStr">
        <is>
          <t>Development of commercial ventures, including hotels, restaurants, or resorts.</t>
        </is>
      </c>
      <c r="F378" s="4" t="inlineStr">
        <is>
          <t>MS-C39 / C39-P0026</t>
        </is>
      </c>
      <c r="G378" s="4" t="inlineStr"/>
      <c r="H378" s="7" t="inlineStr">
        <is>
          <t>Approved</t>
        </is>
      </c>
      <c r="I378" s="7" t="n"/>
      <c r="J378" s="4" t="inlineStr">
        <is>
          <t>Exclusions</t>
        </is>
      </c>
      <c r="K378" s="4" t="inlineStr">
        <is>
          <t>en.schemeContent.exclusions[1].children[5]</t>
        </is>
      </c>
      <c r="L378" s="4" t="inlineStr">
        <is>
          <t>C39@20261028-5776a732</t>
        </is>
      </c>
      <c r="M378" s="4" t="inlineStr">
        <is>
          <t>Source extract; not executable</t>
        </is>
      </c>
      <c r="N378" s="7" t="inlineStr">
        <is>
          <t>Unassigned</t>
        </is>
      </c>
      <c r="O378" s="7" t="inlineStr">
        <is>
          <t>1/1</t>
        </is>
      </c>
      <c r="P378" s="7" t="n"/>
    </row>
    <row r="379" ht="45" customHeight="1">
      <c r="A379" s="4" t="inlineStr">
        <is>
          <t>C39</t>
        </is>
      </c>
      <c r="B379" s="4" t="inlineStr">
        <is>
          <t>Atal Bhujal Yojana</t>
        </is>
      </c>
      <c r="C379" s="4" t="inlineStr">
        <is>
          <t>C39-SRC014</t>
        </is>
      </c>
      <c r="D379" s="4" t="inlineStr">
        <is>
          <t>Exclusion text</t>
        </is>
      </c>
      <c r="E379" s="4" t="inlineStr">
        <is>
          <t>Activities of a military or paramilitary nature.</t>
        </is>
      </c>
      <c r="F379" s="4" t="inlineStr">
        <is>
          <t>MS-C39 / C39-P0027</t>
        </is>
      </c>
      <c r="G379" s="4" t="inlineStr"/>
      <c r="H379" s="7" t="inlineStr">
        <is>
          <t>Approved</t>
        </is>
      </c>
      <c r="I379" s="7" t="n"/>
      <c r="J379" s="4" t="inlineStr">
        <is>
          <t>Exclusions</t>
        </is>
      </c>
      <c r="K379" s="4" t="inlineStr">
        <is>
          <t>en.schemeContent.exclusions[1].children[6]</t>
        </is>
      </c>
      <c r="L379" s="4" t="inlineStr">
        <is>
          <t>C39@20261028-5776a732</t>
        </is>
      </c>
      <c r="M379" s="4" t="inlineStr">
        <is>
          <t>Source extract; not executable</t>
        </is>
      </c>
      <c r="N379" s="7" t="inlineStr">
        <is>
          <t>Unassigned</t>
        </is>
      </c>
      <c r="O379" s="7" t="inlineStr">
        <is>
          <t>1/1</t>
        </is>
      </c>
      <c r="P379" s="7" t="n"/>
    </row>
    <row r="380" ht="45" customHeight="1">
      <c r="A380" s="4" t="inlineStr">
        <is>
          <t>C39</t>
        </is>
      </c>
      <c r="B380" s="4" t="inlineStr">
        <is>
          <t>Atal Bhujal Yojana</t>
        </is>
      </c>
      <c r="C380" s="4" t="inlineStr">
        <is>
          <t>C39-SRC015</t>
        </is>
      </c>
      <c r="D380" s="4" t="inlineStr">
        <is>
          <t>Exclusion text</t>
        </is>
      </c>
      <c r="E380" s="4" t="inlineStr">
        <is>
          <t>Purchase of vehicles, land, arms, ammunition, alcohol, or tobacco.</t>
        </is>
      </c>
      <c r="F380" s="4" t="inlineStr">
        <is>
          <t>MS-C39 / C39-P0028</t>
        </is>
      </c>
      <c r="G380" s="4" t="inlineStr"/>
      <c r="H380" s="7" t="inlineStr">
        <is>
          <t>Approved</t>
        </is>
      </c>
      <c r="I380" s="7" t="n"/>
      <c r="J380" s="4" t="inlineStr">
        <is>
          <t>Exclusions</t>
        </is>
      </c>
      <c r="K380" s="4" t="inlineStr">
        <is>
          <t>en.schemeContent.exclusions[1].children[7]</t>
        </is>
      </c>
      <c r="L380" s="4" t="inlineStr">
        <is>
          <t>C39@20261028-5776a732</t>
        </is>
      </c>
      <c r="M380" s="4" t="inlineStr">
        <is>
          <t>Source extract; not executable</t>
        </is>
      </c>
      <c r="N380" s="7" t="inlineStr">
        <is>
          <t>Unassigned</t>
        </is>
      </c>
      <c r="O380" s="7" t="inlineStr">
        <is>
          <t>1/1</t>
        </is>
      </c>
      <c r="P380" s="7" t="n"/>
    </row>
    <row r="381" ht="45" customHeight="1">
      <c r="A381" s="4" t="inlineStr">
        <is>
          <t>M05</t>
        </is>
      </c>
      <c r="B381" s="4" t="inlineStr">
        <is>
          <t>State Post-metric Scholarship For Disabled</t>
        </is>
      </c>
      <c r="C381" s="4" t="inlineStr">
        <is>
          <t>M05-SRC001</t>
        </is>
      </c>
      <c r="D381" s="4" t="inlineStr">
        <is>
          <t>Eligibility text</t>
        </is>
      </c>
      <c r="E381" s="4" t="inlineStr">
        <is>
          <t>The applicant should be a citizen of India.</t>
        </is>
      </c>
      <c r="F381" s="4" t="inlineStr">
        <is>
          <t>MS-M05 / M05-P0028</t>
        </is>
      </c>
      <c r="G381" s="4" t="inlineStr"/>
      <c r="H381" s="7" t="inlineStr">
        <is>
          <t>Approved</t>
        </is>
      </c>
      <c r="I381" s="7" t="n"/>
      <c r="J381" s="4" t="inlineStr">
        <is>
          <t>Eligibility</t>
        </is>
      </c>
      <c r="K381" s="4" t="inlineStr">
        <is>
          <t>en.eligibilityCriteria.eligibilityDescription[0].children[0]</t>
        </is>
      </c>
      <c r="L381" s="4" t="inlineStr">
        <is>
          <t>M05@20261028-b94d6a7d</t>
        </is>
      </c>
      <c r="M381" s="4" t="inlineStr">
        <is>
          <t>Source extract; not executable</t>
        </is>
      </c>
      <c r="N381" s="7" t="inlineStr">
        <is>
          <t>Unassigned</t>
        </is>
      </c>
      <c r="O381" s="7" t="inlineStr">
        <is>
          <t>1/1</t>
        </is>
      </c>
      <c r="P381" s="7" t="n"/>
    </row>
    <row r="382" ht="45" customHeight="1">
      <c r="A382" s="4" t="inlineStr">
        <is>
          <t>M05</t>
        </is>
      </c>
      <c r="B382" s="4" t="inlineStr">
        <is>
          <t>State Post-metric Scholarship For Disabled</t>
        </is>
      </c>
      <c r="C382" s="4" t="inlineStr">
        <is>
          <t>M05-SRC002</t>
        </is>
      </c>
      <c r="D382" s="4" t="inlineStr">
        <is>
          <t>Eligibility text</t>
        </is>
      </c>
      <c r="E382" s="4" t="inlineStr">
        <is>
          <t>The applicant should be a domicile / permanent resident of the state of Maharashtra.</t>
        </is>
      </c>
      <c r="F382" s="4" t="inlineStr">
        <is>
          <t>MS-M05 / M05-P0029</t>
        </is>
      </c>
      <c r="G382" s="4" t="inlineStr"/>
      <c r="H382" s="7" t="inlineStr">
        <is>
          <t>Approved</t>
        </is>
      </c>
      <c r="I382" s="7" t="n"/>
      <c r="J382" s="4" t="inlineStr">
        <is>
          <t>Eligibility</t>
        </is>
      </c>
      <c r="K382" s="4" t="inlineStr">
        <is>
          <t>en.eligibilityCriteria.eligibilityDescription[0].children[1]</t>
        </is>
      </c>
      <c r="L382" s="4" t="inlineStr">
        <is>
          <t>M05@20261028-b94d6a7d</t>
        </is>
      </c>
      <c r="M382" s="4" t="inlineStr">
        <is>
          <t>Source extract; not executable</t>
        </is>
      </c>
      <c r="N382" s="7" t="inlineStr">
        <is>
          <t>Unassigned</t>
        </is>
      </c>
      <c r="O382" s="7" t="inlineStr">
        <is>
          <t>1/1</t>
        </is>
      </c>
      <c r="P382" s="7" t="n"/>
    </row>
    <row r="383" ht="45" customHeight="1">
      <c r="A383" s="4" t="inlineStr">
        <is>
          <t>M05</t>
        </is>
      </c>
      <c r="B383" s="4" t="inlineStr">
        <is>
          <t>State Post-metric Scholarship For Disabled</t>
        </is>
      </c>
      <c r="C383" s="4" t="inlineStr">
        <is>
          <t>M05-SRC003</t>
        </is>
      </c>
      <c r="D383" s="4" t="inlineStr">
        <is>
          <t>Eligibility text</t>
        </is>
      </c>
      <c r="E383" s="4" t="inlineStr">
        <is>
          <t>The applicant should be a student admitted/enrolled in a school recognized by the Govt. of Maharashtra.</t>
        </is>
      </c>
      <c r="F383" s="4" t="inlineStr">
        <is>
          <t>MS-M05 / M05-P0030</t>
        </is>
      </c>
      <c r="G383" s="4" t="inlineStr"/>
      <c r="H383" s="7" t="inlineStr">
        <is>
          <t>Approved</t>
        </is>
      </c>
      <c r="I383" s="7" t="n"/>
      <c r="J383" s="4" t="inlineStr">
        <is>
          <t>Eligibility</t>
        </is>
      </c>
      <c r="K383" s="4" t="inlineStr">
        <is>
          <t>en.eligibilityCriteria.eligibilityDescription[0].children[2]</t>
        </is>
      </c>
      <c r="L383" s="4" t="inlineStr">
        <is>
          <t>M05@20261028-b94d6a7d</t>
        </is>
      </c>
      <c r="M383" s="4" t="inlineStr">
        <is>
          <t>Source extract; not executable</t>
        </is>
      </c>
      <c r="N383" s="7" t="inlineStr">
        <is>
          <t>Unassigned</t>
        </is>
      </c>
      <c r="O383" s="7" t="inlineStr">
        <is>
          <t>1/1</t>
        </is>
      </c>
      <c r="P383" s="7" t="n"/>
    </row>
    <row r="384" ht="45" customHeight="1">
      <c r="A384" s="4" t="inlineStr">
        <is>
          <t>M05</t>
        </is>
      </c>
      <c r="B384" s="4" t="inlineStr">
        <is>
          <t>State Post-metric Scholarship For Disabled</t>
        </is>
      </c>
      <c r="C384" s="4" t="inlineStr">
        <is>
          <t>M05-SRC004</t>
        </is>
      </c>
      <c r="D384" s="4" t="inlineStr">
        <is>
          <t>Eligibility text</t>
        </is>
      </c>
      <c r="E384" s="4" t="inlineStr">
        <is>
          <t>The applicant should be a Person with Disability (Visually Handicapped, Low Vision, Hearing Impaired, Orthopedically Handicapped, etc).</t>
        </is>
      </c>
      <c r="F384" s="4" t="inlineStr">
        <is>
          <t>MS-M05 / M05-P0031</t>
        </is>
      </c>
      <c r="G384" s="4" t="inlineStr"/>
      <c r="H384" s="7" t="inlineStr">
        <is>
          <t>Approved</t>
        </is>
      </c>
      <c r="I384" s="7" t="n"/>
      <c r="J384" s="4" t="inlineStr">
        <is>
          <t>Eligibility</t>
        </is>
      </c>
      <c r="K384" s="4" t="inlineStr">
        <is>
          <t>en.eligibilityCriteria.eligibilityDescription[0].children[3]</t>
        </is>
      </c>
      <c r="L384" s="4" t="inlineStr">
        <is>
          <t>M05@20261028-b94d6a7d</t>
        </is>
      </c>
      <c r="M384" s="4" t="inlineStr">
        <is>
          <t>Source extract; not executable</t>
        </is>
      </c>
      <c r="N384" s="7" t="inlineStr">
        <is>
          <t>Unassigned</t>
        </is>
      </c>
      <c r="O384" s="7" t="inlineStr">
        <is>
          <t>1/1</t>
        </is>
      </c>
      <c r="P384" s="7" t="n"/>
    </row>
    <row r="385" ht="45" customHeight="1">
      <c r="A385" s="4" t="inlineStr">
        <is>
          <t>M05</t>
        </is>
      </c>
      <c r="B385" s="4" t="inlineStr">
        <is>
          <t>State Post-metric Scholarship For Disabled</t>
        </is>
      </c>
      <c r="C385" s="4" t="inlineStr">
        <is>
          <t>M05-SRC005</t>
        </is>
      </c>
      <c r="D385" s="4" t="inlineStr">
        <is>
          <t>Eligibility text</t>
        </is>
      </c>
      <c r="E385" s="4" t="inlineStr">
        <is>
          <t>The percentage of the disability should be 40% or above.</t>
        </is>
      </c>
      <c r="F385" s="4" t="inlineStr">
        <is>
          <t>MS-M05 / M05-P0032</t>
        </is>
      </c>
      <c r="G385" s="4" t="inlineStr"/>
      <c r="H385" s="7" t="inlineStr">
        <is>
          <t>Approved</t>
        </is>
      </c>
      <c r="I385" s="7" t="n"/>
      <c r="J385" s="4" t="inlineStr">
        <is>
          <t>Eligibility</t>
        </is>
      </c>
      <c r="K385" s="4" t="inlineStr">
        <is>
          <t>en.eligibilityCriteria.eligibilityDescription[0].children[4]</t>
        </is>
      </c>
      <c r="L385" s="4" t="inlineStr">
        <is>
          <t>M05@20261028-b94d6a7d</t>
        </is>
      </c>
      <c r="M385" s="4" t="inlineStr">
        <is>
          <t>Source extract; not executable</t>
        </is>
      </c>
      <c r="N385" s="7" t="inlineStr">
        <is>
          <t>Unassigned</t>
        </is>
      </c>
      <c r="O385" s="7" t="inlineStr">
        <is>
          <t>1/1</t>
        </is>
      </c>
      <c r="P385" s="7" t="n"/>
    </row>
    <row r="386" ht="45" customHeight="1">
      <c r="A386" s="4" t="inlineStr">
        <is>
          <t>M05</t>
        </is>
      </c>
      <c r="B386" s="4" t="inlineStr">
        <is>
          <t>State Post-metric Scholarship For Disabled</t>
        </is>
      </c>
      <c r="C386" s="4" t="inlineStr">
        <is>
          <t>M05-SRC006</t>
        </is>
      </c>
      <c r="D386" s="4" t="inlineStr">
        <is>
          <t>Eligibility text</t>
        </is>
      </c>
      <c r="E386" s="4" t="inlineStr">
        <is>
          <t>The applicant should have passed class 10th.</t>
        </is>
      </c>
      <c r="F386" s="4" t="inlineStr">
        <is>
          <t>MS-M05 / M05-P0033</t>
        </is>
      </c>
      <c r="G386" s="4" t="inlineStr"/>
      <c r="H386" s="7" t="inlineStr">
        <is>
          <t>Approved</t>
        </is>
      </c>
      <c r="I386" s="7" t="n"/>
      <c r="J386" s="4" t="inlineStr">
        <is>
          <t>Eligibility</t>
        </is>
      </c>
      <c r="K386" s="4" t="inlineStr">
        <is>
          <t>en.eligibilityCriteria.eligibilityDescription[0].children[5]</t>
        </is>
      </c>
      <c r="L386" s="4" t="inlineStr">
        <is>
          <t>M05@20261028-b94d6a7d</t>
        </is>
      </c>
      <c r="M386" s="4" t="inlineStr">
        <is>
          <t>Source extract; not executable</t>
        </is>
      </c>
      <c r="N386" s="7" t="inlineStr">
        <is>
          <t>Unassigned</t>
        </is>
      </c>
      <c r="O386" s="7" t="inlineStr">
        <is>
          <t>1/1</t>
        </is>
      </c>
      <c r="P386" s="7" t="n"/>
    </row>
    <row r="387" ht="45" customHeight="1">
      <c r="A387" s="4" t="inlineStr">
        <is>
          <t>M05</t>
        </is>
      </c>
      <c r="B387" s="4" t="inlineStr">
        <is>
          <t>State Post-metric Scholarship For Disabled</t>
        </is>
      </c>
      <c r="C387" s="4" t="inlineStr">
        <is>
          <t>M05-SRC007</t>
        </is>
      </c>
      <c r="D387" s="4" t="inlineStr">
        <is>
          <t>Eligibility text</t>
        </is>
      </c>
      <c r="E387" s="4" t="inlineStr">
        <is>
          <t>The applicant should not have failed in the last qualifying examination.</t>
        </is>
      </c>
      <c r="F387" s="4" t="inlineStr">
        <is>
          <t>MS-M05 / M05-P0034</t>
        </is>
      </c>
      <c r="G387" s="4" t="inlineStr"/>
      <c r="H387" s="7" t="inlineStr">
        <is>
          <t>Approved</t>
        </is>
      </c>
      <c r="I387" s="7" t="n"/>
      <c r="J387" s="4" t="inlineStr">
        <is>
          <t>Eligibility</t>
        </is>
      </c>
      <c r="K387" s="4" t="inlineStr">
        <is>
          <t>en.eligibilityCriteria.eligibilityDescription[0].children[6]</t>
        </is>
      </c>
      <c r="L387" s="4" t="inlineStr">
        <is>
          <t>M05@20261028-b94d6a7d</t>
        </is>
      </c>
      <c r="M387" s="4" t="inlineStr">
        <is>
          <t>Source extract; not executable</t>
        </is>
      </c>
      <c r="N387" s="7" t="inlineStr">
        <is>
          <t>Unassigned</t>
        </is>
      </c>
      <c r="O387" s="7" t="inlineStr">
        <is>
          <t>1/1</t>
        </is>
      </c>
      <c r="P387" s="7" t="n"/>
    </row>
    <row r="388" ht="57.92" customHeight="1">
      <c r="A388" s="4" t="inlineStr">
        <is>
          <t>M05</t>
        </is>
      </c>
      <c r="B388" s="4" t="inlineStr">
        <is>
          <t>State Post-metric Scholarship For Disabled</t>
        </is>
      </c>
      <c r="C388" s="4" t="inlineStr">
        <is>
          <t>M05-SRC008</t>
        </is>
      </c>
      <c r="D388" s="4" t="inlineStr">
        <is>
          <t>Eligibility text</t>
        </is>
      </c>
      <c r="E388" s="4" t="inlineStr">
        <is>
          <t>The applicant should be pursuing a post-metric qualification, i.e. Higher Secondary School (Class 11th, Class 12th), or a Technical/Professional Degree in Medical, Engineering, etc.</t>
        </is>
      </c>
      <c r="F388" s="4" t="inlineStr">
        <is>
          <t>MS-M05 / M05-P0035</t>
        </is>
      </c>
      <c r="G388" s="4" t="inlineStr"/>
      <c r="H388" s="7" t="inlineStr">
        <is>
          <t>Approved</t>
        </is>
      </c>
      <c r="I388" s="7" t="n"/>
      <c r="J388" s="4" t="inlineStr">
        <is>
          <t>Eligibility</t>
        </is>
      </c>
      <c r="K388" s="4" t="inlineStr">
        <is>
          <t>en.eligibilityCriteria.eligibilityDescription[0].children[7]</t>
        </is>
      </c>
      <c r="L388" s="4" t="inlineStr">
        <is>
          <t>M05@20261028-b94d6a7d</t>
        </is>
      </c>
      <c r="M388" s="4" t="inlineStr">
        <is>
          <t>Source extract; not executable</t>
        </is>
      </c>
      <c r="N388" s="7" t="inlineStr">
        <is>
          <t>Unassigned</t>
        </is>
      </c>
      <c r="O388" s="7" t="inlineStr">
        <is>
          <t>1/1</t>
        </is>
      </c>
      <c r="P388" s="7" t="n"/>
    </row>
    <row r="389" ht="45" customHeight="1">
      <c r="A389" s="4" t="inlineStr">
        <is>
          <t>M05</t>
        </is>
      </c>
      <c r="B389" s="4" t="inlineStr">
        <is>
          <t>State Post-metric Scholarship For Disabled</t>
        </is>
      </c>
      <c r="C389" s="4" t="inlineStr">
        <is>
          <t>M05-EMPTY-Exclusions</t>
        </is>
      </c>
      <c r="D389" s="4" t="inlineStr">
        <is>
          <t>Exclusions</t>
        </is>
      </c>
      <c r="E389" s="4" t="inlineStr">
        <is>
          <t>Not stated in the captured source. Do not infer no restrictions.</t>
        </is>
      </c>
      <c r="F389" s="4" t="inlineStr">
        <is>
          <t>MS-M05</t>
        </is>
      </c>
      <c r="G389" s="4" t="inlineStr">
        <is>
          <t>Full official guidelines required.</t>
        </is>
      </c>
      <c r="H389" s="7" t="inlineStr">
        <is>
          <t>Approved</t>
        </is>
      </c>
      <c r="I389" s="7" t="n"/>
      <c r="J389" s="4" t="inlineStr">
        <is>
          <t>Exclusions</t>
        </is>
      </c>
      <c r="K389" s="4" t="inlineStr"/>
      <c r="L389" s="4" t="inlineStr">
        <is>
          <t>M05@20261028-b94d6a7d</t>
        </is>
      </c>
      <c r="M389" s="4" t="inlineStr">
        <is>
          <t>Empty or absent in source</t>
        </is>
      </c>
      <c r="N389" s="7" t="inlineStr">
        <is>
          <t>Unassigned</t>
        </is>
      </c>
      <c r="O389" s="7" t="n"/>
      <c r="P389" s="7" t="n"/>
    </row>
    <row r="390" ht="45" customHeight="1">
      <c r="A390" s="4" t="inlineStr">
        <is>
          <t>M06</t>
        </is>
      </c>
      <c r="B390" s="4" t="inlineStr">
        <is>
          <t>Homes For Intellectually Impaired Persons</t>
        </is>
      </c>
      <c r="C390" s="4" t="inlineStr">
        <is>
          <t>M06-SRC001</t>
        </is>
      </c>
      <c r="D390" s="4" t="inlineStr">
        <is>
          <t>Eligibility text</t>
        </is>
      </c>
      <c r="E390" s="4" t="inlineStr">
        <is>
          <t>The applicant should be a citizen of India.</t>
        </is>
      </c>
      <c r="F390" s="4" t="inlineStr">
        <is>
          <t>MS-M06 / M06-P0004</t>
        </is>
      </c>
      <c r="G390" s="4" t="inlineStr"/>
      <c r="H390" s="7" t="inlineStr">
        <is>
          <t>Approved</t>
        </is>
      </c>
      <c r="I390" s="7" t="n"/>
      <c r="J390" s="4" t="inlineStr">
        <is>
          <t>Eligibility</t>
        </is>
      </c>
      <c r="K390" s="4" t="inlineStr">
        <is>
          <t>en.eligibilityCriteria.eligibilityDescription[0].children[0]</t>
        </is>
      </c>
      <c r="L390" s="4" t="inlineStr">
        <is>
          <t>M06@20261028-150cae35</t>
        </is>
      </c>
      <c r="M390" s="4" t="inlineStr">
        <is>
          <t>Source extract; not executable</t>
        </is>
      </c>
      <c r="N390" s="7" t="inlineStr">
        <is>
          <t>Unassigned</t>
        </is>
      </c>
      <c r="O390" s="7" t="inlineStr">
        <is>
          <t>1/1</t>
        </is>
      </c>
      <c r="P390" s="7" t="n"/>
    </row>
    <row r="391" ht="45" customHeight="1">
      <c r="A391" s="4" t="inlineStr">
        <is>
          <t>M06</t>
        </is>
      </c>
      <c r="B391" s="4" t="inlineStr">
        <is>
          <t>Homes For Intellectually Impaired Persons</t>
        </is>
      </c>
      <c r="C391" s="4" t="inlineStr">
        <is>
          <t>M06-SRC002</t>
        </is>
      </c>
      <c r="D391" s="4" t="inlineStr">
        <is>
          <t>Eligibility text</t>
        </is>
      </c>
      <c r="E391" s="4" t="inlineStr">
        <is>
          <t>The applicant should be an orphan.</t>
        </is>
      </c>
      <c r="F391" s="4" t="inlineStr">
        <is>
          <t>MS-M06 / M06-P0005</t>
        </is>
      </c>
      <c r="G391" s="4" t="inlineStr"/>
      <c r="H391" s="7" t="inlineStr">
        <is>
          <t>Approved</t>
        </is>
      </c>
      <c r="I391" s="7" t="n"/>
      <c r="J391" s="4" t="inlineStr">
        <is>
          <t>Eligibility</t>
        </is>
      </c>
      <c r="K391" s="4" t="inlineStr">
        <is>
          <t>en.eligibilityCriteria.eligibilityDescription[0].children[1]</t>
        </is>
      </c>
      <c r="L391" s="4" t="inlineStr">
        <is>
          <t>M06@20261028-150cae35</t>
        </is>
      </c>
      <c r="M391" s="4" t="inlineStr">
        <is>
          <t>Source extract; not executable</t>
        </is>
      </c>
      <c r="N391" s="7" t="inlineStr">
        <is>
          <t>Unassigned</t>
        </is>
      </c>
      <c r="O391" s="7" t="inlineStr">
        <is>
          <t>1/1</t>
        </is>
      </c>
      <c r="P391" s="7" t="n"/>
    </row>
    <row r="392" ht="45" customHeight="1">
      <c r="A392" s="4" t="inlineStr">
        <is>
          <t>M06</t>
        </is>
      </c>
      <c r="B392" s="4" t="inlineStr">
        <is>
          <t>Homes For Intellectually Impaired Persons</t>
        </is>
      </c>
      <c r="C392" s="4" t="inlineStr">
        <is>
          <t>M06-SRC003</t>
        </is>
      </c>
      <c r="D392" s="4" t="inlineStr">
        <is>
          <t>Eligibility text</t>
        </is>
      </c>
      <c r="E392" s="4" t="inlineStr">
        <is>
          <t>The applicant should be a permanent resident of Maharashtra State.</t>
        </is>
      </c>
      <c r="F392" s="4" t="inlineStr">
        <is>
          <t>MS-M06 / M06-P0006</t>
        </is>
      </c>
      <c r="G392" s="4" t="inlineStr"/>
      <c r="H392" s="7" t="inlineStr">
        <is>
          <t>Approved</t>
        </is>
      </c>
      <c r="I392" s="7" t="n"/>
      <c r="J392" s="4" t="inlineStr">
        <is>
          <t>Eligibility</t>
        </is>
      </c>
      <c r="K392" s="4" t="inlineStr">
        <is>
          <t>en.eligibilityCriteria.eligibilityDescription[0].children[2]</t>
        </is>
      </c>
      <c r="L392" s="4" t="inlineStr">
        <is>
          <t>M06@20261028-150cae35</t>
        </is>
      </c>
      <c r="M392" s="4" t="inlineStr">
        <is>
          <t>Source extract; not executable</t>
        </is>
      </c>
      <c r="N392" s="7" t="inlineStr">
        <is>
          <t>Unassigned</t>
        </is>
      </c>
      <c r="O392" s="7" t="inlineStr">
        <is>
          <t>1/1</t>
        </is>
      </c>
      <c r="P392" s="7" t="n"/>
    </row>
    <row r="393" ht="45" customHeight="1">
      <c r="A393" s="4" t="inlineStr">
        <is>
          <t>M06</t>
        </is>
      </c>
      <c r="B393" s="4" t="inlineStr">
        <is>
          <t>Homes For Intellectually Impaired Persons</t>
        </is>
      </c>
      <c r="C393" s="4" t="inlineStr">
        <is>
          <t>M06-SRC004</t>
        </is>
      </c>
      <c r="D393" s="4" t="inlineStr">
        <is>
          <t>Eligibility text</t>
        </is>
      </c>
      <c r="E393" s="4" t="inlineStr">
        <is>
          <t>The applicant should be a Mentally Deficient Child (MDC) who is in need of care and protection.</t>
        </is>
      </c>
      <c r="F393" s="4" t="inlineStr">
        <is>
          <t>MS-M06 / M06-P0007</t>
        </is>
      </c>
      <c r="G393" s="4" t="inlineStr"/>
      <c r="H393" s="7" t="inlineStr">
        <is>
          <t>Approved</t>
        </is>
      </c>
      <c r="I393" s="7" t="n"/>
      <c r="J393" s="4" t="inlineStr">
        <is>
          <t>Eligibility</t>
        </is>
      </c>
      <c r="K393" s="4" t="inlineStr">
        <is>
          <t>en.eligibilityCriteria.eligibilityDescription[0].children[3]</t>
        </is>
      </c>
      <c r="L393" s="4" t="inlineStr">
        <is>
          <t>M06@20261028-150cae35</t>
        </is>
      </c>
      <c r="M393" s="4" t="inlineStr">
        <is>
          <t>Source extract; not executable</t>
        </is>
      </c>
      <c r="N393" s="7" t="inlineStr">
        <is>
          <t>Unassigned</t>
        </is>
      </c>
      <c r="O393" s="7" t="inlineStr">
        <is>
          <t>1/1</t>
        </is>
      </c>
      <c r="P393" s="7" t="n"/>
    </row>
    <row r="394" ht="45" customHeight="1">
      <c r="A394" s="4" t="inlineStr">
        <is>
          <t>M06</t>
        </is>
      </c>
      <c r="B394" s="4" t="inlineStr">
        <is>
          <t>Homes For Intellectually Impaired Persons</t>
        </is>
      </c>
      <c r="C394" s="4" t="inlineStr">
        <is>
          <t>M06-SRC005</t>
        </is>
      </c>
      <c r="D394" s="4" t="inlineStr">
        <is>
          <t>Eligibility text</t>
        </is>
      </c>
      <c r="E394" s="4" t="inlineStr">
        <is>
          <t>The percentage of the disability should be 40% or above.</t>
        </is>
      </c>
      <c r="F394" s="4" t="inlineStr">
        <is>
          <t>MS-M06 / M06-P0008</t>
        </is>
      </c>
      <c r="G394" s="4" t="inlineStr"/>
      <c r="H394" s="7" t="inlineStr">
        <is>
          <t>Approved</t>
        </is>
      </c>
      <c r="I394" s="7" t="n"/>
      <c r="J394" s="4" t="inlineStr">
        <is>
          <t>Eligibility</t>
        </is>
      </c>
      <c r="K394" s="4" t="inlineStr">
        <is>
          <t>en.eligibilityCriteria.eligibilityDescription[0].children[4]</t>
        </is>
      </c>
      <c r="L394" s="4" t="inlineStr">
        <is>
          <t>M06@20261028-150cae35</t>
        </is>
      </c>
      <c r="M394" s="4" t="inlineStr">
        <is>
          <t>Source extract; not executable</t>
        </is>
      </c>
      <c r="N394" s="7" t="inlineStr">
        <is>
          <t>Unassigned</t>
        </is>
      </c>
      <c r="O394" s="7" t="inlineStr">
        <is>
          <t>1/1</t>
        </is>
      </c>
      <c r="P394" s="7" t="n"/>
    </row>
    <row r="395" ht="45" customHeight="1">
      <c r="A395" s="4" t="inlineStr">
        <is>
          <t>M06</t>
        </is>
      </c>
      <c r="B395" s="4" t="inlineStr">
        <is>
          <t>Homes For Intellectually Impaired Persons</t>
        </is>
      </c>
      <c r="C395" s="4" t="inlineStr">
        <is>
          <t>M06-EMPTY-Exclusions</t>
        </is>
      </c>
      <c r="D395" s="4" t="inlineStr">
        <is>
          <t>Exclusions</t>
        </is>
      </c>
      <c r="E395" s="4" t="inlineStr">
        <is>
          <t>Not stated in the captured source. Do not infer no restrictions.</t>
        </is>
      </c>
      <c r="F395" s="4" t="inlineStr">
        <is>
          <t>MS-M06</t>
        </is>
      </c>
      <c r="G395" s="4" t="inlineStr">
        <is>
          <t>Full official guidelines required.</t>
        </is>
      </c>
      <c r="H395" s="7" t="inlineStr">
        <is>
          <t>Approved</t>
        </is>
      </c>
      <c r="I395" s="7" t="n"/>
      <c r="J395" s="4" t="inlineStr">
        <is>
          <t>Exclusions</t>
        </is>
      </c>
      <c r="K395" s="4" t="inlineStr"/>
      <c r="L395" s="4" t="inlineStr">
        <is>
          <t>M06@20261028-150cae35</t>
        </is>
      </c>
      <c r="M395" s="4" t="inlineStr">
        <is>
          <t>Empty or absent in source</t>
        </is>
      </c>
      <c r="N395" s="7" t="inlineStr">
        <is>
          <t>Unassigned</t>
        </is>
      </c>
      <c r="O395" s="7" t="n"/>
      <c r="P395" s="7" t="n"/>
    </row>
    <row r="396" ht="45" customHeight="1">
      <c r="A396" s="4" t="inlineStr">
        <is>
          <t>M07</t>
        </is>
      </c>
      <c r="B396" s="4" t="inlineStr">
        <is>
          <t>LIDCOM Gattai Stall Scheme</t>
        </is>
      </c>
      <c r="C396" s="4" t="inlineStr">
        <is>
          <t>M07-SRC001</t>
        </is>
      </c>
      <c r="D396" s="4" t="inlineStr">
        <is>
          <t>Eligibility text</t>
        </is>
      </c>
      <c r="E396" s="4" t="inlineStr">
        <is>
          <t>The applicant should be a citizen of India.</t>
        </is>
      </c>
      <c r="F396" s="4" t="inlineStr">
        <is>
          <t>MS-M07 / M07-P0003</t>
        </is>
      </c>
      <c r="G396" s="4" t="inlineStr"/>
      <c r="H396" s="7" t="inlineStr">
        <is>
          <t>Approved</t>
        </is>
      </c>
      <c r="I396" s="7" t="n"/>
      <c r="J396" s="4" t="inlineStr">
        <is>
          <t>Eligibility</t>
        </is>
      </c>
      <c r="K396" s="4" t="inlineStr">
        <is>
          <t>en.eligibilityCriteria.eligibilityDescription[0].children[0]</t>
        </is>
      </c>
      <c r="L396" s="4" t="inlineStr">
        <is>
          <t>M07@20261028-8461c67b</t>
        </is>
      </c>
      <c r="M396" s="4" t="inlineStr">
        <is>
          <t>Source extract; not executable</t>
        </is>
      </c>
      <c r="N396" s="7" t="inlineStr">
        <is>
          <t>Unassigned</t>
        </is>
      </c>
      <c r="O396" s="7" t="inlineStr">
        <is>
          <t>1/1</t>
        </is>
      </c>
      <c r="P396" s="7" t="n"/>
    </row>
    <row r="397" ht="45" customHeight="1">
      <c r="A397" s="4" t="inlineStr">
        <is>
          <t>M07</t>
        </is>
      </c>
      <c r="B397" s="4" t="inlineStr">
        <is>
          <t>LIDCOM Gattai Stall Scheme</t>
        </is>
      </c>
      <c r="C397" s="4" t="inlineStr">
        <is>
          <t>M07-SRC002</t>
        </is>
      </c>
      <c r="D397" s="4" t="inlineStr">
        <is>
          <t>Eligibility text</t>
        </is>
      </c>
      <c r="E397" s="4" t="inlineStr">
        <is>
          <t>The applicant should be a Roadside Cobbler identified by the Gram Panchayat.</t>
        </is>
      </c>
      <c r="F397" s="4" t="inlineStr">
        <is>
          <t>MS-M07 / M07-P0004</t>
        </is>
      </c>
      <c r="G397" s="4" t="inlineStr"/>
      <c r="H397" s="7" t="inlineStr">
        <is>
          <t>Approved</t>
        </is>
      </c>
      <c r="I397" s="7" t="n"/>
      <c r="J397" s="4" t="inlineStr">
        <is>
          <t>Eligibility</t>
        </is>
      </c>
      <c r="K397" s="4" t="inlineStr">
        <is>
          <t>en.eligibilityCriteria.eligibilityDescription[0].children[1]</t>
        </is>
      </c>
      <c r="L397" s="4" t="inlineStr">
        <is>
          <t>M07@20261028-8461c67b</t>
        </is>
      </c>
      <c r="M397" s="4" t="inlineStr">
        <is>
          <t>Source extract; not executable</t>
        </is>
      </c>
      <c r="N397" s="7" t="inlineStr">
        <is>
          <t>Unassigned</t>
        </is>
      </c>
      <c r="O397" s="7" t="inlineStr">
        <is>
          <t>1/1</t>
        </is>
      </c>
      <c r="P397" s="7" t="n"/>
    </row>
    <row r="398" ht="45" customHeight="1">
      <c r="A398" s="4" t="inlineStr">
        <is>
          <t>M07</t>
        </is>
      </c>
      <c r="B398" s="4" t="inlineStr">
        <is>
          <t>LIDCOM Gattai Stall Scheme</t>
        </is>
      </c>
      <c r="C398" s="4" t="inlineStr">
        <is>
          <t>M07-SRC003</t>
        </is>
      </c>
      <c r="D398" s="4" t="inlineStr">
        <is>
          <t>Eligibility text</t>
        </is>
      </c>
      <c r="E398" s="4" t="inlineStr">
        <is>
          <t>The applicant should be a permanent resident of Maharashtra State.</t>
        </is>
      </c>
      <c r="F398" s="4" t="inlineStr">
        <is>
          <t>MS-M07 / M07-P0005</t>
        </is>
      </c>
      <c r="G398" s="4" t="inlineStr"/>
      <c r="H398" s="7" t="inlineStr">
        <is>
          <t>Approved</t>
        </is>
      </c>
      <c r="I398" s="7" t="n"/>
      <c r="J398" s="4" t="inlineStr">
        <is>
          <t>Eligibility</t>
        </is>
      </c>
      <c r="K398" s="4" t="inlineStr">
        <is>
          <t>en.eligibilityCriteria.eligibilityDescription[0].children[2]</t>
        </is>
      </c>
      <c r="L398" s="4" t="inlineStr">
        <is>
          <t>M07@20261028-8461c67b</t>
        </is>
      </c>
      <c r="M398" s="4" t="inlineStr">
        <is>
          <t>Source extract; not executable</t>
        </is>
      </c>
      <c r="N398" s="7" t="inlineStr">
        <is>
          <t>Unassigned</t>
        </is>
      </c>
      <c r="O398" s="7" t="inlineStr">
        <is>
          <t>1/1</t>
        </is>
      </c>
      <c r="P398" s="7" t="n"/>
    </row>
    <row r="399" ht="45" customHeight="1">
      <c r="A399" s="4" t="inlineStr">
        <is>
          <t>M07</t>
        </is>
      </c>
      <c r="B399" s="4" t="inlineStr">
        <is>
          <t>LIDCOM Gattai Stall Scheme</t>
        </is>
      </c>
      <c r="C399" s="4" t="inlineStr">
        <is>
          <t>M07-SRC004</t>
        </is>
      </c>
      <c r="D399" s="4" t="inlineStr">
        <is>
          <t>Eligibility text</t>
        </is>
      </c>
      <c r="E399" s="4" t="inlineStr">
        <is>
          <t>The applicant should be in the 18 to 50 years age group.</t>
        </is>
      </c>
      <c r="F399" s="4" t="inlineStr">
        <is>
          <t>MS-M07 / M07-P0006</t>
        </is>
      </c>
      <c r="G399" s="4" t="inlineStr"/>
      <c r="H399" s="7" t="inlineStr">
        <is>
          <t>Approved</t>
        </is>
      </c>
      <c r="I399" s="7" t="n"/>
      <c r="J399" s="4" t="inlineStr">
        <is>
          <t>Eligibility</t>
        </is>
      </c>
      <c r="K399" s="4" t="inlineStr">
        <is>
          <t>en.eligibilityCriteria.eligibilityDescription[0].children[3]</t>
        </is>
      </c>
      <c r="L399" s="4" t="inlineStr">
        <is>
          <t>M07@20261028-8461c67b</t>
        </is>
      </c>
      <c r="M399" s="4" t="inlineStr">
        <is>
          <t>Source extract; not executable</t>
        </is>
      </c>
      <c r="N399" s="7" t="inlineStr">
        <is>
          <t>Unassigned</t>
        </is>
      </c>
      <c r="O399" s="7" t="inlineStr">
        <is>
          <t>1/1</t>
        </is>
      </c>
      <c r="P399" s="7" t="n"/>
    </row>
    <row r="400" ht="45" customHeight="1">
      <c r="A400" s="4" t="inlineStr">
        <is>
          <t>M07</t>
        </is>
      </c>
      <c r="B400" s="4" t="inlineStr">
        <is>
          <t>LIDCOM Gattai Stall Scheme</t>
        </is>
      </c>
      <c r="C400" s="4" t="inlineStr">
        <is>
          <t>M07-SRC005</t>
        </is>
      </c>
      <c r="D400" s="4" t="inlineStr">
        <is>
          <t>Eligibility text</t>
        </is>
      </c>
      <c r="E400" s="4" t="inlineStr">
        <is>
          <t>The applicant should be from Charmakar Community only (Dhor, Chambhar, Holar, Mochi, etc.).</t>
        </is>
      </c>
      <c r="F400" s="4" t="inlineStr">
        <is>
          <t>MS-M07 / M07-P0007</t>
        </is>
      </c>
      <c r="G400" s="4" t="inlineStr"/>
      <c r="H400" s="7" t="inlineStr">
        <is>
          <t>Approved</t>
        </is>
      </c>
      <c r="I400" s="7" t="n"/>
      <c r="J400" s="4" t="inlineStr">
        <is>
          <t>Eligibility</t>
        </is>
      </c>
      <c r="K400" s="4" t="inlineStr">
        <is>
          <t>en.eligibilityCriteria.eligibilityDescription[0].children[4]</t>
        </is>
      </c>
      <c r="L400" s="4" t="inlineStr">
        <is>
          <t>M07@20261028-8461c67b</t>
        </is>
      </c>
      <c r="M400" s="4" t="inlineStr">
        <is>
          <t>Source extract; not executable</t>
        </is>
      </c>
      <c r="N400" s="7" t="inlineStr">
        <is>
          <t>Unassigned</t>
        </is>
      </c>
      <c r="O400" s="7" t="inlineStr">
        <is>
          <t>1/1</t>
        </is>
      </c>
      <c r="P400" s="7" t="n"/>
    </row>
    <row r="401" ht="45" customHeight="1">
      <c r="A401" s="4" t="inlineStr">
        <is>
          <t>M07</t>
        </is>
      </c>
      <c r="B401" s="4" t="inlineStr">
        <is>
          <t>LIDCOM Gattai Stall Scheme</t>
        </is>
      </c>
      <c r="C401" s="4" t="inlineStr">
        <is>
          <t>M07-SRC006</t>
        </is>
      </c>
      <c r="D401" s="4" t="inlineStr">
        <is>
          <t>Eligibility text</t>
        </is>
      </c>
      <c r="E401" s="4" t="inlineStr">
        <is>
          <t>The annual income of the family of the applicant should be less than or equal to ₹1,00,000/-.</t>
        </is>
      </c>
      <c r="F401" s="4" t="inlineStr">
        <is>
          <t>MS-M07 / M07-P0008</t>
        </is>
      </c>
      <c r="G401" s="4" t="inlineStr"/>
      <c r="H401" s="7" t="inlineStr">
        <is>
          <t>Approved</t>
        </is>
      </c>
      <c r="I401" s="7" t="n"/>
      <c r="J401" s="4" t="inlineStr">
        <is>
          <t>Eligibility</t>
        </is>
      </c>
      <c r="K401" s="4" t="inlineStr">
        <is>
          <t>en.eligibilityCriteria.eligibilityDescription[0].children[5]</t>
        </is>
      </c>
      <c r="L401" s="4" t="inlineStr">
        <is>
          <t>M07@20261028-8461c67b</t>
        </is>
      </c>
      <c r="M401" s="4" t="inlineStr">
        <is>
          <t>Source extract; not executable</t>
        </is>
      </c>
      <c r="N401" s="7" t="inlineStr">
        <is>
          <t>Unassigned</t>
        </is>
      </c>
      <c r="O401" s="7" t="inlineStr">
        <is>
          <t>1/1</t>
        </is>
      </c>
      <c r="P401" s="7" t="n"/>
    </row>
    <row r="402" ht="45" customHeight="1">
      <c r="A402" s="4" t="inlineStr">
        <is>
          <t>M07</t>
        </is>
      </c>
      <c r="B402" s="4" t="inlineStr">
        <is>
          <t>LIDCOM Gattai Stall Scheme</t>
        </is>
      </c>
      <c r="C402" s="4" t="inlineStr">
        <is>
          <t>M07-SRC007</t>
        </is>
      </c>
      <c r="D402" s="4" t="inlineStr">
        <is>
          <t>Eligibility text</t>
        </is>
      </c>
      <c r="E402" s="4" t="inlineStr">
        <is>
          <t>The applicant should have knowledge of the business for which he has applied for the loan.</t>
        </is>
      </c>
      <c r="F402" s="4" t="inlineStr">
        <is>
          <t>MS-M07 / M07-P0009</t>
        </is>
      </c>
      <c r="G402" s="4" t="inlineStr"/>
      <c r="H402" s="7" t="inlineStr">
        <is>
          <t>Approved</t>
        </is>
      </c>
      <c r="I402" s="7" t="n"/>
      <c r="J402" s="4" t="inlineStr">
        <is>
          <t>Eligibility</t>
        </is>
      </c>
      <c r="K402" s="4" t="inlineStr">
        <is>
          <t>en.eligibilityCriteria.eligibilityDescription[0].children[6]</t>
        </is>
      </c>
      <c r="L402" s="4" t="inlineStr">
        <is>
          <t>M07@20261028-8461c67b</t>
        </is>
      </c>
      <c r="M402" s="4" t="inlineStr">
        <is>
          <t>Source extract; not executable</t>
        </is>
      </c>
      <c r="N402" s="7" t="inlineStr">
        <is>
          <t>Unassigned</t>
        </is>
      </c>
      <c r="O402" s="7" t="inlineStr">
        <is>
          <t>1/1</t>
        </is>
      </c>
      <c r="P402" s="7" t="n"/>
    </row>
    <row r="403" ht="45" customHeight="1">
      <c r="A403" s="4" t="inlineStr">
        <is>
          <t>M07</t>
        </is>
      </c>
      <c r="B403" s="4" t="inlineStr">
        <is>
          <t>LIDCOM Gattai Stall Scheme</t>
        </is>
      </c>
      <c r="C403" s="4" t="inlineStr">
        <is>
          <t>M07-EMPTY-Exclusions</t>
        </is>
      </c>
      <c r="D403" s="4" t="inlineStr">
        <is>
          <t>Exclusions</t>
        </is>
      </c>
      <c r="E403" s="4" t="inlineStr">
        <is>
          <t>Not stated in the captured source. Do not infer no restrictions.</t>
        </is>
      </c>
      <c r="F403" s="4" t="inlineStr">
        <is>
          <t>MS-M07</t>
        </is>
      </c>
      <c r="G403" s="4" t="inlineStr">
        <is>
          <t>Full official guidelines required.</t>
        </is>
      </c>
      <c r="H403" s="7" t="inlineStr">
        <is>
          <t>Approved</t>
        </is>
      </c>
      <c r="I403" s="7" t="n"/>
      <c r="J403" s="4" t="inlineStr">
        <is>
          <t>Exclusions</t>
        </is>
      </c>
      <c r="K403" s="4" t="inlineStr"/>
      <c r="L403" s="4" t="inlineStr">
        <is>
          <t>M07@20261028-8461c67b</t>
        </is>
      </c>
      <c r="M403" s="4" t="inlineStr">
        <is>
          <t>Empty or absent in source</t>
        </is>
      </c>
      <c r="N403" s="7" t="inlineStr">
        <is>
          <t>Unassigned</t>
        </is>
      </c>
      <c r="O403" s="7" t="n"/>
      <c r="P403" s="7" t="n"/>
    </row>
    <row r="404" ht="45" customHeight="1">
      <c r="A404" s="4" t="inlineStr">
        <is>
          <t>M08</t>
        </is>
      </c>
      <c r="B404" s="4" t="inlineStr">
        <is>
          <t>Mahila Kisan Yojana (Maharashtra)</t>
        </is>
      </c>
      <c r="C404" s="4" t="inlineStr">
        <is>
          <t>M08-SRC001</t>
        </is>
      </c>
      <c r="D404" s="4" t="inlineStr">
        <is>
          <t>Eligibility text</t>
        </is>
      </c>
      <c r="E404" s="4" t="inlineStr">
        <is>
          <t>The applicant should be a permanent resident of Maharashtra.</t>
        </is>
      </c>
      <c r="F404" s="4" t="inlineStr">
        <is>
          <t>MS-M08 / M08-P0005</t>
        </is>
      </c>
      <c r="G404" s="4" t="inlineStr"/>
      <c r="H404" s="7" t="inlineStr">
        <is>
          <t>Approved</t>
        </is>
      </c>
      <c r="I404" s="7" t="n"/>
      <c r="J404" s="4" t="inlineStr">
        <is>
          <t>Eligibility</t>
        </is>
      </c>
      <c r="K404" s="4" t="inlineStr">
        <is>
          <t>en.eligibilityCriteria.eligibilityDescription[0].children[0]</t>
        </is>
      </c>
      <c r="L404" s="4" t="inlineStr">
        <is>
          <t>M08@20261028-c1034a4d</t>
        </is>
      </c>
      <c r="M404" s="4" t="inlineStr">
        <is>
          <t>Source extract; not executable</t>
        </is>
      </c>
      <c r="N404" s="7" t="inlineStr">
        <is>
          <t>Unassigned</t>
        </is>
      </c>
      <c r="O404" s="7" t="inlineStr">
        <is>
          <t>1/1</t>
        </is>
      </c>
      <c r="P404" s="7" t="n"/>
    </row>
    <row r="405" ht="45" customHeight="1">
      <c r="A405" s="4" t="inlineStr">
        <is>
          <t>M08</t>
        </is>
      </c>
      <c r="B405" s="4" t="inlineStr">
        <is>
          <t>Mahila Kisan Yojana (Maharashtra)</t>
        </is>
      </c>
      <c r="C405" s="4" t="inlineStr">
        <is>
          <t>M08-SRC002</t>
        </is>
      </c>
      <c r="D405" s="4" t="inlineStr">
        <is>
          <t>Eligibility text</t>
        </is>
      </c>
      <c r="E405" s="4" t="inlineStr">
        <is>
          <t>The applicant should be a female.</t>
        </is>
      </c>
      <c r="F405" s="4" t="inlineStr">
        <is>
          <t>MS-M08 / M08-P0006</t>
        </is>
      </c>
      <c r="G405" s="4" t="inlineStr"/>
      <c r="H405" s="7" t="inlineStr">
        <is>
          <t>Approved</t>
        </is>
      </c>
      <c r="I405" s="7" t="n"/>
      <c r="J405" s="4" t="inlineStr">
        <is>
          <t>Eligibility</t>
        </is>
      </c>
      <c r="K405" s="4" t="inlineStr">
        <is>
          <t>en.eligibilityCriteria.eligibilityDescription[0].children[1]</t>
        </is>
      </c>
      <c r="L405" s="4" t="inlineStr">
        <is>
          <t>M08@20261028-c1034a4d</t>
        </is>
      </c>
      <c r="M405" s="4" t="inlineStr">
        <is>
          <t>Source extract; not executable</t>
        </is>
      </c>
      <c r="N405" s="7" t="inlineStr">
        <is>
          <t>Unassigned</t>
        </is>
      </c>
      <c r="O405" s="7" t="inlineStr">
        <is>
          <t>1/1</t>
        </is>
      </c>
      <c r="P405" s="7" t="n"/>
    </row>
    <row r="406" ht="45" customHeight="1">
      <c r="A406" s="4" t="inlineStr">
        <is>
          <t>M08</t>
        </is>
      </c>
      <c r="B406" s="4" t="inlineStr">
        <is>
          <t>Mahila Kisan Yojana (Maharashtra)</t>
        </is>
      </c>
      <c r="C406" s="4" t="inlineStr">
        <is>
          <t>M08-SRC003</t>
        </is>
      </c>
      <c r="D406" s="4" t="inlineStr">
        <is>
          <t>Eligibility text</t>
        </is>
      </c>
      <c r="E406" s="4" t="inlineStr">
        <is>
          <t>The applicant should belong to the Charmakar Community.</t>
        </is>
      </c>
      <c r="F406" s="4" t="inlineStr">
        <is>
          <t>MS-M08 / M08-P0007</t>
        </is>
      </c>
      <c r="G406" s="4" t="inlineStr"/>
      <c r="H406" s="7" t="inlineStr">
        <is>
          <t>Approved</t>
        </is>
      </c>
      <c r="I406" s="7" t="n"/>
      <c r="J406" s="4" t="inlineStr">
        <is>
          <t>Eligibility</t>
        </is>
      </c>
      <c r="K406" s="4" t="inlineStr">
        <is>
          <t>en.eligibilityCriteria.eligibilityDescription[0].children[2]</t>
        </is>
      </c>
      <c r="L406" s="4" t="inlineStr">
        <is>
          <t>M08@20261028-c1034a4d</t>
        </is>
      </c>
      <c r="M406" s="4" t="inlineStr">
        <is>
          <t>Source extract; not executable</t>
        </is>
      </c>
      <c r="N406" s="7" t="inlineStr">
        <is>
          <t>Unassigned</t>
        </is>
      </c>
      <c r="O406" s="7" t="inlineStr">
        <is>
          <t>1/1</t>
        </is>
      </c>
      <c r="P406" s="7" t="n"/>
    </row>
    <row r="407" ht="45" customHeight="1">
      <c r="A407" s="4" t="inlineStr">
        <is>
          <t>M08</t>
        </is>
      </c>
      <c r="B407" s="4" t="inlineStr">
        <is>
          <t>Mahila Kisan Yojana (Maharashtra)</t>
        </is>
      </c>
      <c r="C407" s="4" t="inlineStr">
        <is>
          <t>M08-SRC004</t>
        </is>
      </c>
      <c r="D407" s="4" t="inlineStr">
        <is>
          <t>Eligibility text</t>
        </is>
      </c>
      <c r="E407" s="4" t="inlineStr">
        <is>
          <t>The applicant's age should be between 18 to 50 years.</t>
        </is>
      </c>
      <c r="F407" s="4" t="inlineStr">
        <is>
          <t>MS-M08 / M08-P0008</t>
        </is>
      </c>
      <c r="G407" s="4" t="inlineStr"/>
      <c r="H407" s="7" t="inlineStr">
        <is>
          <t>Approved</t>
        </is>
      </c>
      <c r="I407" s="7" t="n"/>
      <c r="J407" s="4" t="inlineStr">
        <is>
          <t>Eligibility</t>
        </is>
      </c>
      <c r="K407" s="4" t="inlineStr">
        <is>
          <t>en.eligibilityCriteria.eligibilityDescription[0].children[3]</t>
        </is>
      </c>
      <c r="L407" s="4" t="inlineStr">
        <is>
          <t>M08@20261028-c1034a4d</t>
        </is>
      </c>
      <c r="M407" s="4" t="inlineStr">
        <is>
          <t>Source extract; not executable</t>
        </is>
      </c>
      <c r="N407" s="7" t="inlineStr">
        <is>
          <t>Unassigned</t>
        </is>
      </c>
      <c r="O407" s="7" t="inlineStr">
        <is>
          <t>1/1</t>
        </is>
      </c>
      <c r="P407" s="7" t="n"/>
    </row>
    <row r="408" ht="45" customHeight="1">
      <c r="A408" s="4" t="inlineStr">
        <is>
          <t>M08</t>
        </is>
      </c>
      <c r="B408" s="4" t="inlineStr">
        <is>
          <t>Mahila Kisan Yojana (Maharashtra)</t>
        </is>
      </c>
      <c r="C408" s="4" t="inlineStr">
        <is>
          <t>M08-SRC005</t>
        </is>
      </c>
      <c r="D408" s="4" t="inlineStr">
        <is>
          <t>Eligibility text</t>
        </is>
      </c>
      <c r="E408" s="4" t="inlineStr">
        <is>
          <t>The applicant must have knowledge of the business for which they are applying for a loan.</t>
        </is>
      </c>
      <c r="F408" s="4" t="inlineStr">
        <is>
          <t>MS-M08 / M08-P0009</t>
        </is>
      </c>
      <c r="G408" s="4" t="inlineStr"/>
      <c r="H408" s="7" t="inlineStr">
        <is>
          <t>Approved</t>
        </is>
      </c>
      <c r="I408" s="7" t="n"/>
      <c r="J408" s="4" t="inlineStr">
        <is>
          <t>Eligibility</t>
        </is>
      </c>
      <c r="K408" s="4" t="inlineStr">
        <is>
          <t>en.eligibilityCriteria.eligibilityDescription[0].children[4]</t>
        </is>
      </c>
      <c r="L408" s="4" t="inlineStr">
        <is>
          <t>M08@20261028-c1034a4d</t>
        </is>
      </c>
      <c r="M408" s="4" t="inlineStr">
        <is>
          <t>Source extract; not executable</t>
        </is>
      </c>
      <c r="N408" s="7" t="inlineStr">
        <is>
          <t>Unassigned</t>
        </is>
      </c>
      <c r="O408" s="7" t="inlineStr">
        <is>
          <t>1/1</t>
        </is>
      </c>
      <c r="P408" s="7" t="n"/>
    </row>
    <row r="409" ht="52.8" customHeight="1">
      <c r="A409" s="4" t="inlineStr">
        <is>
          <t>M08</t>
        </is>
      </c>
      <c r="B409" s="4" t="inlineStr">
        <is>
          <t>Mahila Kisan Yojana (Maharashtra)</t>
        </is>
      </c>
      <c r="C409" s="4" t="inlineStr">
        <is>
          <t>M08-SRC006</t>
        </is>
      </c>
      <c r="D409" s="4" t="inlineStr">
        <is>
          <t>Eligibility text</t>
        </is>
      </c>
      <c r="E409" s="4" t="inlineStr">
        <is>
          <t>The applicant must have her own name, or joint name with her husband, or her husband’s name (with affidavit) on the 7/12 land extract for agricultural project loans.</t>
        </is>
      </c>
      <c r="F409" s="4" t="inlineStr">
        <is>
          <t>MS-M08 / M08-P0010</t>
        </is>
      </c>
      <c r="G409" s="4" t="inlineStr"/>
      <c r="H409" s="7" t="inlineStr">
        <is>
          <t>Approved</t>
        </is>
      </c>
      <c r="I409" s="7" t="n"/>
      <c r="J409" s="4" t="inlineStr">
        <is>
          <t>Eligibility</t>
        </is>
      </c>
      <c r="K409" s="4" t="inlineStr">
        <is>
          <t>en.eligibilityCriteria.eligibilityDescription[0].children[5]</t>
        </is>
      </c>
      <c r="L409" s="4" t="inlineStr">
        <is>
          <t>M08@20261028-c1034a4d</t>
        </is>
      </c>
      <c r="M409" s="4" t="inlineStr">
        <is>
          <t>Source extract; not executable</t>
        </is>
      </c>
      <c r="N409" s="7" t="inlineStr">
        <is>
          <t>Unassigned</t>
        </is>
      </c>
      <c r="O409" s="7" t="inlineStr">
        <is>
          <t>1/1</t>
        </is>
      </c>
      <c r="P409" s="7" t="n"/>
    </row>
    <row r="410" ht="45" customHeight="1">
      <c r="A410" s="4" t="inlineStr">
        <is>
          <t>M08</t>
        </is>
      </c>
      <c r="B410" s="4" t="inlineStr">
        <is>
          <t>Mahila Kisan Yojana (Maharashtra)</t>
        </is>
      </c>
      <c r="C410" s="4" t="inlineStr">
        <is>
          <t>M08-SRC007</t>
        </is>
      </c>
      <c r="D410" s="4" t="inlineStr">
        <is>
          <t>Eligibility text</t>
        </is>
      </c>
      <c r="E410" s="4" t="inlineStr">
        <is>
          <t>For the 50% Subsidy Scheme and Margin Money, her annual income must be below the poverty line.</t>
        </is>
      </c>
      <c r="F410" s="4" t="inlineStr">
        <is>
          <t>MS-M08 / M08-P0011</t>
        </is>
      </c>
      <c r="G410" s="4" t="inlineStr"/>
      <c r="H410" s="7" t="inlineStr">
        <is>
          <t>Approved</t>
        </is>
      </c>
      <c r="I410" s="7" t="n"/>
      <c r="J410" s="4" t="inlineStr">
        <is>
          <t>Eligibility</t>
        </is>
      </c>
      <c r="K410" s="4" t="inlineStr">
        <is>
          <t>en.eligibilityCriteria.eligibilityDescription[0].children[6]</t>
        </is>
      </c>
      <c r="L410" s="4" t="inlineStr">
        <is>
          <t>M08@20261028-c1034a4d</t>
        </is>
      </c>
      <c r="M410" s="4" t="inlineStr">
        <is>
          <t>Source extract; not executable</t>
        </is>
      </c>
      <c r="N410" s="7" t="inlineStr">
        <is>
          <t>Unassigned</t>
        </is>
      </c>
      <c r="O410" s="7" t="inlineStr">
        <is>
          <t>1/1</t>
        </is>
      </c>
      <c r="P410" s="7" t="n"/>
    </row>
    <row r="411" ht="45" customHeight="1">
      <c r="A411" s="4" t="inlineStr">
        <is>
          <t>M08</t>
        </is>
      </c>
      <c r="B411" s="4" t="inlineStr">
        <is>
          <t>Mahila Kisan Yojana (Maharashtra)</t>
        </is>
      </c>
      <c r="C411" s="4" t="inlineStr">
        <is>
          <t>M08-SRC008</t>
        </is>
      </c>
      <c r="D411" s="4" t="inlineStr">
        <is>
          <t>Eligibility text</t>
        </is>
      </c>
      <c r="E411" s="4" t="inlineStr">
        <is>
          <t>For the NSFDC Scheme, the income limit is ₹98,000 for rural areas and ₹1,20,000 for urban areas.</t>
        </is>
      </c>
      <c r="F411" s="4" t="inlineStr">
        <is>
          <t>MS-M08 / M08-P0012</t>
        </is>
      </c>
      <c r="G411" s="4" t="inlineStr"/>
      <c r="H411" s="7" t="inlineStr">
        <is>
          <t>Approved</t>
        </is>
      </c>
      <c r="I411" s="7" t="n"/>
      <c r="J411" s="4" t="inlineStr">
        <is>
          <t>Eligibility</t>
        </is>
      </c>
      <c r="K411" s="4" t="inlineStr">
        <is>
          <t>en.eligibilityCriteria.eligibilityDescription[0].children[7]</t>
        </is>
      </c>
      <c r="L411" s="4" t="inlineStr">
        <is>
          <t>M08@20261028-c1034a4d</t>
        </is>
      </c>
      <c r="M411" s="4" t="inlineStr">
        <is>
          <t>Source extract; not executable</t>
        </is>
      </c>
      <c r="N411" s="7" t="inlineStr">
        <is>
          <t>Unassigned</t>
        </is>
      </c>
      <c r="O411" s="7" t="inlineStr">
        <is>
          <t>1/1</t>
        </is>
      </c>
      <c r="P411" s="7" t="n"/>
    </row>
    <row r="412" ht="45" customHeight="1">
      <c r="A412" s="4" t="inlineStr">
        <is>
          <t>M08</t>
        </is>
      </c>
      <c r="B412" s="4" t="inlineStr">
        <is>
          <t>Mahila Kisan Yojana (Maharashtra)</t>
        </is>
      </c>
      <c r="C412" s="4" t="inlineStr">
        <is>
          <t>M08-EMPTY-Exclusions</t>
        </is>
      </c>
      <c r="D412" s="4" t="inlineStr">
        <is>
          <t>Exclusions</t>
        </is>
      </c>
      <c r="E412" s="4" t="inlineStr">
        <is>
          <t>Not stated in the captured source. Do not infer no restrictions.</t>
        </is>
      </c>
      <c r="F412" s="4" t="inlineStr">
        <is>
          <t>MS-M08</t>
        </is>
      </c>
      <c r="G412" s="4" t="inlineStr">
        <is>
          <t>Full official guidelines required.</t>
        </is>
      </c>
      <c r="H412" s="7" t="inlineStr">
        <is>
          <t>Approved</t>
        </is>
      </c>
      <c r="I412" s="7" t="n"/>
      <c r="J412" s="4" t="inlineStr">
        <is>
          <t>Exclusions</t>
        </is>
      </c>
      <c r="K412" s="4" t="inlineStr"/>
      <c r="L412" s="4" t="inlineStr">
        <is>
          <t>M08@20261028-c1034a4d</t>
        </is>
      </c>
      <c r="M412" s="4" t="inlineStr">
        <is>
          <t>Empty or absent in source</t>
        </is>
      </c>
      <c r="N412" s="7" t="inlineStr">
        <is>
          <t>Unassigned</t>
        </is>
      </c>
      <c r="O412" s="7" t="n"/>
      <c r="P412" s="7" t="n"/>
    </row>
    <row r="413" ht="45" customHeight="1">
      <c r="A413" s="4" t="inlineStr">
        <is>
          <t>M09</t>
        </is>
      </c>
      <c r="B413" s="4" t="inlineStr">
        <is>
          <t>Mahila Samridhi Yojana (Maharashtra)</t>
        </is>
      </c>
      <c r="C413" s="4" t="inlineStr">
        <is>
          <t>M09-SRC001</t>
        </is>
      </c>
      <c r="D413" s="4" t="inlineStr">
        <is>
          <t>Eligibility text</t>
        </is>
      </c>
      <c r="E413" s="4" t="inlineStr">
        <is>
          <t>The applicant should be a female.</t>
        </is>
      </c>
      <c r="F413" s="4" t="inlineStr">
        <is>
          <t>MS-M09 / M09-P0003</t>
        </is>
      </c>
      <c r="G413" s="4" t="inlineStr"/>
      <c r="H413" s="7" t="inlineStr">
        <is>
          <t>Approved</t>
        </is>
      </c>
      <c r="I413" s="7" t="n"/>
      <c r="J413" s="4" t="inlineStr">
        <is>
          <t>Eligibility</t>
        </is>
      </c>
      <c r="K413" s="4" t="inlineStr">
        <is>
          <t>en.eligibilityCriteria.eligibilityDescription[0].children[0]</t>
        </is>
      </c>
      <c r="L413" s="4" t="inlineStr">
        <is>
          <t>M09@20261028-3555bc31</t>
        </is>
      </c>
      <c r="M413" s="4" t="inlineStr">
        <is>
          <t>Source extract; not executable</t>
        </is>
      </c>
      <c r="N413" s="7" t="inlineStr">
        <is>
          <t>Unassigned</t>
        </is>
      </c>
      <c r="O413" s="7" t="inlineStr">
        <is>
          <t>1/1</t>
        </is>
      </c>
      <c r="P413" s="7" t="n"/>
    </row>
    <row r="414" ht="45" customHeight="1">
      <c r="A414" s="4" t="inlineStr">
        <is>
          <t>M09</t>
        </is>
      </c>
      <c r="B414" s="4" t="inlineStr">
        <is>
          <t>Mahila Samridhi Yojana (Maharashtra)</t>
        </is>
      </c>
      <c r="C414" s="4" t="inlineStr">
        <is>
          <t>M09-SRC002</t>
        </is>
      </c>
      <c r="D414" s="4" t="inlineStr">
        <is>
          <t>Eligibility text</t>
        </is>
      </c>
      <c r="E414" s="4" t="inlineStr">
        <is>
          <t>The applicant should belong to the Charmakar Community.</t>
        </is>
      </c>
      <c r="F414" s="4" t="inlineStr">
        <is>
          <t>MS-M09 / M09-P0004</t>
        </is>
      </c>
      <c r="G414" s="4" t="inlineStr"/>
      <c r="H414" s="7" t="inlineStr">
        <is>
          <t>Approved</t>
        </is>
      </c>
      <c r="I414" s="7" t="n"/>
      <c r="J414" s="4" t="inlineStr">
        <is>
          <t>Eligibility</t>
        </is>
      </c>
      <c r="K414" s="4" t="inlineStr">
        <is>
          <t>en.eligibilityCriteria.eligibilityDescription[0].children[1]</t>
        </is>
      </c>
      <c r="L414" s="4" t="inlineStr">
        <is>
          <t>M09@20261028-3555bc31</t>
        </is>
      </c>
      <c r="M414" s="4" t="inlineStr">
        <is>
          <t>Source extract; not executable</t>
        </is>
      </c>
      <c r="N414" s="7" t="inlineStr">
        <is>
          <t>Unassigned</t>
        </is>
      </c>
      <c r="O414" s="7" t="inlineStr">
        <is>
          <t>1/1</t>
        </is>
      </c>
      <c r="P414" s="7" t="n"/>
    </row>
    <row r="415" ht="45" customHeight="1">
      <c r="A415" s="4" t="inlineStr">
        <is>
          <t>M09</t>
        </is>
      </c>
      <c r="B415" s="4" t="inlineStr">
        <is>
          <t>Mahila Samridhi Yojana (Maharashtra)</t>
        </is>
      </c>
      <c r="C415" s="4" t="inlineStr">
        <is>
          <t>M09-SRC003</t>
        </is>
      </c>
      <c r="D415" s="4" t="inlineStr">
        <is>
          <t>Eligibility text</t>
        </is>
      </c>
      <c r="E415" s="4" t="inlineStr">
        <is>
          <t>The applicant's age should be between 18 and 50 years.</t>
        </is>
      </c>
      <c r="F415" s="4" t="inlineStr">
        <is>
          <t>MS-M09 / M09-P0005</t>
        </is>
      </c>
      <c r="G415" s="4" t="inlineStr"/>
      <c r="H415" s="7" t="inlineStr">
        <is>
          <t>Approved</t>
        </is>
      </c>
      <c r="I415" s="7" t="n"/>
      <c r="J415" s="4" t="inlineStr">
        <is>
          <t>Eligibility</t>
        </is>
      </c>
      <c r="K415" s="4" t="inlineStr">
        <is>
          <t>en.eligibilityCriteria.eligibilityDescription[0].children[2]</t>
        </is>
      </c>
      <c r="L415" s="4" t="inlineStr">
        <is>
          <t>M09@20261028-3555bc31</t>
        </is>
      </c>
      <c r="M415" s="4" t="inlineStr">
        <is>
          <t>Source extract; not executable</t>
        </is>
      </c>
      <c r="N415" s="7" t="inlineStr">
        <is>
          <t>Unassigned</t>
        </is>
      </c>
      <c r="O415" s="7" t="inlineStr">
        <is>
          <t>1/1</t>
        </is>
      </c>
      <c r="P415" s="7" t="n"/>
    </row>
    <row r="416" ht="45" customHeight="1">
      <c r="A416" s="4" t="inlineStr">
        <is>
          <t>M09</t>
        </is>
      </c>
      <c r="B416" s="4" t="inlineStr">
        <is>
          <t>Mahila Samridhi Yojana (Maharashtra)</t>
        </is>
      </c>
      <c r="C416" s="4" t="inlineStr">
        <is>
          <t>M09-SRC004</t>
        </is>
      </c>
      <c r="D416" s="4" t="inlineStr">
        <is>
          <t>Eligibility text</t>
        </is>
      </c>
      <c r="E416" s="4" t="inlineStr">
        <is>
          <t>The applicant should be a permanent resident of Maharashtra.</t>
        </is>
      </c>
      <c r="F416" s="4" t="inlineStr">
        <is>
          <t>MS-M09 / M09-P0006</t>
        </is>
      </c>
      <c r="G416" s="4" t="inlineStr"/>
      <c r="H416" s="7" t="inlineStr">
        <is>
          <t>Approved</t>
        </is>
      </c>
      <c r="I416" s="7" t="n"/>
      <c r="J416" s="4" t="inlineStr">
        <is>
          <t>Eligibility</t>
        </is>
      </c>
      <c r="K416" s="4" t="inlineStr">
        <is>
          <t>en.eligibilityCriteria.eligibilityDescription[0].children[3]</t>
        </is>
      </c>
      <c r="L416" s="4" t="inlineStr">
        <is>
          <t>M09@20261028-3555bc31</t>
        </is>
      </c>
      <c r="M416" s="4" t="inlineStr">
        <is>
          <t>Source extract; not executable</t>
        </is>
      </c>
      <c r="N416" s="7" t="inlineStr">
        <is>
          <t>Unassigned</t>
        </is>
      </c>
      <c r="O416" s="7" t="inlineStr">
        <is>
          <t>1/1</t>
        </is>
      </c>
      <c r="P416" s="7" t="n"/>
    </row>
    <row r="417" ht="45" customHeight="1">
      <c r="A417" s="4" t="inlineStr">
        <is>
          <t>M09</t>
        </is>
      </c>
      <c r="B417" s="4" t="inlineStr">
        <is>
          <t>Mahila Samridhi Yojana (Maharashtra)</t>
        </is>
      </c>
      <c r="C417" s="4" t="inlineStr">
        <is>
          <t>M09-SRC005</t>
        </is>
      </c>
      <c r="D417" s="4" t="inlineStr">
        <is>
          <t>Eligibility text</t>
        </is>
      </c>
      <c r="E417" s="4" t="inlineStr">
        <is>
          <t>The applicant must have knowledge of the business for which the loan is being applied.</t>
        </is>
      </c>
      <c r="F417" s="4" t="inlineStr">
        <is>
          <t>MS-M09 / M09-P0007</t>
        </is>
      </c>
      <c r="G417" s="4" t="inlineStr"/>
      <c r="H417" s="7" t="inlineStr">
        <is>
          <t>Approved</t>
        </is>
      </c>
      <c r="I417" s="7" t="n"/>
      <c r="J417" s="4" t="inlineStr">
        <is>
          <t>Eligibility</t>
        </is>
      </c>
      <c r="K417" s="4" t="inlineStr">
        <is>
          <t>en.eligibilityCriteria.eligibilityDescription[0].children[4]</t>
        </is>
      </c>
      <c r="L417" s="4" t="inlineStr">
        <is>
          <t>M09@20261028-3555bc31</t>
        </is>
      </c>
      <c r="M417" s="4" t="inlineStr">
        <is>
          <t>Source extract; not executable</t>
        </is>
      </c>
      <c r="N417" s="7" t="inlineStr">
        <is>
          <t>Unassigned</t>
        </is>
      </c>
      <c r="O417" s="7" t="inlineStr">
        <is>
          <t>1/1</t>
        </is>
      </c>
      <c r="P417" s="7" t="n"/>
    </row>
    <row r="418" ht="45" customHeight="1">
      <c r="A418" s="4" t="inlineStr">
        <is>
          <t>M09</t>
        </is>
      </c>
      <c r="B418" s="4" t="inlineStr">
        <is>
          <t>Mahila Samridhi Yojana (Maharashtra)</t>
        </is>
      </c>
      <c r="C418" s="4" t="inlineStr">
        <is>
          <t>M09-SRC006</t>
        </is>
      </c>
      <c r="D418" s="4" t="inlineStr">
        <is>
          <t>Eligibility text</t>
        </is>
      </c>
      <c r="E418" s="4" t="inlineStr">
        <is>
          <t>For the 50% Subsidy Scheme and Margin Money, the applicant's annual income must be below the poverty line.</t>
        </is>
      </c>
      <c r="F418" s="4" t="inlineStr">
        <is>
          <t>MS-M09 / M09-P0008</t>
        </is>
      </c>
      <c r="G418" s="4" t="inlineStr"/>
      <c r="H418" s="7" t="inlineStr">
        <is>
          <t>Approved</t>
        </is>
      </c>
      <c r="I418" s="7" t="n"/>
      <c r="J418" s="4" t="inlineStr">
        <is>
          <t>Eligibility</t>
        </is>
      </c>
      <c r="K418" s="4" t="inlineStr">
        <is>
          <t>en.eligibilityCriteria.eligibilityDescription[0].children[5]</t>
        </is>
      </c>
      <c r="L418" s="4" t="inlineStr">
        <is>
          <t>M09@20261028-3555bc31</t>
        </is>
      </c>
      <c r="M418" s="4" t="inlineStr">
        <is>
          <t>Source extract; not executable</t>
        </is>
      </c>
      <c r="N418" s="7" t="inlineStr">
        <is>
          <t>Unassigned</t>
        </is>
      </c>
      <c r="O418" s="7" t="inlineStr">
        <is>
          <t>1/1</t>
        </is>
      </c>
      <c r="P418" s="7" t="n"/>
    </row>
    <row r="419" ht="45" customHeight="1">
      <c r="A419" s="4" t="inlineStr">
        <is>
          <t>M09</t>
        </is>
      </c>
      <c r="B419" s="4" t="inlineStr">
        <is>
          <t>Mahila Samridhi Yojana (Maharashtra)</t>
        </is>
      </c>
      <c r="C419" s="4" t="inlineStr">
        <is>
          <t>M09-SRC007</t>
        </is>
      </c>
      <c r="D419" s="4" t="inlineStr">
        <is>
          <t>Eligibility text</t>
        </is>
      </c>
      <c r="E419" s="4" t="inlineStr">
        <is>
          <t>For the NSFDC Scheme, the applicant's annual income should be below ₹98,000 for rural areas and ₹1,20,000 for urban areas.</t>
        </is>
      </c>
      <c r="F419" s="4" t="inlineStr">
        <is>
          <t>MS-M09 / M09-P0009</t>
        </is>
      </c>
      <c r="G419" s="4" t="inlineStr"/>
      <c r="H419" s="7" t="inlineStr">
        <is>
          <t>Approved</t>
        </is>
      </c>
      <c r="I419" s="7" t="n"/>
      <c r="J419" s="4" t="inlineStr">
        <is>
          <t>Eligibility</t>
        </is>
      </c>
      <c r="K419" s="4" t="inlineStr">
        <is>
          <t>en.eligibilityCriteria.eligibilityDescription[0].children[6]</t>
        </is>
      </c>
      <c r="L419" s="4" t="inlineStr">
        <is>
          <t>M09@20261028-3555bc31</t>
        </is>
      </c>
      <c r="M419" s="4" t="inlineStr">
        <is>
          <t>Source extract; not executable</t>
        </is>
      </c>
      <c r="N419" s="7" t="inlineStr">
        <is>
          <t>Unassigned</t>
        </is>
      </c>
      <c r="O419" s="7" t="inlineStr">
        <is>
          <t>1/1</t>
        </is>
      </c>
      <c r="P419" s="7" t="n"/>
    </row>
    <row r="420" ht="45" customHeight="1">
      <c r="A420" s="4" t="inlineStr">
        <is>
          <t>M09</t>
        </is>
      </c>
      <c r="B420" s="4" t="inlineStr">
        <is>
          <t>Mahila Samridhi Yojana (Maharashtra)</t>
        </is>
      </c>
      <c r="C420" s="4" t="inlineStr">
        <is>
          <t>M09-SRC008</t>
        </is>
      </c>
      <c r="D420" s="4" t="inlineStr">
        <is>
          <t>Source heading</t>
        </is>
      </c>
      <c r="E420" s="4" t="inlineStr">
        <is>
          <t>Relaxation/Preference/Priority</t>
        </is>
      </c>
      <c r="F420" s="4" t="inlineStr">
        <is>
          <t>MS-M09 / M09-P0010</t>
        </is>
      </c>
      <c r="G420" s="4" t="inlineStr">
        <is>
          <t>Relaxation/Preference/Priority</t>
        </is>
      </c>
      <c r="H420" s="7" t="inlineStr">
        <is>
          <t>Approved</t>
        </is>
      </c>
      <c r="I420" s="7" t="n"/>
      <c r="J420" s="4" t="inlineStr">
        <is>
          <t>Eligibility</t>
        </is>
      </c>
      <c r="K420" s="4" t="inlineStr">
        <is>
          <t>en.eligibilityCriteria.eligibilityDescription[1]</t>
        </is>
      </c>
      <c r="L420" s="4" t="inlineStr">
        <is>
          <t>M09@20261028-3555bc31</t>
        </is>
      </c>
      <c r="M420" s="4" t="inlineStr">
        <is>
          <t>Source extract; not executable</t>
        </is>
      </c>
      <c r="N420" s="7" t="inlineStr">
        <is>
          <t>Unassigned</t>
        </is>
      </c>
      <c r="O420" s="7" t="inlineStr">
        <is>
          <t>1/1</t>
        </is>
      </c>
      <c r="P420" s="7" t="n"/>
    </row>
    <row r="421" ht="45" customHeight="1">
      <c r="A421" s="4" t="inlineStr">
        <is>
          <t>M09</t>
        </is>
      </c>
      <c r="B421" s="4" t="inlineStr">
        <is>
          <t>Mahila Samridhi Yojana (Maharashtra)</t>
        </is>
      </c>
      <c r="C421" s="4" t="inlineStr">
        <is>
          <t>M09-SRC009</t>
        </is>
      </c>
      <c r="D421" s="4" t="inlineStr">
        <is>
          <t>Preference candidate</t>
        </is>
      </c>
      <c r="E421" s="4" t="inlineStr">
        <is>
          <t>Widows and divorcees are given priority.</t>
        </is>
      </c>
      <c r="F421" s="4" t="inlineStr">
        <is>
          <t>MS-M09 / M09-P0011</t>
        </is>
      </c>
      <c r="G421" s="4" t="inlineStr">
        <is>
          <t>Relaxation/Preference/Priority</t>
        </is>
      </c>
      <c r="H421" s="7" t="inlineStr">
        <is>
          <t>Approved</t>
        </is>
      </c>
      <c r="I421" s="7" t="n"/>
      <c r="J421" s="4" t="inlineStr">
        <is>
          <t>Eligibility</t>
        </is>
      </c>
      <c r="K421" s="4" t="inlineStr">
        <is>
          <t>en.eligibilityCriteria.eligibilityDescription[2]</t>
        </is>
      </c>
      <c r="L421" s="4" t="inlineStr">
        <is>
          <t>M09@20261028-3555bc31</t>
        </is>
      </c>
      <c r="M421" s="4" t="inlineStr">
        <is>
          <t>Source extract; not executable</t>
        </is>
      </c>
      <c r="N421" s="7" t="inlineStr">
        <is>
          <t>Unassigned</t>
        </is>
      </c>
      <c r="O421" s="7" t="inlineStr">
        <is>
          <t>1/1</t>
        </is>
      </c>
      <c r="P421" s="7" t="n"/>
    </row>
    <row r="422" ht="45" customHeight="1">
      <c r="A422" s="4" t="inlineStr">
        <is>
          <t>M09</t>
        </is>
      </c>
      <c r="B422" s="4" t="inlineStr">
        <is>
          <t>Mahila Samridhi Yojana (Maharashtra)</t>
        </is>
      </c>
      <c r="C422" s="4" t="inlineStr">
        <is>
          <t>M09-EMPTY-Exclusions</t>
        </is>
      </c>
      <c r="D422" s="4" t="inlineStr">
        <is>
          <t>Exclusions</t>
        </is>
      </c>
      <c r="E422" s="4" t="inlineStr">
        <is>
          <t>Not stated in the captured source. Do not infer no restrictions.</t>
        </is>
      </c>
      <c r="F422" s="4" t="inlineStr">
        <is>
          <t>MS-M09</t>
        </is>
      </c>
      <c r="G422" s="4" t="inlineStr">
        <is>
          <t>Full official guidelines required.</t>
        </is>
      </c>
      <c r="H422" s="7" t="inlineStr">
        <is>
          <t>Approved</t>
        </is>
      </c>
      <c r="I422" s="7" t="n"/>
      <c r="J422" s="4" t="inlineStr">
        <is>
          <t>Exclusions</t>
        </is>
      </c>
      <c r="K422" s="4" t="inlineStr"/>
      <c r="L422" s="4" t="inlineStr">
        <is>
          <t>M09@20261028-3555bc31</t>
        </is>
      </c>
      <c r="M422" s="4" t="inlineStr">
        <is>
          <t>Empty or absent in source</t>
        </is>
      </c>
      <c r="N422" s="7" t="inlineStr">
        <is>
          <t>Unassigned</t>
        </is>
      </c>
      <c r="O422" s="7" t="n"/>
      <c r="P422" s="7" t="n"/>
    </row>
    <row r="423" ht="45" customHeight="1">
      <c r="A423" s="4" t="inlineStr">
        <is>
          <t>M10</t>
        </is>
      </c>
      <c r="B423" s="4" t="inlineStr">
        <is>
          <t>Financial Assistance For Aids And Appliances For Disabled Persons</t>
        </is>
      </c>
      <c r="C423" s="4" t="inlineStr">
        <is>
          <t>M10-SRC001</t>
        </is>
      </c>
      <c r="D423" s="4" t="inlineStr">
        <is>
          <t>Eligibility text</t>
        </is>
      </c>
      <c r="E423" s="4" t="inlineStr">
        <is>
          <t>The applicant should be a citizen of India.</t>
        </is>
      </c>
      <c r="F423" s="4" t="inlineStr">
        <is>
          <t>MS-M10 / M10-P0005</t>
        </is>
      </c>
      <c r="G423" s="4" t="inlineStr"/>
      <c r="H423" s="7" t="inlineStr">
        <is>
          <t>Approved</t>
        </is>
      </c>
      <c r="I423" s="7" t="n"/>
      <c r="J423" s="4" t="inlineStr">
        <is>
          <t>Eligibility</t>
        </is>
      </c>
      <c r="K423" s="4" t="inlineStr">
        <is>
          <t>en.eligibilityCriteria.eligibilityDescription[0].children[0]</t>
        </is>
      </c>
      <c r="L423" s="4" t="inlineStr">
        <is>
          <t>M10@20261028-72a47e36</t>
        </is>
      </c>
      <c r="M423" s="4" t="inlineStr">
        <is>
          <t>Source extract; not executable</t>
        </is>
      </c>
      <c r="N423" s="7" t="inlineStr">
        <is>
          <t>Unassigned</t>
        </is>
      </c>
      <c r="O423" s="7" t="inlineStr">
        <is>
          <t>1/1</t>
        </is>
      </c>
      <c r="P423" s="7" t="n"/>
    </row>
    <row r="424" ht="45" customHeight="1">
      <c r="A424" s="4" t="inlineStr">
        <is>
          <t>M10</t>
        </is>
      </c>
      <c r="B424" s="4" t="inlineStr">
        <is>
          <t>Financial Assistance For Aids And Appliances For Disabled Persons</t>
        </is>
      </c>
      <c r="C424" s="4" t="inlineStr">
        <is>
          <t>M10-SRC002</t>
        </is>
      </c>
      <c r="D424" s="4" t="inlineStr">
        <is>
          <t>Eligibility text</t>
        </is>
      </c>
      <c r="E424" s="4" t="inlineStr">
        <is>
          <t>The applicant should be a permanent resident of Maharashtra State.</t>
        </is>
      </c>
      <c r="F424" s="4" t="inlineStr">
        <is>
          <t>MS-M10 / M10-P0006</t>
        </is>
      </c>
      <c r="G424" s="4" t="inlineStr"/>
      <c r="H424" s="7" t="inlineStr">
        <is>
          <t>Approved</t>
        </is>
      </c>
      <c r="I424" s="7" t="n"/>
      <c r="J424" s="4" t="inlineStr">
        <is>
          <t>Eligibility</t>
        </is>
      </c>
      <c r="K424" s="4" t="inlineStr">
        <is>
          <t>en.eligibilityCriteria.eligibilityDescription[0].children[1]</t>
        </is>
      </c>
      <c r="L424" s="4" t="inlineStr">
        <is>
          <t>M10@20261028-72a47e36</t>
        </is>
      </c>
      <c r="M424" s="4" t="inlineStr">
        <is>
          <t>Source extract; not executable</t>
        </is>
      </c>
      <c r="N424" s="7" t="inlineStr">
        <is>
          <t>Unassigned</t>
        </is>
      </c>
      <c r="O424" s="7" t="inlineStr">
        <is>
          <t>1/1</t>
        </is>
      </c>
      <c r="P424" s="7" t="n"/>
    </row>
    <row r="425" ht="45" customHeight="1">
      <c r="A425" s="4" t="inlineStr">
        <is>
          <t>M10</t>
        </is>
      </c>
      <c r="B425" s="4" t="inlineStr">
        <is>
          <t>Financial Assistance For Aids And Appliances For Disabled Persons</t>
        </is>
      </c>
      <c r="C425" s="4" t="inlineStr">
        <is>
          <t>M10-SRC003</t>
        </is>
      </c>
      <c r="D425" s="4" t="inlineStr">
        <is>
          <t>Eligibility text</t>
        </is>
      </c>
      <c r="E425" s="4" t="inlineStr">
        <is>
          <t>The applicant should be a Person with Disability (Visually Handicapped, Low Vision, Hearing Impaired, Orthopedically Handicapped, etc).</t>
        </is>
      </c>
      <c r="F425" s="4" t="inlineStr">
        <is>
          <t>MS-M10 / M10-P0007</t>
        </is>
      </c>
      <c r="G425" s="4" t="inlineStr"/>
      <c r="H425" s="7" t="inlineStr">
        <is>
          <t>Approved</t>
        </is>
      </c>
      <c r="I425" s="7" t="n"/>
      <c r="J425" s="4" t="inlineStr">
        <is>
          <t>Eligibility</t>
        </is>
      </c>
      <c r="K425" s="4" t="inlineStr">
        <is>
          <t>en.eligibilityCriteria.eligibilityDescription[0].children[2]</t>
        </is>
      </c>
      <c r="L425" s="4" t="inlineStr">
        <is>
          <t>M10@20261028-72a47e36</t>
        </is>
      </c>
      <c r="M425" s="4" t="inlineStr">
        <is>
          <t>Source extract; not executable</t>
        </is>
      </c>
      <c r="N425" s="7" t="inlineStr">
        <is>
          <t>Unassigned</t>
        </is>
      </c>
      <c r="O425" s="7" t="inlineStr">
        <is>
          <t>1/1</t>
        </is>
      </c>
      <c r="P425" s="7" t="n"/>
    </row>
    <row r="426" ht="45" customHeight="1">
      <c r="A426" s="4" t="inlineStr">
        <is>
          <t>M10</t>
        </is>
      </c>
      <c r="B426" s="4" t="inlineStr">
        <is>
          <t>Financial Assistance For Aids And Appliances For Disabled Persons</t>
        </is>
      </c>
      <c r="C426" s="4" t="inlineStr">
        <is>
          <t>M10-SRC004</t>
        </is>
      </c>
      <c r="D426" s="4" t="inlineStr">
        <is>
          <t>Eligibility text</t>
        </is>
      </c>
      <c r="E426" s="4" t="inlineStr">
        <is>
          <t>The percentage of the disability should be 40% or above.</t>
        </is>
      </c>
      <c r="F426" s="4" t="inlineStr">
        <is>
          <t>MS-M10 / M10-P0008</t>
        </is>
      </c>
      <c r="G426" s="4" t="inlineStr"/>
      <c r="H426" s="7" t="inlineStr">
        <is>
          <t>Approved</t>
        </is>
      </c>
      <c r="I426" s="7" t="n"/>
      <c r="J426" s="4" t="inlineStr">
        <is>
          <t>Eligibility</t>
        </is>
      </c>
      <c r="K426" s="4" t="inlineStr">
        <is>
          <t>en.eligibilityCriteria.eligibilityDescription[0].children[3]</t>
        </is>
      </c>
      <c r="L426" s="4" t="inlineStr">
        <is>
          <t>M10@20261028-72a47e36</t>
        </is>
      </c>
      <c r="M426" s="4" t="inlineStr">
        <is>
          <t>Source extract; not executable</t>
        </is>
      </c>
      <c r="N426" s="7" t="inlineStr">
        <is>
          <t>Unassigned</t>
        </is>
      </c>
      <c r="O426" s="7" t="inlineStr">
        <is>
          <t>1/1</t>
        </is>
      </c>
      <c r="P426" s="7" t="n"/>
    </row>
    <row r="427" ht="45" customHeight="1">
      <c r="A427" s="4" t="inlineStr">
        <is>
          <t>M10</t>
        </is>
      </c>
      <c r="B427" s="4" t="inlineStr">
        <is>
          <t>Financial Assistance For Aids And Appliances For Disabled Persons</t>
        </is>
      </c>
      <c r="C427" s="4" t="inlineStr">
        <is>
          <t>M10-SRC005</t>
        </is>
      </c>
      <c r="D427" s="4" t="inlineStr">
        <is>
          <t>Eligibility text</t>
        </is>
      </c>
      <c r="E427" s="4" t="inlineStr">
        <is>
          <t>For financial assistance of 100% of the cost of the aids and appliances, the monthly income of the applicant should be less than ₹1,500/-.</t>
        </is>
      </c>
      <c r="F427" s="4" t="inlineStr">
        <is>
          <t>MS-M10 / M10-P0009</t>
        </is>
      </c>
      <c r="G427" s="4" t="inlineStr"/>
      <c r="H427" s="7" t="inlineStr">
        <is>
          <t>Approved</t>
        </is>
      </c>
      <c r="I427" s="7" t="n"/>
      <c r="J427" s="4" t="inlineStr">
        <is>
          <t>Eligibility</t>
        </is>
      </c>
      <c r="K427" s="4" t="inlineStr">
        <is>
          <t>en.eligibilityCriteria.eligibilityDescription[0].children[4]</t>
        </is>
      </c>
      <c r="L427" s="4" t="inlineStr">
        <is>
          <t>M10@20261028-72a47e36</t>
        </is>
      </c>
      <c r="M427" s="4" t="inlineStr">
        <is>
          <t>Source extract; not executable</t>
        </is>
      </c>
      <c r="N427" s="7" t="inlineStr">
        <is>
          <t>Unassigned</t>
        </is>
      </c>
      <c r="O427" s="7" t="inlineStr">
        <is>
          <t>1/1</t>
        </is>
      </c>
      <c r="P427" s="7" t="n"/>
    </row>
    <row r="428" ht="47.04" customHeight="1">
      <c r="A428" s="4" t="inlineStr">
        <is>
          <t>M10</t>
        </is>
      </c>
      <c r="B428" s="4" t="inlineStr">
        <is>
          <t>Financial Assistance For Aids And Appliances For Disabled Persons</t>
        </is>
      </c>
      <c r="C428" s="4" t="inlineStr">
        <is>
          <t>M10-SRC006</t>
        </is>
      </c>
      <c r="D428" s="4" t="inlineStr">
        <is>
          <t>Eligibility text</t>
        </is>
      </c>
      <c r="E428" s="4" t="inlineStr">
        <is>
          <t>For financial assistance of 50% of the cost of the aids and appliances, the monthly income of the applicant should be between ₹1,500/- to ₹2,000/-.</t>
        </is>
      </c>
      <c r="F428" s="4" t="inlineStr">
        <is>
          <t>MS-M10 / M10-P0010</t>
        </is>
      </c>
      <c r="G428" s="4" t="inlineStr"/>
      <c r="H428" s="7" t="inlineStr">
        <is>
          <t>Approved</t>
        </is>
      </c>
      <c r="I428" s="7" t="n"/>
      <c r="J428" s="4" t="inlineStr">
        <is>
          <t>Eligibility</t>
        </is>
      </c>
      <c r="K428" s="4" t="inlineStr">
        <is>
          <t>en.eligibilityCriteria.eligibilityDescription[0].children[5]</t>
        </is>
      </c>
      <c r="L428" s="4" t="inlineStr">
        <is>
          <t>M10@20261028-72a47e36</t>
        </is>
      </c>
      <c r="M428" s="4" t="inlineStr">
        <is>
          <t>Source extract; not executable</t>
        </is>
      </c>
      <c r="N428" s="7" t="inlineStr">
        <is>
          <t>Unassigned</t>
        </is>
      </c>
      <c r="O428" s="7" t="inlineStr">
        <is>
          <t>1/1</t>
        </is>
      </c>
      <c r="P428" s="7" t="n"/>
    </row>
    <row r="429" ht="45" customHeight="1">
      <c r="A429" s="4" t="inlineStr">
        <is>
          <t>M10</t>
        </is>
      </c>
      <c r="B429" s="4" t="inlineStr">
        <is>
          <t>Financial Assistance For Aids And Appliances For Disabled Persons</t>
        </is>
      </c>
      <c r="C429" s="4" t="inlineStr">
        <is>
          <t>M10-EMPTY-Exclusions</t>
        </is>
      </c>
      <c r="D429" s="4" t="inlineStr">
        <is>
          <t>Exclusions</t>
        </is>
      </c>
      <c r="E429" s="4" t="inlineStr">
        <is>
          <t>Not stated in the captured source. Do not infer no restrictions.</t>
        </is>
      </c>
      <c r="F429" s="4" t="inlineStr">
        <is>
          <t>MS-M10</t>
        </is>
      </c>
      <c r="G429" s="4" t="inlineStr">
        <is>
          <t>Full official guidelines required.</t>
        </is>
      </c>
      <c r="H429" s="7" t="inlineStr">
        <is>
          <t>Approved</t>
        </is>
      </c>
      <c r="I429" s="7" t="n"/>
      <c r="J429" s="4" t="inlineStr">
        <is>
          <t>Exclusions</t>
        </is>
      </c>
      <c r="K429" s="4" t="inlineStr"/>
      <c r="L429" s="4" t="inlineStr">
        <is>
          <t>M10@20261028-72a47e36</t>
        </is>
      </c>
      <c r="M429" s="4" t="inlineStr">
        <is>
          <t>Empty or absent in source</t>
        </is>
      </c>
      <c r="N429" s="7" t="inlineStr">
        <is>
          <t>Unassigned</t>
        </is>
      </c>
      <c r="O429" s="7" t="n"/>
      <c r="P429" s="7" t="n"/>
    </row>
    <row r="430" ht="45" customHeight="1">
      <c r="A430" s="4" t="inlineStr">
        <is>
          <t>M11</t>
        </is>
      </c>
      <c r="B430" s="4" t="inlineStr">
        <is>
          <t>Financial Assistance To Disabled For Self Employment</t>
        </is>
      </c>
      <c r="C430" s="4" t="inlineStr">
        <is>
          <t>M11-SRC001</t>
        </is>
      </c>
      <c r="D430" s="4" t="inlineStr">
        <is>
          <t>Eligibility text</t>
        </is>
      </c>
      <c r="E430" s="4" t="inlineStr">
        <is>
          <t>The applicant should be a citizen of India.</t>
        </is>
      </c>
      <c r="F430" s="4" t="inlineStr">
        <is>
          <t>MS-M11 / M11-P0004</t>
        </is>
      </c>
      <c r="G430" s="4" t="inlineStr"/>
      <c r="H430" s="7" t="inlineStr">
        <is>
          <t>Approved</t>
        </is>
      </c>
      <c r="I430" s="7" t="n"/>
      <c r="J430" s="4" t="inlineStr">
        <is>
          <t>Eligibility</t>
        </is>
      </c>
      <c r="K430" s="4" t="inlineStr">
        <is>
          <t>en.eligibilityCriteria.eligibilityDescription[0].children[0]</t>
        </is>
      </c>
      <c r="L430" s="4" t="inlineStr">
        <is>
          <t>M11@20261028-8915f15c</t>
        </is>
      </c>
      <c r="M430" s="4" t="inlineStr">
        <is>
          <t>Source extract; not executable</t>
        </is>
      </c>
      <c r="N430" s="7" t="inlineStr">
        <is>
          <t>Unassigned</t>
        </is>
      </c>
      <c r="O430" s="7" t="inlineStr">
        <is>
          <t>1/1</t>
        </is>
      </c>
      <c r="P430" s="7" t="n"/>
    </row>
    <row r="431" ht="45" customHeight="1">
      <c r="A431" s="4" t="inlineStr">
        <is>
          <t>M11</t>
        </is>
      </c>
      <c r="B431" s="4" t="inlineStr">
        <is>
          <t>Financial Assistance To Disabled For Self Employment</t>
        </is>
      </c>
      <c r="C431" s="4" t="inlineStr">
        <is>
          <t>M11-SRC002</t>
        </is>
      </c>
      <c r="D431" s="4" t="inlineStr">
        <is>
          <t>Eligibility text</t>
        </is>
      </c>
      <c r="E431" s="4" t="inlineStr">
        <is>
          <t>The applicant should be a permanent resident of Maharashtra State.</t>
        </is>
      </c>
      <c r="F431" s="4" t="inlineStr">
        <is>
          <t>MS-M11 / M11-P0005</t>
        </is>
      </c>
      <c r="G431" s="4" t="inlineStr"/>
      <c r="H431" s="7" t="inlineStr">
        <is>
          <t>Approved</t>
        </is>
      </c>
      <c r="I431" s="7" t="n"/>
      <c r="J431" s="4" t="inlineStr">
        <is>
          <t>Eligibility</t>
        </is>
      </c>
      <c r="K431" s="4" t="inlineStr">
        <is>
          <t>en.eligibilityCriteria.eligibilityDescription[0].children[1]</t>
        </is>
      </c>
      <c r="L431" s="4" t="inlineStr">
        <is>
          <t>M11@20261028-8915f15c</t>
        </is>
      </c>
      <c r="M431" s="4" t="inlineStr">
        <is>
          <t>Source extract; not executable</t>
        </is>
      </c>
      <c r="N431" s="7" t="inlineStr">
        <is>
          <t>Unassigned</t>
        </is>
      </c>
      <c r="O431" s="7" t="inlineStr">
        <is>
          <t>1/1</t>
        </is>
      </c>
      <c r="P431" s="7" t="n"/>
    </row>
    <row r="432" ht="45" customHeight="1">
      <c r="A432" s="4" t="inlineStr">
        <is>
          <t>M11</t>
        </is>
      </c>
      <c r="B432" s="4" t="inlineStr">
        <is>
          <t>Financial Assistance To Disabled For Self Employment</t>
        </is>
      </c>
      <c r="C432" s="4" t="inlineStr">
        <is>
          <t>M11-SRC003</t>
        </is>
      </c>
      <c r="D432" s="4" t="inlineStr">
        <is>
          <t>Eligibility text</t>
        </is>
      </c>
      <c r="E432" s="4" t="inlineStr">
        <is>
          <t>The applicant should be a Person with Disability (Visually Handicapped, Low Vision, Hearing Impaired, Orthopedically Handicapped, etc).</t>
        </is>
      </c>
      <c r="F432" s="4" t="inlineStr">
        <is>
          <t>MS-M11 / M11-P0006</t>
        </is>
      </c>
      <c r="G432" s="4" t="inlineStr"/>
      <c r="H432" s="7" t="inlineStr">
        <is>
          <t>Approved</t>
        </is>
      </c>
      <c r="I432" s="7" t="n"/>
      <c r="J432" s="4" t="inlineStr">
        <is>
          <t>Eligibility</t>
        </is>
      </c>
      <c r="K432" s="4" t="inlineStr">
        <is>
          <t>en.eligibilityCriteria.eligibilityDescription[0].children[2]</t>
        </is>
      </c>
      <c r="L432" s="4" t="inlineStr">
        <is>
          <t>M11@20261028-8915f15c</t>
        </is>
      </c>
      <c r="M432" s="4" t="inlineStr">
        <is>
          <t>Source extract; not executable</t>
        </is>
      </c>
      <c r="N432" s="7" t="inlineStr">
        <is>
          <t>Unassigned</t>
        </is>
      </c>
      <c r="O432" s="7" t="inlineStr">
        <is>
          <t>1/1</t>
        </is>
      </c>
      <c r="P432" s="7" t="n"/>
    </row>
    <row r="433" ht="45" customHeight="1">
      <c r="A433" s="4" t="inlineStr">
        <is>
          <t>M11</t>
        </is>
      </c>
      <c r="B433" s="4" t="inlineStr">
        <is>
          <t>Financial Assistance To Disabled For Self Employment</t>
        </is>
      </c>
      <c r="C433" s="4" t="inlineStr">
        <is>
          <t>M11-SRC004</t>
        </is>
      </c>
      <c r="D433" s="4" t="inlineStr">
        <is>
          <t>Eligibility text</t>
        </is>
      </c>
      <c r="E433" s="4" t="inlineStr">
        <is>
          <t>The percentage of the disability should be 40% or above.</t>
        </is>
      </c>
      <c r="F433" s="4" t="inlineStr">
        <is>
          <t>MS-M11 / M11-P0007</t>
        </is>
      </c>
      <c r="G433" s="4" t="inlineStr"/>
      <c r="H433" s="7" t="inlineStr">
        <is>
          <t>Approved</t>
        </is>
      </c>
      <c r="I433" s="7" t="n"/>
      <c r="J433" s="4" t="inlineStr">
        <is>
          <t>Eligibility</t>
        </is>
      </c>
      <c r="K433" s="4" t="inlineStr">
        <is>
          <t>en.eligibilityCriteria.eligibilityDescription[0].children[3]</t>
        </is>
      </c>
      <c r="L433" s="4" t="inlineStr">
        <is>
          <t>M11@20261028-8915f15c</t>
        </is>
      </c>
      <c r="M433" s="4" t="inlineStr">
        <is>
          <t>Source extract; not executable</t>
        </is>
      </c>
      <c r="N433" s="7" t="inlineStr">
        <is>
          <t>Unassigned</t>
        </is>
      </c>
      <c r="O433" s="7" t="inlineStr">
        <is>
          <t>1/1</t>
        </is>
      </c>
      <c r="P433" s="7" t="n"/>
    </row>
    <row r="434" ht="45" customHeight="1">
      <c r="A434" s="4" t="inlineStr">
        <is>
          <t>M11</t>
        </is>
      </c>
      <c r="B434" s="4" t="inlineStr">
        <is>
          <t>Financial Assistance To Disabled For Self Employment</t>
        </is>
      </c>
      <c r="C434" s="4" t="inlineStr">
        <is>
          <t>M11-SRC005</t>
        </is>
      </c>
      <c r="D434" s="4" t="inlineStr">
        <is>
          <t>Eligibility text</t>
        </is>
      </c>
      <c r="E434" s="4" t="inlineStr">
        <is>
          <t>The applicant should be in the 18 to 50 years age group.</t>
        </is>
      </c>
      <c r="F434" s="4" t="inlineStr">
        <is>
          <t>MS-M11 / M11-P0008</t>
        </is>
      </c>
      <c r="G434" s="4" t="inlineStr"/>
      <c r="H434" s="7" t="inlineStr">
        <is>
          <t>Approved</t>
        </is>
      </c>
      <c r="I434" s="7" t="n"/>
      <c r="J434" s="4" t="inlineStr">
        <is>
          <t>Eligibility</t>
        </is>
      </c>
      <c r="K434" s="4" t="inlineStr">
        <is>
          <t>en.eligibilityCriteria.eligibilityDescription[0].children[4]</t>
        </is>
      </c>
      <c r="L434" s="4" t="inlineStr">
        <is>
          <t>M11@20261028-8915f15c</t>
        </is>
      </c>
      <c r="M434" s="4" t="inlineStr">
        <is>
          <t>Source extract; not executable</t>
        </is>
      </c>
      <c r="N434" s="7" t="inlineStr">
        <is>
          <t>Unassigned</t>
        </is>
      </c>
      <c r="O434" s="7" t="inlineStr">
        <is>
          <t>1/1</t>
        </is>
      </c>
      <c r="P434" s="7" t="n"/>
    </row>
    <row r="435" ht="45" customHeight="1">
      <c r="A435" s="4" t="inlineStr">
        <is>
          <t>M11</t>
        </is>
      </c>
      <c r="B435" s="4" t="inlineStr">
        <is>
          <t>Financial Assistance To Disabled For Self Employment</t>
        </is>
      </c>
      <c r="C435" s="4" t="inlineStr">
        <is>
          <t>M11-SRC006</t>
        </is>
      </c>
      <c r="D435" s="4" t="inlineStr">
        <is>
          <t>Eligibility text</t>
        </is>
      </c>
      <c r="E435" s="4" t="inlineStr">
        <is>
          <t>The annual income of the applicant should be less than ₹1,00,000/-.</t>
        </is>
      </c>
      <c r="F435" s="4" t="inlineStr">
        <is>
          <t>MS-M11 / M11-P0009</t>
        </is>
      </c>
      <c r="G435" s="4" t="inlineStr"/>
      <c r="H435" s="7" t="inlineStr">
        <is>
          <t>Approved</t>
        </is>
      </c>
      <c r="I435" s="7" t="n"/>
      <c r="J435" s="4" t="inlineStr">
        <is>
          <t>Eligibility</t>
        </is>
      </c>
      <c r="K435" s="4" t="inlineStr">
        <is>
          <t>en.eligibilityCriteria.eligibilityDescription[0].children[5]</t>
        </is>
      </c>
      <c r="L435" s="4" t="inlineStr">
        <is>
          <t>M11@20261028-8915f15c</t>
        </is>
      </c>
      <c r="M435" s="4" t="inlineStr">
        <is>
          <t>Source extract; not executable</t>
        </is>
      </c>
      <c r="N435" s="7" t="inlineStr">
        <is>
          <t>Unassigned</t>
        </is>
      </c>
      <c r="O435" s="7" t="inlineStr">
        <is>
          <t>1/1</t>
        </is>
      </c>
      <c r="P435" s="7" t="n"/>
    </row>
    <row r="436" ht="45" customHeight="1">
      <c r="A436" s="4" t="inlineStr">
        <is>
          <t>M11</t>
        </is>
      </c>
      <c r="B436" s="4" t="inlineStr">
        <is>
          <t>Financial Assistance To Disabled For Self Employment</t>
        </is>
      </c>
      <c r="C436" s="4" t="inlineStr">
        <is>
          <t>M11-EMPTY-Exclusions</t>
        </is>
      </c>
      <c r="D436" s="4" t="inlineStr">
        <is>
          <t>Exclusions</t>
        </is>
      </c>
      <c r="E436" s="4" t="inlineStr">
        <is>
          <t>Not stated in the captured source. Do not infer no restrictions.</t>
        </is>
      </c>
      <c r="F436" s="4" t="inlineStr">
        <is>
          <t>MS-M11</t>
        </is>
      </c>
      <c r="G436" s="4" t="inlineStr">
        <is>
          <t>Full official guidelines required.</t>
        </is>
      </c>
      <c r="H436" s="7" t="inlineStr">
        <is>
          <t>Approved</t>
        </is>
      </c>
      <c r="I436" s="7" t="n"/>
      <c r="J436" s="4" t="inlineStr">
        <is>
          <t>Exclusions</t>
        </is>
      </c>
      <c r="K436" s="4" t="inlineStr"/>
      <c r="L436" s="4" t="inlineStr">
        <is>
          <t>M11@20261028-8915f15c</t>
        </is>
      </c>
      <c r="M436" s="4" t="inlineStr">
        <is>
          <t>Empty or absent in source</t>
        </is>
      </c>
      <c r="N436" s="7" t="inlineStr">
        <is>
          <t>Unassigned</t>
        </is>
      </c>
      <c r="O436" s="7" t="n"/>
      <c r="P436" s="7" t="n"/>
    </row>
    <row r="437" ht="45" customHeight="1">
      <c r="A437" s="4" t="inlineStr">
        <is>
          <t>M12</t>
        </is>
      </c>
      <c r="B437" s="4" t="inlineStr">
        <is>
          <t>Ramai Awas (Gharkul) Scheme for SC &amp; Nav-Buddha (Urban and Rural)</t>
        </is>
      </c>
      <c r="C437" s="4" t="inlineStr">
        <is>
          <t>M12-SRC001</t>
        </is>
      </c>
      <c r="D437" s="4" t="inlineStr">
        <is>
          <t>Eligibility text</t>
        </is>
      </c>
      <c r="E437" s="4" t="inlineStr">
        <is>
          <t>1. The applicant should have lived for 15 years in Maharashtra.</t>
        </is>
      </c>
      <c r="F437" s="4" t="inlineStr">
        <is>
          <t>MS-M12 / M12-P0006</t>
        </is>
      </c>
      <c r="G437" s="4" t="inlineStr"/>
      <c r="H437" s="7" t="inlineStr">
        <is>
          <t>Approved</t>
        </is>
      </c>
      <c r="I437" s="7" t="n"/>
      <c r="J437" s="4" t="inlineStr">
        <is>
          <t>Eligibility</t>
        </is>
      </c>
      <c r="K437" s="4" t="inlineStr">
        <is>
          <t>en.eligibilityCriteria.eligibilityDescription[0]</t>
        </is>
      </c>
      <c r="L437" s="4" t="inlineStr">
        <is>
          <t>M12@20261028-70d4cb3b</t>
        </is>
      </c>
      <c r="M437" s="4" t="inlineStr">
        <is>
          <t>Source extract; not executable</t>
        </is>
      </c>
      <c r="N437" s="7" t="inlineStr">
        <is>
          <t>Unassigned</t>
        </is>
      </c>
      <c r="O437" s="7" t="inlineStr">
        <is>
          <t>1/1</t>
        </is>
      </c>
      <c r="P437" s="7" t="n"/>
    </row>
    <row r="438" ht="45" customHeight="1">
      <c r="A438" s="4" t="inlineStr">
        <is>
          <t>M12</t>
        </is>
      </c>
      <c r="B438" s="4" t="inlineStr">
        <is>
          <t>Ramai Awas (Gharkul) Scheme for SC &amp; Nav-Buddha (Urban and Rural)</t>
        </is>
      </c>
      <c r="C438" s="4" t="inlineStr">
        <is>
          <t>M12-SRC002</t>
        </is>
      </c>
      <c r="D438" s="4" t="inlineStr">
        <is>
          <t>Eligibility text</t>
        </is>
      </c>
      <c r="E438" s="4" t="inlineStr">
        <is>
          <t>2. The applicant's annual income limit is as under -</t>
        </is>
      </c>
      <c r="F438" s="4" t="inlineStr">
        <is>
          <t>MS-M12 / M12-P0007</t>
        </is>
      </c>
      <c r="G438" s="4" t="inlineStr"/>
      <c r="H438" s="7" t="inlineStr">
        <is>
          <t>Approved</t>
        </is>
      </c>
      <c r="I438" s="7" t="n"/>
      <c r="J438" s="4" t="inlineStr">
        <is>
          <t>Eligibility</t>
        </is>
      </c>
      <c r="K438" s="4" t="inlineStr">
        <is>
          <t>en.eligibilityCriteria.eligibilityDescription[1]</t>
        </is>
      </c>
      <c r="L438" s="4" t="inlineStr">
        <is>
          <t>M12@20261028-70d4cb3b</t>
        </is>
      </c>
      <c r="M438" s="4" t="inlineStr">
        <is>
          <t>Source extract; not executable</t>
        </is>
      </c>
      <c r="N438" s="7" t="inlineStr">
        <is>
          <t>Unassigned</t>
        </is>
      </c>
      <c r="O438" s="7" t="inlineStr">
        <is>
          <t>1/1</t>
        </is>
      </c>
      <c r="P438" s="7" t="n"/>
    </row>
    <row r="439" ht="45" customHeight="1">
      <c r="A439" s="4" t="inlineStr">
        <is>
          <t>M12</t>
        </is>
      </c>
      <c r="B439" s="4" t="inlineStr">
        <is>
          <t>Ramai Awas (Gharkul) Scheme for SC &amp; Nav-Buddha (Urban and Rural)</t>
        </is>
      </c>
      <c r="C439" s="4" t="inlineStr">
        <is>
          <t>M12-SRC003</t>
        </is>
      </c>
      <c r="D439" s="4" t="inlineStr">
        <is>
          <t>Eligibility text</t>
        </is>
      </c>
      <c r="E439" s="4" t="inlineStr">
        <is>
          <t>For Rural Area, ₹1,00,000/- per annum.</t>
        </is>
      </c>
      <c r="F439" s="4" t="inlineStr">
        <is>
          <t>MS-M12 / M12-P0008</t>
        </is>
      </c>
      <c r="G439" s="4" t="inlineStr"/>
      <c r="H439" s="7" t="inlineStr">
        <is>
          <t>Approved</t>
        </is>
      </c>
      <c r="I439" s="7" t="n"/>
      <c r="J439" s="4" t="inlineStr">
        <is>
          <t>Eligibility</t>
        </is>
      </c>
      <c r="K439" s="4" t="inlineStr">
        <is>
          <t>en.eligibilityCriteria.eligibilityDescription[2].children[0]</t>
        </is>
      </c>
      <c r="L439" s="4" t="inlineStr">
        <is>
          <t>M12@20261028-70d4cb3b</t>
        </is>
      </c>
      <c r="M439" s="4" t="inlineStr">
        <is>
          <t>Source extract; not executable</t>
        </is>
      </c>
      <c r="N439" s="7" t="inlineStr">
        <is>
          <t>Unassigned</t>
        </is>
      </c>
      <c r="O439" s="7" t="inlineStr">
        <is>
          <t>1/1</t>
        </is>
      </c>
      <c r="P439" s="7" t="n"/>
    </row>
    <row r="440" ht="45" customHeight="1">
      <c r="A440" s="4" t="inlineStr">
        <is>
          <t>M12</t>
        </is>
      </c>
      <c r="B440" s="4" t="inlineStr">
        <is>
          <t>Ramai Awas (Gharkul) Scheme for SC &amp; Nav-Buddha (Urban and Rural)</t>
        </is>
      </c>
      <c r="C440" s="4" t="inlineStr">
        <is>
          <t>M12-SRC004</t>
        </is>
      </c>
      <c r="D440" s="4" t="inlineStr">
        <is>
          <t>Eligibility text</t>
        </is>
      </c>
      <c r="E440" s="4" t="inlineStr">
        <is>
          <t>For Municipal Area, ₹1,50,000/- per annum.</t>
        </is>
      </c>
      <c r="F440" s="4" t="inlineStr">
        <is>
          <t>MS-M12 / M12-P0009</t>
        </is>
      </c>
      <c r="G440" s="4" t="inlineStr"/>
      <c r="H440" s="7" t="inlineStr">
        <is>
          <t>Approved</t>
        </is>
      </c>
      <c r="I440" s="7" t="n"/>
      <c r="J440" s="4" t="inlineStr">
        <is>
          <t>Eligibility</t>
        </is>
      </c>
      <c r="K440" s="4" t="inlineStr">
        <is>
          <t>en.eligibilityCriteria.eligibilityDescription[2].children[1]</t>
        </is>
      </c>
      <c r="L440" s="4" t="inlineStr">
        <is>
          <t>M12@20261028-70d4cb3b</t>
        </is>
      </c>
      <c r="M440" s="4" t="inlineStr">
        <is>
          <t>Source extract; not executable</t>
        </is>
      </c>
      <c r="N440" s="7" t="inlineStr">
        <is>
          <t>Unassigned</t>
        </is>
      </c>
      <c r="O440" s="7" t="inlineStr">
        <is>
          <t>1/1</t>
        </is>
      </c>
      <c r="P440" s="7" t="n"/>
    </row>
    <row r="441" ht="45" customHeight="1">
      <c r="A441" s="4" t="inlineStr">
        <is>
          <t>M12</t>
        </is>
      </c>
      <c r="B441" s="4" t="inlineStr">
        <is>
          <t>Ramai Awas (Gharkul) Scheme for SC &amp; Nav-Buddha (Urban and Rural)</t>
        </is>
      </c>
      <c r="C441" s="4" t="inlineStr">
        <is>
          <t>M12-SRC005</t>
        </is>
      </c>
      <c r="D441" s="4" t="inlineStr">
        <is>
          <t>Eligibility text</t>
        </is>
      </c>
      <c r="E441" s="4" t="inlineStr">
        <is>
          <t>For Municipal Corporation, ₹2,00,000/- per annum.</t>
        </is>
      </c>
      <c r="F441" s="4" t="inlineStr">
        <is>
          <t>MS-M12 / M12-P0010</t>
        </is>
      </c>
      <c r="G441" s="4" t="inlineStr"/>
      <c r="H441" s="7" t="inlineStr">
        <is>
          <t>Approved</t>
        </is>
      </c>
      <c r="I441" s="7" t="n"/>
      <c r="J441" s="4" t="inlineStr">
        <is>
          <t>Eligibility</t>
        </is>
      </c>
      <c r="K441" s="4" t="inlineStr">
        <is>
          <t>en.eligibilityCriteria.eligibilityDescription[2].children[2]</t>
        </is>
      </c>
      <c r="L441" s="4" t="inlineStr">
        <is>
          <t>M12@20261028-70d4cb3b</t>
        </is>
      </c>
      <c r="M441" s="4" t="inlineStr">
        <is>
          <t>Source extract; not executable</t>
        </is>
      </c>
      <c r="N441" s="7" t="inlineStr">
        <is>
          <t>Unassigned</t>
        </is>
      </c>
      <c r="O441" s="7" t="inlineStr">
        <is>
          <t>1/1</t>
        </is>
      </c>
      <c r="P441" s="7" t="n"/>
    </row>
    <row r="442" ht="45" customHeight="1">
      <c r="A442" s="4" t="inlineStr">
        <is>
          <t>M12</t>
        </is>
      </c>
      <c r="B442" s="4" t="inlineStr">
        <is>
          <t>Ramai Awas (Gharkul) Scheme for SC &amp; Nav-Buddha (Urban and Rural)</t>
        </is>
      </c>
      <c r="C442" s="4" t="inlineStr">
        <is>
          <t>M12-SRC006</t>
        </is>
      </c>
      <c r="D442" s="4" t="inlineStr">
        <is>
          <t>Eligibility text</t>
        </is>
      </c>
      <c r="E442" s="4" t="inlineStr">
        <is>
          <t>3. Only one person in the family will get the benefit.</t>
        </is>
      </c>
      <c r="F442" s="4" t="inlineStr">
        <is>
          <t>MS-M12 / M12-P0011</t>
        </is>
      </c>
      <c r="G442" s="4" t="inlineStr"/>
      <c r="H442" s="7" t="inlineStr">
        <is>
          <t>Approved</t>
        </is>
      </c>
      <c r="I442" s="7" t="n"/>
      <c r="J442" s="4" t="inlineStr">
        <is>
          <t>Eligibility</t>
        </is>
      </c>
      <c r="K442" s="4" t="inlineStr">
        <is>
          <t>en.eligibilityCriteria.eligibilityDescription[3]</t>
        </is>
      </c>
      <c r="L442" s="4" t="inlineStr">
        <is>
          <t>M12@20261028-70d4cb3b</t>
        </is>
      </c>
      <c r="M442" s="4" t="inlineStr">
        <is>
          <t>Source extract; not executable</t>
        </is>
      </c>
      <c r="N442" s="7" t="inlineStr">
        <is>
          <t>Unassigned</t>
        </is>
      </c>
      <c r="O442" s="7" t="inlineStr">
        <is>
          <t>1/1</t>
        </is>
      </c>
      <c r="P442" s="7" t="n"/>
    </row>
    <row r="443" ht="45" customHeight="1">
      <c r="A443" s="4" t="inlineStr">
        <is>
          <t>M12</t>
        </is>
      </c>
      <c r="B443" s="4" t="inlineStr">
        <is>
          <t>Ramai Awas (Gharkul) Scheme for SC &amp; Nav-Buddha (Urban and Rural)</t>
        </is>
      </c>
      <c r="C443" s="4" t="inlineStr">
        <is>
          <t>M12-SRC007</t>
        </is>
      </c>
      <c r="D443" s="4" t="inlineStr">
        <is>
          <t>Eligibility text</t>
        </is>
      </c>
      <c r="E443" s="4" t="inlineStr">
        <is>
          <t>4. The applicant should have his/her own land</t>
        </is>
      </c>
      <c r="F443" s="4" t="inlineStr">
        <is>
          <t>MS-M12 / M12-P0012</t>
        </is>
      </c>
      <c r="G443" s="4" t="inlineStr"/>
      <c r="H443" s="7" t="inlineStr">
        <is>
          <t>Approved</t>
        </is>
      </c>
      <c r="I443" s="7" t="n"/>
      <c r="J443" s="4" t="inlineStr">
        <is>
          <t>Eligibility</t>
        </is>
      </c>
      <c r="K443" s="4" t="inlineStr">
        <is>
          <t>en.eligibilityCriteria.eligibilityDescription[4]</t>
        </is>
      </c>
      <c r="L443" s="4" t="inlineStr">
        <is>
          <t>M12@20261028-70d4cb3b</t>
        </is>
      </c>
      <c r="M443" s="4" t="inlineStr">
        <is>
          <t>Source extract; not executable</t>
        </is>
      </c>
      <c r="N443" s="7" t="inlineStr">
        <is>
          <t>Unassigned</t>
        </is>
      </c>
      <c r="O443" s="7" t="inlineStr">
        <is>
          <t>1/1</t>
        </is>
      </c>
      <c r="P443" s="7" t="n"/>
    </row>
    <row r="444" ht="45" customHeight="1">
      <c r="A444" s="4" t="inlineStr">
        <is>
          <t>M12</t>
        </is>
      </c>
      <c r="B444" s="4" t="inlineStr">
        <is>
          <t>Ramai Awas (Gharkul) Scheme for SC &amp; Nav-Buddha (Urban and Rural)</t>
        </is>
      </c>
      <c r="C444" s="4" t="inlineStr">
        <is>
          <t>M12-SRC008</t>
        </is>
      </c>
      <c r="D444" s="4" t="inlineStr">
        <is>
          <t>Eligibility text</t>
        </is>
      </c>
      <c r="E444" s="4" t="inlineStr">
        <is>
          <t>5. The applicant should not be receiving the benefits of any other housing scheme of the Government.</t>
        </is>
      </c>
      <c r="F444" s="4" t="inlineStr">
        <is>
          <t>MS-M12 / M12-P0013</t>
        </is>
      </c>
      <c r="G444" s="4" t="inlineStr"/>
      <c r="H444" s="7" t="inlineStr">
        <is>
          <t>Approved</t>
        </is>
      </c>
      <c r="I444" s="7" t="n"/>
      <c r="J444" s="4" t="inlineStr">
        <is>
          <t>Eligibility</t>
        </is>
      </c>
      <c r="K444" s="4" t="inlineStr">
        <is>
          <t>en.eligibilityCriteria.eligibilityDescription[5]</t>
        </is>
      </c>
      <c r="L444" s="4" t="inlineStr">
        <is>
          <t>M12@20261028-70d4cb3b</t>
        </is>
      </c>
      <c r="M444" s="4" t="inlineStr">
        <is>
          <t>Source extract; not executable</t>
        </is>
      </c>
      <c r="N444" s="7" t="inlineStr">
        <is>
          <t>Unassigned</t>
        </is>
      </c>
      <c r="O444" s="7" t="inlineStr">
        <is>
          <t>1/1</t>
        </is>
      </c>
      <c r="P444" s="7" t="n"/>
    </row>
    <row r="445" ht="45" customHeight="1">
      <c r="A445" s="4" t="inlineStr">
        <is>
          <t>M12</t>
        </is>
      </c>
      <c r="B445" s="4" t="inlineStr">
        <is>
          <t>Ramai Awas (Gharkul) Scheme for SC &amp; Nav-Buddha (Urban and Rural)</t>
        </is>
      </c>
      <c r="C445" s="4" t="inlineStr">
        <is>
          <t>M12-SRC009</t>
        </is>
      </c>
      <c r="D445" s="4" t="inlineStr">
        <is>
          <t>Exception candidate</t>
        </is>
      </c>
      <c r="E445" s="4" t="inlineStr">
        <is>
          <t>Reservation/Relaxation/Priority</t>
        </is>
      </c>
      <c r="F445" s="4" t="inlineStr">
        <is>
          <t>MS-M12 / M12-P0014</t>
        </is>
      </c>
      <c r="G445" s="4" t="inlineStr"/>
      <c r="H445" s="7" t="inlineStr">
        <is>
          <t>Approved</t>
        </is>
      </c>
      <c r="I445" s="7" t="n"/>
      <c r="J445" s="4" t="inlineStr">
        <is>
          <t>Eligibility</t>
        </is>
      </c>
      <c r="K445" s="4" t="inlineStr">
        <is>
          <t>en.eligibilityCriteria.eligibilityDescription[6].children[0]</t>
        </is>
      </c>
      <c r="L445" s="4" t="inlineStr">
        <is>
          <t>M12@20261028-70d4cb3b</t>
        </is>
      </c>
      <c r="M445" s="4" t="inlineStr">
        <is>
          <t>Source extract; not executable</t>
        </is>
      </c>
      <c r="N445" s="7" t="inlineStr">
        <is>
          <t>Unassigned</t>
        </is>
      </c>
      <c r="O445" s="7" t="inlineStr">
        <is>
          <t>1/1</t>
        </is>
      </c>
      <c r="P445" s="7" t="n"/>
    </row>
    <row r="446" ht="45" customHeight="1">
      <c r="A446" s="4" t="inlineStr">
        <is>
          <t>M12</t>
        </is>
      </c>
      <c r="B446" s="4" t="inlineStr">
        <is>
          <t>Ramai Awas (Gharkul) Scheme for SC &amp; Nav-Buddha (Urban and Rural)</t>
        </is>
      </c>
      <c r="C446" s="4" t="inlineStr">
        <is>
          <t>M12-SRC010</t>
        </is>
      </c>
      <c r="D446" s="4" t="inlineStr">
        <is>
          <t>Eligibility text</t>
        </is>
      </c>
      <c r="E446" s="4" t="inlineStr">
        <is>
          <t>Priority will be given to applicants from the Below Poverty Line (BPL).</t>
        </is>
      </c>
      <c r="F446" s="4" t="inlineStr">
        <is>
          <t>MS-M12 / M12-P0015</t>
        </is>
      </c>
      <c r="G446" s="4" t="inlineStr"/>
      <c r="H446" s="7" t="inlineStr">
        <is>
          <t>Approved</t>
        </is>
      </c>
      <c r="I446" s="7" t="n"/>
      <c r="J446" s="4" t="inlineStr">
        <is>
          <t>Eligibility</t>
        </is>
      </c>
      <c r="K446" s="4" t="inlineStr">
        <is>
          <t>en.eligibilityCriteria.eligibilityDescription[7]</t>
        </is>
      </c>
      <c r="L446" s="4" t="inlineStr">
        <is>
          <t>M12@20261028-70d4cb3b</t>
        </is>
      </c>
      <c r="M446" s="4" t="inlineStr">
        <is>
          <t>Source extract; not executable</t>
        </is>
      </c>
      <c r="N446" s="7" t="inlineStr">
        <is>
          <t>Unassigned</t>
        </is>
      </c>
      <c r="O446" s="7" t="inlineStr">
        <is>
          <t>1/1</t>
        </is>
      </c>
      <c r="P446" s="7" t="n"/>
    </row>
    <row r="447" ht="45" customHeight="1">
      <c r="A447" s="4" t="inlineStr">
        <is>
          <t>M12</t>
        </is>
      </c>
      <c r="B447" s="4" t="inlineStr">
        <is>
          <t>Ramai Awas (Gharkul) Scheme for SC &amp; Nav-Buddha (Urban and Rural)</t>
        </is>
      </c>
      <c r="C447" s="4" t="inlineStr">
        <is>
          <t>M12-EMPTY-Exclusions</t>
        </is>
      </c>
      <c r="D447" s="4" t="inlineStr">
        <is>
          <t>Exclusions</t>
        </is>
      </c>
      <c r="E447" s="4" t="inlineStr">
        <is>
          <t>Not stated in the captured source. Do not infer no restrictions.</t>
        </is>
      </c>
      <c r="F447" s="4" t="inlineStr">
        <is>
          <t>MS-M12</t>
        </is>
      </c>
      <c r="G447" s="4" t="inlineStr">
        <is>
          <t>Full official guidelines required.</t>
        </is>
      </c>
      <c r="H447" s="7" t="inlineStr">
        <is>
          <t>Approved</t>
        </is>
      </c>
      <c r="I447" s="7" t="n"/>
      <c r="J447" s="4" t="inlineStr">
        <is>
          <t>Exclusions</t>
        </is>
      </c>
      <c r="K447" s="4" t="inlineStr"/>
      <c r="L447" s="4" t="inlineStr">
        <is>
          <t>M12@20261028-70d4cb3b</t>
        </is>
      </c>
      <c r="M447" s="4" t="inlineStr">
        <is>
          <t>Empty or absent in source</t>
        </is>
      </c>
      <c r="N447" s="7" t="inlineStr">
        <is>
          <t>Unassigned</t>
        </is>
      </c>
      <c r="O447" s="7" t="n"/>
      <c r="P447" s="7" t="n"/>
    </row>
    <row r="448" ht="56.32" customHeight="1">
      <c r="A448" s="4" t="inlineStr">
        <is>
          <t>M13</t>
        </is>
      </c>
      <c r="B448" s="4" t="inlineStr">
        <is>
          <t>Namo Shetkari Mahasanman Nidhi Yojana</t>
        </is>
      </c>
      <c r="C448" s="4" t="inlineStr">
        <is>
          <t>M13-SRC001</t>
        </is>
      </c>
      <c r="D448" s="4" t="inlineStr">
        <is>
          <t>Eligibility text</t>
        </is>
      </c>
      <c r="E448" s="4" t="inlineStr">
        <is>
          <t>Cultivable land holding farmers families (comprising of husband, wife and minor children) having land holding on dated 01.02.2019 are eligible for both PM KISAN &amp; NSMNY scheme.</t>
        </is>
      </c>
      <c r="F448" s="4" t="inlineStr">
        <is>
          <t>MS-M13 / M13-P0013</t>
        </is>
      </c>
      <c r="G448" s="4" t="inlineStr"/>
      <c r="H448" s="7" t="inlineStr">
        <is>
          <t>Approved</t>
        </is>
      </c>
      <c r="I448" s="7" t="n"/>
      <c r="J448" s="4" t="inlineStr">
        <is>
          <t>Eligibility</t>
        </is>
      </c>
      <c r="K448" s="4" t="inlineStr">
        <is>
          <t>en.eligibilityCriteria.eligibilityDescription[0]</t>
        </is>
      </c>
      <c r="L448" s="4" t="inlineStr">
        <is>
          <t>M13@20261028-01fda9a0</t>
        </is>
      </c>
      <c r="M448" s="4" t="inlineStr">
        <is>
          <t>Source extract; not executable</t>
        </is>
      </c>
      <c r="N448" s="7" t="inlineStr">
        <is>
          <t>Unassigned</t>
        </is>
      </c>
      <c r="O448" s="7" t="inlineStr">
        <is>
          <t>1/1</t>
        </is>
      </c>
      <c r="P448" s="7" t="n"/>
    </row>
    <row r="449" ht="45" customHeight="1">
      <c r="A449" s="4" t="inlineStr">
        <is>
          <t>M13</t>
        </is>
      </c>
      <c r="B449" s="4" t="inlineStr">
        <is>
          <t>Namo Shetkari Mahasanman Nidhi Yojana</t>
        </is>
      </c>
      <c r="C449" s="4" t="inlineStr">
        <is>
          <t>M13-SRC002</t>
        </is>
      </c>
      <c r="D449" s="4" t="inlineStr">
        <is>
          <t>Exclusion text</t>
        </is>
      </c>
      <c r="E449" s="4" t="inlineStr">
        <is>
          <t>The following categories of beneficiaries of higher economic status shall not be eligible for benefit under the scheme:</t>
        </is>
      </c>
      <c r="F449" s="4" t="inlineStr">
        <is>
          <t>MS-M13 / M13-P0014</t>
        </is>
      </c>
      <c r="G449" s="4" t="inlineStr"/>
      <c r="H449" s="7" t="inlineStr">
        <is>
          <t>Approved</t>
        </is>
      </c>
      <c r="I449" s="7" t="n"/>
      <c r="J449" s="4" t="inlineStr">
        <is>
          <t>Exclusions</t>
        </is>
      </c>
      <c r="K449" s="4" t="inlineStr">
        <is>
          <t>en.schemeContent.exclusions[0]</t>
        </is>
      </c>
      <c r="L449" s="4" t="inlineStr">
        <is>
          <t>M13@20261028-01fda9a0</t>
        </is>
      </c>
      <c r="M449" s="4" t="inlineStr">
        <is>
          <t>Source extract; not executable</t>
        </is>
      </c>
      <c r="N449" s="7" t="inlineStr">
        <is>
          <t>Unassigned</t>
        </is>
      </c>
      <c r="O449" s="7" t="inlineStr">
        <is>
          <t>1/1</t>
        </is>
      </c>
      <c r="P449" s="7" t="n"/>
    </row>
    <row r="450" ht="45" customHeight="1">
      <c r="A450" s="4" t="inlineStr">
        <is>
          <t>M13</t>
        </is>
      </c>
      <c r="B450" s="4" t="inlineStr">
        <is>
          <t>Namo Shetkari Mahasanman Nidhi Yojana</t>
        </is>
      </c>
      <c r="C450" s="4" t="inlineStr">
        <is>
          <t>M13-SRC003</t>
        </is>
      </c>
      <c r="D450" s="4" t="inlineStr">
        <is>
          <t>Exclusion text</t>
        </is>
      </c>
      <c r="E450" s="4" t="inlineStr">
        <is>
          <t>(a) All Institutional Land holders; and</t>
        </is>
      </c>
      <c r="F450" s="4" t="inlineStr">
        <is>
          <t>MS-M13 / M13-P0015</t>
        </is>
      </c>
      <c r="G450" s="4" t="inlineStr"/>
      <c r="H450" s="7" t="inlineStr">
        <is>
          <t>Approved</t>
        </is>
      </c>
      <c r="I450" s="7" t="n"/>
      <c r="J450" s="4" t="inlineStr">
        <is>
          <t>Exclusions</t>
        </is>
      </c>
      <c r="K450" s="4" t="inlineStr">
        <is>
          <t>en.schemeContent.exclusions[1]</t>
        </is>
      </c>
      <c r="L450" s="4" t="inlineStr">
        <is>
          <t>M13@20261028-01fda9a0</t>
        </is>
      </c>
      <c r="M450" s="4" t="inlineStr">
        <is>
          <t>Source extract; not executable</t>
        </is>
      </c>
      <c r="N450" s="7" t="inlineStr">
        <is>
          <t>Unassigned</t>
        </is>
      </c>
      <c r="O450" s="7" t="inlineStr">
        <is>
          <t>1/1</t>
        </is>
      </c>
      <c r="P450" s="7" t="n"/>
    </row>
    <row r="451" ht="45" customHeight="1">
      <c r="A451" s="4" t="inlineStr">
        <is>
          <t>M13</t>
        </is>
      </c>
      <c r="B451" s="4" t="inlineStr">
        <is>
          <t>Namo Shetkari Mahasanman Nidhi Yojana</t>
        </is>
      </c>
      <c r="C451" s="4" t="inlineStr">
        <is>
          <t>M13-SRC004</t>
        </is>
      </c>
      <c r="D451" s="4" t="inlineStr">
        <is>
          <t>Exclusion text</t>
        </is>
      </c>
      <c r="E451" s="4" t="inlineStr">
        <is>
          <t>(b) Farmer families in which one or more of its members belong to following categories:</t>
        </is>
      </c>
      <c r="F451" s="4" t="inlineStr">
        <is>
          <t>MS-M13 / M13-P0016</t>
        </is>
      </c>
      <c r="G451" s="4" t="inlineStr"/>
      <c r="H451" s="7" t="inlineStr">
        <is>
          <t>Approved</t>
        </is>
      </c>
      <c r="I451" s="7" t="n"/>
      <c r="J451" s="4" t="inlineStr">
        <is>
          <t>Exclusions</t>
        </is>
      </c>
      <c r="K451" s="4" t="inlineStr">
        <is>
          <t>en.schemeContent.exclusions[2]</t>
        </is>
      </c>
      <c r="L451" s="4" t="inlineStr">
        <is>
          <t>M13@20261028-01fda9a0</t>
        </is>
      </c>
      <c r="M451" s="4" t="inlineStr">
        <is>
          <t>Source extract; not executable</t>
        </is>
      </c>
      <c r="N451" s="7" t="inlineStr">
        <is>
          <t>Unassigned</t>
        </is>
      </c>
      <c r="O451" s="7" t="inlineStr">
        <is>
          <t>1/1</t>
        </is>
      </c>
      <c r="P451" s="7" t="n"/>
    </row>
    <row r="452" ht="45" customHeight="1">
      <c r="A452" s="4" t="inlineStr">
        <is>
          <t>M13</t>
        </is>
      </c>
      <c r="B452" s="4" t="inlineStr">
        <is>
          <t>Namo Shetkari Mahasanman Nidhi Yojana</t>
        </is>
      </c>
      <c r="C452" s="4" t="inlineStr">
        <is>
          <t>M13-SRC005</t>
        </is>
      </c>
      <c r="D452" s="4" t="inlineStr">
        <is>
          <t>Exclusion text</t>
        </is>
      </c>
      <c r="E452" s="4" t="inlineStr">
        <is>
          <t>Former and present holders of constitutional post.</t>
        </is>
      </c>
      <c r="F452" s="4" t="inlineStr">
        <is>
          <t>MS-M13 / M13-P0017</t>
        </is>
      </c>
      <c r="G452" s="4" t="inlineStr"/>
      <c r="H452" s="7" t="inlineStr">
        <is>
          <t>Approved</t>
        </is>
      </c>
      <c r="I452" s="7" t="n"/>
      <c r="J452" s="4" t="inlineStr">
        <is>
          <t>Exclusions</t>
        </is>
      </c>
      <c r="K452" s="4" t="inlineStr">
        <is>
          <t>en.schemeContent.exclusions[3].children[0]</t>
        </is>
      </c>
      <c r="L452" s="4" t="inlineStr">
        <is>
          <t>M13@20261028-01fda9a0</t>
        </is>
      </c>
      <c r="M452" s="4" t="inlineStr">
        <is>
          <t>Source extract; not executable</t>
        </is>
      </c>
      <c r="N452" s="7" t="inlineStr">
        <is>
          <t>Unassigned</t>
        </is>
      </c>
      <c r="O452" s="7" t="inlineStr">
        <is>
          <t>1/1</t>
        </is>
      </c>
      <c r="P452" s="7" t="n"/>
    </row>
    <row r="453" ht="85.12" customHeight="1">
      <c r="A453" s="4" t="inlineStr">
        <is>
          <t>M13</t>
        </is>
      </c>
      <c r="B453" s="4" t="inlineStr">
        <is>
          <t>Namo Shetkari Mahasanman Nidhi Yojana</t>
        </is>
      </c>
      <c r="C453" s="4" t="inlineStr">
        <is>
          <t>M13-SRC006</t>
        </is>
      </c>
      <c r="D453" s="4" t="inlineStr">
        <is>
          <t>Exclusion text</t>
        </is>
      </c>
      <c r="E453" s="4" t="inlineStr">
        <is>
          <t>Former and present Ministers/ State Ministers and former/present Members of Lok Sabha/ Rajya Sabha/ State Legislative Assemblies/ State Legislative Councils, former and present Mayors of Municipal Corporations, former and present Chairpersons of District Panchayats.</t>
        </is>
      </c>
      <c r="F453" s="4" t="inlineStr">
        <is>
          <t>MS-M13 / M13-P0018</t>
        </is>
      </c>
      <c r="G453" s="4" t="inlineStr"/>
      <c r="H453" s="7" t="inlineStr">
        <is>
          <t>Approved</t>
        </is>
      </c>
      <c r="I453" s="7" t="n"/>
      <c r="J453" s="4" t="inlineStr">
        <is>
          <t>Exclusions</t>
        </is>
      </c>
      <c r="K453" s="4" t="inlineStr">
        <is>
          <t>en.schemeContent.exclusions[3].children[1]</t>
        </is>
      </c>
      <c r="L453" s="4" t="inlineStr">
        <is>
          <t>M13@20261028-01fda9a0</t>
        </is>
      </c>
      <c r="M453" s="4" t="inlineStr">
        <is>
          <t>Source extract; not executable</t>
        </is>
      </c>
      <c r="N453" s="7" t="inlineStr">
        <is>
          <t>Unassigned</t>
        </is>
      </c>
      <c r="O453" s="7" t="inlineStr">
        <is>
          <t>1/1</t>
        </is>
      </c>
      <c r="P453" s="7" t="n"/>
    </row>
    <row r="454" ht="103.04" customHeight="1">
      <c r="A454" s="4" t="inlineStr">
        <is>
          <t>M13</t>
        </is>
      </c>
      <c r="B454" s="4" t="inlineStr">
        <is>
          <t>Namo Shetkari Mahasanman Nidhi Yojana</t>
        </is>
      </c>
      <c r="C454" s="4" t="inlineStr">
        <is>
          <t>M13-SRC007</t>
        </is>
      </c>
      <c r="D454" s="4" t="inlineStr">
        <is>
          <t>Exclusion text</t>
        </is>
      </c>
      <c r="E454" s="4" t="inlineStr">
        <is>
          <t>All serving or retired officers and employees of Central/ State Government Ministries /Offices/Departments and its field units Central or State PSEs and Attached offices /Autonomous Institutions under Government as well as regular employees of the Local Bodies (Excluding Multi-Tasking Staff / Class IV/Group D employees).</t>
        </is>
      </c>
      <c r="F454" s="4" t="inlineStr">
        <is>
          <t>MS-M13 / M13-P0019</t>
        </is>
      </c>
      <c r="G454" s="4" t="inlineStr"/>
      <c r="H454" s="7" t="inlineStr">
        <is>
          <t>Approved</t>
        </is>
      </c>
      <c r="I454" s="7" t="n"/>
      <c r="J454" s="4" t="inlineStr">
        <is>
          <t>Exclusions</t>
        </is>
      </c>
      <c r="K454" s="4" t="inlineStr">
        <is>
          <t>en.schemeContent.exclusions[3].children[2]</t>
        </is>
      </c>
      <c r="L454" s="4" t="inlineStr">
        <is>
          <t>M13@20261028-01fda9a0</t>
        </is>
      </c>
      <c r="M454" s="4" t="inlineStr">
        <is>
          <t>Source extract; not executable</t>
        </is>
      </c>
      <c r="N454" s="7" t="inlineStr">
        <is>
          <t>Unassigned</t>
        </is>
      </c>
      <c r="O454" s="7" t="inlineStr">
        <is>
          <t>1/1</t>
        </is>
      </c>
      <c r="P454" s="7" t="n"/>
    </row>
    <row r="455" ht="45.12" customHeight="1">
      <c r="A455" s="4" t="inlineStr">
        <is>
          <t>M13</t>
        </is>
      </c>
      <c r="B455" s="4" t="inlineStr">
        <is>
          <t>Namo Shetkari Mahasanman Nidhi Yojana</t>
        </is>
      </c>
      <c r="C455" s="4" t="inlineStr">
        <is>
          <t>M13-SRC008</t>
        </is>
      </c>
      <c r="D455" s="4" t="inlineStr">
        <is>
          <t>Exclusion text</t>
        </is>
      </c>
      <c r="E455" s="4" t="inlineStr">
        <is>
          <t>All superannuated/retired pensioners whose monthly pension is Rs.10,000/-or more (Excluding Multi Tasking Staff / Class IV/Group D employees.</t>
        </is>
      </c>
      <c r="F455" s="4" t="inlineStr">
        <is>
          <t>MS-M13 / M13-P0020</t>
        </is>
      </c>
      <c r="G455" s="4" t="inlineStr"/>
      <c r="H455" s="7" t="inlineStr">
        <is>
          <t>Approved</t>
        </is>
      </c>
      <c r="I455" s="7" t="n"/>
      <c r="J455" s="4" t="inlineStr">
        <is>
          <t>Exclusions</t>
        </is>
      </c>
      <c r="K455" s="4" t="inlineStr">
        <is>
          <t>en.schemeContent.exclusions[3].children[3]</t>
        </is>
      </c>
      <c r="L455" s="4" t="inlineStr">
        <is>
          <t>M13@20261028-01fda9a0</t>
        </is>
      </c>
      <c r="M455" s="4" t="inlineStr">
        <is>
          <t>Source extract; not executable</t>
        </is>
      </c>
      <c r="N455" s="7" t="inlineStr">
        <is>
          <t>Unassigned</t>
        </is>
      </c>
      <c r="O455" s="7" t="inlineStr">
        <is>
          <t>1/1</t>
        </is>
      </c>
      <c r="P455" s="7" t="n"/>
    </row>
    <row r="456" ht="45" customHeight="1">
      <c r="A456" s="4" t="inlineStr">
        <is>
          <t>M13</t>
        </is>
      </c>
      <c r="B456" s="4" t="inlineStr">
        <is>
          <t>Namo Shetkari Mahasanman Nidhi Yojana</t>
        </is>
      </c>
      <c r="C456" s="4" t="inlineStr">
        <is>
          <t>M13-SRC009</t>
        </is>
      </c>
      <c r="D456" s="4" t="inlineStr">
        <is>
          <t>Exclusion text</t>
        </is>
      </c>
      <c r="E456" s="4" t="inlineStr">
        <is>
          <t>All Persons who paid Income Tax in last assessment year.</t>
        </is>
      </c>
      <c r="F456" s="4" t="inlineStr">
        <is>
          <t>MS-M13 / M13-P0021</t>
        </is>
      </c>
      <c r="G456" s="4" t="inlineStr"/>
      <c r="H456" s="7" t="inlineStr">
        <is>
          <t>Approved</t>
        </is>
      </c>
      <c r="I456" s="7" t="n"/>
      <c r="J456" s="4" t="inlineStr">
        <is>
          <t>Exclusions</t>
        </is>
      </c>
      <c r="K456" s="4" t="inlineStr">
        <is>
          <t>en.schemeContent.exclusions[3].children[4]</t>
        </is>
      </c>
      <c r="L456" s="4" t="inlineStr">
        <is>
          <t>M13@20261028-01fda9a0</t>
        </is>
      </c>
      <c r="M456" s="4" t="inlineStr">
        <is>
          <t>Source extract; not executable</t>
        </is>
      </c>
      <c r="N456" s="7" t="inlineStr">
        <is>
          <t>Unassigned</t>
        </is>
      </c>
      <c r="O456" s="7" t="inlineStr">
        <is>
          <t>1/1</t>
        </is>
      </c>
      <c r="P456" s="7" t="n"/>
    </row>
    <row r="457" ht="56" customHeight="1">
      <c r="A457" s="4" t="inlineStr">
        <is>
          <t>M13</t>
        </is>
      </c>
      <c r="B457" s="4" t="inlineStr">
        <is>
          <t>Namo Shetkari Mahasanman Nidhi Yojana</t>
        </is>
      </c>
      <c r="C457" s="4" t="inlineStr">
        <is>
          <t>M13-SRC010</t>
        </is>
      </c>
      <c r="D457" s="4" t="inlineStr">
        <is>
          <t>Exclusion text</t>
        </is>
      </c>
      <c r="E457" s="4" t="inlineStr">
        <is>
          <t>Professionals like Doctors, Engineers, Lawyers, Chartered Accountants, and Architects registered with Professional bodies and carrying out profession by undertaking practices.</t>
        </is>
      </c>
      <c r="F457" s="4" t="inlineStr">
        <is>
          <t>MS-M13 / M13-P0022</t>
        </is>
      </c>
      <c r="G457" s="4" t="inlineStr"/>
      <c r="H457" s="7" t="inlineStr">
        <is>
          <t>Approved</t>
        </is>
      </c>
      <c r="I457" s="7" t="n"/>
      <c r="J457" s="4" t="inlineStr">
        <is>
          <t>Exclusions</t>
        </is>
      </c>
      <c r="K457" s="4" t="inlineStr">
        <is>
          <t>en.schemeContent.exclusions[3].children[5]</t>
        </is>
      </c>
      <c r="L457" s="4" t="inlineStr">
        <is>
          <t>M13@20261028-01fda9a0</t>
        </is>
      </c>
      <c r="M457" s="4" t="inlineStr">
        <is>
          <t>Source extract; not executable</t>
        </is>
      </c>
      <c r="N457" s="7" t="inlineStr">
        <is>
          <t>Unassigned</t>
        </is>
      </c>
      <c r="O457" s="7" t="inlineStr">
        <is>
          <t>1/1</t>
        </is>
      </c>
      <c r="P457" s="7" t="n"/>
    </row>
    <row r="458" ht="45" customHeight="1">
      <c r="A458" s="4" t="inlineStr">
        <is>
          <t>M13</t>
        </is>
      </c>
      <c r="B458" s="4" t="inlineStr">
        <is>
          <t>Namo Shetkari Mahasanman Nidhi Yojana</t>
        </is>
      </c>
      <c r="C458" s="4" t="inlineStr">
        <is>
          <t>M13-SRC011</t>
        </is>
      </c>
      <c r="D458" s="4" t="inlineStr">
        <is>
          <t>Exclusion text</t>
        </is>
      </c>
      <c r="E458" s="4" t="inlineStr">
        <is>
          <t>Non-Resident Indians (NRIs)</t>
        </is>
      </c>
      <c r="F458" s="4" t="inlineStr">
        <is>
          <t>MS-M13 / M13-P0023</t>
        </is>
      </c>
      <c r="G458" s="4" t="inlineStr"/>
      <c r="H458" s="7" t="inlineStr">
        <is>
          <t>Approved</t>
        </is>
      </c>
      <c r="I458" s="7" t="n"/>
      <c r="J458" s="4" t="inlineStr">
        <is>
          <t>Exclusions</t>
        </is>
      </c>
      <c r="K458" s="4" t="inlineStr">
        <is>
          <t>en.schemeContent.exclusions[3].children[6]</t>
        </is>
      </c>
      <c r="L458" s="4" t="inlineStr">
        <is>
          <t>M13@20261028-01fda9a0</t>
        </is>
      </c>
      <c r="M458" s="4" t="inlineStr">
        <is>
          <t>Source extract; not executable</t>
        </is>
      </c>
      <c r="N458" s="7" t="inlineStr">
        <is>
          <t>Unassigned</t>
        </is>
      </c>
      <c r="O458" s="7" t="inlineStr">
        <is>
          <t>1/1</t>
        </is>
      </c>
      <c r="P458" s="7" t="n"/>
    </row>
    <row r="459" ht="50.88" customHeight="1">
      <c r="A459" s="4" t="inlineStr">
        <is>
          <t>M14</t>
        </is>
      </c>
      <c r="B459" s="4" t="inlineStr">
        <is>
          <t>CHIEF MINISTER  EMPLOYMENT GENERATION  PROGRAMME (CMEGP)</t>
        </is>
      </c>
      <c r="C459" s="4" t="inlineStr">
        <is>
          <t>M14-SRC001</t>
        </is>
      </c>
      <c r="D459" s="4" t="inlineStr">
        <is>
          <t>Exception candidate</t>
        </is>
      </c>
      <c r="E459" s="4" t="inlineStr">
        <is>
          <t>1)The Age of the applicant should be between 18 to 45. For Special category (including SC/ST/Women/ Ex-servicemen/Differently abled) age is relaxed by 5 years.</t>
        </is>
      </c>
      <c r="F459" s="4" t="inlineStr">
        <is>
          <t>MS-M14 / M14-P0019</t>
        </is>
      </c>
      <c r="G459" s="4" t="inlineStr"/>
      <c r="H459" s="7" t="inlineStr">
        <is>
          <t>Approved</t>
        </is>
      </c>
      <c r="I459" s="7" t="n"/>
      <c r="J459" s="4" t="inlineStr">
        <is>
          <t>Eligibility</t>
        </is>
      </c>
      <c r="K459" s="4" t="inlineStr">
        <is>
          <t>en.eligibilityCriteria.eligibilityDescription[0].children[0]</t>
        </is>
      </c>
      <c r="L459" s="4" t="inlineStr">
        <is>
          <t>M14@20261028-57cd7d50</t>
        </is>
      </c>
      <c r="M459" s="4" t="inlineStr">
        <is>
          <t>Source extract; not executable</t>
        </is>
      </c>
      <c r="N459" s="7" t="inlineStr">
        <is>
          <t>Unassigned</t>
        </is>
      </c>
      <c r="O459" s="7" t="inlineStr">
        <is>
          <t>1/1</t>
        </is>
      </c>
      <c r="P459" s="7" t="n"/>
    </row>
    <row r="460" ht="45" customHeight="1">
      <c r="A460" s="4" t="inlineStr">
        <is>
          <t>M14</t>
        </is>
      </c>
      <c r="B460" s="4" t="inlineStr">
        <is>
          <t>CHIEF MINISTER  EMPLOYMENT GENERATION  PROGRAMME (CMEGP)</t>
        </is>
      </c>
      <c r="C460" s="4" t="inlineStr">
        <is>
          <t>M14-SRC002</t>
        </is>
      </c>
      <c r="D460" s="4" t="inlineStr">
        <is>
          <t>Eligibility text</t>
        </is>
      </c>
      <c r="E460" s="4" t="inlineStr">
        <is>
          <t>2)The Occupation of the applicant should be unemployed youth, Youth willing to establish new ventures.</t>
        </is>
      </c>
      <c r="F460" s="4" t="inlineStr">
        <is>
          <t>MS-M14 / M14-P0020</t>
        </is>
      </c>
      <c r="G460" s="4" t="inlineStr"/>
      <c r="H460" s="7" t="inlineStr">
        <is>
          <t>Approved</t>
        </is>
      </c>
      <c r="I460" s="7" t="n"/>
      <c r="J460" s="4" t="inlineStr">
        <is>
          <t>Eligibility</t>
        </is>
      </c>
      <c r="K460" s="4" t="inlineStr">
        <is>
          <t>en.eligibilityCriteria.eligibilityDescription[0].children[1]</t>
        </is>
      </c>
      <c r="L460" s="4" t="inlineStr">
        <is>
          <t>M14@20261028-57cd7d50</t>
        </is>
      </c>
      <c r="M460" s="4" t="inlineStr">
        <is>
          <t>Source extract; not executable</t>
        </is>
      </c>
      <c r="N460" s="7" t="inlineStr">
        <is>
          <t>Unassigned</t>
        </is>
      </c>
      <c r="O460" s="7" t="inlineStr">
        <is>
          <t>1/1</t>
        </is>
      </c>
      <c r="P460" s="7" t="n"/>
    </row>
    <row r="461" ht="45" customHeight="1">
      <c r="A461" s="4" t="inlineStr">
        <is>
          <t>M14</t>
        </is>
      </c>
      <c r="B461" s="4" t="inlineStr">
        <is>
          <t>CHIEF MINISTER  EMPLOYMENT GENERATION  PROGRAMME (CMEGP)</t>
        </is>
      </c>
      <c r="C461" s="4" t="inlineStr">
        <is>
          <t>M14-SRC003</t>
        </is>
      </c>
      <c r="D461" s="4" t="inlineStr">
        <is>
          <t>Eligibility text</t>
        </is>
      </c>
      <c r="E461" s="4" t="inlineStr">
        <is>
          <t>3)The Annual Income of the Applicant/Family/Parent/Guardian should No criteria LPA</t>
        </is>
      </c>
      <c r="F461" s="4" t="inlineStr">
        <is>
          <t>MS-M14 / M14-P0021</t>
        </is>
      </c>
      <c r="G461" s="4" t="inlineStr"/>
      <c r="H461" s="7" t="inlineStr">
        <is>
          <t>Approved</t>
        </is>
      </c>
      <c r="I461" s="7" t="n"/>
      <c r="J461" s="4" t="inlineStr">
        <is>
          <t>Eligibility</t>
        </is>
      </c>
      <c r="K461" s="4" t="inlineStr">
        <is>
          <t>en.eligibilityCriteria.eligibilityDescription[0].children[2]</t>
        </is>
      </c>
      <c r="L461" s="4" t="inlineStr">
        <is>
          <t>M14@20261028-57cd7d50</t>
        </is>
      </c>
      <c r="M461" s="4" t="inlineStr">
        <is>
          <t>Source extract; not executable</t>
        </is>
      </c>
      <c r="N461" s="7" t="inlineStr">
        <is>
          <t>Unassigned</t>
        </is>
      </c>
      <c r="O461" s="7" t="inlineStr">
        <is>
          <t>1/1</t>
        </is>
      </c>
      <c r="P461" s="7" t="n"/>
    </row>
    <row r="462" ht="45" customHeight="1">
      <c r="A462" s="4" t="inlineStr">
        <is>
          <t>M14</t>
        </is>
      </c>
      <c r="B462" s="4" t="inlineStr">
        <is>
          <t>CHIEF MINISTER  EMPLOYMENT GENERATION  PROGRAMME (CMEGP)</t>
        </is>
      </c>
      <c r="C462" s="4" t="inlineStr">
        <is>
          <t>M14-SRC004</t>
        </is>
      </c>
      <c r="D462" s="4" t="inlineStr">
        <is>
          <t>Eligibility text</t>
        </is>
      </c>
      <c r="E462" s="4" t="inlineStr">
        <is>
          <t>4)The Gender of the applicant should be Male and Female</t>
        </is>
      </c>
      <c r="F462" s="4" t="inlineStr">
        <is>
          <t>MS-M14 / M14-P0022</t>
        </is>
      </c>
      <c r="G462" s="4" t="inlineStr"/>
      <c r="H462" s="7" t="inlineStr">
        <is>
          <t>Approved</t>
        </is>
      </c>
      <c r="I462" s="7" t="n"/>
      <c r="J462" s="4" t="inlineStr">
        <is>
          <t>Eligibility</t>
        </is>
      </c>
      <c r="K462" s="4" t="inlineStr">
        <is>
          <t>en.eligibilityCriteria.eligibilityDescription[0].children[3]</t>
        </is>
      </c>
      <c r="L462" s="4" t="inlineStr">
        <is>
          <t>M14@20261028-57cd7d50</t>
        </is>
      </c>
      <c r="M462" s="4" t="inlineStr">
        <is>
          <t>Source extract; not executable</t>
        </is>
      </c>
      <c r="N462" s="7" t="inlineStr">
        <is>
          <t>Unassigned</t>
        </is>
      </c>
      <c r="O462" s="7" t="inlineStr">
        <is>
          <t>1/1</t>
        </is>
      </c>
      <c r="P462" s="7" t="n"/>
    </row>
    <row r="463" ht="45" customHeight="1">
      <c r="A463" s="4" t="inlineStr">
        <is>
          <t>M14</t>
        </is>
      </c>
      <c r="B463" s="4" t="inlineStr">
        <is>
          <t>CHIEF MINISTER  EMPLOYMENT GENERATION  PROGRAMME (CMEGP)</t>
        </is>
      </c>
      <c r="C463" s="4" t="inlineStr">
        <is>
          <t>M14-SRC005</t>
        </is>
      </c>
      <c r="D463" s="4" t="inlineStr">
        <is>
          <t>Eligibility text</t>
        </is>
      </c>
      <c r="E463" s="4" t="inlineStr">
        <is>
          <t>5)The Marital Status of the applicant should be for all</t>
        </is>
      </c>
      <c r="F463" s="4" t="inlineStr">
        <is>
          <t>MS-M14 / M14-P0023</t>
        </is>
      </c>
      <c r="G463" s="4" t="inlineStr"/>
      <c r="H463" s="7" t="inlineStr">
        <is>
          <t>Approved</t>
        </is>
      </c>
      <c r="I463" s="7" t="n"/>
      <c r="J463" s="4" t="inlineStr">
        <is>
          <t>Eligibility</t>
        </is>
      </c>
      <c r="K463" s="4" t="inlineStr">
        <is>
          <t>en.eligibilityCriteria.eligibilityDescription[0].children[4]</t>
        </is>
      </c>
      <c r="L463" s="4" t="inlineStr">
        <is>
          <t>M14@20261028-57cd7d50</t>
        </is>
      </c>
      <c r="M463" s="4" t="inlineStr">
        <is>
          <t>Source extract; not executable</t>
        </is>
      </c>
      <c r="N463" s="7" t="inlineStr">
        <is>
          <t>Unassigned</t>
        </is>
      </c>
      <c r="O463" s="7" t="inlineStr">
        <is>
          <t>1/1</t>
        </is>
      </c>
      <c r="P463" s="7" t="n"/>
    </row>
    <row r="464" ht="77.44" customHeight="1">
      <c r="A464" s="4" t="inlineStr">
        <is>
          <t>M14</t>
        </is>
      </c>
      <c r="B464" s="4" t="inlineStr">
        <is>
          <t>CHIEF MINISTER  EMPLOYMENT GENERATION  PROGRAMME (CMEGP)</t>
        </is>
      </c>
      <c r="C464" s="4" t="inlineStr">
        <is>
          <t>M14-SRC006</t>
        </is>
      </c>
      <c r="D464" s="4" t="inlineStr">
        <is>
          <t>Eligibility text</t>
        </is>
      </c>
      <c r="E464" s="4" t="inlineStr">
        <is>
          <t>6)The Educational Qualification of the applicant should be minimum 7th standard pass for   project/unit above Rs. 10 lac and for project/units above Rs.25 lac the required educational criterion for the applicant is minimum 10th standard pass.</t>
        </is>
      </c>
      <c r="F464" s="4" t="inlineStr">
        <is>
          <t>MS-M14 / M14-P0024</t>
        </is>
      </c>
      <c r="G464" s="4" t="inlineStr"/>
      <c r="H464" s="7" t="inlineStr">
        <is>
          <t>Approved</t>
        </is>
      </c>
      <c r="I464" s="7" t="n"/>
      <c r="J464" s="4" t="inlineStr">
        <is>
          <t>Eligibility</t>
        </is>
      </c>
      <c r="K464" s="4" t="inlineStr">
        <is>
          <t>en.eligibilityCriteria.eligibilityDescription[0].children[5]</t>
        </is>
      </c>
      <c r="L464" s="4" t="inlineStr">
        <is>
          <t>M14@20261028-57cd7d50</t>
        </is>
      </c>
      <c r="M464" s="4" t="inlineStr">
        <is>
          <t>Source extract; not executable</t>
        </is>
      </c>
      <c r="N464" s="7" t="inlineStr">
        <is>
          <t>Unassigned</t>
        </is>
      </c>
      <c r="O464" s="7" t="inlineStr">
        <is>
          <t>1/1</t>
        </is>
      </c>
      <c r="P464" s="7" t="n"/>
    </row>
    <row r="465" ht="45" customHeight="1">
      <c r="A465" s="4" t="inlineStr">
        <is>
          <t>M14</t>
        </is>
      </c>
      <c r="B465" s="4" t="inlineStr">
        <is>
          <t>CHIEF MINISTER  EMPLOYMENT GENERATION  PROGRAMME (CMEGP)</t>
        </is>
      </c>
      <c r="C465" s="4" t="inlineStr">
        <is>
          <t>M14-SRC007</t>
        </is>
      </c>
      <c r="D465" s="4" t="inlineStr">
        <is>
          <t>Exclusion text</t>
        </is>
      </c>
      <c r="E465" s="4" t="inlineStr">
        <is>
          <t>1) Only one person from a family will be eligible under the scheme. (Definition of family includes Self and spouse)</t>
        </is>
      </c>
      <c r="F465" s="4" t="inlineStr">
        <is>
          <t>MS-M14 / M14-P0025</t>
        </is>
      </c>
      <c r="G465" s="4" t="inlineStr"/>
      <c r="H465" s="7" t="inlineStr">
        <is>
          <t>Approved</t>
        </is>
      </c>
      <c r="I465" s="7" t="n"/>
      <c r="J465" s="4" t="inlineStr">
        <is>
          <t>Exclusions</t>
        </is>
      </c>
      <c r="K465" s="4" t="inlineStr">
        <is>
          <t>en.schemeContent.exclusions[0].children[0]</t>
        </is>
      </c>
      <c r="L465" s="4" t="inlineStr">
        <is>
          <t>M14@20261028-57cd7d50</t>
        </is>
      </c>
      <c r="M465" s="4" t="inlineStr">
        <is>
          <t>Source extract; not executable</t>
        </is>
      </c>
      <c r="N465" s="7" t="inlineStr">
        <is>
          <t>Unassigned</t>
        </is>
      </c>
      <c r="O465" s="7" t="inlineStr">
        <is>
          <t>1/1</t>
        </is>
      </c>
      <c r="P465" s="7" t="n"/>
    </row>
    <row r="466" ht="101.12" customHeight="1">
      <c r="A466" s="4" t="inlineStr">
        <is>
          <t>M14</t>
        </is>
      </c>
      <c r="B466" s="4" t="inlineStr">
        <is>
          <t>CHIEF MINISTER  EMPLOYMENT GENERATION  PROGRAMME (CMEGP)</t>
        </is>
      </c>
      <c r="C466" s="4" t="inlineStr">
        <is>
          <t>M14-SRC008</t>
        </is>
      </c>
      <c r="D466" s="4" t="inlineStr">
        <is>
          <t>Exclusion text</t>
        </is>
      </c>
      <c r="E466" s="4" t="inlineStr">
        <is>
          <t>2) Existing Units and units that have availed benefit under PMRY, REGP, PMEGP or any other subsidy linked scheme of Government of India or State Government and also units that have already availed Government Subsidy under any other scheme of Government of India or State Government are not eligible under the scheme.</t>
        </is>
      </c>
      <c r="F466" s="4" t="inlineStr">
        <is>
          <t>MS-M14 / M14-P0026</t>
        </is>
      </c>
      <c r="G466" s="4" t="inlineStr"/>
      <c r="H466" s="7" t="inlineStr">
        <is>
          <t>Approved</t>
        </is>
      </c>
      <c r="I466" s="7" t="n"/>
      <c r="J466" s="4" t="inlineStr">
        <is>
          <t>Exclusions</t>
        </is>
      </c>
      <c r="K466" s="4" t="inlineStr">
        <is>
          <t>en.schemeContent.exclusions[0].children[1]</t>
        </is>
      </c>
      <c r="L466" s="4" t="inlineStr">
        <is>
          <t>M14@20261028-57cd7d50</t>
        </is>
      </c>
      <c r="M466" s="4" t="inlineStr">
        <is>
          <t>Source extract; not executable</t>
        </is>
      </c>
      <c r="N466" s="7" t="inlineStr">
        <is>
          <t>Unassigned</t>
        </is>
      </c>
      <c r="O466" s="7" t="inlineStr">
        <is>
          <t>1/1</t>
        </is>
      </c>
      <c r="P466" s="7" t="n"/>
    </row>
    <row r="467" ht="45" customHeight="1">
      <c r="A467" s="4" t="inlineStr">
        <is>
          <t>M15</t>
        </is>
      </c>
      <c r="B467" s="4" t="inlineStr">
        <is>
          <t>Nanaji Deshmukh Krishi Sanjivani Prakalp</t>
        </is>
      </c>
      <c r="C467" s="4" t="inlineStr">
        <is>
          <t>M15-SRC001</t>
        </is>
      </c>
      <c r="D467" s="4" t="inlineStr">
        <is>
          <t>Eligibility text</t>
        </is>
      </c>
      <c r="E467" s="4" t="inlineStr">
        <is>
          <t>1)	Farmers producer companies under the project in the district, registered farmer groups/self-help groups in the project village.</t>
        </is>
      </c>
      <c r="F467" s="4" t="inlineStr">
        <is>
          <t>MS-M15 / M15-P0011</t>
        </is>
      </c>
      <c r="G467" s="4" t="inlineStr"/>
      <c r="H467" s="7" t="inlineStr">
        <is>
          <t>Approved</t>
        </is>
      </c>
      <c r="I467" s="7" t="n"/>
      <c r="J467" s="4" t="inlineStr">
        <is>
          <t>Eligibility</t>
        </is>
      </c>
      <c r="K467" s="4" t="inlineStr">
        <is>
          <t>en.eligibilityCriteria.eligibilityDescription[0].children[0]</t>
        </is>
      </c>
      <c r="L467" s="4" t="inlineStr">
        <is>
          <t>M15@20261028-58f85607</t>
        </is>
      </c>
      <c r="M467" s="4" t="inlineStr">
        <is>
          <t>Source extract; not executable</t>
        </is>
      </c>
      <c r="N467" s="7" t="inlineStr">
        <is>
          <t>Unassigned</t>
        </is>
      </c>
      <c r="O467" s="7" t="inlineStr">
        <is>
          <t>1/1</t>
        </is>
      </c>
      <c r="P467" s="7" t="n"/>
    </row>
    <row r="468" ht="48.96" customHeight="1">
      <c r="A468" s="4" t="inlineStr">
        <is>
          <t>M15</t>
        </is>
      </c>
      <c r="B468" s="4" t="inlineStr">
        <is>
          <t>Nanaji Deshmukh Krishi Sanjivani Prakalp</t>
        </is>
      </c>
      <c r="C468" s="4" t="inlineStr">
        <is>
          <t>M15-SRC002</t>
        </is>
      </c>
      <c r="D468" s="4" t="inlineStr">
        <is>
          <t>Eligibility text</t>
        </is>
      </c>
      <c r="E468" s="4" t="inlineStr">
        <is>
          <t>2)	In the project, FPC’s registered with a minimum of 100 members from the district will be eligible to avail benefits under the agribusiness components.</t>
        </is>
      </c>
      <c r="F468" s="4" t="inlineStr">
        <is>
          <t>MS-M15 / M15-P0012</t>
        </is>
      </c>
      <c r="G468" s="4" t="inlineStr"/>
      <c r="H468" s="7" t="inlineStr">
        <is>
          <t>Approved</t>
        </is>
      </c>
      <c r="I468" s="7" t="n"/>
      <c r="J468" s="4" t="inlineStr">
        <is>
          <t>Eligibility</t>
        </is>
      </c>
      <c r="K468" s="4" t="inlineStr">
        <is>
          <t>en.eligibilityCriteria.eligibilityDescription[0].children[1]</t>
        </is>
      </c>
      <c r="L468" s="4" t="inlineStr">
        <is>
          <t>M15@20261028-58f85607</t>
        </is>
      </c>
      <c r="M468" s="4" t="inlineStr">
        <is>
          <t>Source extract; not executable</t>
        </is>
      </c>
      <c r="N468" s="7" t="inlineStr">
        <is>
          <t>Unassigned</t>
        </is>
      </c>
      <c r="O468" s="7" t="inlineStr">
        <is>
          <t>1/1</t>
        </is>
      </c>
      <c r="P468" s="7" t="n"/>
    </row>
    <row r="469" ht="200" customHeight="1">
      <c r="A469" s="4" t="inlineStr">
        <is>
          <t>M15</t>
        </is>
      </c>
      <c r="B469" s="4" t="inlineStr">
        <is>
          <t>Nanaji Deshmukh Krishi Sanjivani Prakalp</t>
        </is>
      </c>
      <c r="C469" s="4" t="inlineStr">
        <is>
          <t>M15-SRC003</t>
        </is>
      </c>
      <c r="D469" s="4" t="inlineStr">
        <is>
          <t>Eligibility text</t>
        </is>
      </c>
      <c r="E469" s="4" t="inlineStr">
        <is>
          <t>3)	For the project, any eligible group of interested/qualified farmers/women/landless individuals registered with any govt. department (e.g., ATMA, MAVIM, MSRLM etc.) selected in the village can apply for the Prime Minister's Farmer Scheme, based on the family's eligibility criteria (husband, wife, and dependent children over 18 years of age). The explanation of the family's composition from different families within the group, with a minimum of 11 members in each family, is necessary. The benefits of the agribusiness components should not be directed solely towards one family; attention should be paid to this aspect.</t>
        </is>
      </c>
      <c r="F469" s="4" t="inlineStr">
        <is>
          <t>MS-M15 / M15-P0013</t>
        </is>
      </c>
      <c r="G469" s="4" t="inlineStr"/>
      <c r="H469" s="7" t="inlineStr">
        <is>
          <t>Approved</t>
        </is>
      </c>
      <c r="I469" s="7" t="n"/>
      <c r="J469" s="4" t="inlineStr">
        <is>
          <t>Eligibility</t>
        </is>
      </c>
      <c r="K469" s="4" t="inlineStr">
        <is>
          <t>en.eligibilityCriteria.eligibilityDescription[0].children[2]</t>
        </is>
      </c>
      <c r="L469" s="4" t="inlineStr">
        <is>
          <t>M15@20261028-58f85607</t>
        </is>
      </c>
      <c r="M469" s="4" t="inlineStr">
        <is>
          <t>Source extract; not executable</t>
        </is>
      </c>
      <c r="N469" s="7" t="inlineStr">
        <is>
          <t>Unassigned</t>
        </is>
      </c>
      <c r="O469" s="7" t="inlineStr">
        <is>
          <t>1/1</t>
        </is>
      </c>
      <c r="P469" s="7" t="n"/>
    </row>
    <row r="470" ht="66.56" customHeight="1">
      <c r="A470" s="4" t="inlineStr">
        <is>
          <t>M15</t>
        </is>
      </c>
      <c r="B470" s="4" t="inlineStr">
        <is>
          <t>Nanaji Deshmukh Krishi Sanjivani Prakalp</t>
        </is>
      </c>
      <c r="C470" s="4" t="inlineStr">
        <is>
          <t>M15-SRC004</t>
        </is>
      </c>
      <c r="D470" s="4" t="inlineStr">
        <is>
          <t>Eligibility text</t>
        </is>
      </c>
      <c r="E470" s="4" t="inlineStr">
        <is>
          <t>4)	The financial condition of applicant farmers' producer companies/registered farmers/self help groups is proposed to be capable enough to establish and operate agricultural input service centers/industries.</t>
        </is>
      </c>
      <c r="F470" s="4" t="inlineStr">
        <is>
          <t>MS-M15 / M15-P0014</t>
        </is>
      </c>
      <c r="G470" s="4" t="inlineStr"/>
      <c r="H470" s="7" t="inlineStr">
        <is>
          <t>Approved</t>
        </is>
      </c>
      <c r="I470" s="7" t="n"/>
      <c r="J470" s="4" t="inlineStr">
        <is>
          <t>Eligibility</t>
        </is>
      </c>
      <c r="K470" s="4" t="inlineStr">
        <is>
          <t>en.eligibilityCriteria.eligibilityDescription[0].children[3]</t>
        </is>
      </c>
      <c r="L470" s="4" t="inlineStr">
        <is>
          <t>M15@20261028-58f85607</t>
        </is>
      </c>
      <c r="M470" s="4" t="inlineStr">
        <is>
          <t>Source extract; not executable</t>
        </is>
      </c>
      <c r="N470" s="7" t="inlineStr">
        <is>
          <t>Unassigned</t>
        </is>
      </c>
      <c r="O470" s="7" t="inlineStr">
        <is>
          <t>1/1</t>
        </is>
      </c>
      <c r="P470" s="7" t="n"/>
    </row>
    <row r="471" ht="85.44" customHeight="1">
      <c r="A471" s="4" t="inlineStr">
        <is>
          <t>M15</t>
        </is>
      </c>
      <c r="B471" s="4" t="inlineStr">
        <is>
          <t>Nanaji Deshmukh Krishi Sanjivani Prakalp</t>
        </is>
      </c>
      <c r="C471" s="4" t="inlineStr">
        <is>
          <t>M15-SRC005</t>
        </is>
      </c>
      <c r="D471" s="4" t="inlineStr">
        <is>
          <t>Eligibility text</t>
        </is>
      </c>
      <c r="E471" s="4" t="inlineStr">
        <is>
          <t>5)	The project mandates that loans sanctioned to farmers' producer companies/registered banks/financial institutions for projects exceeding Rs. 20.00 lakhs must be approved. The approved amount of the existing loan should be at least 1.25 times the minimum grant aid.</t>
        </is>
      </c>
      <c r="F471" s="4" t="inlineStr">
        <is>
          <t>MS-M15 / M15-P0015</t>
        </is>
      </c>
      <c r="G471" s="4" t="inlineStr"/>
      <c r="H471" s="7" t="inlineStr">
        <is>
          <t>Approved</t>
        </is>
      </c>
      <c r="I471" s="7" t="n"/>
      <c r="J471" s="4" t="inlineStr">
        <is>
          <t>Eligibility</t>
        </is>
      </c>
      <c r="K471" s="4" t="inlineStr">
        <is>
          <t>en.eligibilityCriteria.eligibilityDescription[0].children[4]</t>
        </is>
      </c>
      <c r="L471" s="4" t="inlineStr">
        <is>
          <t>M15@20261028-58f85607</t>
        </is>
      </c>
      <c r="M471" s="4" t="inlineStr">
        <is>
          <t>Source extract; not executable</t>
        </is>
      </c>
      <c r="N471" s="7" t="inlineStr">
        <is>
          <t>Unassigned</t>
        </is>
      </c>
      <c r="O471" s="7" t="inlineStr">
        <is>
          <t>1/1</t>
        </is>
      </c>
      <c r="P471" s="7" t="n"/>
    </row>
    <row r="472" ht="155.84" customHeight="1">
      <c r="A472" s="4" t="inlineStr">
        <is>
          <t>M15</t>
        </is>
      </c>
      <c r="B472" s="4" t="inlineStr">
        <is>
          <t>Nanaji Deshmukh Krishi Sanjivani Prakalp</t>
        </is>
      </c>
      <c r="C472" s="4" t="inlineStr">
        <is>
          <t>M15-SRC006</t>
        </is>
      </c>
      <c r="D472" s="4" t="inlineStr">
        <is>
          <t>Eligibility text</t>
        </is>
      </c>
      <c r="E472" s="4" t="inlineStr">
        <is>
          <t>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t>
        </is>
      </c>
      <c r="F472" s="4" t="inlineStr">
        <is>
          <t>MS-M15 / M15-P0016</t>
        </is>
      </c>
      <c r="G472" s="4" t="inlineStr"/>
      <c r="H472" s="7" t="inlineStr">
        <is>
          <t>Approved</t>
        </is>
      </c>
      <c r="I472" s="7" t="n"/>
      <c r="J472" s="4" t="inlineStr">
        <is>
          <t>Eligibility</t>
        </is>
      </c>
      <c r="K472" s="4" t="inlineStr">
        <is>
          <t>en.eligibilityCriteria.eligibilityDescription[0].children[5]</t>
        </is>
      </c>
      <c r="L472" s="4" t="inlineStr">
        <is>
          <t>M15@20261028-58f85607</t>
        </is>
      </c>
      <c r="M472" s="4" t="inlineStr">
        <is>
          <t>Source extract; not executable</t>
        </is>
      </c>
      <c r="N472" s="7" t="inlineStr">
        <is>
          <t>Unassigned</t>
        </is>
      </c>
      <c r="O472" s="7" t="inlineStr">
        <is>
          <t>1/1</t>
        </is>
      </c>
      <c r="P472" s="7" t="n"/>
    </row>
    <row r="473" ht="80" customHeight="1">
      <c r="A473" s="4" t="inlineStr">
        <is>
          <t>M15</t>
        </is>
      </c>
      <c r="B473" s="4" t="inlineStr">
        <is>
          <t>Nanaji Deshmukh Krishi Sanjivani Prakalp</t>
        </is>
      </c>
      <c r="C473" s="4" t="inlineStr">
        <is>
          <t>M15-SRC007</t>
        </is>
      </c>
      <c r="D473" s="4" t="inlineStr">
        <is>
          <t>Eligibility text</t>
        </is>
      </c>
      <c r="E473" s="4" t="inlineStr">
        <is>
          <t>7)	If there's a loan involved, it's essential for the farmers' producer company and registered farmers/self help groups to enter into a tripartite agreement with the registered bank/financial institution and the relevant project management authority.</t>
        </is>
      </c>
      <c r="F473" s="4" t="inlineStr">
        <is>
          <t>MS-M15 / M15-P0017</t>
        </is>
      </c>
      <c r="G473" s="4" t="inlineStr"/>
      <c r="H473" s="7" t="inlineStr">
        <is>
          <t>Approved</t>
        </is>
      </c>
      <c r="I473" s="7" t="n"/>
      <c r="J473" s="4" t="inlineStr">
        <is>
          <t>Eligibility</t>
        </is>
      </c>
      <c r="K473" s="4" t="inlineStr">
        <is>
          <t>en.eligibilityCriteria.eligibilityDescription[0].children[6]</t>
        </is>
      </c>
      <c r="L473" s="4" t="inlineStr">
        <is>
          <t>M15@20261028-58f85607</t>
        </is>
      </c>
      <c r="M473" s="4" t="inlineStr">
        <is>
          <t>Source extract; not executable</t>
        </is>
      </c>
      <c r="N473" s="7" t="inlineStr">
        <is>
          <t>Unassigned</t>
        </is>
      </c>
      <c r="O473" s="7" t="inlineStr">
        <is>
          <t>1/1</t>
        </is>
      </c>
      <c r="P473" s="7" t="n"/>
    </row>
    <row r="474" ht="45" customHeight="1">
      <c r="A474" s="4" t="inlineStr">
        <is>
          <t>M15</t>
        </is>
      </c>
      <c r="B474" s="4" t="inlineStr">
        <is>
          <t>Nanaji Deshmukh Krishi Sanjivani Prakalp</t>
        </is>
      </c>
      <c r="C474" s="4" t="inlineStr">
        <is>
          <t>M15-SRC008</t>
        </is>
      </c>
      <c r="D474" s="4" t="inlineStr">
        <is>
          <t>Exclusion text</t>
        </is>
      </c>
      <c r="E474" s="4" t="inlineStr">
        <is>
          <t>1.	Farmers with land holding more than 5.00 ha</t>
        </is>
      </c>
      <c r="F474" s="4" t="inlineStr">
        <is>
          <t>MS-M15 / M15-P0018</t>
        </is>
      </c>
      <c r="G474" s="4" t="inlineStr"/>
      <c r="H474" s="7" t="inlineStr">
        <is>
          <t>Approved</t>
        </is>
      </c>
      <c r="I474" s="7" t="n"/>
      <c r="J474" s="4" t="inlineStr">
        <is>
          <t>Exclusions</t>
        </is>
      </c>
      <c r="K474" s="4" t="inlineStr">
        <is>
          <t>en.schemeContent.exclusions[0]</t>
        </is>
      </c>
      <c r="L474" s="4" t="inlineStr">
        <is>
          <t>M15@20261028-58f85607</t>
        </is>
      </c>
      <c r="M474" s="4" t="inlineStr">
        <is>
          <t>Source extract; not executable</t>
        </is>
      </c>
      <c r="N474" s="7" t="inlineStr">
        <is>
          <t>Unassigned</t>
        </is>
      </c>
      <c r="O474" s="7" t="inlineStr">
        <is>
          <t>1/1</t>
        </is>
      </c>
      <c r="P474" s="7" t="n"/>
    </row>
    <row r="475" ht="45" customHeight="1">
      <c r="A475" s="4" t="inlineStr">
        <is>
          <t>M16</t>
        </is>
      </c>
      <c r="B475" s="4" t="inlineStr">
        <is>
          <t>Medical Assistance for the Treatment of Critical Illness</t>
        </is>
      </c>
      <c r="C475" s="4" t="inlineStr">
        <is>
          <t>M16-SRC001</t>
        </is>
      </c>
      <c r="D475" s="4" t="inlineStr">
        <is>
          <t>Eligibility text</t>
        </is>
      </c>
      <c r="E475" s="4" t="inlineStr">
        <is>
          <t>The worker must be engaged in building or construction work.</t>
        </is>
      </c>
      <c r="F475" s="4" t="inlineStr">
        <is>
          <t>MS-M16 / M16-P0003</t>
        </is>
      </c>
      <c r="G475" s="4" t="inlineStr"/>
      <c r="H475" s="7" t="inlineStr">
        <is>
          <t>Approved</t>
        </is>
      </c>
      <c r="I475" s="7" t="n"/>
      <c r="J475" s="4" t="inlineStr">
        <is>
          <t>Eligibility</t>
        </is>
      </c>
      <c r="K475" s="4" t="inlineStr">
        <is>
          <t>en.eligibilityCriteria.eligibilityDescription[0].children[0]</t>
        </is>
      </c>
      <c r="L475" s="4" t="inlineStr">
        <is>
          <t>M16@20261028-bf3cf03f</t>
        </is>
      </c>
      <c r="M475" s="4" t="inlineStr">
        <is>
          <t>Source extract; not executable</t>
        </is>
      </c>
      <c r="N475" s="7" t="inlineStr">
        <is>
          <t>Unassigned</t>
        </is>
      </c>
      <c r="O475" s="7" t="inlineStr">
        <is>
          <t>1/1</t>
        </is>
      </c>
      <c r="P475" s="7" t="n"/>
    </row>
    <row r="476" ht="45" customHeight="1">
      <c r="A476" s="4" t="inlineStr">
        <is>
          <t>M16</t>
        </is>
      </c>
      <c r="B476" s="4" t="inlineStr">
        <is>
          <t>Medical Assistance for the Treatment of Critical Illness</t>
        </is>
      </c>
      <c r="C476" s="4" t="inlineStr">
        <is>
          <t>M16-SRC002</t>
        </is>
      </c>
      <c r="D476" s="4" t="inlineStr">
        <is>
          <t>Eligibility text</t>
        </is>
      </c>
      <c r="E476" s="4" t="inlineStr">
        <is>
          <t>The worker should be registered under the Maharashtra Building and Other Construction Workers Welfare Board (MBOCWW).</t>
        </is>
      </c>
      <c r="F476" s="4" t="inlineStr">
        <is>
          <t>MS-M16 / M16-P0004</t>
        </is>
      </c>
      <c r="G476" s="4" t="inlineStr"/>
      <c r="H476" s="7" t="inlineStr">
        <is>
          <t>Approved</t>
        </is>
      </c>
      <c r="I476" s="7" t="n"/>
      <c r="J476" s="4" t="inlineStr">
        <is>
          <t>Eligibility</t>
        </is>
      </c>
      <c r="K476" s="4" t="inlineStr">
        <is>
          <t>en.eligibilityCriteria.eligibilityDescription[0].children[1]</t>
        </is>
      </c>
      <c r="L476" s="4" t="inlineStr">
        <is>
          <t>M16@20261028-bf3cf03f</t>
        </is>
      </c>
      <c r="M476" s="4" t="inlineStr">
        <is>
          <t>Source extract; not executable</t>
        </is>
      </c>
      <c r="N476" s="7" t="inlineStr">
        <is>
          <t>Unassigned</t>
        </is>
      </c>
      <c r="O476" s="7" t="inlineStr">
        <is>
          <t>1/1</t>
        </is>
      </c>
      <c r="P476" s="7" t="n"/>
    </row>
    <row r="477" ht="45" customHeight="1">
      <c r="A477" s="4" t="inlineStr">
        <is>
          <t>M16</t>
        </is>
      </c>
      <c r="B477" s="4" t="inlineStr">
        <is>
          <t>Medical Assistance for the Treatment of Critical Illness</t>
        </is>
      </c>
      <c r="C477" s="4" t="inlineStr">
        <is>
          <t>M16-SRC003</t>
        </is>
      </c>
      <c r="D477" s="4" t="inlineStr">
        <is>
          <t>Eligibility text</t>
        </is>
      </c>
      <c r="E477" s="4" t="inlineStr">
        <is>
          <t>The worker or family member must be undergoing treatment for a serious illness or critical medical condition.</t>
        </is>
      </c>
      <c r="F477" s="4" t="inlineStr">
        <is>
          <t>MS-M16 / M16-P0005</t>
        </is>
      </c>
      <c r="G477" s="4" t="inlineStr"/>
      <c r="H477" s="7" t="inlineStr">
        <is>
          <t>Approved</t>
        </is>
      </c>
      <c r="I477" s="7" t="n"/>
      <c r="J477" s="4" t="inlineStr">
        <is>
          <t>Eligibility</t>
        </is>
      </c>
      <c r="K477" s="4" t="inlineStr">
        <is>
          <t>en.eligibilityCriteria.eligibilityDescription[0].children[2]</t>
        </is>
      </c>
      <c r="L477" s="4" t="inlineStr">
        <is>
          <t>M16@20261028-bf3cf03f</t>
        </is>
      </c>
      <c r="M477" s="4" t="inlineStr">
        <is>
          <t>Source extract; not executable</t>
        </is>
      </c>
      <c r="N477" s="7" t="inlineStr">
        <is>
          <t>Unassigned</t>
        </is>
      </c>
      <c r="O477" s="7" t="inlineStr">
        <is>
          <t>1/1</t>
        </is>
      </c>
      <c r="P477" s="7" t="n"/>
    </row>
    <row r="478" ht="45" customHeight="1">
      <c r="A478" s="4" t="inlineStr">
        <is>
          <t>M16</t>
        </is>
      </c>
      <c r="B478" s="4" t="inlineStr">
        <is>
          <t>Medical Assistance for the Treatment of Critical Illness</t>
        </is>
      </c>
      <c r="C478" s="4" t="inlineStr">
        <is>
          <t>M16-EMPTY-Exclusions</t>
        </is>
      </c>
      <c r="D478" s="4" t="inlineStr">
        <is>
          <t>Exclusions</t>
        </is>
      </c>
      <c r="E478" s="4" t="inlineStr">
        <is>
          <t>Not stated in the captured source. Do not infer no restrictions.</t>
        </is>
      </c>
      <c r="F478" s="4" t="inlineStr">
        <is>
          <t>MS-M16</t>
        </is>
      </c>
      <c r="G478" s="4" t="inlineStr">
        <is>
          <t>Full official guidelines required.</t>
        </is>
      </c>
      <c r="H478" s="7" t="inlineStr">
        <is>
          <t>Approved</t>
        </is>
      </c>
      <c r="I478" s="7" t="n"/>
      <c r="J478" s="4" t="inlineStr">
        <is>
          <t>Exclusions</t>
        </is>
      </c>
      <c r="K478" s="4" t="inlineStr"/>
      <c r="L478" s="4" t="inlineStr">
        <is>
          <t>M16@20261028-bf3cf03f</t>
        </is>
      </c>
      <c r="M478" s="4" t="inlineStr">
        <is>
          <t>Empty or absent in source</t>
        </is>
      </c>
      <c r="N478" s="7" t="inlineStr">
        <is>
          <t>Unassigned</t>
        </is>
      </c>
      <c r="O478" s="7" t="n"/>
      <c r="P478" s="7" t="n"/>
    </row>
    <row r="479" ht="45" customHeight="1">
      <c r="A479" s="4" t="inlineStr">
        <is>
          <t>M17</t>
        </is>
      </c>
      <c r="B479" s="4" t="inlineStr">
        <is>
          <t>Grant In Aid To Old Age Home</t>
        </is>
      </c>
      <c r="C479" s="4" t="inlineStr">
        <is>
          <t>M17-SRC001</t>
        </is>
      </c>
      <c r="D479" s="4" t="inlineStr">
        <is>
          <t>Eligibility text</t>
        </is>
      </c>
      <c r="E479" s="4" t="inlineStr">
        <is>
          <t>The applicant should be a registered Non-Governmental Organization (NGO).</t>
        </is>
      </c>
      <c r="F479" s="4" t="inlineStr">
        <is>
          <t>MS-M17 / M17-P0003</t>
        </is>
      </c>
      <c r="G479" s="4" t="inlineStr"/>
      <c r="H479" s="7" t="inlineStr">
        <is>
          <t>Approved</t>
        </is>
      </c>
      <c r="I479" s="7" t="n"/>
      <c r="J479" s="4" t="inlineStr">
        <is>
          <t>Eligibility</t>
        </is>
      </c>
      <c r="K479" s="4" t="inlineStr">
        <is>
          <t>en.eligibilityCriteria.eligibilityDescription[0].children[0]</t>
        </is>
      </c>
      <c r="L479" s="4" t="inlineStr">
        <is>
          <t>M17@20261028-cc52e2ad</t>
        </is>
      </c>
      <c r="M479" s="4" t="inlineStr">
        <is>
          <t>Source extract; not executable</t>
        </is>
      </c>
      <c r="N479" s="7" t="inlineStr">
        <is>
          <t>Unassigned</t>
        </is>
      </c>
      <c r="O479" s="7" t="inlineStr">
        <is>
          <t>1/1</t>
        </is>
      </c>
      <c r="P479" s="7" t="n"/>
    </row>
    <row r="480" ht="45" customHeight="1">
      <c r="A480" s="4" t="inlineStr">
        <is>
          <t>M17</t>
        </is>
      </c>
      <c r="B480" s="4" t="inlineStr">
        <is>
          <t>Grant In Aid To Old Age Home</t>
        </is>
      </c>
      <c r="C480" s="4" t="inlineStr">
        <is>
          <t>M17-SRC002</t>
        </is>
      </c>
      <c r="D480" s="4" t="inlineStr">
        <is>
          <t>Eligibility text</t>
        </is>
      </c>
      <c r="E480" s="4" t="inlineStr">
        <is>
          <t>The applicant should only accommodate old/destitute/disabled victims.</t>
        </is>
      </c>
      <c r="F480" s="4" t="inlineStr">
        <is>
          <t>MS-M17 / M17-P0004</t>
        </is>
      </c>
      <c r="G480" s="4" t="inlineStr"/>
      <c r="H480" s="7" t="inlineStr">
        <is>
          <t>Approved</t>
        </is>
      </c>
      <c r="I480" s="7" t="n"/>
      <c r="J480" s="4" t="inlineStr">
        <is>
          <t>Eligibility</t>
        </is>
      </c>
      <c r="K480" s="4" t="inlineStr">
        <is>
          <t>en.eligibilityCriteria.eligibilityDescription[0].children[1]</t>
        </is>
      </c>
      <c r="L480" s="4" t="inlineStr">
        <is>
          <t>M17@20261028-cc52e2ad</t>
        </is>
      </c>
      <c r="M480" s="4" t="inlineStr">
        <is>
          <t>Source extract; not executable</t>
        </is>
      </c>
      <c r="N480" s="7" t="inlineStr">
        <is>
          <t>Unassigned</t>
        </is>
      </c>
      <c r="O480" s="7" t="inlineStr">
        <is>
          <t>1/1</t>
        </is>
      </c>
      <c r="P480" s="7" t="n"/>
    </row>
    <row r="481" ht="45" customHeight="1">
      <c r="A481" s="4" t="inlineStr">
        <is>
          <t>M17</t>
        </is>
      </c>
      <c r="B481" s="4" t="inlineStr">
        <is>
          <t>Grant In Aid To Old Age Home</t>
        </is>
      </c>
      <c r="C481" s="4" t="inlineStr">
        <is>
          <t>M17-SRC003</t>
        </is>
      </c>
      <c r="D481" s="4" t="inlineStr">
        <is>
          <t>Eligibility text</t>
        </is>
      </c>
      <c r="E481" s="4" t="inlineStr">
        <is>
          <t>In the case of old men, the age should be 60 years and above. In the case of old women, the age should be 55 years and above.</t>
        </is>
      </c>
      <c r="F481" s="4" t="inlineStr">
        <is>
          <t>MS-M17 / M17-P0005</t>
        </is>
      </c>
      <c r="G481" s="4" t="inlineStr"/>
      <c r="H481" s="7" t="inlineStr">
        <is>
          <t>Approved</t>
        </is>
      </c>
      <c r="I481" s="7" t="n"/>
      <c r="J481" s="4" t="inlineStr">
        <is>
          <t>Eligibility</t>
        </is>
      </c>
      <c r="K481" s="4" t="inlineStr">
        <is>
          <t>en.eligibilityCriteria.eligibilityDescription[0].children[2]</t>
        </is>
      </c>
      <c r="L481" s="4" t="inlineStr">
        <is>
          <t>M17@20261028-cc52e2ad</t>
        </is>
      </c>
      <c r="M481" s="4" t="inlineStr">
        <is>
          <t>Source extract; not executable</t>
        </is>
      </c>
      <c r="N481" s="7" t="inlineStr">
        <is>
          <t>Unassigned</t>
        </is>
      </c>
      <c r="O481" s="7" t="inlineStr">
        <is>
          <t>1/1</t>
        </is>
      </c>
      <c r="P481" s="7" t="n"/>
    </row>
    <row r="482" ht="45" customHeight="1">
      <c r="A482" s="4" t="inlineStr">
        <is>
          <t>M17</t>
        </is>
      </c>
      <c r="B482" s="4" t="inlineStr">
        <is>
          <t>Grant In Aid To Old Age Home</t>
        </is>
      </c>
      <c r="C482" s="4" t="inlineStr">
        <is>
          <t>M17-SRC004</t>
        </is>
      </c>
      <c r="D482" s="4" t="inlineStr">
        <is>
          <t>Eligibility text</t>
        </is>
      </c>
      <c r="E482" s="4" t="inlineStr">
        <is>
          <t>The old age person should be a citizen of India.</t>
        </is>
      </c>
      <c r="F482" s="4" t="inlineStr">
        <is>
          <t>MS-M17 / M17-P0006</t>
        </is>
      </c>
      <c r="G482" s="4" t="inlineStr"/>
      <c r="H482" s="7" t="inlineStr">
        <is>
          <t>Approved</t>
        </is>
      </c>
      <c r="I482" s="7" t="n"/>
      <c r="J482" s="4" t="inlineStr">
        <is>
          <t>Eligibility</t>
        </is>
      </c>
      <c r="K482" s="4" t="inlineStr">
        <is>
          <t>en.eligibilityCriteria.eligibilityDescription[0].children[3]</t>
        </is>
      </c>
      <c r="L482" s="4" t="inlineStr">
        <is>
          <t>M17@20261028-cc52e2ad</t>
        </is>
      </c>
      <c r="M482" s="4" t="inlineStr">
        <is>
          <t>Source extract; not executable</t>
        </is>
      </c>
      <c r="N482" s="7" t="inlineStr">
        <is>
          <t>Unassigned</t>
        </is>
      </c>
      <c r="O482" s="7" t="inlineStr">
        <is>
          <t>1/1</t>
        </is>
      </c>
      <c r="P482" s="7" t="n"/>
    </row>
    <row r="483" ht="45" customHeight="1">
      <c r="A483" s="4" t="inlineStr">
        <is>
          <t>M17</t>
        </is>
      </c>
      <c r="B483" s="4" t="inlineStr">
        <is>
          <t>Grant In Aid To Old Age Home</t>
        </is>
      </c>
      <c r="C483" s="4" t="inlineStr">
        <is>
          <t>M17-SRC005</t>
        </is>
      </c>
      <c r="D483" s="4" t="inlineStr">
        <is>
          <t>Eligibility text</t>
        </is>
      </c>
      <c r="E483" s="4" t="inlineStr">
        <is>
          <t>The old age person should be a permanent resident of the state of Maharashtra.</t>
        </is>
      </c>
      <c r="F483" s="4" t="inlineStr">
        <is>
          <t>MS-M17 / M17-P0007</t>
        </is>
      </c>
      <c r="G483" s="4" t="inlineStr"/>
      <c r="H483" s="7" t="inlineStr">
        <is>
          <t>Approved</t>
        </is>
      </c>
      <c r="I483" s="7" t="n"/>
      <c r="J483" s="4" t="inlineStr">
        <is>
          <t>Eligibility</t>
        </is>
      </c>
      <c r="K483" s="4" t="inlineStr">
        <is>
          <t>en.eligibilityCriteria.eligibilityDescription[0].children[4]</t>
        </is>
      </c>
      <c r="L483" s="4" t="inlineStr">
        <is>
          <t>M17@20261028-cc52e2ad</t>
        </is>
      </c>
      <c r="M483" s="4" t="inlineStr">
        <is>
          <t>Source extract; not executable</t>
        </is>
      </c>
      <c r="N483" s="7" t="inlineStr">
        <is>
          <t>Unassigned</t>
        </is>
      </c>
      <c r="O483" s="7" t="inlineStr">
        <is>
          <t>1/1</t>
        </is>
      </c>
      <c r="P483" s="7" t="n"/>
    </row>
    <row r="484" ht="45" customHeight="1">
      <c r="A484" s="4" t="inlineStr">
        <is>
          <t>M17</t>
        </is>
      </c>
      <c r="B484" s="4" t="inlineStr">
        <is>
          <t>Grant In Aid To Old Age Home</t>
        </is>
      </c>
      <c r="C484" s="4" t="inlineStr">
        <is>
          <t>M17-EMPTY-Exclusions</t>
        </is>
      </c>
      <c r="D484" s="4" t="inlineStr">
        <is>
          <t>Exclusions</t>
        </is>
      </c>
      <c r="E484" s="4" t="inlineStr">
        <is>
          <t>Not stated in the captured source. Do not infer no restrictions.</t>
        </is>
      </c>
      <c r="F484" s="4" t="inlineStr">
        <is>
          <t>MS-M17</t>
        </is>
      </c>
      <c r="G484" s="4" t="inlineStr">
        <is>
          <t>Full official guidelines required.</t>
        </is>
      </c>
      <c r="H484" s="7" t="inlineStr">
        <is>
          <t>Approved</t>
        </is>
      </c>
      <c r="I484" s="7" t="n"/>
      <c r="J484" s="4" t="inlineStr">
        <is>
          <t>Exclusions</t>
        </is>
      </c>
      <c r="K484" s="4" t="inlineStr"/>
      <c r="L484" s="4" t="inlineStr">
        <is>
          <t>M17@20261028-cc52e2ad</t>
        </is>
      </c>
      <c r="M484" s="4" t="inlineStr">
        <is>
          <t>Empty or absent in source</t>
        </is>
      </c>
      <c r="N484" s="7" t="inlineStr">
        <is>
          <t>Unassigned</t>
        </is>
      </c>
      <c r="O484" s="7" t="n"/>
      <c r="P484" s="7" t="n"/>
    </row>
    <row r="485" ht="45" customHeight="1">
      <c r="A485" s="4" t="inlineStr">
        <is>
          <t>M18</t>
        </is>
      </c>
      <c r="B485" s="4" t="inlineStr">
        <is>
          <t>Training Of Motor Driving To VJNT, SBS &amp; OBC</t>
        </is>
      </c>
      <c r="C485" s="4" t="inlineStr">
        <is>
          <t>M18-SRC001</t>
        </is>
      </c>
      <c r="D485" s="4" t="inlineStr">
        <is>
          <t>Eligibility text</t>
        </is>
      </c>
      <c r="E485" s="4" t="inlineStr">
        <is>
          <t>Applicant should belong to VJNT, OBC or SBC Category.</t>
        </is>
      </c>
      <c r="F485" s="4" t="inlineStr">
        <is>
          <t>MS-M18 / M18-P0007</t>
        </is>
      </c>
      <c r="G485" s="4" t="inlineStr"/>
      <c r="H485" s="7" t="inlineStr">
        <is>
          <t>Approved</t>
        </is>
      </c>
      <c r="I485" s="7" t="n"/>
      <c r="J485" s="4" t="inlineStr">
        <is>
          <t>Eligibility</t>
        </is>
      </c>
      <c r="K485" s="4" t="inlineStr">
        <is>
          <t>en.eligibilityCriteria.eligibilityDescription[0].children[0]</t>
        </is>
      </c>
      <c r="L485" s="4" t="inlineStr">
        <is>
          <t>M18@20261028-ef817fa6</t>
        </is>
      </c>
      <c r="M485" s="4" t="inlineStr">
        <is>
          <t>Source extract; not executable</t>
        </is>
      </c>
      <c r="N485" s="7" t="inlineStr">
        <is>
          <t>Unassigned</t>
        </is>
      </c>
      <c r="O485" s="7" t="inlineStr">
        <is>
          <t>1/1</t>
        </is>
      </c>
      <c r="P485" s="7" t="n"/>
    </row>
    <row r="486" ht="45" customHeight="1">
      <c r="A486" s="4" t="inlineStr">
        <is>
          <t>M18</t>
        </is>
      </c>
      <c r="B486" s="4" t="inlineStr">
        <is>
          <t>Training Of Motor Driving To VJNT, SBS &amp; OBC</t>
        </is>
      </c>
      <c r="C486" s="4" t="inlineStr">
        <is>
          <t>M18-SRC002</t>
        </is>
      </c>
      <c r="D486" s="4" t="inlineStr">
        <is>
          <t>Eligibility text</t>
        </is>
      </c>
      <c r="E486" s="4" t="inlineStr">
        <is>
          <t>Applicant should fulfil all the conditions of Age, Education, and fitness as per the Motor Vehicle Act.</t>
        </is>
      </c>
      <c r="F486" s="4" t="inlineStr">
        <is>
          <t>MS-M18 / M18-P0008</t>
        </is>
      </c>
      <c r="G486" s="4" t="inlineStr"/>
      <c r="H486" s="7" t="inlineStr">
        <is>
          <t>Approved</t>
        </is>
      </c>
      <c r="I486" s="7" t="n"/>
      <c r="J486" s="4" t="inlineStr">
        <is>
          <t>Eligibility</t>
        </is>
      </c>
      <c r="K486" s="4" t="inlineStr">
        <is>
          <t>en.eligibilityCriteria.eligibilityDescription[0].children[1]</t>
        </is>
      </c>
      <c r="L486" s="4" t="inlineStr">
        <is>
          <t>M18@20261028-ef817fa6</t>
        </is>
      </c>
      <c r="M486" s="4" t="inlineStr">
        <is>
          <t>Source extract; not executable</t>
        </is>
      </c>
      <c r="N486" s="7" t="inlineStr">
        <is>
          <t>Unassigned</t>
        </is>
      </c>
      <c r="O486" s="7" t="inlineStr">
        <is>
          <t>1/1</t>
        </is>
      </c>
      <c r="P486" s="7" t="n"/>
    </row>
    <row r="487" ht="82.88" customHeight="1">
      <c r="A487" s="4" t="inlineStr">
        <is>
          <t>M18</t>
        </is>
      </c>
      <c r="B487" s="4" t="inlineStr">
        <is>
          <t>Training Of Motor Driving To VJNT, SBS &amp; OBC</t>
        </is>
      </c>
      <c r="C487" s="4" t="inlineStr">
        <is>
          <t>M18-SRC003</t>
        </is>
      </c>
      <c r="D487" s="4" t="inlineStr">
        <is>
          <t>Eligibility text</t>
        </is>
      </c>
      <c r="E487" s="4" t="inlineStr">
        <is>
          <t>During the training period payment for reaching &amp; coming back from the training institute, Medical checkups, photographs, learning and permanent licence, travelling licence, batch and provision of lodging and boarding are provided by the training institution.</t>
        </is>
      </c>
      <c r="F487" s="4" t="inlineStr">
        <is>
          <t>MS-M18 / M18-P0009</t>
        </is>
      </c>
      <c r="G487" s="4" t="inlineStr"/>
      <c r="H487" s="7" t="inlineStr">
        <is>
          <t>Approved</t>
        </is>
      </c>
      <c r="I487" s="7" t="n"/>
      <c r="J487" s="4" t="inlineStr">
        <is>
          <t>Eligibility</t>
        </is>
      </c>
      <c r="K487" s="4" t="inlineStr">
        <is>
          <t>en.eligibilityCriteria.eligibilityDescription[0].children[2]</t>
        </is>
      </c>
      <c r="L487" s="4" t="inlineStr">
        <is>
          <t>M18@20261028-ef817fa6</t>
        </is>
      </c>
      <c r="M487" s="4" t="inlineStr">
        <is>
          <t>Source extract; not executable</t>
        </is>
      </c>
      <c r="N487" s="7" t="inlineStr">
        <is>
          <t>Unassigned</t>
        </is>
      </c>
      <c r="O487" s="7" t="inlineStr">
        <is>
          <t>1/1</t>
        </is>
      </c>
      <c r="P487" s="7" t="n"/>
    </row>
    <row r="488" ht="45" customHeight="1">
      <c r="A488" s="4" t="inlineStr">
        <is>
          <t>M18</t>
        </is>
      </c>
      <c r="B488" s="4" t="inlineStr">
        <is>
          <t>Training Of Motor Driving To VJNT, SBS &amp; OBC</t>
        </is>
      </c>
      <c r="C488" s="4" t="inlineStr">
        <is>
          <t>M18-EMPTY-Exclusions</t>
        </is>
      </c>
      <c r="D488" s="4" t="inlineStr">
        <is>
          <t>Exclusions</t>
        </is>
      </c>
      <c r="E488" s="4" t="inlineStr">
        <is>
          <t>Not stated in the captured source. Do not infer no restrictions.</t>
        </is>
      </c>
      <c r="F488" s="4" t="inlineStr">
        <is>
          <t>MS-M18</t>
        </is>
      </c>
      <c r="G488" s="4" t="inlineStr">
        <is>
          <t>Full official guidelines required.</t>
        </is>
      </c>
      <c r="H488" s="7" t="inlineStr">
        <is>
          <t>Approved</t>
        </is>
      </c>
      <c r="I488" s="7" t="n"/>
      <c r="J488" s="4" t="inlineStr">
        <is>
          <t>Exclusions</t>
        </is>
      </c>
      <c r="K488" s="4" t="inlineStr"/>
      <c r="L488" s="4" t="inlineStr">
        <is>
          <t>M18@20261028-ef817fa6</t>
        </is>
      </c>
      <c r="M488" s="4" t="inlineStr">
        <is>
          <t>Empty or absent in source</t>
        </is>
      </c>
      <c r="N488" s="7" t="inlineStr">
        <is>
          <t>Unassigned</t>
        </is>
      </c>
      <c r="O488" s="7" t="n"/>
      <c r="P488" s="7" t="n"/>
    </row>
    <row r="489" ht="45" customHeight="1">
      <c r="A489" s="4" t="inlineStr">
        <is>
          <t>M19</t>
        </is>
      </c>
      <c r="B489" s="4" t="inlineStr">
        <is>
          <t>Mukhyamantri - Majhi Ladki Bahin Yojana</t>
        </is>
      </c>
      <c r="C489" s="4" t="inlineStr">
        <is>
          <t>M19-SRC001</t>
        </is>
      </c>
      <c r="D489" s="4" t="inlineStr">
        <is>
          <t>Eligibility text</t>
        </is>
      </c>
      <c r="E489" s="4" t="inlineStr">
        <is>
          <t>The applicant should be a female.</t>
        </is>
      </c>
      <c r="F489" s="4" t="inlineStr">
        <is>
          <t>MS-M19 / M19-P0003</t>
        </is>
      </c>
      <c r="G489" s="4" t="inlineStr"/>
      <c r="H489" s="7" t="inlineStr">
        <is>
          <t>Approved</t>
        </is>
      </c>
      <c r="I489" s="7" t="n"/>
      <c r="J489" s="4" t="inlineStr">
        <is>
          <t>Eligibility</t>
        </is>
      </c>
      <c r="K489" s="4" t="inlineStr">
        <is>
          <t>en.eligibilityCriteria.eligibilityDescription[0].children[0]</t>
        </is>
      </c>
      <c r="L489" s="4" t="inlineStr">
        <is>
          <t>M19@20261028-8107d501</t>
        </is>
      </c>
      <c r="M489" s="4" t="inlineStr">
        <is>
          <t>Source extract; not executable</t>
        </is>
      </c>
      <c r="N489" s="7" t="inlineStr">
        <is>
          <t>Unassigned</t>
        </is>
      </c>
      <c r="O489" s="7" t="inlineStr">
        <is>
          <t>1/1</t>
        </is>
      </c>
      <c r="P489" s="7" t="n"/>
    </row>
    <row r="490" ht="45" customHeight="1">
      <c r="A490" s="4" t="inlineStr">
        <is>
          <t>M19</t>
        </is>
      </c>
      <c r="B490" s="4" t="inlineStr">
        <is>
          <t>Mukhyamantri - Majhi Ladki Bahin Yojana</t>
        </is>
      </c>
      <c r="C490" s="4" t="inlineStr">
        <is>
          <t>M19-SRC002</t>
        </is>
      </c>
      <c r="D490" s="4" t="inlineStr">
        <is>
          <t>Eligibility text</t>
        </is>
      </c>
      <c r="E490" s="4" t="inlineStr">
        <is>
          <t>The applicant should be a resident of Maharashtra state.</t>
        </is>
      </c>
      <c r="F490" s="4" t="inlineStr">
        <is>
          <t>MS-M19 / M19-P0004</t>
        </is>
      </c>
      <c r="G490" s="4" t="inlineStr"/>
      <c r="H490" s="7" t="inlineStr">
        <is>
          <t>Approved</t>
        </is>
      </c>
      <c r="I490" s="7" t="n"/>
      <c r="J490" s="4" t="inlineStr">
        <is>
          <t>Eligibility</t>
        </is>
      </c>
      <c r="K490" s="4" t="inlineStr">
        <is>
          <t>en.eligibilityCriteria.eligibilityDescription[0].children[1]</t>
        </is>
      </c>
      <c r="L490" s="4" t="inlineStr">
        <is>
          <t>M19@20261028-8107d501</t>
        </is>
      </c>
      <c r="M490" s="4" t="inlineStr">
        <is>
          <t>Source extract; not executable</t>
        </is>
      </c>
      <c r="N490" s="7" t="inlineStr">
        <is>
          <t>Unassigned</t>
        </is>
      </c>
      <c r="O490" s="7" t="inlineStr">
        <is>
          <t>1/1</t>
        </is>
      </c>
      <c r="P490" s="7" t="n"/>
    </row>
    <row r="491" ht="45" customHeight="1">
      <c r="A491" s="4" t="inlineStr">
        <is>
          <t>M19</t>
        </is>
      </c>
      <c r="B491" s="4" t="inlineStr">
        <is>
          <t>Mukhyamantri - Majhi Ladki Bahin Yojana</t>
        </is>
      </c>
      <c r="C491" s="4" t="inlineStr">
        <is>
          <t>M19-SRC003</t>
        </is>
      </c>
      <c r="D491" s="4" t="inlineStr">
        <is>
          <t>Eligibility text</t>
        </is>
      </c>
      <c r="E491" s="4" t="inlineStr">
        <is>
          <t>The applicant's age should be between 21-65 years.</t>
        </is>
      </c>
      <c r="F491" s="4" t="inlineStr">
        <is>
          <t>MS-M19 / M19-P0005</t>
        </is>
      </c>
      <c r="G491" s="4" t="inlineStr"/>
      <c r="H491" s="7" t="inlineStr">
        <is>
          <t>Approved</t>
        </is>
      </c>
      <c r="I491" s="7" t="n"/>
      <c r="J491" s="4" t="inlineStr">
        <is>
          <t>Eligibility</t>
        </is>
      </c>
      <c r="K491" s="4" t="inlineStr">
        <is>
          <t>en.eligibilityCriteria.eligibilityDescription[0].children[2]</t>
        </is>
      </c>
      <c r="L491" s="4" t="inlineStr">
        <is>
          <t>M19@20261028-8107d501</t>
        </is>
      </c>
      <c r="M491" s="4" t="inlineStr">
        <is>
          <t>Source extract; not executable</t>
        </is>
      </c>
      <c r="N491" s="7" t="inlineStr">
        <is>
          <t>Unassigned</t>
        </is>
      </c>
      <c r="O491" s="7" t="inlineStr">
        <is>
          <t>1/1</t>
        </is>
      </c>
      <c r="P491" s="7" t="n"/>
    </row>
    <row r="492" ht="45" customHeight="1">
      <c r="A492" s="4" t="inlineStr">
        <is>
          <t>M19</t>
        </is>
      </c>
      <c r="B492" s="4" t="inlineStr">
        <is>
          <t>Mukhyamantri - Majhi Ladki Bahin Yojana</t>
        </is>
      </c>
      <c r="C492" s="4" t="inlineStr">
        <is>
          <t>M19-SRC004</t>
        </is>
      </c>
      <c r="D492" s="4" t="inlineStr">
        <is>
          <t>Eligibility text</t>
        </is>
      </c>
      <c r="E492" s="4" t="inlineStr">
        <is>
          <t>The applicant should have their bank account with an Aadhaar link.</t>
        </is>
      </c>
      <c r="F492" s="4" t="inlineStr">
        <is>
          <t>MS-M19 / M19-P0006</t>
        </is>
      </c>
      <c r="G492" s="4" t="inlineStr"/>
      <c r="H492" s="7" t="inlineStr">
        <is>
          <t>Approved</t>
        </is>
      </c>
      <c r="I492" s="7" t="n"/>
      <c r="J492" s="4" t="inlineStr">
        <is>
          <t>Eligibility</t>
        </is>
      </c>
      <c r="K492" s="4" t="inlineStr">
        <is>
          <t>en.eligibilityCriteria.eligibilityDescription[0].children[3]</t>
        </is>
      </c>
      <c r="L492" s="4" t="inlineStr">
        <is>
          <t>M19@20261028-8107d501</t>
        </is>
      </c>
      <c r="M492" s="4" t="inlineStr">
        <is>
          <t>Source extract; not executable</t>
        </is>
      </c>
      <c r="N492" s="7" t="inlineStr">
        <is>
          <t>Unassigned</t>
        </is>
      </c>
      <c r="O492" s="7" t="inlineStr">
        <is>
          <t>1/1</t>
        </is>
      </c>
      <c r="P492" s="7" t="n"/>
    </row>
    <row r="493" ht="45" customHeight="1">
      <c r="A493" s="4" t="inlineStr">
        <is>
          <t>M19</t>
        </is>
      </c>
      <c r="B493" s="4" t="inlineStr">
        <is>
          <t>Mukhyamantri - Majhi Ladki Bahin Yojana</t>
        </is>
      </c>
      <c r="C493" s="4" t="inlineStr">
        <is>
          <t>M19-SRC005</t>
        </is>
      </c>
      <c r="D493" s="4" t="inlineStr">
        <is>
          <t>Eligibility text</t>
        </is>
      </c>
      <c r="E493" s="4" t="inlineStr">
        <is>
          <t>The annual income of the applicant's family should not exceed ₹2,50,000/-.</t>
        </is>
      </c>
      <c r="F493" s="4" t="inlineStr">
        <is>
          <t>MS-M19 / M19-P0007</t>
        </is>
      </c>
      <c r="G493" s="4" t="inlineStr"/>
      <c r="H493" s="7" t="inlineStr">
        <is>
          <t>Approved</t>
        </is>
      </c>
      <c r="I493" s="7" t="n"/>
      <c r="J493" s="4" t="inlineStr">
        <is>
          <t>Eligibility</t>
        </is>
      </c>
      <c r="K493" s="4" t="inlineStr">
        <is>
          <t>en.eligibilityCriteria.eligibilityDescription[0].children[4]</t>
        </is>
      </c>
      <c r="L493" s="4" t="inlineStr">
        <is>
          <t>M19@20261028-8107d501</t>
        </is>
      </c>
      <c r="M493" s="4" t="inlineStr">
        <is>
          <t>Source extract; not executable</t>
        </is>
      </c>
      <c r="N493" s="7" t="inlineStr">
        <is>
          <t>Unassigned</t>
        </is>
      </c>
      <c r="O493" s="7" t="inlineStr">
        <is>
          <t>1/1</t>
        </is>
      </c>
      <c r="P493" s="7" t="n"/>
    </row>
    <row r="494" ht="45" customHeight="1">
      <c r="A494" s="4" t="inlineStr">
        <is>
          <t>M19</t>
        </is>
      </c>
      <c r="B494" s="4" t="inlineStr">
        <is>
          <t>Mukhyamantri - Majhi Ladki Bahin Yojana</t>
        </is>
      </c>
      <c r="C494" s="4" t="inlineStr">
        <is>
          <t>M19-SRC006</t>
        </is>
      </c>
      <c r="D494" s="4" t="inlineStr">
        <is>
          <t>Eligibility text</t>
        </is>
      </c>
      <c r="E494" s="4" t="inlineStr">
        <is>
          <t>Outsourced employees, voluntary workers, and contract workers with income up to ₹2,50,000/- are eligible.</t>
        </is>
      </c>
      <c r="F494" s="4" t="inlineStr">
        <is>
          <t>MS-M19 / M19-P0008</t>
        </is>
      </c>
      <c r="G494" s="4" t="inlineStr"/>
      <c r="H494" s="7" t="inlineStr">
        <is>
          <t>Approved</t>
        </is>
      </c>
      <c r="I494" s="7" t="n"/>
      <c r="J494" s="4" t="inlineStr">
        <is>
          <t>Eligibility</t>
        </is>
      </c>
      <c r="K494" s="4" t="inlineStr">
        <is>
          <t>en.eligibilityCriteria.eligibilityDescription[0].children[5]</t>
        </is>
      </c>
      <c r="L494" s="4" t="inlineStr">
        <is>
          <t>M19@20261028-8107d501</t>
        </is>
      </c>
      <c r="M494" s="4" t="inlineStr">
        <is>
          <t>Source extract; not executable</t>
        </is>
      </c>
      <c r="N494" s="7" t="inlineStr">
        <is>
          <t>Unassigned</t>
        </is>
      </c>
      <c r="O494" s="7" t="inlineStr">
        <is>
          <t>1/1</t>
        </is>
      </c>
      <c r="P494" s="7" t="n"/>
    </row>
    <row r="495" ht="45" customHeight="1">
      <c r="A495" s="4" t="inlineStr">
        <is>
          <t>M19</t>
        </is>
      </c>
      <c r="B495" s="4" t="inlineStr">
        <is>
          <t>Mukhyamantri - Majhi Ladki Bahin Yojana</t>
        </is>
      </c>
      <c r="C495" s="4" t="inlineStr">
        <is>
          <t>M19-SRC007</t>
        </is>
      </c>
      <c r="D495" s="4" t="inlineStr">
        <is>
          <t>Eligibility text</t>
        </is>
      </c>
      <c r="E495" s="4" t="inlineStr">
        <is>
          <t>The applicant should be any one of the following:</t>
        </is>
      </c>
      <c r="F495" s="4" t="inlineStr">
        <is>
          <t>MS-M19 / M19-P0009</t>
        </is>
      </c>
      <c r="G495" s="4" t="inlineStr"/>
      <c r="H495" s="7" t="inlineStr">
        <is>
          <t>Approved</t>
        </is>
      </c>
      <c r="I495" s="7" t="n"/>
      <c r="J495" s="4" t="inlineStr">
        <is>
          <t>Eligibility</t>
        </is>
      </c>
      <c r="K495" s="4" t="inlineStr">
        <is>
          <t>en.eligibilityCriteria.eligibilityDescription[0].children[6]</t>
        </is>
      </c>
      <c r="L495" s="4" t="inlineStr">
        <is>
          <t>M19@20261028-8107d501</t>
        </is>
      </c>
      <c r="M495" s="4" t="inlineStr">
        <is>
          <t>Source extract; not executable</t>
        </is>
      </c>
      <c r="N495" s="7" t="inlineStr">
        <is>
          <t>Unassigned</t>
        </is>
      </c>
      <c r="O495" s="7" t="inlineStr">
        <is>
          <t>1/1</t>
        </is>
      </c>
      <c r="P495" s="7" t="n"/>
    </row>
    <row r="496" ht="45" customHeight="1">
      <c r="A496" s="4" t="inlineStr">
        <is>
          <t>M19</t>
        </is>
      </c>
      <c r="B496" s="4" t="inlineStr">
        <is>
          <t>Mukhyamantri - Majhi Ladki Bahin Yojana</t>
        </is>
      </c>
      <c r="C496" s="4" t="inlineStr">
        <is>
          <t>M19-SRC008</t>
        </is>
      </c>
      <c r="D496" s="4" t="inlineStr">
        <is>
          <t>Eligibility text</t>
        </is>
      </c>
      <c r="E496" s="4" t="inlineStr">
        <is>
          <t>Married Woman</t>
        </is>
      </c>
      <c r="F496" s="4" t="inlineStr">
        <is>
          <t>MS-M19 / M19-P0010</t>
        </is>
      </c>
      <c r="G496" s="4" t="inlineStr"/>
      <c r="H496" s="7" t="inlineStr">
        <is>
          <t>Approved</t>
        </is>
      </c>
      <c r="I496" s="7" t="n"/>
      <c r="J496" s="4" t="inlineStr">
        <is>
          <t>Eligibility</t>
        </is>
      </c>
      <c r="K496" s="4" t="inlineStr">
        <is>
          <t>en.eligibilityCriteria.eligibilityDescription[1].children[0].children[0]</t>
        </is>
      </c>
      <c r="L496" s="4" t="inlineStr">
        <is>
          <t>M19@20261028-8107d501</t>
        </is>
      </c>
      <c r="M496" s="4" t="inlineStr">
        <is>
          <t>Source extract; not executable</t>
        </is>
      </c>
      <c r="N496" s="7" t="inlineStr">
        <is>
          <t>Unassigned</t>
        </is>
      </c>
      <c r="O496" s="7" t="inlineStr">
        <is>
          <t>1/1</t>
        </is>
      </c>
      <c r="P496" s="7" t="n"/>
    </row>
    <row r="497" ht="45" customHeight="1">
      <c r="A497" s="4" t="inlineStr">
        <is>
          <t>M19</t>
        </is>
      </c>
      <c r="B497" s="4" t="inlineStr">
        <is>
          <t>Mukhyamantri - Majhi Ladki Bahin Yojana</t>
        </is>
      </c>
      <c r="C497" s="4" t="inlineStr">
        <is>
          <t>M19-SRC009</t>
        </is>
      </c>
      <c r="D497" s="4" t="inlineStr">
        <is>
          <t>Eligibility text</t>
        </is>
      </c>
      <c r="E497" s="4" t="inlineStr">
        <is>
          <t>Widowed</t>
        </is>
      </c>
      <c r="F497" s="4" t="inlineStr">
        <is>
          <t>MS-M19 / M19-P0011</t>
        </is>
      </c>
      <c r="G497" s="4" t="inlineStr"/>
      <c r="H497" s="7" t="inlineStr">
        <is>
          <t>Approved</t>
        </is>
      </c>
      <c r="I497" s="7" t="n"/>
      <c r="J497" s="4" t="inlineStr">
        <is>
          <t>Eligibility</t>
        </is>
      </c>
      <c r="K497" s="4" t="inlineStr">
        <is>
          <t>en.eligibilityCriteria.eligibilityDescription[1].children[0].children[1]</t>
        </is>
      </c>
      <c r="L497" s="4" t="inlineStr">
        <is>
          <t>M19@20261028-8107d501</t>
        </is>
      </c>
      <c r="M497" s="4" t="inlineStr">
        <is>
          <t>Source extract; not executable</t>
        </is>
      </c>
      <c r="N497" s="7" t="inlineStr">
        <is>
          <t>Unassigned</t>
        </is>
      </c>
      <c r="O497" s="7" t="inlineStr">
        <is>
          <t>1/1</t>
        </is>
      </c>
      <c r="P497" s="7" t="n"/>
    </row>
    <row r="498" ht="45" customHeight="1">
      <c r="A498" s="4" t="inlineStr">
        <is>
          <t>M19</t>
        </is>
      </c>
      <c r="B498" s="4" t="inlineStr">
        <is>
          <t>Mukhyamantri - Majhi Ladki Bahin Yojana</t>
        </is>
      </c>
      <c r="C498" s="4" t="inlineStr">
        <is>
          <t>M19-SRC010</t>
        </is>
      </c>
      <c r="D498" s="4" t="inlineStr">
        <is>
          <t>Eligibility text</t>
        </is>
      </c>
      <c r="E498" s="4" t="inlineStr">
        <is>
          <t>Divorced Woman</t>
        </is>
      </c>
      <c r="F498" s="4" t="inlineStr">
        <is>
          <t>MS-M19 / M19-P0012</t>
        </is>
      </c>
      <c r="G498" s="4" t="inlineStr"/>
      <c r="H498" s="7" t="inlineStr">
        <is>
          <t>Approved</t>
        </is>
      </c>
      <c r="I498" s="7" t="n"/>
      <c r="J498" s="4" t="inlineStr">
        <is>
          <t>Eligibility</t>
        </is>
      </c>
      <c r="K498" s="4" t="inlineStr">
        <is>
          <t>en.eligibilityCriteria.eligibilityDescription[1].children[0].children[2]</t>
        </is>
      </c>
      <c r="L498" s="4" t="inlineStr">
        <is>
          <t>M19@20261028-8107d501</t>
        </is>
      </c>
      <c r="M498" s="4" t="inlineStr">
        <is>
          <t>Source extract; not executable</t>
        </is>
      </c>
      <c r="N498" s="7" t="inlineStr">
        <is>
          <t>Unassigned</t>
        </is>
      </c>
      <c r="O498" s="7" t="inlineStr">
        <is>
          <t>1/1</t>
        </is>
      </c>
      <c r="P498" s="7" t="n"/>
    </row>
    <row r="499" ht="45" customHeight="1">
      <c r="A499" s="4" t="inlineStr">
        <is>
          <t>M19</t>
        </is>
      </c>
      <c r="B499" s="4" t="inlineStr">
        <is>
          <t>Mukhyamantri - Majhi Ladki Bahin Yojana</t>
        </is>
      </c>
      <c r="C499" s="4" t="inlineStr">
        <is>
          <t>M19-SRC011</t>
        </is>
      </c>
      <c r="D499" s="4" t="inlineStr">
        <is>
          <t>Eligibility text</t>
        </is>
      </c>
      <c r="E499" s="4" t="inlineStr">
        <is>
          <t>Abandoned and Destitute Women</t>
        </is>
      </c>
      <c r="F499" s="4" t="inlineStr">
        <is>
          <t>MS-M19 / M19-P0013</t>
        </is>
      </c>
      <c r="G499" s="4" t="inlineStr"/>
      <c r="H499" s="7" t="inlineStr">
        <is>
          <t>Approved</t>
        </is>
      </c>
      <c r="I499" s="7" t="n"/>
      <c r="J499" s="4" t="inlineStr">
        <is>
          <t>Eligibility</t>
        </is>
      </c>
      <c r="K499" s="4" t="inlineStr">
        <is>
          <t>en.eligibilityCriteria.eligibilityDescription[1].children[0].children[3]</t>
        </is>
      </c>
      <c r="L499" s="4" t="inlineStr">
        <is>
          <t>M19@20261028-8107d501</t>
        </is>
      </c>
      <c r="M499" s="4" t="inlineStr">
        <is>
          <t>Source extract; not executable</t>
        </is>
      </c>
      <c r="N499" s="7" t="inlineStr">
        <is>
          <t>Unassigned</t>
        </is>
      </c>
      <c r="O499" s="7" t="inlineStr">
        <is>
          <t>1/1</t>
        </is>
      </c>
      <c r="P499" s="7" t="n"/>
    </row>
    <row r="500" ht="45" customHeight="1">
      <c r="A500" s="4" t="inlineStr">
        <is>
          <t>M19</t>
        </is>
      </c>
      <c r="B500" s="4" t="inlineStr">
        <is>
          <t>Mukhyamantri - Majhi Ladki Bahin Yojana</t>
        </is>
      </c>
      <c r="C500" s="4" t="inlineStr">
        <is>
          <t>M19-SRC012</t>
        </is>
      </c>
      <c r="D500" s="4" t="inlineStr">
        <is>
          <t>Eligibility text</t>
        </is>
      </c>
      <c r="E500" s="4" t="inlineStr">
        <is>
          <t>One Unmarried Woman in the family</t>
        </is>
      </c>
      <c r="F500" s="4" t="inlineStr">
        <is>
          <t>MS-M19 / M19-P0014</t>
        </is>
      </c>
      <c r="G500" s="4" t="inlineStr"/>
      <c r="H500" s="7" t="inlineStr">
        <is>
          <t>Approved</t>
        </is>
      </c>
      <c r="I500" s="7" t="n"/>
      <c r="J500" s="4" t="inlineStr">
        <is>
          <t>Eligibility</t>
        </is>
      </c>
      <c r="K500" s="4" t="inlineStr">
        <is>
          <t>en.eligibilityCriteria.eligibilityDescription[1].children[0].children[4]</t>
        </is>
      </c>
      <c r="L500" s="4" t="inlineStr">
        <is>
          <t>M19@20261028-8107d501</t>
        </is>
      </c>
      <c r="M500" s="4" t="inlineStr">
        <is>
          <t>Source extract; not executable</t>
        </is>
      </c>
      <c r="N500" s="7" t="inlineStr">
        <is>
          <t>Unassigned</t>
        </is>
      </c>
      <c r="O500" s="7" t="inlineStr">
        <is>
          <t>1/1</t>
        </is>
      </c>
      <c r="P500" s="7" t="n"/>
    </row>
    <row r="501" ht="45" customHeight="1">
      <c r="A501" s="4" t="inlineStr">
        <is>
          <t>M19</t>
        </is>
      </c>
      <c r="B501" s="4" t="inlineStr">
        <is>
          <t>Mukhyamantri - Majhi Ladki Bahin Yojana</t>
        </is>
      </c>
      <c r="C501" s="4" t="inlineStr">
        <is>
          <t>M19-SRC013</t>
        </is>
      </c>
      <c r="D501" s="4" t="inlineStr">
        <is>
          <t>Exclusion text</t>
        </is>
      </c>
      <c r="E501" s="4" t="inlineStr">
        <is>
          <t>The combined annual family income is more than ₹2,50,000/-.</t>
        </is>
      </c>
      <c r="F501" s="4" t="inlineStr">
        <is>
          <t>MS-M19 / M19-P0015</t>
        </is>
      </c>
      <c r="G501" s="4" t="inlineStr"/>
      <c r="H501" s="7" t="inlineStr">
        <is>
          <t>Approved</t>
        </is>
      </c>
      <c r="I501" s="7" t="n"/>
      <c r="J501" s="4" t="inlineStr">
        <is>
          <t>Exclusions</t>
        </is>
      </c>
      <c r="K501" s="4" t="inlineStr">
        <is>
          <t>en.schemeContent.exclusions[0].children[0]</t>
        </is>
      </c>
      <c r="L501" s="4" t="inlineStr">
        <is>
          <t>M19@20261028-8107d501</t>
        </is>
      </c>
      <c r="M501" s="4" t="inlineStr">
        <is>
          <t>Source extract; not executable</t>
        </is>
      </c>
      <c r="N501" s="7" t="inlineStr">
        <is>
          <t>Unassigned</t>
        </is>
      </c>
      <c r="O501" s="7" t="inlineStr">
        <is>
          <t>1/1</t>
        </is>
      </c>
      <c r="P501" s="7" t="n"/>
    </row>
    <row r="502" ht="45" customHeight="1">
      <c r="A502" s="4" t="inlineStr">
        <is>
          <t>M19</t>
        </is>
      </c>
      <c r="B502" s="4" t="inlineStr">
        <is>
          <t>Mukhyamantri - Majhi Ladki Bahin Yojana</t>
        </is>
      </c>
      <c r="C502" s="4" t="inlineStr">
        <is>
          <t>M19-SRC014</t>
        </is>
      </c>
      <c r="D502" s="4" t="inlineStr">
        <is>
          <t>Exclusion text</t>
        </is>
      </c>
      <c r="E502" s="4" t="inlineStr">
        <is>
          <t>The family member is an income taxpayer.</t>
        </is>
      </c>
      <c r="F502" s="4" t="inlineStr">
        <is>
          <t>MS-M19 / M19-P0016</t>
        </is>
      </c>
      <c r="G502" s="4" t="inlineStr"/>
      <c r="H502" s="7" t="inlineStr">
        <is>
          <t>Approved</t>
        </is>
      </c>
      <c r="I502" s="7" t="n"/>
      <c r="J502" s="4" t="inlineStr">
        <is>
          <t>Exclusions</t>
        </is>
      </c>
      <c r="K502" s="4" t="inlineStr">
        <is>
          <t>en.schemeContent.exclusions[0].children[1]</t>
        </is>
      </c>
      <c r="L502" s="4" t="inlineStr">
        <is>
          <t>M19@20261028-8107d501</t>
        </is>
      </c>
      <c r="M502" s="4" t="inlineStr">
        <is>
          <t>Source extract; not executable</t>
        </is>
      </c>
      <c r="N502" s="7" t="inlineStr">
        <is>
          <t>Unassigned</t>
        </is>
      </c>
      <c r="O502" s="7" t="inlineStr">
        <is>
          <t>1/1</t>
        </is>
      </c>
      <c r="P502" s="7" t="n"/>
    </row>
    <row r="503" ht="65.92" customHeight="1">
      <c r="A503" s="4" t="inlineStr">
        <is>
          <t>M19</t>
        </is>
      </c>
      <c r="B503" s="4" t="inlineStr">
        <is>
          <t>Mukhyamantri - Majhi Ladki Bahin Yojana</t>
        </is>
      </c>
      <c r="C503" s="4" t="inlineStr">
        <is>
          <t>M19-SRC015</t>
        </is>
      </c>
      <c r="D503" s="4" t="inlineStr">
        <is>
          <t>Exclusion text</t>
        </is>
      </c>
      <c r="E503" s="4" t="inlineStr">
        <is>
          <t>The family members are working as regular/permanent employees in a government department/undertaking/board/government of India or local body of the state government or are drawing pensions after retirement.</t>
        </is>
      </c>
      <c r="F503" s="4" t="inlineStr">
        <is>
          <t>MS-M19 / M19-P0017</t>
        </is>
      </c>
      <c r="G503" s="4" t="inlineStr"/>
      <c r="H503" s="7" t="inlineStr">
        <is>
          <t>Approved</t>
        </is>
      </c>
      <c r="I503" s="7" t="n"/>
      <c r="J503" s="4" t="inlineStr">
        <is>
          <t>Exclusions</t>
        </is>
      </c>
      <c r="K503" s="4" t="inlineStr">
        <is>
          <t>en.schemeContent.exclusions[0].children[2]</t>
        </is>
      </c>
      <c r="L503" s="4" t="inlineStr">
        <is>
          <t>M19@20261028-8107d501</t>
        </is>
      </c>
      <c r="M503" s="4" t="inlineStr">
        <is>
          <t>Source extract; not executable</t>
        </is>
      </c>
      <c r="N503" s="7" t="inlineStr">
        <is>
          <t>Unassigned</t>
        </is>
      </c>
      <c r="O503" s="7" t="inlineStr">
        <is>
          <t>1/1</t>
        </is>
      </c>
      <c r="P503" s="7" t="n"/>
    </row>
    <row r="504" ht="45" customHeight="1">
      <c r="A504" s="4" t="inlineStr">
        <is>
          <t>M19</t>
        </is>
      </c>
      <c r="B504" s="4" t="inlineStr">
        <is>
          <t>Mukhyamantri - Majhi Ladki Bahin Yojana</t>
        </is>
      </c>
      <c r="C504" s="4" t="inlineStr">
        <is>
          <t>M19-SRC016</t>
        </is>
      </c>
      <c r="D504" s="4" t="inlineStr">
        <is>
          <t>Exclusion text</t>
        </is>
      </c>
      <c r="E504" s="4" t="inlineStr">
        <is>
          <t>The beneficiary women received ₹1,500 per month through the financial scheme implemented by other departments of the government.</t>
        </is>
      </c>
      <c r="F504" s="4" t="inlineStr">
        <is>
          <t>MS-M19 / M19-P0018</t>
        </is>
      </c>
      <c r="G504" s="4" t="inlineStr"/>
      <c r="H504" s="7" t="inlineStr">
        <is>
          <t>Approved</t>
        </is>
      </c>
      <c r="I504" s="7" t="n"/>
      <c r="J504" s="4" t="inlineStr">
        <is>
          <t>Exclusions</t>
        </is>
      </c>
      <c r="K504" s="4" t="inlineStr">
        <is>
          <t>en.schemeContent.exclusions[0].children[3]</t>
        </is>
      </c>
      <c r="L504" s="4" t="inlineStr">
        <is>
          <t>M19@20261028-8107d501</t>
        </is>
      </c>
      <c r="M504" s="4" t="inlineStr">
        <is>
          <t>Source extract; not executable</t>
        </is>
      </c>
      <c r="N504" s="7" t="inlineStr">
        <is>
          <t>Unassigned</t>
        </is>
      </c>
      <c r="O504" s="7" t="inlineStr">
        <is>
          <t>1/1</t>
        </is>
      </c>
      <c r="P504" s="7" t="n"/>
    </row>
    <row r="505" ht="45" customHeight="1">
      <c r="A505" s="4" t="inlineStr">
        <is>
          <t>M19</t>
        </is>
      </c>
      <c r="B505" s="4" t="inlineStr">
        <is>
          <t>Mukhyamantri - Majhi Ladki Bahin Yojana</t>
        </is>
      </c>
      <c r="C505" s="4" t="inlineStr">
        <is>
          <t>M19-SRC017</t>
        </is>
      </c>
      <c r="D505" s="4" t="inlineStr">
        <is>
          <t>Exclusion text</t>
        </is>
      </c>
      <c r="E505" s="4" t="inlineStr">
        <is>
          <t>The family member is a present or former MP/MLA.</t>
        </is>
      </c>
      <c r="F505" s="4" t="inlineStr">
        <is>
          <t>MS-M19 / M19-P0019</t>
        </is>
      </c>
      <c r="G505" s="4" t="inlineStr"/>
      <c r="H505" s="7" t="inlineStr">
        <is>
          <t>Approved</t>
        </is>
      </c>
      <c r="I505" s="7" t="n"/>
      <c r="J505" s="4" t="inlineStr">
        <is>
          <t>Exclusions</t>
        </is>
      </c>
      <c r="K505" s="4" t="inlineStr">
        <is>
          <t>en.schemeContent.exclusions[0].children[4]</t>
        </is>
      </c>
      <c r="L505" s="4" t="inlineStr">
        <is>
          <t>M19@20261028-8107d501</t>
        </is>
      </c>
      <c r="M505" s="4" t="inlineStr">
        <is>
          <t>Source extract; not executable</t>
        </is>
      </c>
      <c r="N505" s="7" t="inlineStr">
        <is>
          <t>Unassigned</t>
        </is>
      </c>
      <c r="O505" s="7" t="inlineStr">
        <is>
          <t>1/1</t>
        </is>
      </c>
      <c r="P505" s="7" t="n"/>
    </row>
    <row r="506" ht="47.36" customHeight="1">
      <c r="A506" s="4" t="inlineStr">
        <is>
          <t>M19</t>
        </is>
      </c>
      <c r="B506" s="4" t="inlineStr">
        <is>
          <t>Mukhyamantri - Majhi Ladki Bahin Yojana</t>
        </is>
      </c>
      <c r="C506" s="4" t="inlineStr">
        <is>
          <t>M19-SRC018</t>
        </is>
      </c>
      <c r="D506" s="4" t="inlineStr">
        <is>
          <t>Exclusion text</t>
        </is>
      </c>
      <c r="E506" s="4" t="inlineStr">
        <is>
          <t>The family member is the Chairman/Vice-Chairman/Director/Member of the Board/Corporation/Undertaking of the Government of India or State Government.</t>
        </is>
      </c>
      <c r="F506" s="4" t="inlineStr">
        <is>
          <t>MS-M19 / M19-P0020</t>
        </is>
      </c>
      <c r="G506" s="4" t="inlineStr"/>
      <c r="H506" s="7" t="inlineStr">
        <is>
          <t>Approved</t>
        </is>
      </c>
      <c r="I506" s="7" t="n"/>
      <c r="J506" s="4" t="inlineStr">
        <is>
          <t>Exclusions</t>
        </is>
      </c>
      <c r="K506" s="4" t="inlineStr">
        <is>
          <t>en.schemeContent.exclusions[0].children[5]</t>
        </is>
      </c>
      <c r="L506" s="4" t="inlineStr">
        <is>
          <t>M19@20261028-8107d501</t>
        </is>
      </c>
      <c r="M506" s="4" t="inlineStr">
        <is>
          <t>Source extract; not executable</t>
        </is>
      </c>
      <c r="N506" s="7" t="inlineStr">
        <is>
          <t>Unassigned</t>
        </is>
      </c>
      <c r="O506" s="7" t="inlineStr">
        <is>
          <t>1/1</t>
        </is>
      </c>
      <c r="P506" s="7" t="n"/>
    </row>
    <row r="507" ht="45" customHeight="1">
      <c r="A507" s="4" t="inlineStr">
        <is>
          <t>M19</t>
        </is>
      </c>
      <c r="B507" s="4" t="inlineStr">
        <is>
          <t>Mukhyamantri - Majhi Ladki Bahin Yojana</t>
        </is>
      </c>
      <c r="C507" s="4" t="inlineStr">
        <is>
          <t>M19-SRC019</t>
        </is>
      </c>
      <c r="D507" s="4" t="inlineStr">
        <is>
          <t>Exclusion text</t>
        </is>
      </c>
      <c r="E507" s="4" t="inlineStr">
        <is>
          <t>A person has a four-wheeler (excluding a tractor) registered in the name of their family members.</t>
        </is>
      </c>
      <c r="F507" s="4" t="inlineStr">
        <is>
          <t>MS-M19 / M19-P0021</t>
        </is>
      </c>
      <c r="G507" s="4" t="inlineStr"/>
      <c r="H507" s="7" t="inlineStr">
        <is>
          <t>Approved</t>
        </is>
      </c>
      <c r="I507" s="7" t="n"/>
      <c r="J507" s="4" t="inlineStr">
        <is>
          <t>Exclusions</t>
        </is>
      </c>
      <c r="K507" s="4" t="inlineStr">
        <is>
          <t>en.schemeContent.exclusions[0].children[6]</t>
        </is>
      </c>
      <c r="L507" s="4" t="inlineStr">
        <is>
          <t>M19@20261028-8107d501</t>
        </is>
      </c>
      <c r="M507" s="4" t="inlineStr">
        <is>
          <t>Source extract; not executable</t>
        </is>
      </c>
      <c r="N507" s="7" t="inlineStr">
        <is>
          <t>Unassigned</t>
        </is>
      </c>
      <c r="O507" s="7" t="inlineStr">
        <is>
          <t>1/1</t>
        </is>
      </c>
      <c r="P507" s="7" t="n"/>
    </row>
    <row r="508" ht="45" customHeight="1">
      <c r="A508" s="4" t="inlineStr">
        <is>
          <t>M20</t>
        </is>
      </c>
      <c r="B508" s="4" t="inlineStr">
        <is>
          <t>Mahatma Jyotirao Phule Jan Arogya Yojana</t>
        </is>
      </c>
      <c r="C508" s="4" t="inlineStr">
        <is>
          <t>M20-SRC001</t>
        </is>
      </c>
      <c r="D508" s="4" t="inlineStr">
        <is>
          <t>Eligibility text</t>
        </is>
      </c>
      <c r="E508" s="4" t="inlineStr">
        <is>
          <t>Category A: Families holding Yellow, Antyodaya Anna Yojana (AAY), Annapurna Yojna and Orange Ration Card.</t>
        </is>
      </c>
      <c r="F508" s="4" t="inlineStr">
        <is>
          <t>MS-M20 / M20-P0030</t>
        </is>
      </c>
      <c r="G508" s="4" t="inlineStr"/>
      <c r="H508" s="7" t="inlineStr">
        <is>
          <t>Approved</t>
        </is>
      </c>
      <c r="I508" s="7" t="n"/>
      <c r="J508" s="4" t="inlineStr">
        <is>
          <t>Eligibility</t>
        </is>
      </c>
      <c r="K508" s="4" t="inlineStr">
        <is>
          <t>en.eligibilityCriteria.eligibilityDescription[0]</t>
        </is>
      </c>
      <c r="L508" s="4" t="inlineStr">
        <is>
          <t>M20@20261028-dcae286f</t>
        </is>
      </c>
      <c r="M508" s="4" t="inlineStr">
        <is>
          <t>Source extract; not executable</t>
        </is>
      </c>
      <c r="N508" s="7" t="inlineStr">
        <is>
          <t>Unassigned</t>
        </is>
      </c>
      <c r="O508" s="7" t="inlineStr">
        <is>
          <t>1/1</t>
        </is>
      </c>
      <c r="P508" s="7" t="n"/>
    </row>
    <row r="509" ht="45" customHeight="1">
      <c r="A509" s="4" t="inlineStr">
        <is>
          <t>M20</t>
        </is>
      </c>
      <c r="B509" s="4" t="inlineStr">
        <is>
          <t>Mahatma Jyotirao Phule Jan Arogya Yojana</t>
        </is>
      </c>
      <c r="C509" s="4" t="inlineStr">
        <is>
          <t>M20-SRC002</t>
        </is>
      </c>
      <c r="D509" s="4" t="inlineStr">
        <is>
          <t>Source heading</t>
        </is>
      </c>
      <c r="E509" s="4" t="inlineStr">
        <is>
          <t>Category B</t>
        </is>
      </c>
      <c r="F509" s="4" t="inlineStr">
        <is>
          <t>MS-M20 / M20-P0031</t>
        </is>
      </c>
      <c r="G509" s="4" t="inlineStr">
        <is>
          <t>Category B</t>
        </is>
      </c>
      <c r="H509" s="7" t="inlineStr">
        <is>
          <t>Approved</t>
        </is>
      </c>
      <c r="I509" s="7" t="n"/>
      <c r="J509" s="4" t="inlineStr">
        <is>
          <t>Eligibility</t>
        </is>
      </c>
      <c r="K509" s="4" t="inlineStr">
        <is>
          <t>en.eligibilityCriteria.eligibilityDescription[1]</t>
        </is>
      </c>
      <c r="L509" s="4" t="inlineStr">
        <is>
          <t>M20@20261028-dcae286f</t>
        </is>
      </c>
      <c r="M509" s="4" t="inlineStr">
        <is>
          <t>Source extract; not executable</t>
        </is>
      </c>
      <c r="N509" s="7" t="inlineStr">
        <is>
          <t>Unassigned</t>
        </is>
      </c>
      <c r="O509" s="7" t="inlineStr">
        <is>
          <t>1/1</t>
        </is>
      </c>
      <c r="P509" s="7" t="n"/>
    </row>
    <row r="510" ht="45" customHeight="1">
      <c r="A510" s="4" t="inlineStr">
        <is>
          <t>M20</t>
        </is>
      </c>
      <c r="B510" s="4" t="inlineStr">
        <is>
          <t>Mahatma Jyotirao Phule Jan Arogya Yojana</t>
        </is>
      </c>
      <c r="C510" s="4" t="inlineStr">
        <is>
          <t>M20-SRC003</t>
        </is>
      </c>
      <c r="D510" s="4" t="inlineStr">
        <is>
          <t>Eligibility text</t>
        </is>
      </c>
      <c r="E510" s="4" t="inlineStr">
        <is>
          <t>• White ration card holder families (including Govt./Semi Gov employees).</t>
        </is>
      </c>
      <c r="F510" s="4" t="inlineStr">
        <is>
          <t>MS-M20 / M20-P0032</t>
        </is>
      </c>
      <c r="G510" s="4" t="inlineStr">
        <is>
          <t>Category B</t>
        </is>
      </c>
      <c r="H510" s="7" t="inlineStr">
        <is>
          <t>Approved</t>
        </is>
      </c>
      <c r="I510" s="7" t="n"/>
      <c r="J510" s="4" t="inlineStr">
        <is>
          <t>Eligibility</t>
        </is>
      </c>
      <c r="K510" s="4" t="inlineStr">
        <is>
          <t>en.eligibilityCriteria.eligibilityDescription[2]</t>
        </is>
      </c>
      <c r="L510" s="4" t="inlineStr">
        <is>
          <t>M20@20261028-dcae286f</t>
        </is>
      </c>
      <c r="M510" s="4" t="inlineStr">
        <is>
          <t>Source extract; not executable</t>
        </is>
      </c>
      <c r="N510" s="7" t="inlineStr">
        <is>
          <t>Unassigned</t>
        </is>
      </c>
      <c r="O510" s="7" t="inlineStr">
        <is>
          <t>1/1</t>
        </is>
      </c>
      <c r="P510" s="7" t="n"/>
    </row>
    <row r="511" ht="45" customHeight="1">
      <c r="A511" s="4" t="inlineStr">
        <is>
          <t>M20</t>
        </is>
      </c>
      <c r="B511" s="4" t="inlineStr">
        <is>
          <t>Mahatma Jyotirao Phule Jan Arogya Yojana</t>
        </is>
      </c>
      <c r="C511" s="4" t="inlineStr">
        <is>
          <t>M20-SRC004</t>
        </is>
      </c>
      <c r="D511" s="4" t="inlineStr">
        <is>
          <t>Eligibility text</t>
        </is>
      </c>
      <c r="E511" s="4" t="inlineStr">
        <is>
          <t>• A family without having any kind of ration card but having domicile certificate of Maharashtra</t>
        </is>
      </c>
      <c r="F511" s="4" t="inlineStr">
        <is>
          <t>MS-M20 / M20-P0033</t>
        </is>
      </c>
      <c r="G511" s="4" t="inlineStr">
        <is>
          <t>Category B</t>
        </is>
      </c>
      <c r="H511" s="7" t="inlineStr">
        <is>
          <t>Approved</t>
        </is>
      </c>
      <c r="I511" s="7" t="n"/>
      <c r="J511" s="4" t="inlineStr">
        <is>
          <t>Eligibility</t>
        </is>
      </c>
      <c r="K511" s="4" t="inlineStr">
        <is>
          <t>en.eligibilityCriteria.eligibilityDescription[3]</t>
        </is>
      </c>
      <c r="L511" s="4" t="inlineStr">
        <is>
          <t>M20@20261028-dcae286f</t>
        </is>
      </c>
      <c r="M511" s="4" t="inlineStr">
        <is>
          <t>Source extract; not executable</t>
        </is>
      </c>
      <c r="N511" s="7" t="inlineStr">
        <is>
          <t>Unassigned</t>
        </is>
      </c>
      <c r="O511" s="7" t="inlineStr">
        <is>
          <t>1/1</t>
        </is>
      </c>
      <c r="P511" s="7" t="n"/>
    </row>
    <row r="512" ht="45" customHeight="1">
      <c r="A512" s="4" t="inlineStr">
        <is>
          <t>M20</t>
        </is>
      </c>
      <c r="B512" s="4" t="inlineStr">
        <is>
          <t>Mahatma Jyotirao Phule Jan Arogya Yojana</t>
        </is>
      </c>
      <c r="C512" s="4" t="inlineStr">
        <is>
          <t>M20-SRC005</t>
        </is>
      </c>
      <c r="D512" s="4" t="inlineStr">
        <is>
          <t>Source heading</t>
        </is>
      </c>
      <c r="E512" s="4" t="inlineStr">
        <is>
          <t>Category C</t>
        </is>
      </c>
      <c r="F512" s="4" t="inlineStr">
        <is>
          <t>MS-M20 / M20-P0034</t>
        </is>
      </c>
      <c r="G512" s="4" t="inlineStr">
        <is>
          <t>Category C</t>
        </is>
      </c>
      <c r="H512" s="7" t="inlineStr">
        <is>
          <t>Approved</t>
        </is>
      </c>
      <c r="I512" s="7" t="n"/>
      <c r="J512" s="4" t="inlineStr">
        <is>
          <t>Eligibility</t>
        </is>
      </c>
      <c r="K512" s="4" t="inlineStr">
        <is>
          <t>en.eligibilityCriteria.eligibilityDescription[4]</t>
        </is>
      </c>
      <c r="L512" s="4" t="inlineStr">
        <is>
          <t>M20@20261028-dcae286f</t>
        </is>
      </c>
      <c r="M512" s="4" t="inlineStr">
        <is>
          <t>Source extract; not executable</t>
        </is>
      </c>
      <c r="N512" s="7" t="inlineStr">
        <is>
          <t>Unassigned</t>
        </is>
      </c>
      <c r="O512" s="7" t="inlineStr">
        <is>
          <t>1/1</t>
        </is>
      </c>
      <c r="P512" s="7" t="n"/>
    </row>
    <row r="513" ht="45" customHeight="1">
      <c r="A513" s="4" t="inlineStr">
        <is>
          <t>M20</t>
        </is>
      </c>
      <c r="B513" s="4" t="inlineStr">
        <is>
          <t>Mahatma Jyotirao Phule Jan Arogya Yojana</t>
        </is>
      </c>
      <c r="C513" s="4" t="inlineStr">
        <is>
          <t>M20-SRC006</t>
        </is>
      </c>
      <c r="D513" s="4" t="inlineStr">
        <is>
          <t>Eligibility text</t>
        </is>
      </c>
      <c r="E513" s="4" t="inlineStr">
        <is>
          <t>• Students in Govt. and Govt. recognized Ashram School</t>
        </is>
      </c>
      <c r="F513" s="4" t="inlineStr">
        <is>
          <t>MS-M20 / M20-P0035</t>
        </is>
      </c>
      <c r="G513" s="4" t="inlineStr">
        <is>
          <t>Category C</t>
        </is>
      </c>
      <c r="H513" s="7" t="inlineStr">
        <is>
          <t>Approved</t>
        </is>
      </c>
      <c r="I513" s="7" t="n"/>
      <c r="J513" s="4" t="inlineStr">
        <is>
          <t>Eligibility</t>
        </is>
      </c>
      <c r="K513" s="4" t="inlineStr">
        <is>
          <t>en.eligibilityCriteria.eligibilityDescription[5]</t>
        </is>
      </c>
      <c r="L513" s="4" t="inlineStr">
        <is>
          <t>M20@20261028-dcae286f</t>
        </is>
      </c>
      <c r="M513" s="4" t="inlineStr">
        <is>
          <t>Source extract; not executable</t>
        </is>
      </c>
      <c r="N513" s="7" t="inlineStr">
        <is>
          <t>Unassigned</t>
        </is>
      </c>
      <c r="O513" s="7" t="inlineStr">
        <is>
          <t>1/1</t>
        </is>
      </c>
      <c r="P513" s="7" t="n"/>
    </row>
    <row r="514" ht="45" customHeight="1">
      <c r="A514" s="4" t="inlineStr">
        <is>
          <t>M20</t>
        </is>
      </c>
      <c r="B514" s="4" t="inlineStr">
        <is>
          <t>Mahatma Jyotirao Phule Jan Arogya Yojana</t>
        </is>
      </c>
      <c r="C514" s="4" t="inlineStr">
        <is>
          <t>M20-SRC007</t>
        </is>
      </c>
      <c r="D514" s="4" t="inlineStr">
        <is>
          <t>Eligibility text</t>
        </is>
      </c>
      <c r="E514" s="4" t="inlineStr">
        <is>
          <t>• Children in Govt. and Govt. recognized Orphanages</t>
        </is>
      </c>
      <c r="F514" s="4" t="inlineStr">
        <is>
          <t>MS-M20 / M20-P0036</t>
        </is>
      </c>
      <c r="G514" s="4" t="inlineStr">
        <is>
          <t>Category C</t>
        </is>
      </c>
      <c r="H514" s="7" t="inlineStr">
        <is>
          <t>Approved</t>
        </is>
      </c>
      <c r="I514" s="7" t="n"/>
      <c r="J514" s="4" t="inlineStr">
        <is>
          <t>Eligibility</t>
        </is>
      </c>
      <c r="K514" s="4" t="inlineStr">
        <is>
          <t>en.eligibilityCriteria.eligibilityDescription[6]</t>
        </is>
      </c>
      <c r="L514" s="4" t="inlineStr">
        <is>
          <t>M20@20261028-dcae286f</t>
        </is>
      </c>
      <c r="M514" s="4" t="inlineStr">
        <is>
          <t>Source extract; not executable</t>
        </is>
      </c>
      <c r="N514" s="7" t="inlineStr">
        <is>
          <t>Unassigned</t>
        </is>
      </c>
      <c r="O514" s="7" t="inlineStr">
        <is>
          <t>1/1</t>
        </is>
      </c>
      <c r="P514" s="7" t="n"/>
    </row>
    <row r="515" ht="45" customHeight="1">
      <c r="A515" s="4" t="inlineStr">
        <is>
          <t>M20</t>
        </is>
      </c>
      <c r="B515" s="4" t="inlineStr">
        <is>
          <t>Mahatma Jyotirao Phule Jan Arogya Yojana</t>
        </is>
      </c>
      <c r="C515" s="4" t="inlineStr">
        <is>
          <t>M20-SRC008</t>
        </is>
      </c>
      <c r="D515" s="4" t="inlineStr">
        <is>
          <t>Eligibility text</t>
        </is>
      </c>
      <c r="E515" s="4" t="inlineStr">
        <is>
          <t>• Women in Govt. and Govt. recognized Women's Ashram</t>
        </is>
      </c>
      <c r="F515" s="4" t="inlineStr">
        <is>
          <t>MS-M20 / M20-P0037</t>
        </is>
      </c>
      <c r="G515" s="4" t="inlineStr">
        <is>
          <t>Category C</t>
        </is>
      </c>
      <c r="H515" s="7" t="inlineStr">
        <is>
          <t>Approved</t>
        </is>
      </c>
      <c r="I515" s="7" t="n"/>
      <c r="J515" s="4" t="inlineStr">
        <is>
          <t>Eligibility</t>
        </is>
      </c>
      <c r="K515" s="4" t="inlineStr">
        <is>
          <t>en.eligibilityCriteria.eligibilityDescription[7]</t>
        </is>
      </c>
      <c r="L515" s="4" t="inlineStr">
        <is>
          <t>M20@20261028-dcae286f</t>
        </is>
      </c>
      <c r="M515" s="4" t="inlineStr">
        <is>
          <t>Source extract; not executable</t>
        </is>
      </c>
      <c r="N515" s="7" t="inlineStr">
        <is>
          <t>Unassigned</t>
        </is>
      </c>
      <c r="O515" s="7" t="inlineStr">
        <is>
          <t>1/1</t>
        </is>
      </c>
      <c r="P515" s="7" t="n"/>
    </row>
    <row r="516" ht="45" customHeight="1">
      <c r="A516" s="4" t="inlineStr">
        <is>
          <t>M20</t>
        </is>
      </c>
      <c r="B516" s="4" t="inlineStr">
        <is>
          <t>Mahatma Jyotirao Phule Jan Arogya Yojana</t>
        </is>
      </c>
      <c r="C516" s="4" t="inlineStr">
        <is>
          <t>M20-SRC009</t>
        </is>
      </c>
      <c r="D516" s="4" t="inlineStr">
        <is>
          <t>Eligibility text</t>
        </is>
      </c>
      <c r="E516" s="4" t="inlineStr">
        <is>
          <t>• Sr. citizens in Govt. and Govt. recognized old age homes</t>
        </is>
      </c>
      <c r="F516" s="4" t="inlineStr">
        <is>
          <t>MS-M20 / M20-P0038</t>
        </is>
      </c>
      <c r="G516" s="4" t="inlineStr">
        <is>
          <t>Category C</t>
        </is>
      </c>
      <c r="H516" s="7" t="inlineStr">
        <is>
          <t>Approved</t>
        </is>
      </c>
      <c r="I516" s="7" t="n"/>
      <c r="J516" s="4" t="inlineStr">
        <is>
          <t>Eligibility</t>
        </is>
      </c>
      <c r="K516" s="4" t="inlineStr">
        <is>
          <t>en.eligibilityCriteria.eligibilityDescription[8]</t>
        </is>
      </c>
      <c r="L516" s="4" t="inlineStr">
        <is>
          <t>M20@20261028-dcae286f</t>
        </is>
      </c>
      <c r="M516" s="4" t="inlineStr">
        <is>
          <t>Source extract; not executable</t>
        </is>
      </c>
      <c r="N516" s="7" t="inlineStr">
        <is>
          <t>Unassigned</t>
        </is>
      </c>
      <c r="O516" s="7" t="inlineStr">
        <is>
          <t>1/1</t>
        </is>
      </c>
      <c r="P516" s="7" t="n"/>
    </row>
    <row r="517" ht="45" customHeight="1">
      <c r="A517" s="4" t="inlineStr">
        <is>
          <t>M20</t>
        </is>
      </c>
      <c r="B517" s="4" t="inlineStr">
        <is>
          <t>Mahatma Jyotirao Phule Jan Arogya Yojana</t>
        </is>
      </c>
      <c r="C517" s="4" t="inlineStr">
        <is>
          <t>M20-SRC010</t>
        </is>
      </c>
      <c r="D517" s="4" t="inlineStr">
        <is>
          <t>Eligibility text</t>
        </is>
      </c>
      <c r="E517" s="4" t="inlineStr">
        <is>
          <t>• Journalists and their dependent family members as per criteria of Directorate General of Information and Public Relations Office.</t>
        </is>
      </c>
      <c r="F517" s="4" t="inlineStr">
        <is>
          <t>MS-M20 / M20-P0039</t>
        </is>
      </c>
      <c r="G517" s="4" t="inlineStr">
        <is>
          <t>Category C</t>
        </is>
      </c>
      <c r="H517" s="7" t="inlineStr">
        <is>
          <t>Approved</t>
        </is>
      </c>
      <c r="I517" s="7" t="n"/>
      <c r="J517" s="4" t="inlineStr">
        <is>
          <t>Eligibility</t>
        </is>
      </c>
      <c r="K517" s="4" t="inlineStr">
        <is>
          <t>en.eligibilityCriteria.eligibilityDescription[9]</t>
        </is>
      </c>
      <c r="L517" s="4" t="inlineStr">
        <is>
          <t>M20@20261028-dcae286f</t>
        </is>
      </c>
      <c r="M517" s="4" t="inlineStr">
        <is>
          <t>Source extract; not executable</t>
        </is>
      </c>
      <c r="N517" s="7" t="inlineStr">
        <is>
          <t>Unassigned</t>
        </is>
      </c>
      <c r="O517" s="7" t="inlineStr">
        <is>
          <t>1/1</t>
        </is>
      </c>
      <c r="P517" s="7" t="n"/>
    </row>
    <row r="518" ht="51.52" customHeight="1">
      <c r="A518" s="4" t="inlineStr">
        <is>
          <t>M20</t>
        </is>
      </c>
      <c r="B518" s="4" t="inlineStr">
        <is>
          <t>Mahatma Jyotirao Phule Jan Arogya Yojana</t>
        </is>
      </c>
      <c r="C518" s="4" t="inlineStr">
        <is>
          <t>M20-SRC011</t>
        </is>
      </c>
      <c r="D518" s="4" t="inlineStr">
        <is>
          <t>Eligibility text</t>
        </is>
      </c>
      <c r="E518" s="4" t="inlineStr">
        <is>
          <t>• Construction workers and their families (who are resident of outside of Maharashtra) registered with Maharashtra Building and Other Construction Workers Board.</t>
        </is>
      </c>
      <c r="F518" s="4" t="inlineStr">
        <is>
          <t>MS-M20 / M20-P0040</t>
        </is>
      </c>
      <c r="G518" s="4" t="inlineStr">
        <is>
          <t>Category C</t>
        </is>
      </c>
      <c r="H518" s="7" t="inlineStr">
        <is>
          <t>Approved</t>
        </is>
      </c>
      <c r="I518" s="7" t="n"/>
      <c r="J518" s="4" t="inlineStr">
        <is>
          <t>Eligibility</t>
        </is>
      </c>
      <c r="K518" s="4" t="inlineStr">
        <is>
          <t>en.eligibilityCriteria.eligibilityDescription[10]</t>
        </is>
      </c>
      <c r="L518" s="4" t="inlineStr">
        <is>
          <t>M20@20261028-dcae286f</t>
        </is>
      </c>
      <c r="M518" s="4" t="inlineStr">
        <is>
          <t>Source extract; not executable</t>
        </is>
      </c>
      <c r="N518" s="7" t="inlineStr">
        <is>
          <t>Unassigned</t>
        </is>
      </c>
      <c r="O518" s="7" t="inlineStr">
        <is>
          <t>1/1</t>
        </is>
      </c>
      <c r="P518" s="7" t="n"/>
    </row>
    <row r="519" ht="45" customHeight="1">
      <c r="A519" s="4" t="inlineStr">
        <is>
          <t>M20</t>
        </is>
      </c>
      <c r="B519" s="4" t="inlineStr">
        <is>
          <t>Mahatma Jyotirao Phule Jan Arogya Yojana</t>
        </is>
      </c>
      <c r="C519" s="4" t="inlineStr">
        <is>
          <t>M20-SRC012</t>
        </is>
      </c>
      <c r="D519" s="4" t="inlineStr">
        <is>
          <t>Source heading</t>
        </is>
      </c>
      <c r="E519" s="4" t="inlineStr">
        <is>
          <t>Category D</t>
        </is>
      </c>
      <c r="F519" s="4" t="inlineStr">
        <is>
          <t>MS-M20 / M20-P0041</t>
        </is>
      </c>
      <c r="G519" s="4" t="inlineStr">
        <is>
          <t>Category D</t>
        </is>
      </c>
      <c r="H519" s="7" t="inlineStr">
        <is>
          <t>Approved</t>
        </is>
      </c>
      <c r="I519" s="7" t="n"/>
      <c r="J519" s="4" t="inlineStr">
        <is>
          <t>Eligibility</t>
        </is>
      </c>
      <c r="K519" s="4" t="inlineStr">
        <is>
          <t>en.eligibilityCriteria.eligibilityDescription[11]</t>
        </is>
      </c>
      <c r="L519" s="4" t="inlineStr">
        <is>
          <t>M20@20261028-dcae286f</t>
        </is>
      </c>
      <c r="M519" s="4" t="inlineStr">
        <is>
          <t>Source extract; not executable</t>
        </is>
      </c>
      <c r="N519" s="7" t="inlineStr">
        <is>
          <t>Unassigned</t>
        </is>
      </c>
      <c r="O519" s="7" t="inlineStr">
        <is>
          <t>1/1</t>
        </is>
      </c>
      <c r="P519" s="7" t="n"/>
    </row>
    <row r="520" ht="45" customHeight="1">
      <c r="A520" s="4" t="inlineStr">
        <is>
          <t>M20</t>
        </is>
      </c>
      <c r="B520" s="4" t="inlineStr">
        <is>
          <t>Mahatma Jyotirao Phule Jan Arogya Yojana</t>
        </is>
      </c>
      <c r="C520" s="4" t="inlineStr">
        <is>
          <t>M20-SRC013</t>
        </is>
      </c>
      <c r="D520" s="4" t="inlineStr">
        <is>
          <t>Eligibility text</t>
        </is>
      </c>
      <c r="E520" s="4" t="inlineStr">
        <is>
          <t>Road traffic accident victims from outside Maharashtra and outside India who met with an accident on roads in Maharashtra</t>
        </is>
      </c>
      <c r="F520" s="4" t="inlineStr">
        <is>
          <t>MS-M20 / M20-P0042</t>
        </is>
      </c>
      <c r="G520" s="4" t="inlineStr">
        <is>
          <t>Category D</t>
        </is>
      </c>
      <c r="H520" s="7" t="inlineStr">
        <is>
          <t>Approved</t>
        </is>
      </c>
      <c r="I520" s="7" t="n"/>
      <c r="J520" s="4" t="inlineStr">
        <is>
          <t>Eligibility</t>
        </is>
      </c>
      <c r="K520" s="4" t="inlineStr">
        <is>
          <t>en.eligibilityCriteria.eligibilityDescription[12].children[0]</t>
        </is>
      </c>
      <c r="L520" s="4" t="inlineStr">
        <is>
          <t>M20@20261028-dcae286f</t>
        </is>
      </c>
      <c r="M520" s="4" t="inlineStr">
        <is>
          <t>Source extract; not executable</t>
        </is>
      </c>
      <c r="N520" s="7" t="inlineStr">
        <is>
          <t>Unassigned</t>
        </is>
      </c>
      <c r="O520" s="7" t="inlineStr">
        <is>
          <t>1/1</t>
        </is>
      </c>
      <c r="P520" s="7" t="n"/>
    </row>
    <row r="521" ht="45" customHeight="1">
      <c r="A521" s="4" t="inlineStr">
        <is>
          <t>M20</t>
        </is>
      </c>
      <c r="B521" s="4" t="inlineStr">
        <is>
          <t>Mahatma Jyotirao Phule Jan Arogya Yojana</t>
        </is>
      </c>
      <c r="C521" s="4" t="inlineStr">
        <is>
          <t>M20-SRC014</t>
        </is>
      </c>
      <c r="D521" s="4" t="inlineStr">
        <is>
          <t>Source heading</t>
        </is>
      </c>
      <c r="E521" s="4" t="inlineStr">
        <is>
          <t>Category E</t>
        </is>
      </c>
      <c r="F521" s="4" t="inlineStr">
        <is>
          <t>MS-M20 / M20-P0043</t>
        </is>
      </c>
      <c r="G521" s="4" t="inlineStr">
        <is>
          <t>Category E</t>
        </is>
      </c>
      <c r="H521" s="7" t="inlineStr">
        <is>
          <t>Approved</t>
        </is>
      </c>
      <c r="I521" s="7" t="n"/>
      <c r="J521" s="4" t="inlineStr">
        <is>
          <t>Eligibility</t>
        </is>
      </c>
      <c r="K521" s="4" t="inlineStr">
        <is>
          <t>en.eligibilityCriteria.eligibilityDescription[13]</t>
        </is>
      </c>
      <c r="L521" s="4" t="inlineStr">
        <is>
          <t>M20@20261028-dcae286f</t>
        </is>
      </c>
      <c r="M521" s="4" t="inlineStr">
        <is>
          <t>Source extract; not executable</t>
        </is>
      </c>
      <c r="N521" s="7" t="inlineStr">
        <is>
          <t>Unassigned</t>
        </is>
      </c>
      <c r="O521" s="7" t="inlineStr">
        <is>
          <t>1/1</t>
        </is>
      </c>
      <c r="P521" s="7" t="n"/>
    </row>
    <row r="522" ht="46.4" customHeight="1">
      <c r="A522" s="4" t="inlineStr">
        <is>
          <t>M20</t>
        </is>
      </c>
      <c r="B522" s="4" t="inlineStr">
        <is>
          <t>Mahatma Jyotirao Phule Jan Arogya Yojana</t>
        </is>
      </c>
      <c r="C522" s="4" t="inlineStr">
        <is>
          <t>M20-SRC015</t>
        </is>
      </c>
      <c r="D522" s="4" t="inlineStr">
        <is>
          <t>Eligibility text</t>
        </is>
      </c>
      <c r="E522" s="4" t="inlineStr">
        <is>
          <t>Families holding below mentioned ration cards from 865 villages of Belgaon, Karwar, Kalburgi and Bidar Districts of Maharashtra- Karnataka border</t>
        </is>
      </c>
      <c r="F522" s="4" t="inlineStr">
        <is>
          <t>MS-M20 / M20-P0044</t>
        </is>
      </c>
      <c r="G522" s="4" t="inlineStr">
        <is>
          <t>Category E</t>
        </is>
      </c>
      <c r="H522" s="7" t="inlineStr">
        <is>
          <t>Approved</t>
        </is>
      </c>
      <c r="I522" s="7" t="n"/>
      <c r="J522" s="4" t="inlineStr">
        <is>
          <t>Eligibility</t>
        </is>
      </c>
      <c r="K522" s="4" t="inlineStr">
        <is>
          <t>en.eligibilityCriteria.eligibilityDescription[14]</t>
        </is>
      </c>
      <c r="L522" s="4" t="inlineStr">
        <is>
          <t>M20@20261028-dcae286f</t>
        </is>
      </c>
      <c r="M522" s="4" t="inlineStr">
        <is>
          <t>Source extract; not executable</t>
        </is>
      </c>
      <c r="N522" s="7" t="inlineStr">
        <is>
          <t>Unassigned</t>
        </is>
      </c>
      <c r="O522" s="7" t="inlineStr">
        <is>
          <t>1/1</t>
        </is>
      </c>
      <c r="P522" s="7" t="n"/>
    </row>
    <row r="523" ht="45" customHeight="1">
      <c r="A523" s="4" t="inlineStr">
        <is>
          <t>M20</t>
        </is>
      </c>
      <c r="B523" s="4" t="inlineStr">
        <is>
          <t>Mahatma Jyotirao Phule Jan Arogya Yojana</t>
        </is>
      </c>
      <c r="C523" s="4" t="inlineStr">
        <is>
          <t>M20-SRC016</t>
        </is>
      </c>
      <c r="D523" s="4" t="inlineStr">
        <is>
          <t>Eligibility text</t>
        </is>
      </c>
      <c r="E523" s="4" t="inlineStr">
        <is>
          <t>1) Antyodaya Anna Yojana (AAY)</t>
        </is>
      </c>
      <c r="F523" s="4" t="inlineStr">
        <is>
          <t>MS-M20 / M20-P0045</t>
        </is>
      </c>
      <c r="G523" s="4" t="inlineStr">
        <is>
          <t>Category E</t>
        </is>
      </c>
      <c r="H523" s="7" t="inlineStr">
        <is>
          <t>Approved</t>
        </is>
      </c>
      <c r="I523" s="7" t="n"/>
      <c r="J523" s="4" t="inlineStr">
        <is>
          <t>Eligibility</t>
        </is>
      </c>
      <c r="K523" s="4" t="inlineStr">
        <is>
          <t>en.eligibilityCriteria.eligibilityDescription[15]</t>
        </is>
      </c>
      <c r="L523" s="4" t="inlineStr">
        <is>
          <t>M20@20261028-dcae286f</t>
        </is>
      </c>
      <c r="M523" s="4" t="inlineStr">
        <is>
          <t>Source extract; not executable</t>
        </is>
      </c>
      <c r="N523" s="7" t="inlineStr">
        <is>
          <t>Unassigned</t>
        </is>
      </c>
      <c r="O523" s="7" t="inlineStr">
        <is>
          <t>1/1</t>
        </is>
      </c>
      <c r="P523" s="7" t="n"/>
    </row>
    <row r="524" ht="45" customHeight="1">
      <c r="A524" s="4" t="inlineStr">
        <is>
          <t>M20</t>
        </is>
      </c>
      <c r="B524" s="4" t="inlineStr">
        <is>
          <t>Mahatma Jyotirao Phule Jan Arogya Yojana</t>
        </is>
      </c>
      <c r="C524" s="4" t="inlineStr">
        <is>
          <t>M20-SRC017</t>
        </is>
      </c>
      <c r="D524" s="4" t="inlineStr">
        <is>
          <t>Eligibility text</t>
        </is>
      </c>
      <c r="E524" s="4" t="inlineStr">
        <is>
          <t>2) Priority House Holder (PHH)</t>
        </is>
      </c>
      <c r="F524" s="4" t="inlineStr">
        <is>
          <t>MS-M20 / M20-P0046</t>
        </is>
      </c>
      <c r="G524" s="4" t="inlineStr">
        <is>
          <t>Category E</t>
        </is>
      </c>
      <c r="H524" s="7" t="inlineStr">
        <is>
          <t>Approved</t>
        </is>
      </c>
      <c r="I524" s="7" t="n"/>
      <c r="J524" s="4" t="inlineStr">
        <is>
          <t>Eligibility</t>
        </is>
      </c>
      <c r="K524" s="4" t="inlineStr">
        <is>
          <t>en.eligibilityCriteria.eligibilityDescription[16]</t>
        </is>
      </c>
      <c r="L524" s="4" t="inlineStr">
        <is>
          <t>M20@20261028-dcae286f</t>
        </is>
      </c>
      <c r="M524" s="4" t="inlineStr">
        <is>
          <t>Source extract; not executable</t>
        </is>
      </c>
      <c r="N524" s="7" t="inlineStr">
        <is>
          <t>Unassigned</t>
        </is>
      </c>
      <c r="O524" s="7" t="inlineStr">
        <is>
          <t>1/1</t>
        </is>
      </c>
      <c r="P524" s="7" t="n"/>
    </row>
    <row r="525" ht="45" customHeight="1">
      <c r="A525" s="4" t="inlineStr">
        <is>
          <t>M20</t>
        </is>
      </c>
      <c r="B525" s="4" t="inlineStr">
        <is>
          <t>Mahatma Jyotirao Phule Jan Arogya Yojana</t>
        </is>
      </c>
      <c r="C525" s="4" t="inlineStr">
        <is>
          <t>M20-SRC018</t>
        </is>
      </c>
      <c r="D525" s="4" t="inlineStr">
        <is>
          <t>Eligibility text</t>
        </is>
      </c>
      <c r="E525" s="4" t="inlineStr">
        <is>
          <t>3) Annapurna Yojna</t>
        </is>
      </c>
      <c r="F525" s="4" t="inlineStr">
        <is>
          <t>MS-M20 / M20-P0047</t>
        </is>
      </c>
      <c r="G525" s="4" t="inlineStr">
        <is>
          <t>Category E</t>
        </is>
      </c>
      <c r="H525" s="7" t="inlineStr">
        <is>
          <t>Approved</t>
        </is>
      </c>
      <c r="I525" s="7" t="n"/>
      <c r="J525" s="4" t="inlineStr">
        <is>
          <t>Eligibility</t>
        </is>
      </c>
      <c r="K525" s="4" t="inlineStr">
        <is>
          <t>en.eligibilityCriteria.eligibilityDescription[17]</t>
        </is>
      </c>
      <c r="L525" s="4" t="inlineStr">
        <is>
          <t>M20@20261028-dcae286f</t>
        </is>
      </c>
      <c r="M525" s="4" t="inlineStr">
        <is>
          <t>Source extract; not executable</t>
        </is>
      </c>
      <c r="N525" s="7" t="inlineStr">
        <is>
          <t>Unassigned</t>
        </is>
      </c>
      <c r="O525" s="7" t="inlineStr">
        <is>
          <t>1/1</t>
        </is>
      </c>
      <c r="P525" s="7" t="n"/>
    </row>
    <row r="526" ht="45" customHeight="1">
      <c r="A526" s="4" t="inlineStr">
        <is>
          <t>M20</t>
        </is>
      </c>
      <c r="B526" s="4" t="inlineStr">
        <is>
          <t>Mahatma Jyotirao Phule Jan Arogya Yojana</t>
        </is>
      </c>
      <c r="C526" s="4" t="inlineStr">
        <is>
          <t>M20-EMPTY-Exclusions</t>
        </is>
      </c>
      <c r="D526" s="4" t="inlineStr">
        <is>
          <t>Exclusions</t>
        </is>
      </c>
      <c r="E526" s="4" t="inlineStr">
        <is>
          <t>Not stated in the captured source. Do not infer no restrictions.</t>
        </is>
      </c>
      <c r="F526" s="4" t="inlineStr">
        <is>
          <t>MS-M20</t>
        </is>
      </c>
      <c r="G526" s="4" t="inlineStr">
        <is>
          <t>Full official guidelines required.</t>
        </is>
      </c>
      <c r="H526" s="7" t="inlineStr">
        <is>
          <t>Approved</t>
        </is>
      </c>
      <c r="I526" s="7" t="n"/>
      <c r="J526" s="4" t="inlineStr">
        <is>
          <t>Exclusions</t>
        </is>
      </c>
      <c r="K526" s="4" t="inlineStr"/>
      <c r="L526" s="4" t="inlineStr">
        <is>
          <t>M20@20261028-dcae286f</t>
        </is>
      </c>
      <c r="M526" s="4" t="inlineStr">
        <is>
          <t>Empty or absent in source</t>
        </is>
      </c>
      <c r="N526" s="7" t="inlineStr">
        <is>
          <t>Unassigned</t>
        </is>
      </c>
      <c r="O526" s="7" t="n"/>
      <c r="P526" s="7" t="n"/>
    </row>
    <row r="527" ht="45" customHeight="1">
      <c r="A527" s="4" t="inlineStr">
        <is>
          <t>M21</t>
        </is>
      </c>
      <c r="B527" s="4" t="inlineStr">
        <is>
          <t>Mukhyamantri Yuva Karya Prashikshan Yojana</t>
        </is>
      </c>
      <c r="C527" s="4" t="inlineStr">
        <is>
          <t>M21-SRC001</t>
        </is>
      </c>
      <c r="D527" s="4" t="inlineStr">
        <is>
          <t>Eligibility text</t>
        </is>
      </c>
      <c r="E527" s="4" t="inlineStr">
        <is>
          <t>The candidate should be a resident of Maharashtra.</t>
        </is>
      </c>
      <c r="F527" s="4" t="inlineStr">
        <is>
          <t>MS-M21 / M21-P0008</t>
        </is>
      </c>
      <c r="G527" s="4" t="inlineStr"/>
      <c r="H527" s="7" t="inlineStr">
        <is>
          <t>Approved</t>
        </is>
      </c>
      <c r="I527" s="7" t="n"/>
      <c r="J527" s="4" t="inlineStr">
        <is>
          <t>Eligibility</t>
        </is>
      </c>
      <c r="K527" s="4" t="inlineStr">
        <is>
          <t>en.eligibilityCriteria.eligibilityDescription[0].children[0]</t>
        </is>
      </c>
      <c r="L527" s="4" t="inlineStr">
        <is>
          <t>M21@20261028-91a37a49</t>
        </is>
      </c>
      <c r="M527" s="4" t="inlineStr">
        <is>
          <t>Source extract; not executable</t>
        </is>
      </c>
      <c r="N527" s="7" t="inlineStr">
        <is>
          <t>Unassigned</t>
        </is>
      </c>
      <c r="O527" s="7" t="inlineStr">
        <is>
          <t>1/1</t>
        </is>
      </c>
      <c r="P527" s="7" t="n"/>
    </row>
    <row r="528" ht="45" customHeight="1">
      <c r="A528" s="4" t="inlineStr">
        <is>
          <t>M21</t>
        </is>
      </c>
      <c r="B528" s="4" t="inlineStr">
        <is>
          <t>Mukhyamantri Yuva Karya Prashikshan Yojana</t>
        </is>
      </c>
      <c r="C528" s="4" t="inlineStr">
        <is>
          <t>M21-SRC002</t>
        </is>
      </c>
      <c r="D528" s="4" t="inlineStr">
        <is>
          <t>Eligibility text</t>
        </is>
      </c>
      <c r="E528" s="4" t="inlineStr">
        <is>
          <t>The candidate's age should be between 18 to 35.</t>
        </is>
      </c>
      <c r="F528" s="4" t="inlineStr">
        <is>
          <t>MS-M21 / M21-P0009</t>
        </is>
      </c>
      <c r="G528" s="4" t="inlineStr"/>
      <c r="H528" s="7" t="inlineStr">
        <is>
          <t>Approved</t>
        </is>
      </c>
      <c r="I528" s="7" t="n"/>
      <c r="J528" s="4" t="inlineStr">
        <is>
          <t>Eligibility</t>
        </is>
      </c>
      <c r="K528" s="4" t="inlineStr">
        <is>
          <t>en.eligibilityCriteria.eligibilityDescription[0].children[1]</t>
        </is>
      </c>
      <c r="L528" s="4" t="inlineStr">
        <is>
          <t>M21@20261028-91a37a49</t>
        </is>
      </c>
      <c r="M528" s="4" t="inlineStr">
        <is>
          <t>Source extract; not executable</t>
        </is>
      </c>
      <c r="N528" s="7" t="inlineStr">
        <is>
          <t>Unassigned</t>
        </is>
      </c>
      <c r="O528" s="7" t="inlineStr">
        <is>
          <t>1/1</t>
        </is>
      </c>
      <c r="P528" s="7" t="n"/>
    </row>
    <row r="529" ht="45" customHeight="1">
      <c r="A529" s="4" t="inlineStr">
        <is>
          <t>M21</t>
        </is>
      </c>
      <c r="B529" s="4" t="inlineStr">
        <is>
          <t>Mukhyamantri Yuva Karya Prashikshan Yojana</t>
        </is>
      </c>
      <c r="C529" s="4" t="inlineStr">
        <is>
          <t>M21-SRC003</t>
        </is>
      </c>
      <c r="D529" s="4" t="inlineStr">
        <is>
          <t>Eligibility text</t>
        </is>
      </c>
      <c r="E529" s="4" t="inlineStr">
        <is>
          <t>The candidate should have minimum education criteria of 12th Pass/ITI/Diploma/Graduation/Post Graduation.</t>
        </is>
      </c>
      <c r="F529" s="4" t="inlineStr">
        <is>
          <t>MS-M21 / M21-P0010</t>
        </is>
      </c>
      <c r="G529" s="4" t="inlineStr"/>
      <c r="H529" s="7" t="inlineStr">
        <is>
          <t>Approved</t>
        </is>
      </c>
      <c r="I529" s="7" t="n"/>
      <c r="J529" s="4" t="inlineStr">
        <is>
          <t>Eligibility</t>
        </is>
      </c>
      <c r="K529" s="4" t="inlineStr">
        <is>
          <t>en.eligibilityCriteria.eligibilityDescription[0].children[2]</t>
        </is>
      </c>
      <c r="L529" s="4" t="inlineStr">
        <is>
          <t>M21@20261028-91a37a49</t>
        </is>
      </c>
      <c r="M529" s="4" t="inlineStr">
        <is>
          <t>Source extract; not executable</t>
        </is>
      </c>
      <c r="N529" s="7" t="inlineStr">
        <is>
          <t>Unassigned</t>
        </is>
      </c>
      <c r="O529" s="7" t="inlineStr">
        <is>
          <t>1/1</t>
        </is>
      </c>
      <c r="P529" s="7" t="n"/>
    </row>
    <row r="530" ht="45" customHeight="1">
      <c r="A530" s="4" t="inlineStr">
        <is>
          <t>M21</t>
        </is>
      </c>
      <c r="B530" s="4" t="inlineStr">
        <is>
          <t>Mukhyamantri Yuva Karya Prashikshan Yojana</t>
        </is>
      </c>
      <c r="C530" s="4" t="inlineStr">
        <is>
          <t>M21-SRC004</t>
        </is>
      </c>
      <c r="D530" s="4" t="inlineStr">
        <is>
          <t>Eligibility text</t>
        </is>
      </c>
      <c r="E530" s="4" t="inlineStr">
        <is>
          <t>The candidate should be registered with Aadhaar.</t>
        </is>
      </c>
      <c r="F530" s="4" t="inlineStr">
        <is>
          <t>MS-M21 / M21-P0011</t>
        </is>
      </c>
      <c r="G530" s="4" t="inlineStr"/>
      <c r="H530" s="7" t="inlineStr">
        <is>
          <t>Approved</t>
        </is>
      </c>
      <c r="I530" s="7" t="n"/>
      <c r="J530" s="4" t="inlineStr">
        <is>
          <t>Eligibility</t>
        </is>
      </c>
      <c r="K530" s="4" t="inlineStr">
        <is>
          <t>en.eligibilityCriteria.eligibilityDescription[0].children[3]</t>
        </is>
      </c>
      <c r="L530" s="4" t="inlineStr">
        <is>
          <t>M21@20261028-91a37a49</t>
        </is>
      </c>
      <c r="M530" s="4" t="inlineStr">
        <is>
          <t>Source extract; not executable</t>
        </is>
      </c>
      <c r="N530" s="7" t="inlineStr">
        <is>
          <t>Unassigned</t>
        </is>
      </c>
      <c r="O530" s="7" t="inlineStr">
        <is>
          <t>1/1</t>
        </is>
      </c>
      <c r="P530" s="7" t="n"/>
    </row>
    <row r="531" ht="45" customHeight="1">
      <c r="A531" s="4" t="inlineStr">
        <is>
          <t>M21</t>
        </is>
      </c>
      <c r="B531" s="4" t="inlineStr">
        <is>
          <t>Mukhyamantri Yuva Karya Prashikshan Yojana</t>
        </is>
      </c>
      <c r="C531" s="4" t="inlineStr">
        <is>
          <t>M21-SRC005</t>
        </is>
      </c>
      <c r="D531" s="4" t="inlineStr">
        <is>
          <t>Eligibility text</t>
        </is>
      </c>
      <c r="E531" s="4" t="inlineStr">
        <is>
          <t>The candidate's bank accounts should be linked with Aadhaar.</t>
        </is>
      </c>
      <c r="F531" s="4" t="inlineStr">
        <is>
          <t>MS-M21 / M21-P0012</t>
        </is>
      </c>
      <c r="G531" s="4" t="inlineStr"/>
      <c r="H531" s="7" t="inlineStr">
        <is>
          <t>Approved</t>
        </is>
      </c>
      <c r="I531" s="7" t="n"/>
      <c r="J531" s="4" t="inlineStr">
        <is>
          <t>Eligibility</t>
        </is>
      </c>
      <c r="K531" s="4" t="inlineStr">
        <is>
          <t>en.eligibilityCriteria.eligibilityDescription[0].children[4]</t>
        </is>
      </c>
      <c r="L531" s="4" t="inlineStr">
        <is>
          <t>M21@20261028-91a37a49</t>
        </is>
      </c>
      <c r="M531" s="4" t="inlineStr">
        <is>
          <t>Source extract; not executable</t>
        </is>
      </c>
      <c r="N531" s="7" t="inlineStr">
        <is>
          <t>Unassigned</t>
        </is>
      </c>
      <c r="O531" s="7" t="inlineStr">
        <is>
          <t>1/1</t>
        </is>
      </c>
      <c r="P531" s="7" t="n"/>
    </row>
    <row r="532" ht="45" customHeight="1">
      <c r="A532" s="4" t="inlineStr">
        <is>
          <t>M21</t>
        </is>
      </c>
      <c r="B532" s="4" t="inlineStr">
        <is>
          <t>Mukhyamantri Yuva Karya Prashikshan Yojana</t>
        </is>
      </c>
      <c r="C532" s="4" t="inlineStr">
        <is>
          <t>M21-EMPTY-Exclusions</t>
        </is>
      </c>
      <c r="D532" s="4" t="inlineStr">
        <is>
          <t>Exclusions</t>
        </is>
      </c>
      <c r="E532" s="4" t="inlineStr">
        <is>
          <t>Not stated in the captured source. Do not infer no restrictions.</t>
        </is>
      </c>
      <c r="F532" s="4" t="inlineStr">
        <is>
          <t>MS-M21</t>
        </is>
      </c>
      <c r="G532" s="4" t="inlineStr">
        <is>
          <t>Full official guidelines required.</t>
        </is>
      </c>
      <c r="H532" s="7" t="inlineStr">
        <is>
          <t>Approved</t>
        </is>
      </c>
      <c r="I532" s="7" t="n"/>
      <c r="J532" s="4" t="inlineStr">
        <is>
          <t>Exclusions</t>
        </is>
      </c>
      <c r="K532" s="4" t="inlineStr"/>
      <c r="L532" s="4" t="inlineStr">
        <is>
          <t>M21@20261028-91a37a49</t>
        </is>
      </c>
      <c r="M532" s="4" t="inlineStr">
        <is>
          <t>Empty or absent in source</t>
        </is>
      </c>
      <c r="N532" s="7" t="inlineStr">
        <is>
          <t>Unassigned</t>
        </is>
      </c>
      <c r="O532" s="7" t="n"/>
      <c r="P532" s="7" t="n"/>
    </row>
    <row r="533" ht="40" customHeight="1"/>
    <row r="534" ht="40" customHeight="1"/>
    <row r="535" ht="40" customHeight="1"/>
    <row r="536" ht="40" customHeight="1"/>
    <row r="537" ht="40" customHeight="1"/>
    <row r="538" ht="40" customHeight="1"/>
    <row r="539" ht="68" customHeight="1"/>
    <row r="540" ht="40" customHeight="1"/>
    <row r="541" ht="40" customHeight="1"/>
    <row r="542" ht="40" customHeight="1"/>
    <row r="543" ht="40" customHeight="1"/>
    <row r="544" ht="40" customHeight="1"/>
    <row r="545" ht="40" customHeight="1"/>
    <row r="546" ht="40" customHeight="1"/>
    <row r="547" ht="40" customHeight="1"/>
    <row r="548" ht="40" customHeight="1"/>
    <row r="549" ht="40" customHeight="1"/>
    <row r="550" ht="40" customHeight="1"/>
    <row r="551" ht="40" customHeight="1"/>
    <row r="552" ht="40" customHeight="1"/>
    <row r="553" ht="40" customHeight="1"/>
    <row r="554" ht="40" customHeight="1"/>
    <row r="555" ht="54" customHeight="1"/>
    <row r="556" ht="40" customHeight="1"/>
    <row r="557" ht="40" customHeight="1"/>
    <row r="558" ht="40" customHeight="1"/>
    <row r="559" ht="40" customHeight="1"/>
    <row r="560" ht="40" customHeight="1"/>
    <row r="561" ht="40" customHeight="1"/>
    <row r="562" ht="40" customHeight="1"/>
    <row r="563" ht="40" customHeight="1"/>
    <row r="564" ht="40" customHeight="1"/>
    <row r="565" ht="40" customHeight="1"/>
    <row r="566" ht="40" customHeight="1"/>
    <row r="567" ht="40" customHeight="1"/>
    <row r="568" ht="40" customHeight="1"/>
    <row r="569" ht="40" customHeight="1"/>
    <row r="570" ht="54" customHeight="1"/>
    <row r="571" ht="40" customHeight="1"/>
    <row r="572" ht="40" customHeight="1"/>
    <row r="573" ht="40" customHeight="1"/>
    <row r="574" ht="40" customHeight="1"/>
    <row r="575" ht="40" customHeight="1"/>
    <row r="576" ht="40" customHeight="1"/>
    <row r="577" ht="40" customHeight="1"/>
    <row r="578" ht="40" customHeight="1"/>
    <row r="579" ht="40" customHeight="1"/>
    <row r="580" ht="40" customHeight="1"/>
    <row r="581" ht="40" customHeight="1"/>
    <row r="582" ht="40" customHeight="1"/>
    <row r="583" ht="40" customHeight="1"/>
    <row r="584" ht="40" customHeight="1"/>
  </sheetData>
  <autoFilter ref="A5:P532"/>
  <conditionalFormatting sqref="H6:H584">
    <cfRule type="containsText" priority="1" operator="containsText" dxfId="0" stopIfTrue="1" text="Approved">
      <formula>NOT(ISERROR(SEARCH("Approved",H6)))</formula>
    </cfRule>
  </conditionalFormatting>
  <dataValidations count="1">
    <dataValidation sqref="H6:H584" showDropDown="0" showInputMessage="1" showErrorMessage="1" allowBlank="1" type="list">
      <formula1>"Not started,In review,Approved,Needs correction,Not applicable,Excluded"</formula1>
    </dataValidation>
  </dataValidations>
  <pageMargins left="0.7" right="0.7" top="0.75" bottom="0.75" header="0.3" footer="0.3"/>
  <pageSetup orientation="landscape" paperSize="9" fitToHeight="0"/>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2:M321"/>
  <sheetViews>
    <sheetView showGridLines="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8.7109375" customWidth="1" min="1" max="1"/>
    <col width="20.7109375" customWidth="1" min="2" max="2"/>
    <col width="28.7109375" customWidth="1" min="3" max="3"/>
    <col width="60.7109375" customWidth="1" min="4" max="4"/>
    <col width="22.7109375" customWidth="1" min="5" max="5"/>
    <col width="72.7109375" customWidth="1" min="6" max="6"/>
    <col width="65.7109375" customWidth="1" min="7" max="7"/>
    <col width="18.7109375" customWidth="1" min="8" max="8"/>
    <col width="42.7109375" customWidth="1" min="9" max="9"/>
    <col width="17.7109375" customWidth="1" min="10" max="10"/>
    <col width="60.7109375" customWidth="1" min="11" max="11"/>
    <col width="85.7109375" customWidth="1" min="12" max="12"/>
    <col width="72.7109375" customWidth="1" min="13" max="13"/>
  </cols>
  <sheetData>
    <row r="2" ht="28" customHeight="1">
      <c r="A2" s="1" t="inlineStr">
        <is>
          <t>Official documents and source register</t>
        </is>
      </c>
    </row>
    <row r="3" ht="22" customHeight="1">
      <c r="A3" s="2" t="inlineStr">
        <is>
          <t>myScheme pages and published Sources and References / application links. Destinations not independently reviewed. Unmapped schemes explicitly flagged.</t>
        </is>
      </c>
    </row>
    <row r="5" ht="45" customHeight="1">
      <c r="A5" s="3" t="inlineStr">
        <is>
          <t>Source ID</t>
        </is>
      </c>
      <c r="B5" s="3" t="inlineStr">
        <is>
          <t>Scheme IDs</t>
        </is>
      </c>
      <c r="C5" s="3" t="inlineStr">
        <is>
          <t>Document type</t>
        </is>
      </c>
      <c r="D5" s="3" t="inlineStr">
        <is>
          <t>Document / page title</t>
        </is>
      </c>
      <c r="E5" s="3" t="inlineStr">
        <is>
          <t>Open link</t>
        </is>
      </c>
      <c r="F5" s="3" t="inlineStr">
        <is>
          <t>Where to look / source path</t>
        </is>
      </c>
      <c r="G5" s="3" t="inlineStr">
        <is>
          <t>Access / completeness</t>
        </is>
      </c>
      <c r="H5" s="3" t="inlineStr">
        <is>
          <t>Language</t>
        </is>
      </c>
      <c r="I5" s="3" t="inlineStr">
        <is>
          <t>Source date / version</t>
        </is>
      </c>
      <c r="J5" s="3" t="inlineStr">
        <is>
          <t>Research date</t>
        </is>
      </c>
      <c r="K5" s="3" t="inlineStr">
        <is>
          <t>Reviewer notes</t>
        </is>
      </c>
      <c r="L5" s="3" t="inlineStr">
        <is>
          <t>URL</t>
        </is>
      </c>
      <c r="M5" s="3" t="inlineStr">
        <is>
          <t>Snapshot hash</t>
        </is>
      </c>
    </row>
    <row r="6" ht="45" customHeight="1">
      <c r="A6" s="4" t="inlineStr">
        <is>
          <t>MS-C01</t>
        </is>
      </c>
      <c r="B6" s="4" t="inlineStr">
        <is>
          <t>C01</t>
        </is>
      </c>
      <c r="C6" s="4" t="inlineStr">
        <is>
          <t>Official scheme page</t>
        </is>
      </c>
      <c r="D6" s="4" t="inlineStr">
        <is>
          <t>Pradhan Mantri Jeevan Jyoti Bima Yojana</t>
        </is>
      </c>
      <c r="E6" s="5" t="inlineStr">
        <is>
          <t>Open source</t>
        </is>
      </c>
      <c r="F6" s="4" t="inlineStr">
        <is>
          <t>myScheme scheme page</t>
        </is>
      </c>
      <c r="G6" s="4" t="inlineStr">
        <is>
          <t>Retrieved public myScheme content; policy currency not independently verified</t>
        </is>
      </c>
      <c r="H6" s="4" t="inlineStr">
        <is>
          <t>English</t>
        </is>
      </c>
      <c r="I6" s="4" t="inlineStr">
        <is>
          <t>Effective date not established</t>
        </is>
      </c>
      <c r="J6" s="6" t="n">
        <v>46323</v>
      </c>
      <c r="K6" s="7" t="inlineStr">
        <is>
          <t>Review status: Approved</t>
        </is>
      </c>
      <c r="L6" s="4" t="inlineStr">
        <is>
          <t>https://www.myscheme.gov.in/schemes/pmjjby</t>
        </is>
      </c>
      <c r="M6" s="4" t="inlineStr">
        <is>
          <t>6a583ea39e4962da7705dc3603bc57f36c50d4b77073da4ae917374a9e950fe5</t>
        </is>
      </c>
    </row>
    <row r="7" ht="45" customHeight="1">
      <c r="A7" s="4" t="inlineStr">
        <is>
          <t>C01-L01</t>
        </is>
      </c>
      <c r="B7" s="4" t="inlineStr">
        <is>
          <t>C01</t>
        </is>
      </c>
      <c r="C7" s="4" t="inlineStr">
        <is>
          <t>Application / document link</t>
        </is>
      </c>
      <c r="D7" s="4" t="inlineStr">
        <is>
          <t>https://www.jansuraksha.gov.in/Files/PMJJBY/English/ApplicationForm.pdf#zoom=250</t>
        </is>
      </c>
      <c r="E7" s="5" t="inlineStr">
        <is>
          <t>Open source</t>
        </is>
      </c>
      <c r="F7" s="4" t="inlineStr">
        <is>
          <t>.scheme.applicationProcess[0].process[1].children[0].children[2]</t>
        </is>
      </c>
      <c r="G7" s="4" t="inlineStr">
        <is>
          <t>Listed by myScheme; destination not independently opened</t>
        </is>
      </c>
      <c r="H7" s="4" t="inlineStr">
        <is>
          <t>As published</t>
        </is>
      </c>
      <c r="I7" s="4" t="inlineStr">
        <is>
          <t>Not established</t>
        </is>
      </c>
      <c r="J7" s="6" t="n">
        <v>46323</v>
      </c>
      <c r="K7" s="7" t="inlineStr">
        <is>
          <t>Review status: Approved</t>
        </is>
      </c>
      <c r="L7" s="4" t="inlineStr">
        <is>
          <t>https://www.jansuraksha.gov.in/Files/PMJJBY/English/ApplicationForm.pdf#zoom=250</t>
        </is>
      </c>
      <c r="M7" s="4" t="inlineStr"/>
    </row>
    <row r="8" ht="45" customHeight="1">
      <c r="A8" s="4" t="inlineStr">
        <is>
          <t>C01-L02</t>
        </is>
      </c>
      <c r="B8" s="4" t="inlineStr">
        <is>
          <t>C01</t>
        </is>
      </c>
      <c r="C8" s="4" t="inlineStr">
        <is>
          <t>Application / document link</t>
        </is>
      </c>
      <c r="D8" s="4" t="inlineStr">
        <is>
          <t>Source link</t>
        </is>
      </c>
      <c r="E8" s="5" t="inlineStr">
        <is>
          <t>Open source</t>
        </is>
      </c>
      <c r="F8" s="4" t="inlineStr">
        <is>
          <t>.scheme.applicationProcess[0]</t>
        </is>
      </c>
      <c r="G8" s="4" t="inlineStr">
        <is>
          <t>Listed by myScheme; destination not independently opened</t>
        </is>
      </c>
      <c r="H8" s="4" t="inlineStr">
        <is>
          <t>As published</t>
        </is>
      </c>
      <c r="I8" s="4" t="inlineStr">
        <is>
          <t>Not established</t>
        </is>
      </c>
      <c r="J8" s="6" t="n">
        <v>46323</v>
      </c>
      <c r="K8" s="7" t="inlineStr">
        <is>
          <t>Review status: Approved</t>
        </is>
      </c>
      <c r="L8" s="4" t="inlineStr">
        <is>
          <t>https://www.jansuraksha.gov.in/Files/PMJJBY/English/ApplicationForm.pdf#zoom=250</t>
        </is>
      </c>
      <c r="M8" s="4" t="inlineStr"/>
    </row>
    <row r="9" ht="45" customHeight="1">
      <c r="A9" s="4" t="inlineStr">
        <is>
          <t>C01-L03</t>
        </is>
      </c>
      <c r="B9" s="4" t="inlineStr">
        <is>
          <t>C01</t>
        </is>
      </c>
      <c r="C9" s="4" t="inlineStr">
        <is>
          <t>Sources and References</t>
        </is>
      </c>
      <c r="D9" s="4" t="inlineStr">
        <is>
          <t>Guidelines</t>
        </is>
      </c>
      <c r="E9" s="5" t="inlineStr">
        <is>
          <t>Open source</t>
        </is>
      </c>
      <c r="F9" s="4" t="inlineStr">
        <is>
          <t>.scheme.schemeContent.references[0]</t>
        </is>
      </c>
      <c r="G9" s="4" t="inlineStr">
        <is>
          <t>Listed by myScheme; destination not independently opened</t>
        </is>
      </c>
      <c r="H9" s="4" t="inlineStr">
        <is>
          <t>As published</t>
        </is>
      </c>
      <c r="I9" s="4" t="inlineStr">
        <is>
          <t>Not established</t>
        </is>
      </c>
      <c r="J9" s="6" t="n">
        <v>46323</v>
      </c>
      <c r="K9" s="7" t="inlineStr">
        <is>
          <t>Review status: Approved</t>
        </is>
      </c>
      <c r="L9" s="4" t="inlineStr">
        <is>
          <t>https://jansuraksha.gov.in/Files/PMJJBY/English/Rules.pdf</t>
        </is>
      </c>
      <c r="M9" s="4" t="inlineStr"/>
    </row>
    <row r="10" ht="45" customHeight="1">
      <c r="A10" s="4" t="inlineStr">
        <is>
          <t>MS-C02</t>
        </is>
      </c>
      <c r="B10" s="4" t="inlineStr">
        <is>
          <t>C02</t>
        </is>
      </c>
      <c r="C10" s="4" t="inlineStr">
        <is>
          <t>Official scheme page</t>
        </is>
      </c>
      <c r="D10" s="4" t="inlineStr">
        <is>
          <t>Pradhan Mantri Suraksha Bima Yojana</t>
        </is>
      </c>
      <c r="E10" s="5" t="inlineStr">
        <is>
          <t>Open source</t>
        </is>
      </c>
      <c r="F10" s="4" t="inlineStr">
        <is>
          <t>myScheme scheme page</t>
        </is>
      </c>
      <c r="G10" s="4" t="inlineStr">
        <is>
          <t>Retrieved public myScheme content; policy currency not independently verified</t>
        </is>
      </c>
      <c r="H10" s="4" t="inlineStr">
        <is>
          <t>English</t>
        </is>
      </c>
      <c r="I10" s="4" t="inlineStr">
        <is>
          <t>Effective date not established</t>
        </is>
      </c>
      <c r="J10" s="6" t="n">
        <v>46323</v>
      </c>
      <c r="K10" s="7" t="inlineStr">
        <is>
          <t>Review status: Approved</t>
        </is>
      </c>
      <c r="L10" s="4" t="inlineStr">
        <is>
          <t>https://www.myscheme.gov.in/schemes/pmsby</t>
        </is>
      </c>
      <c r="M10" s="4" t="inlineStr">
        <is>
          <t>35fcf7ada0f23dfce9759da90f1ac61d855bf238d21c798fbdc8083d6be9d4a9</t>
        </is>
      </c>
    </row>
    <row r="11" ht="45" customHeight="1">
      <c r="A11" s="4" t="inlineStr">
        <is>
          <t>C02-L01</t>
        </is>
      </c>
      <c r="B11" s="4" t="inlineStr">
        <is>
          <t>C02</t>
        </is>
      </c>
      <c r="C11" s="4" t="inlineStr">
        <is>
          <t>Application / document link</t>
        </is>
      </c>
      <c r="D11" s="4" t="inlineStr">
        <is>
          <t>https://jansuraksha.gov.in/Forms-PMSBY.aspx</t>
        </is>
      </c>
      <c r="E11" s="5" t="inlineStr">
        <is>
          <t>Open source</t>
        </is>
      </c>
      <c r="F11" s="4" t="inlineStr">
        <is>
          <t>.scheme.applicationProcess[0].process[0].children[0].children[2]</t>
        </is>
      </c>
      <c r="G11" s="4" t="inlineStr">
        <is>
          <t>Listed by myScheme; destination not independently opened</t>
        </is>
      </c>
      <c r="H11" s="4" t="inlineStr">
        <is>
          <t>As published</t>
        </is>
      </c>
      <c r="I11" s="4" t="inlineStr">
        <is>
          <t>Not established</t>
        </is>
      </c>
      <c r="J11" s="6" t="n">
        <v>46323</v>
      </c>
      <c r="K11" s="7" t="inlineStr">
        <is>
          <t>Review status: Approved</t>
        </is>
      </c>
      <c r="L11" s="4" t="inlineStr">
        <is>
          <t>https://jansuraksha.gov.in/Forms-PMSBY.aspx</t>
        </is>
      </c>
      <c r="M11" s="4" t="inlineStr"/>
    </row>
    <row r="12" ht="45" customHeight="1">
      <c r="A12" s="4" t="inlineStr">
        <is>
          <t>C02-L02</t>
        </is>
      </c>
      <c r="B12" s="4" t="inlineStr">
        <is>
          <t>C02</t>
        </is>
      </c>
      <c r="C12" s="4" t="inlineStr">
        <is>
          <t>Application / document link</t>
        </is>
      </c>
      <c r="D12" s="4" t="inlineStr">
        <is>
          <t>https://jansuraksha.gov.in/files/STATEWISETOLLFREE.pdf</t>
        </is>
      </c>
      <c r="E12" s="5" t="inlineStr">
        <is>
          <t>Open source</t>
        </is>
      </c>
      <c r="F12" s="4" t="inlineStr">
        <is>
          <t>.scheme.applicationProcess[0].process[4].children[2]</t>
        </is>
      </c>
      <c r="G12" s="4" t="inlineStr">
        <is>
          <t>Listed by myScheme; destination not independently opened</t>
        </is>
      </c>
      <c r="H12" s="4" t="inlineStr">
        <is>
          <t>As published</t>
        </is>
      </c>
      <c r="I12" s="4" t="inlineStr">
        <is>
          <t>Not established</t>
        </is>
      </c>
      <c r="J12" s="6" t="n">
        <v>46323</v>
      </c>
      <c r="K12" s="7" t="inlineStr">
        <is>
          <t>Review status: Approved</t>
        </is>
      </c>
      <c r="L12" s="4" t="inlineStr">
        <is>
          <t>https://jansuraksha.gov.in/files/STATEWISETOLLFREE.pdf</t>
        </is>
      </c>
      <c r="M12" s="4" t="inlineStr"/>
    </row>
    <row r="13" ht="45" customHeight="1">
      <c r="A13" s="4" t="inlineStr">
        <is>
          <t>C02-L03</t>
        </is>
      </c>
      <c r="B13" s="4" t="inlineStr">
        <is>
          <t>C02</t>
        </is>
      </c>
      <c r="C13" s="4" t="inlineStr">
        <is>
          <t>Application / document link</t>
        </is>
      </c>
      <c r="D13" s="4" t="inlineStr">
        <is>
          <t>Source link</t>
        </is>
      </c>
      <c r="E13" s="5" t="inlineStr">
        <is>
          <t>Open source</t>
        </is>
      </c>
      <c r="F13" s="4" t="inlineStr">
        <is>
          <t>.scheme.applicationProcess[0]</t>
        </is>
      </c>
      <c r="G13" s="4" t="inlineStr">
        <is>
          <t>Listed by myScheme; destination not independently opened</t>
        </is>
      </c>
      <c r="H13" s="4" t="inlineStr">
        <is>
          <t>As published</t>
        </is>
      </c>
      <c r="I13" s="4" t="inlineStr">
        <is>
          <t>Not established</t>
        </is>
      </c>
      <c r="J13" s="6" t="n">
        <v>46323</v>
      </c>
      <c r="K13" s="7" t="inlineStr">
        <is>
          <t>Review status: Approved</t>
        </is>
      </c>
      <c r="L13" s="4" t="inlineStr">
        <is>
          <t>https://jansuraksha.gov.in/Forms-PMSBY.aspx</t>
        </is>
      </c>
      <c r="M13" s="4" t="inlineStr"/>
    </row>
    <row r="14" ht="45" customHeight="1">
      <c r="A14" s="4" t="inlineStr">
        <is>
          <t>C02-L04</t>
        </is>
      </c>
      <c r="B14" s="4" t="inlineStr">
        <is>
          <t>C02</t>
        </is>
      </c>
      <c r="C14" s="4" t="inlineStr">
        <is>
          <t>Sources and References</t>
        </is>
      </c>
      <c r="D14" s="4" t="inlineStr">
        <is>
          <t>Scheme Guidelines</t>
        </is>
      </c>
      <c r="E14" s="5" t="inlineStr">
        <is>
          <t>Open source</t>
        </is>
      </c>
      <c r="F14" s="4" t="inlineStr">
        <is>
          <t>.scheme.schemeContent.references[0]</t>
        </is>
      </c>
      <c r="G14" s="4" t="inlineStr">
        <is>
          <t>Listed by myScheme; destination not independently opened</t>
        </is>
      </c>
      <c r="H14" s="4" t="inlineStr">
        <is>
          <t>As published</t>
        </is>
      </c>
      <c r="I14" s="4" t="inlineStr">
        <is>
          <t>Not established</t>
        </is>
      </c>
      <c r="J14" s="6" t="n">
        <v>46323</v>
      </c>
      <c r="K14" s="7" t="inlineStr">
        <is>
          <t>Review status: Approved</t>
        </is>
      </c>
      <c r="L14" s="4" t="inlineStr">
        <is>
          <t>https://jansuraksha.gov.in/Files/PMSBY/English/Rules.pdf</t>
        </is>
      </c>
      <c r="M14" s="4" t="inlineStr"/>
    </row>
    <row r="15" ht="45" customHeight="1">
      <c r="A15" s="4" t="inlineStr">
        <is>
          <t>MS-C03</t>
        </is>
      </c>
      <c r="B15" s="4" t="inlineStr">
        <is>
          <t>C03</t>
        </is>
      </c>
      <c r="C15" s="4" t="inlineStr">
        <is>
          <t>Official scheme page</t>
        </is>
      </c>
      <c r="D15" s="4" t="inlineStr">
        <is>
          <t>Pradhan Mantri Kisan Maandhan Yojana</t>
        </is>
      </c>
      <c r="E15" s="5" t="inlineStr">
        <is>
          <t>Open source</t>
        </is>
      </c>
      <c r="F15" s="4" t="inlineStr">
        <is>
          <t>myScheme scheme page</t>
        </is>
      </c>
      <c r="G15" s="4" t="inlineStr">
        <is>
          <t>Retrieved public myScheme content; policy currency not independently verified</t>
        </is>
      </c>
      <c r="H15" s="4" t="inlineStr">
        <is>
          <t>English</t>
        </is>
      </c>
      <c r="I15" s="4" t="inlineStr">
        <is>
          <t>Effective date not established</t>
        </is>
      </c>
      <c r="J15" s="6" t="n">
        <v>46323</v>
      </c>
      <c r="K15" s="7" t="inlineStr">
        <is>
          <t>Review status: Approved</t>
        </is>
      </c>
      <c r="L15" s="4" t="inlineStr">
        <is>
          <t>https://www.myscheme.gov.in/schemes/pmkmdy</t>
        </is>
      </c>
      <c r="M15" s="4" t="inlineStr">
        <is>
          <t>b25487a7aeb37ecb315d317c7382f8148e7f0d5b7311f6d6cd240fef902b5ec4</t>
        </is>
      </c>
    </row>
    <row r="16" ht="45" customHeight="1">
      <c r="A16" s="4" t="inlineStr">
        <is>
          <t>C03-L01</t>
        </is>
      </c>
      <c r="B16" s="4" t="inlineStr">
        <is>
          <t>C03</t>
        </is>
      </c>
      <c r="C16" s="4" t="inlineStr">
        <is>
          <t>Sources and References</t>
        </is>
      </c>
      <c r="D16" s="4" t="inlineStr">
        <is>
          <t>Guidelines</t>
        </is>
      </c>
      <c r="E16" s="5" t="inlineStr">
        <is>
          <t>Open source</t>
        </is>
      </c>
      <c r="F16" s="4" t="inlineStr">
        <is>
          <t>.scheme.schemeContent.references[0]</t>
        </is>
      </c>
      <c r="G16" s="4" t="inlineStr">
        <is>
          <t>Listed by myScheme; destination not independently opened</t>
        </is>
      </c>
      <c r="H16" s="4" t="inlineStr">
        <is>
          <t>As published</t>
        </is>
      </c>
      <c r="I16" s="4" t="inlineStr">
        <is>
          <t>Not established</t>
        </is>
      </c>
      <c r="J16" s="6" t="n">
        <v>46323</v>
      </c>
      <c r="K16" s="7" t="inlineStr">
        <is>
          <t>Review status: Approved</t>
        </is>
      </c>
      <c r="L16" s="4" t="inlineStr">
        <is>
          <t>https://pmkmy.gov.in/scheme/pmkmy</t>
        </is>
      </c>
      <c r="M16" s="4" t="inlineStr"/>
    </row>
    <row r="17" ht="45" customHeight="1">
      <c r="A17" s="4" t="inlineStr">
        <is>
          <t>C03-L02</t>
        </is>
      </c>
      <c r="B17" s="4" t="inlineStr">
        <is>
          <t>C03</t>
        </is>
      </c>
      <c r="C17" s="4" t="inlineStr">
        <is>
          <t>Sources and References</t>
        </is>
      </c>
      <c r="D17" s="4" t="inlineStr">
        <is>
          <t>Frequenty Asked Questions (FAQs)</t>
        </is>
      </c>
      <c r="E17" s="5" t="inlineStr">
        <is>
          <t>Open source</t>
        </is>
      </c>
      <c r="F17" s="4" t="inlineStr">
        <is>
          <t>.scheme.schemeContent.references[1]</t>
        </is>
      </c>
      <c r="G17" s="4" t="inlineStr">
        <is>
          <t>Listed by myScheme; destination not independently opened</t>
        </is>
      </c>
      <c r="H17" s="4" t="inlineStr">
        <is>
          <t>As published</t>
        </is>
      </c>
      <c r="I17" s="4" t="inlineStr">
        <is>
          <t>Not established</t>
        </is>
      </c>
      <c r="J17" s="6" t="n">
        <v>46323</v>
      </c>
      <c r="K17" s="7" t="inlineStr">
        <is>
          <t>Review status: Approved</t>
        </is>
      </c>
      <c r="L17" s="4" t="inlineStr">
        <is>
          <t>https://pmkmy.gov.in/page/faq</t>
        </is>
      </c>
      <c r="M17" s="4" t="inlineStr"/>
    </row>
    <row r="18" ht="45" customHeight="1">
      <c r="A18" s="4" t="inlineStr">
        <is>
          <t>C03-L03</t>
        </is>
      </c>
      <c r="B18" s="4" t="inlineStr">
        <is>
          <t>C03</t>
        </is>
      </c>
      <c r="C18" s="4" t="inlineStr">
        <is>
          <t>Sources and References</t>
        </is>
      </c>
      <c r="D18" s="4" t="inlineStr">
        <is>
          <t>Monthly Contribution Chart</t>
        </is>
      </c>
      <c r="E18" s="5" t="inlineStr">
        <is>
          <t>Open source</t>
        </is>
      </c>
      <c r="F18" s="4" t="inlineStr">
        <is>
          <t>.scheme.schemeContent.references[2]</t>
        </is>
      </c>
      <c r="G18" s="4" t="inlineStr">
        <is>
          <t>Listed by myScheme; destination not independently opened</t>
        </is>
      </c>
      <c r="H18" s="4" t="inlineStr">
        <is>
          <t>As published</t>
        </is>
      </c>
      <c r="I18" s="4" t="inlineStr">
        <is>
          <t>Not established</t>
        </is>
      </c>
      <c r="J18" s="6" t="n">
        <v>46323</v>
      </c>
      <c r="K18" s="7" t="inlineStr">
        <is>
          <t>Review status: Approved</t>
        </is>
      </c>
      <c r="L18" s="4" t="inlineStr">
        <is>
          <t>https://pmkmy.gov.in/scheme/pmkmy</t>
        </is>
      </c>
      <c r="M18" s="4" t="inlineStr"/>
    </row>
    <row r="19" ht="45" customHeight="1">
      <c r="A19" s="4" t="inlineStr">
        <is>
          <t>MS-C04</t>
        </is>
      </c>
      <c r="B19" s="4" t="inlineStr">
        <is>
          <t>C04</t>
        </is>
      </c>
      <c r="C19" s="4" t="inlineStr">
        <is>
          <t>Official scheme page</t>
        </is>
      </c>
      <c r="D19" s="4" t="inlineStr">
        <is>
          <t>Atal Pension Yojana</t>
        </is>
      </c>
      <c r="E19" s="5" t="inlineStr">
        <is>
          <t>Open source</t>
        </is>
      </c>
      <c r="F19" s="4" t="inlineStr">
        <is>
          <t>myScheme scheme page</t>
        </is>
      </c>
      <c r="G19" s="4" t="inlineStr">
        <is>
          <t>Retrieved public myScheme content; policy currency not independently verified</t>
        </is>
      </c>
      <c r="H19" s="4" t="inlineStr">
        <is>
          <t>English</t>
        </is>
      </c>
      <c r="I19" s="4" t="inlineStr">
        <is>
          <t>Effective date not established</t>
        </is>
      </c>
      <c r="J19" s="6" t="n">
        <v>46323</v>
      </c>
      <c r="K19" s="7" t="inlineStr">
        <is>
          <t>Review status: Approved</t>
        </is>
      </c>
      <c r="L19" s="4" t="inlineStr">
        <is>
          <t>https://www.myscheme.gov.in/schemes/apy</t>
        </is>
      </c>
      <c r="M19" s="4" t="inlineStr">
        <is>
          <t>8f3b40d0c9b6a28c56cfbe7ba4b60820a513bd784cc5121dc8a349bf218f820d</t>
        </is>
      </c>
    </row>
    <row r="20" ht="45" customHeight="1">
      <c r="A20" s="4" t="inlineStr">
        <is>
          <t>C04-L01</t>
        </is>
      </c>
      <c r="B20" s="4" t="inlineStr">
        <is>
          <t>C04</t>
        </is>
      </c>
      <c r="C20" s="4" t="inlineStr">
        <is>
          <t>Application / document link</t>
        </is>
      </c>
      <c r="D20" s="4" t="inlineStr">
        <is>
          <t>https://enps.nsdl.com/eNPS/NationalPensionSystem.html</t>
        </is>
      </c>
      <c r="E20" s="5" t="inlineStr">
        <is>
          <t>Open source</t>
        </is>
      </c>
      <c r="F20" s="4" t="inlineStr">
        <is>
          <t>.scheme.applicationProcess[0].process[3].children[1]</t>
        </is>
      </c>
      <c r="G20" s="4" t="inlineStr">
        <is>
          <t>Listed by myScheme; destination not independently opened</t>
        </is>
      </c>
      <c r="H20" s="4" t="inlineStr">
        <is>
          <t>As published</t>
        </is>
      </c>
      <c r="I20" s="4" t="inlineStr">
        <is>
          <t>Not established</t>
        </is>
      </c>
      <c r="J20" s="6" t="n">
        <v>46323</v>
      </c>
      <c r="K20" s="7" t="inlineStr">
        <is>
          <t>Review status: Approved</t>
        </is>
      </c>
      <c r="L20" s="4" t="inlineStr">
        <is>
          <t>https://enps.nsdl.com/eNPS/NationalPensionSystem.html</t>
        </is>
      </c>
      <c r="M20" s="4" t="inlineStr"/>
    </row>
    <row r="21" ht="45" customHeight="1">
      <c r="A21" s="4" t="inlineStr">
        <is>
          <t>C04-L02</t>
        </is>
      </c>
      <c r="B21" s="4" t="inlineStr">
        <is>
          <t>C04</t>
        </is>
      </c>
      <c r="C21" s="4" t="inlineStr">
        <is>
          <t>Application / document link</t>
        </is>
      </c>
      <c r="D21" s="4" t="inlineStr">
        <is>
          <t>https://enps.nsdl.com/eNPS/NationalPensionSystem.html</t>
        </is>
      </c>
      <c r="E21" s="5" t="inlineStr">
        <is>
          <t>Open source</t>
        </is>
      </c>
      <c r="F21" s="4" t="inlineStr">
        <is>
          <t>.scheme.applicationProcess[0].process[7].children[1]</t>
        </is>
      </c>
      <c r="G21" s="4" t="inlineStr">
        <is>
          <t>Listed by myScheme; destination not independently opened</t>
        </is>
      </c>
      <c r="H21" s="4" t="inlineStr">
        <is>
          <t>As published</t>
        </is>
      </c>
      <c r="I21" s="4" t="inlineStr">
        <is>
          <t>Not established</t>
        </is>
      </c>
      <c r="J21" s="6" t="n">
        <v>46323</v>
      </c>
      <c r="K21" s="7" t="inlineStr">
        <is>
          <t>Review status: Approved</t>
        </is>
      </c>
      <c r="L21" s="4" t="inlineStr">
        <is>
          <t>https://enps.nsdl.com/eNPS/NationalPensionSystem.html</t>
        </is>
      </c>
      <c r="M21" s="4" t="inlineStr"/>
    </row>
    <row r="22" ht="45" customHeight="1">
      <c r="A22" s="4" t="inlineStr">
        <is>
          <t>C04-L03</t>
        </is>
      </c>
      <c r="B22" s="4" t="inlineStr">
        <is>
          <t>C04</t>
        </is>
      </c>
      <c r="C22" s="4" t="inlineStr">
        <is>
          <t>Application / document link</t>
        </is>
      </c>
      <c r="D22" s="4" t="inlineStr">
        <is>
          <t>https://www.npscra.nsdl.co.in/nsdl/scheme-details/APY_Subscribers_Contribution_Chart_1.pdf</t>
        </is>
      </c>
      <c r="E22" s="5" t="inlineStr">
        <is>
          <t>Open source</t>
        </is>
      </c>
      <c r="F22" s="4" t="inlineStr">
        <is>
          <t>.scheme.schemeContent.detailedDescription[4].children[1]</t>
        </is>
      </c>
      <c r="G22" s="4" t="inlineStr">
        <is>
          <t>Listed by myScheme; destination not independently opened</t>
        </is>
      </c>
      <c r="H22" s="4" t="inlineStr">
        <is>
          <t>As published</t>
        </is>
      </c>
      <c r="I22" s="4" t="inlineStr">
        <is>
          <t>Not established</t>
        </is>
      </c>
      <c r="J22" s="6" t="n">
        <v>46323</v>
      </c>
      <c r="K22" s="7" t="inlineStr">
        <is>
          <t>Review status: Approved</t>
        </is>
      </c>
      <c r="L22" s="4" t="inlineStr">
        <is>
          <t>https://www.npscra.nsdl.co.in/nsdl/scheme-details/APY_Subscribers_Contribution_Chart_1.pdf</t>
        </is>
      </c>
      <c r="M22" s="4" t="inlineStr"/>
    </row>
    <row r="23" ht="45" customHeight="1">
      <c r="A23" s="4" t="inlineStr">
        <is>
          <t>C04-L04</t>
        </is>
      </c>
      <c r="B23" s="4" t="inlineStr">
        <is>
          <t>C04</t>
        </is>
      </c>
      <c r="C23" s="4" t="inlineStr">
        <is>
          <t>Application / document link</t>
        </is>
      </c>
      <c r="D23" s="4" t="inlineStr">
        <is>
          <t>Source link</t>
        </is>
      </c>
      <c r="E23" s="5" t="inlineStr">
        <is>
          <t>Open source</t>
        </is>
      </c>
      <c r="F23" s="4" t="inlineStr">
        <is>
          <t>.scheme.schemeContent.detailedDescription[4].children[3]</t>
        </is>
      </c>
      <c r="G23" s="4" t="inlineStr">
        <is>
          <t>Listed by myScheme; destination not independently opened</t>
        </is>
      </c>
      <c r="H23" s="4" t="inlineStr">
        <is>
          <t>As published</t>
        </is>
      </c>
      <c r="I23" s="4" t="inlineStr">
        <is>
          <t>Not established</t>
        </is>
      </c>
      <c r="J23" s="6" t="n">
        <v>46323</v>
      </c>
      <c r="K23" s="7" t="inlineStr">
        <is>
          <t>Review status: Approved</t>
        </is>
      </c>
      <c r="L23" s="4" t="inlineStr">
        <is>
          <t>https://www.npscra.nsdl.co.in/nsdl/scheme-details/APY_Subscribers_Contribution_Chart_1.pdf</t>
        </is>
      </c>
      <c r="M23" s="4" t="inlineStr"/>
    </row>
    <row r="24" ht="45" customHeight="1">
      <c r="A24" s="4" t="inlineStr">
        <is>
          <t>C04-L05</t>
        </is>
      </c>
      <c r="B24" s="4" t="inlineStr">
        <is>
          <t>C04</t>
        </is>
      </c>
      <c r="C24" s="4" t="inlineStr">
        <is>
          <t>Application / document link</t>
        </is>
      </c>
      <c r="D24" s="4" t="inlineStr">
        <is>
          <t>www.npscra.nsdl.co.in</t>
        </is>
      </c>
      <c r="E24" s="5" t="inlineStr">
        <is>
          <t>Open source</t>
        </is>
      </c>
      <c r="F24" s="4" t="inlineStr">
        <is>
          <t>.scheme.schemeContent.detailedDescription[6].children[2].children[1]</t>
        </is>
      </c>
      <c r="G24" s="4" t="inlineStr">
        <is>
          <t>Listed by myScheme; destination not independently opened</t>
        </is>
      </c>
      <c r="H24" s="4" t="inlineStr">
        <is>
          <t>As published</t>
        </is>
      </c>
      <c r="I24" s="4" t="inlineStr">
        <is>
          <t>Not established</t>
        </is>
      </c>
      <c r="J24" s="6" t="n">
        <v>46323</v>
      </c>
      <c r="K24" s="7" t="inlineStr">
        <is>
          <t>Review status: Approved</t>
        </is>
      </c>
      <c r="L24" s="4" t="inlineStr">
        <is>
          <t>https://www.npscra.nsdl.co.in/</t>
        </is>
      </c>
      <c r="M24" s="4" t="inlineStr"/>
    </row>
    <row r="25" ht="45" customHeight="1">
      <c r="A25" s="4" t="inlineStr">
        <is>
          <t>C04-L06</t>
        </is>
      </c>
      <c r="B25" s="4" t="inlineStr">
        <is>
          <t>C04</t>
        </is>
      </c>
      <c r="C25" s="4" t="inlineStr">
        <is>
          <t>Application / document link</t>
        </is>
      </c>
      <c r="D25" s="4" t="inlineStr">
        <is>
          <t>Source link</t>
        </is>
      </c>
      <c r="E25" s="5" t="inlineStr">
        <is>
          <t>Open source</t>
        </is>
      </c>
      <c r="F25" s="4" t="inlineStr">
        <is>
          <t>.scheme.schemeContent.detailedDescription[6].children[3].children[1]</t>
        </is>
      </c>
      <c r="G25" s="4" t="inlineStr">
        <is>
          <t>Listed by myScheme; destination not independently opened</t>
        </is>
      </c>
      <c r="H25" s="4" t="inlineStr">
        <is>
          <t>As published</t>
        </is>
      </c>
      <c r="I25" s="4" t="inlineStr">
        <is>
          <t>Not established</t>
        </is>
      </c>
      <c r="J25" s="6" t="n">
        <v>46323</v>
      </c>
      <c r="K25" s="7" t="inlineStr">
        <is>
          <t>Review status: Approved</t>
        </is>
      </c>
      <c r="L25" s="4" t="inlineStr">
        <is>
          <t>https://www.npscra.nsdl.co.in/nsdl/scheme-details/APY_Subscribers_Contribution_Chart_1.pdf</t>
        </is>
      </c>
      <c r="M25" s="4" t="inlineStr"/>
    </row>
    <row r="26" ht="45" customHeight="1">
      <c r="A26" s="4" t="inlineStr">
        <is>
          <t>C04-L07</t>
        </is>
      </c>
      <c r="B26" s="4" t="inlineStr">
        <is>
          <t>C04</t>
        </is>
      </c>
      <c r="C26" s="4" t="inlineStr">
        <is>
          <t>Application / document link</t>
        </is>
      </c>
      <c r="D26" s="4" t="inlineStr">
        <is>
          <t>Source link</t>
        </is>
      </c>
      <c r="E26" s="5" t="inlineStr">
        <is>
          <t>Open source</t>
        </is>
      </c>
      <c r="F26" s="4" t="inlineStr">
        <is>
          <t>.scheme.schemeContent.detailedDescription[6].children[3].children[3]</t>
        </is>
      </c>
      <c r="G26" s="4" t="inlineStr">
        <is>
          <t>Listed by myScheme; destination not independently opened</t>
        </is>
      </c>
      <c r="H26" s="4" t="inlineStr">
        <is>
          <t>As published</t>
        </is>
      </c>
      <c r="I26" s="4" t="inlineStr">
        <is>
          <t>Not established</t>
        </is>
      </c>
      <c r="J26" s="6" t="n">
        <v>46323</v>
      </c>
      <c r="K26" s="7" t="inlineStr">
        <is>
          <t>Review status: Approved</t>
        </is>
      </c>
      <c r="L26" s="4" t="inlineStr">
        <is>
          <t>https://www.npscra.nsdl.co.in/nsdl/scheme-details/APY_Subscribers_Contribution_Chart_1.pdf</t>
        </is>
      </c>
      <c r="M26" s="4" t="inlineStr"/>
    </row>
    <row r="27" ht="45" customHeight="1">
      <c r="A27" s="4" t="inlineStr">
        <is>
          <t>C04-L08</t>
        </is>
      </c>
      <c r="B27" s="4" t="inlineStr">
        <is>
          <t>C04</t>
        </is>
      </c>
      <c r="C27" s="4" t="inlineStr">
        <is>
          <t>Sources and References</t>
        </is>
      </c>
      <c r="D27" s="4" t="inlineStr">
        <is>
          <t>APY Subscriber Contribution Chart</t>
        </is>
      </c>
      <c r="E27" s="5" t="inlineStr">
        <is>
          <t>Open source</t>
        </is>
      </c>
      <c r="F27" s="4" t="inlineStr">
        <is>
          <t>.scheme.schemeContent.references[1]</t>
        </is>
      </c>
      <c r="G27" s="4" t="inlineStr">
        <is>
          <t>Listed by myScheme; destination not independently opened</t>
        </is>
      </c>
      <c r="H27" s="4" t="inlineStr">
        <is>
          <t>As published</t>
        </is>
      </c>
      <c r="I27" s="4" t="inlineStr">
        <is>
          <t>Not established</t>
        </is>
      </c>
      <c r="J27" s="6" t="n">
        <v>46323</v>
      </c>
      <c r="K27" s="7" t="inlineStr">
        <is>
          <t>Review status: Approved</t>
        </is>
      </c>
      <c r="L27" s="4" t="inlineStr">
        <is>
          <t>https://www.npscra.nsdl.co.in/nsdl/scheme-details/APY_Subscribers_Contribution_Chart_1.pdf</t>
        </is>
      </c>
      <c r="M27" s="4" t="inlineStr"/>
    </row>
    <row r="28" ht="45" customHeight="1">
      <c r="A28" s="4" t="inlineStr">
        <is>
          <t>MS-C05</t>
        </is>
      </c>
      <c r="B28" s="4" t="inlineStr">
        <is>
          <t>C05</t>
        </is>
      </c>
      <c r="C28" s="4" t="inlineStr">
        <is>
          <t>Official scheme page</t>
        </is>
      </c>
      <c r="D28" s="4" t="inlineStr">
        <is>
          <t>Pradhan Mantri Shram Yogi Maan-dhan</t>
        </is>
      </c>
      <c r="E28" s="5" t="inlineStr">
        <is>
          <t>Open source</t>
        </is>
      </c>
      <c r="F28" s="4" t="inlineStr">
        <is>
          <t>myScheme scheme page</t>
        </is>
      </c>
      <c r="G28" s="4" t="inlineStr">
        <is>
          <t>Retrieved public myScheme content; policy currency not independently verified</t>
        </is>
      </c>
      <c r="H28" s="4" t="inlineStr">
        <is>
          <t>English</t>
        </is>
      </c>
      <c r="I28" s="4" t="inlineStr">
        <is>
          <t>Effective date not established</t>
        </is>
      </c>
      <c r="J28" s="6" t="n">
        <v>46323</v>
      </c>
      <c r="K28" s="7" t="inlineStr">
        <is>
          <t>Review status: Approved</t>
        </is>
      </c>
      <c r="L28" s="4" t="inlineStr">
        <is>
          <t>https://www.myscheme.gov.in/schemes/pm-sym</t>
        </is>
      </c>
      <c r="M28" s="4" t="inlineStr">
        <is>
          <t>fc4e9a2d422049ef00e84c9903f2d976175d652240bb1471a8f6d000d1e12056</t>
        </is>
      </c>
    </row>
    <row r="29" ht="45" customHeight="1">
      <c r="A29" s="4" t="inlineStr">
        <is>
          <t>C05-L01</t>
        </is>
      </c>
      <c r="B29" s="4" t="inlineStr">
        <is>
          <t>C05</t>
        </is>
      </c>
      <c r="C29" s="4" t="inlineStr">
        <is>
          <t>Application / document link</t>
        </is>
      </c>
      <c r="D29" s="4" t="inlineStr">
        <is>
          <t>Maandhan Homepage</t>
        </is>
      </c>
      <c r="E29" s="5" t="inlineStr">
        <is>
          <t>Open source</t>
        </is>
      </c>
      <c r="F29" s="4" t="inlineStr">
        <is>
          <t>.scheme.applicationProcess[1].process[1].children[0].children[1]</t>
        </is>
      </c>
      <c r="G29" s="4" t="inlineStr">
        <is>
          <t>Listed by myScheme; destination not independently opened</t>
        </is>
      </c>
      <c r="H29" s="4" t="inlineStr">
        <is>
          <t>As published</t>
        </is>
      </c>
      <c r="I29" s="4" t="inlineStr">
        <is>
          <t>Not established</t>
        </is>
      </c>
      <c r="J29" s="6" t="n">
        <v>46323</v>
      </c>
      <c r="K29" s="7" t="inlineStr">
        <is>
          <t>Review status: Approved</t>
        </is>
      </c>
      <c r="L29" s="4" t="inlineStr">
        <is>
          <t>https://maandhan.in/</t>
        </is>
      </c>
      <c r="M29" s="4" t="inlineStr"/>
    </row>
    <row r="30" ht="45" customHeight="1">
      <c r="A30" s="4" t="inlineStr">
        <is>
          <t>C05-L02</t>
        </is>
      </c>
      <c r="B30" s="4" t="inlineStr">
        <is>
          <t>C05</t>
        </is>
      </c>
      <c r="C30" s="4" t="inlineStr">
        <is>
          <t>Application / document link</t>
        </is>
      </c>
      <c r="D30" s="4" t="inlineStr">
        <is>
          <t>Maandhan User Manual</t>
        </is>
      </c>
      <c r="E30" s="5" t="inlineStr">
        <is>
          <t>Open source</t>
        </is>
      </c>
      <c r="F30" s="4" t="inlineStr">
        <is>
          <t>.scheme.applicationProcess[1].process[2].children[2]</t>
        </is>
      </c>
      <c r="G30" s="4" t="inlineStr">
        <is>
          <t>Listed by myScheme; destination not independently opened</t>
        </is>
      </c>
      <c r="H30" s="4" t="inlineStr">
        <is>
          <t>As published</t>
        </is>
      </c>
      <c r="I30" s="4" t="inlineStr">
        <is>
          <t>Not established</t>
        </is>
      </c>
      <c r="J30" s="6" t="n">
        <v>46323</v>
      </c>
      <c r="K30" s="7" t="inlineStr">
        <is>
          <t>Review status: Approved</t>
        </is>
      </c>
      <c r="L30" s="4" t="inlineStr">
        <is>
          <t>https://maandhan.in/showfile.php?lang=1&amp;level=1&amp;ls_id=171&amp;lid=260&amp;page=101</t>
        </is>
      </c>
      <c r="M30" s="4" t="inlineStr"/>
    </row>
    <row r="31" ht="45" customHeight="1">
      <c r="A31" s="4" t="inlineStr">
        <is>
          <t>C05-L03</t>
        </is>
      </c>
      <c r="B31" s="4" t="inlineStr">
        <is>
          <t>C05</t>
        </is>
      </c>
      <c r="C31" s="4" t="inlineStr">
        <is>
          <t>Sources and References</t>
        </is>
      </c>
      <c r="D31" s="4" t="inlineStr">
        <is>
          <t>Guidelines</t>
        </is>
      </c>
      <c r="E31" s="5" t="inlineStr">
        <is>
          <t>Open source</t>
        </is>
      </c>
      <c r="F31" s="4" t="inlineStr">
        <is>
          <t>.scheme.schemeContent.references[0]</t>
        </is>
      </c>
      <c r="G31" s="4" t="inlineStr">
        <is>
          <t>Listed by myScheme; destination not independently opened</t>
        </is>
      </c>
      <c r="H31" s="4" t="inlineStr">
        <is>
          <t>As published</t>
        </is>
      </c>
      <c r="I31" s="4" t="inlineStr">
        <is>
          <t>Not established</t>
        </is>
      </c>
      <c r="J31" s="6" t="n">
        <v>46323</v>
      </c>
      <c r="K31" s="7" t="inlineStr">
        <is>
          <t>Review status: Approved</t>
        </is>
      </c>
      <c r="L31" s="4" t="inlineStr">
        <is>
          <t>https://www.labour.gov.in/offerings/schemes-and-services/details/pm-sym-QTOzATMtQWa</t>
        </is>
      </c>
      <c r="M31" s="4" t="inlineStr"/>
    </row>
    <row r="32" ht="45" customHeight="1">
      <c r="A32" s="4" t="inlineStr">
        <is>
          <t>C05-L04</t>
        </is>
      </c>
      <c r="B32" s="4" t="inlineStr">
        <is>
          <t>C05</t>
        </is>
      </c>
      <c r="C32" s="4" t="inlineStr">
        <is>
          <t>Sources and References</t>
        </is>
      </c>
      <c r="D32" s="4" t="inlineStr">
        <is>
          <t>PIB Press Release (4th March 2025)</t>
        </is>
      </c>
      <c r="E32" s="5" t="inlineStr">
        <is>
          <t>Open source</t>
        </is>
      </c>
      <c r="F32" s="4" t="inlineStr">
        <is>
          <t>.scheme.schemeContent.references[1]</t>
        </is>
      </c>
      <c r="G32" s="4" t="inlineStr">
        <is>
          <t>Listed by myScheme; destination not independently opened</t>
        </is>
      </c>
      <c r="H32" s="4" t="inlineStr">
        <is>
          <t>As published</t>
        </is>
      </c>
      <c r="I32" s="4" t="inlineStr">
        <is>
          <t>Not established</t>
        </is>
      </c>
      <c r="J32" s="6" t="n">
        <v>46323</v>
      </c>
      <c r="K32" s="7" t="inlineStr">
        <is>
          <t>Review status: Approved</t>
        </is>
      </c>
      <c r="L32" s="4" t="inlineStr">
        <is>
          <t>https://www.pib.gov.in/PressReleasePage.aspx?PRID=2108082&amp;reg=48&amp;lang=2</t>
        </is>
      </c>
      <c r="M32" s="4" t="inlineStr"/>
    </row>
    <row r="33" ht="45" customHeight="1">
      <c r="A33" s="4" t="inlineStr">
        <is>
          <t>C05-L05</t>
        </is>
      </c>
      <c r="B33" s="4" t="inlineStr">
        <is>
          <t>C05</t>
        </is>
      </c>
      <c r="C33" s="4" t="inlineStr">
        <is>
          <t>Sources and References</t>
        </is>
      </c>
      <c r="D33" s="4" t="inlineStr">
        <is>
          <t>User Manual For Application</t>
        </is>
      </c>
      <c r="E33" s="5" t="inlineStr">
        <is>
          <t>Open source</t>
        </is>
      </c>
      <c r="F33" s="4" t="inlineStr">
        <is>
          <t>.scheme.schemeContent.references[2]</t>
        </is>
      </c>
      <c r="G33" s="4" t="inlineStr">
        <is>
          <t>Listed by myScheme; destination not independently opened</t>
        </is>
      </c>
      <c r="H33" s="4" t="inlineStr">
        <is>
          <t>As published</t>
        </is>
      </c>
      <c r="I33" s="4" t="inlineStr">
        <is>
          <t>Not established</t>
        </is>
      </c>
      <c r="J33" s="6" t="n">
        <v>46323</v>
      </c>
      <c r="K33" s="7" t="inlineStr">
        <is>
          <t>Review status: Approved</t>
        </is>
      </c>
      <c r="L33" s="4" t="inlineStr">
        <is>
          <t>https://maandhan.in/showfile.php?lang=1&amp;level=1&amp;ls_id=171&amp;lid=260&amp;page=101</t>
        </is>
      </c>
      <c r="M33" s="4" t="inlineStr"/>
    </row>
    <row r="34" ht="45" customHeight="1">
      <c r="A34" s="4" t="inlineStr">
        <is>
          <t>C05-L06</t>
        </is>
      </c>
      <c r="B34" s="4" t="inlineStr">
        <is>
          <t>C05</t>
        </is>
      </c>
      <c r="C34" s="4" t="inlineStr">
        <is>
          <t>Sources and References</t>
        </is>
      </c>
      <c r="D34" s="4" t="inlineStr">
        <is>
          <t>FAQs</t>
        </is>
      </c>
      <c r="E34" s="5" t="inlineStr">
        <is>
          <t>Open source</t>
        </is>
      </c>
      <c r="F34" s="4" t="inlineStr">
        <is>
          <t>.scheme.schemeContent.references[3]</t>
        </is>
      </c>
      <c r="G34" s="4" t="inlineStr">
        <is>
          <t>Listed by myScheme; destination not independently opened</t>
        </is>
      </c>
      <c r="H34" s="4" t="inlineStr">
        <is>
          <t>As published</t>
        </is>
      </c>
      <c r="I34" s="4" t="inlineStr">
        <is>
          <t>Not established</t>
        </is>
      </c>
      <c r="J34" s="6" t="n">
        <v>46323</v>
      </c>
      <c r="K34" s="7" t="inlineStr">
        <is>
          <t>Review status: Approved</t>
        </is>
      </c>
      <c r="L34" s="4" t="inlineStr">
        <is>
          <t>https://maandhan.in/show_content.php?lang=1&amp;level=1&amp;ls_id=79&amp;lid=63&amp;page=74</t>
        </is>
      </c>
      <c r="M34" s="4" t="inlineStr"/>
    </row>
    <row r="35" ht="45" customHeight="1">
      <c r="A35" s="4" t="inlineStr">
        <is>
          <t>C05-L07</t>
        </is>
      </c>
      <c r="B35" s="4" t="inlineStr">
        <is>
          <t>C05</t>
        </is>
      </c>
      <c r="C35" s="4" t="inlineStr">
        <is>
          <t>Sources and References</t>
        </is>
      </c>
      <c r="D35" s="4" t="inlineStr">
        <is>
          <t>Revival SoA Update Process</t>
        </is>
      </c>
      <c r="E35" s="5" t="inlineStr">
        <is>
          <t>Open source</t>
        </is>
      </c>
      <c r="F35" s="4" t="inlineStr">
        <is>
          <t>.scheme.schemeContent.references[4]</t>
        </is>
      </c>
      <c r="G35" s="4" t="inlineStr">
        <is>
          <t>Listed by myScheme; destination not independently opened</t>
        </is>
      </c>
      <c r="H35" s="4" t="inlineStr">
        <is>
          <t>As published</t>
        </is>
      </c>
      <c r="I35" s="4" t="inlineStr">
        <is>
          <t>Not established</t>
        </is>
      </c>
      <c r="J35" s="6" t="n">
        <v>46323</v>
      </c>
      <c r="K35" s="7" t="inlineStr">
        <is>
          <t>Review status: Approved</t>
        </is>
      </c>
      <c r="L35" s="4" t="inlineStr">
        <is>
          <t>https://maandhan.in/show_content.php?lang=1&amp;level=1&amp;ls_id=104&amp;lid=88&amp;page=101</t>
        </is>
      </c>
      <c r="M35" s="4" t="inlineStr"/>
    </row>
    <row r="36" ht="45" customHeight="1">
      <c r="A36" s="4" t="inlineStr">
        <is>
          <t>C05-L08</t>
        </is>
      </c>
      <c r="B36" s="4" t="inlineStr">
        <is>
          <t>C05</t>
        </is>
      </c>
      <c r="C36" s="4" t="inlineStr">
        <is>
          <t>Sources and References</t>
        </is>
      </c>
      <c r="D36" s="4" t="inlineStr">
        <is>
          <t>CSC Locator</t>
        </is>
      </c>
      <c r="E36" s="5" t="inlineStr">
        <is>
          <t>Open source</t>
        </is>
      </c>
      <c r="F36" s="4" t="inlineStr">
        <is>
          <t>.scheme.schemeContent.references[5]</t>
        </is>
      </c>
      <c r="G36" s="4" t="inlineStr">
        <is>
          <t>Listed by myScheme; destination not independently opened</t>
        </is>
      </c>
      <c r="H36" s="4" t="inlineStr">
        <is>
          <t>As published</t>
        </is>
      </c>
      <c r="I36" s="4" t="inlineStr">
        <is>
          <t>Not established</t>
        </is>
      </c>
      <c r="J36" s="6" t="n">
        <v>46323</v>
      </c>
      <c r="K36" s="7" t="inlineStr">
        <is>
          <t>Review status: Approved</t>
        </is>
      </c>
      <c r="L36" s="4" t="inlineStr">
        <is>
          <t>https://findmycsc.nic.in/csc/</t>
        </is>
      </c>
      <c r="M36" s="4" t="inlineStr"/>
    </row>
    <row r="37" ht="45" customHeight="1">
      <c r="A37" s="4" t="inlineStr">
        <is>
          <t>MS-C06</t>
        </is>
      </c>
      <c r="B37" s="4" t="inlineStr">
        <is>
          <t>C06</t>
        </is>
      </c>
      <c r="C37" s="4" t="inlineStr">
        <is>
          <t>Official scheme page</t>
        </is>
      </c>
      <c r="D37" s="4" t="inlineStr">
        <is>
          <t>Indira Gandhi National Widow Pension Scheme</t>
        </is>
      </c>
      <c r="E37" s="5" t="inlineStr">
        <is>
          <t>Open source</t>
        </is>
      </c>
      <c r="F37" s="4" t="inlineStr">
        <is>
          <t>myScheme scheme page</t>
        </is>
      </c>
      <c r="G37" s="4" t="inlineStr">
        <is>
          <t>Retrieved public myScheme content; policy currency not independently verified</t>
        </is>
      </c>
      <c r="H37" s="4" t="inlineStr">
        <is>
          <t>English</t>
        </is>
      </c>
      <c r="I37" s="4" t="inlineStr">
        <is>
          <t>Effective date not established</t>
        </is>
      </c>
      <c r="J37" s="6" t="n">
        <v>46323</v>
      </c>
      <c r="K37" s="7" t="inlineStr">
        <is>
          <t>Review status: Approved</t>
        </is>
      </c>
      <c r="L37" s="4" t="inlineStr">
        <is>
          <t>https://www.myscheme.gov.in/schemes/ignwps</t>
        </is>
      </c>
      <c r="M37" s="4" t="inlineStr">
        <is>
          <t>7c399dda201006e9e00eaf79fa1cf40adab7b77656fd619cf336e7d3e76f4cde</t>
        </is>
      </c>
    </row>
    <row r="38" ht="45" customHeight="1">
      <c r="A38" s="4" t="inlineStr">
        <is>
          <t>C06-L01</t>
        </is>
      </c>
      <c r="B38" s="4" t="inlineStr">
        <is>
          <t>C06</t>
        </is>
      </c>
      <c r="C38" s="4" t="inlineStr">
        <is>
          <t>Application / document link</t>
        </is>
      </c>
      <c r="D38" s="4" t="inlineStr">
        <is>
          <t>https://web.umang.gov.in/web_new/home</t>
        </is>
      </c>
      <c r="E38" s="5" t="inlineStr">
        <is>
          <t>Open source</t>
        </is>
      </c>
      <c r="F38" s="4" t="inlineStr">
        <is>
          <t>.scheme.applicationProcess[0].process[0].children[0].children[1]</t>
        </is>
      </c>
      <c r="G38" s="4" t="inlineStr">
        <is>
          <t>Listed by myScheme; destination not independently opened</t>
        </is>
      </c>
      <c r="H38" s="4" t="inlineStr">
        <is>
          <t>As published</t>
        </is>
      </c>
      <c r="I38" s="4" t="inlineStr">
        <is>
          <t>Not established</t>
        </is>
      </c>
      <c r="J38" s="6" t="n">
        <v>46323</v>
      </c>
      <c r="K38" s="7" t="inlineStr">
        <is>
          <t>Review status: Approved</t>
        </is>
      </c>
      <c r="L38" s="4" t="inlineStr">
        <is>
          <t>https://web.umang.gov.in/web_new/home</t>
        </is>
      </c>
      <c r="M38" s="4" t="inlineStr"/>
    </row>
    <row r="39" ht="45" customHeight="1">
      <c r="A39" s="4" t="inlineStr">
        <is>
          <t>C06-L02</t>
        </is>
      </c>
      <c r="B39" s="4" t="inlineStr">
        <is>
          <t>C06</t>
        </is>
      </c>
      <c r="C39" s="4" t="inlineStr">
        <is>
          <t>Application / document link</t>
        </is>
      </c>
      <c r="D39" s="4" t="inlineStr">
        <is>
          <t>Source link</t>
        </is>
      </c>
      <c r="E39" s="5" t="inlineStr">
        <is>
          <t>Open source</t>
        </is>
      </c>
      <c r="F39" s="4" t="inlineStr">
        <is>
          <t>.scheme.applicationProcess[0]</t>
        </is>
      </c>
      <c r="G39" s="4" t="inlineStr">
        <is>
          <t>Listed by myScheme; destination not independently opened</t>
        </is>
      </c>
      <c r="H39" s="4" t="inlineStr">
        <is>
          <t>As published</t>
        </is>
      </c>
      <c r="I39" s="4" t="inlineStr">
        <is>
          <t>Not established</t>
        </is>
      </c>
      <c r="J39" s="6" t="n">
        <v>46323</v>
      </c>
      <c r="K39" s="7" t="inlineStr">
        <is>
          <t>Review status: Approved</t>
        </is>
      </c>
      <c r="L39" s="4" t="inlineStr">
        <is>
          <t>https://web.umang.gov.in/web_new/home</t>
        </is>
      </c>
      <c r="M39" s="4" t="inlineStr"/>
    </row>
    <row r="40" ht="45" customHeight="1">
      <c r="A40" s="4" t="inlineStr">
        <is>
          <t>C06-L03</t>
        </is>
      </c>
      <c r="B40" s="4" t="inlineStr">
        <is>
          <t>C06</t>
        </is>
      </c>
      <c r="C40" s="4" t="inlineStr">
        <is>
          <t>Sources and References</t>
        </is>
      </c>
      <c r="D40" s="4" t="inlineStr">
        <is>
          <t>NSAP FAQs</t>
        </is>
      </c>
      <c r="E40" s="5" t="inlineStr">
        <is>
          <t>Open source</t>
        </is>
      </c>
      <c r="F40" s="4" t="inlineStr">
        <is>
          <t>.scheme.schemeContent.references[0]</t>
        </is>
      </c>
      <c r="G40" s="4" t="inlineStr">
        <is>
          <t>Listed by myScheme; destination not independently opened</t>
        </is>
      </c>
      <c r="H40" s="4" t="inlineStr">
        <is>
          <t>As published</t>
        </is>
      </c>
      <c r="I40" s="4" t="inlineStr">
        <is>
          <t>Not established</t>
        </is>
      </c>
      <c r="J40" s="6" t="n">
        <v>46323</v>
      </c>
      <c r="K40" s="7" t="inlineStr">
        <is>
          <t>Review status: Approved</t>
        </is>
      </c>
      <c r="L40" s="4" t="inlineStr">
        <is>
          <t>https://nsap.nic.in/circular.do?method=faq</t>
        </is>
      </c>
      <c r="M40" s="4" t="inlineStr"/>
    </row>
    <row r="41" ht="45" customHeight="1">
      <c r="A41" s="4" t="inlineStr">
        <is>
          <t>C06-L04</t>
        </is>
      </c>
      <c r="B41" s="4" t="inlineStr">
        <is>
          <t>C06</t>
        </is>
      </c>
      <c r="C41" s="4" t="inlineStr">
        <is>
          <t>Sources and References</t>
        </is>
      </c>
      <c r="D41" s="4" t="inlineStr">
        <is>
          <t>NSAP Guidelines</t>
        </is>
      </c>
      <c r="E41" s="5" t="inlineStr">
        <is>
          <t>Open source</t>
        </is>
      </c>
      <c r="F41" s="4" t="inlineStr">
        <is>
          <t>.scheme.schemeContent.references[1]</t>
        </is>
      </c>
      <c r="G41" s="4" t="inlineStr">
        <is>
          <t>Listed by myScheme; destination not independently opened</t>
        </is>
      </c>
      <c r="H41" s="4" t="inlineStr">
        <is>
          <t>As published</t>
        </is>
      </c>
      <c r="I41" s="4" t="inlineStr">
        <is>
          <t>Not established</t>
        </is>
      </c>
      <c r="J41" s="6" t="n">
        <v>46323</v>
      </c>
      <c r="K41" s="7" t="inlineStr">
        <is>
          <t>Review status: Approved</t>
        </is>
      </c>
      <c r="L41" s="4" t="inlineStr">
        <is>
          <t>https://nsap.nic.in/Guidelines/nsap_guidelines_oct2014.pdf</t>
        </is>
      </c>
      <c r="M41" s="4" t="inlineStr"/>
    </row>
    <row r="42" ht="45" customHeight="1">
      <c r="A42" s="4" t="inlineStr">
        <is>
          <t>C06-L05</t>
        </is>
      </c>
      <c r="B42" s="4" t="inlineStr">
        <is>
          <t>C06</t>
        </is>
      </c>
      <c r="C42" s="4" t="inlineStr">
        <is>
          <t>Sources and References</t>
        </is>
      </c>
      <c r="D42" s="4" t="inlineStr">
        <is>
          <t>IGNWPS Office Memorandum Dated 08th Nov 2012</t>
        </is>
      </c>
      <c r="E42" s="5" t="inlineStr">
        <is>
          <t>Open source</t>
        </is>
      </c>
      <c r="F42" s="4" t="inlineStr">
        <is>
          <t>.scheme.schemeContent.references[2]</t>
        </is>
      </c>
      <c r="G42" s="4" t="inlineStr">
        <is>
          <t>Listed by myScheme; destination not independently opened</t>
        </is>
      </c>
      <c r="H42" s="4" t="inlineStr">
        <is>
          <t>As published</t>
        </is>
      </c>
      <c r="I42" s="4" t="inlineStr">
        <is>
          <t>Not established</t>
        </is>
      </c>
      <c r="J42" s="6" t="n">
        <v>46323</v>
      </c>
      <c r="K42" s="7" t="inlineStr">
        <is>
          <t>Review status: Approved</t>
        </is>
      </c>
      <c r="L42" s="4" t="inlineStr">
        <is>
          <t>https://nsap.nic.in/Guidelines/wps.pdf</t>
        </is>
      </c>
      <c r="M42" s="4" t="inlineStr"/>
    </row>
    <row r="43" ht="45" customHeight="1">
      <c r="A43" s="4" t="inlineStr">
        <is>
          <t>C06-L06</t>
        </is>
      </c>
      <c r="B43" s="4" t="inlineStr">
        <is>
          <t>C06</t>
        </is>
      </c>
      <c r="C43" s="4" t="inlineStr">
        <is>
          <t>Sources and References</t>
        </is>
      </c>
      <c r="D43" s="4" t="inlineStr">
        <is>
          <t>IGNWPS Office Memorandum Dated 30th Jun 2011</t>
        </is>
      </c>
      <c r="E43" s="5" t="inlineStr">
        <is>
          <t>Open source</t>
        </is>
      </c>
      <c r="F43" s="4" t="inlineStr">
        <is>
          <t>.scheme.schemeContent.references[3]</t>
        </is>
      </c>
      <c r="G43" s="4" t="inlineStr">
        <is>
          <t>Listed by myScheme; destination not independently opened</t>
        </is>
      </c>
      <c r="H43" s="4" t="inlineStr">
        <is>
          <t>As published</t>
        </is>
      </c>
      <c r="I43" s="4" t="inlineStr">
        <is>
          <t>Not established</t>
        </is>
      </c>
      <c r="J43" s="6" t="n">
        <v>46323</v>
      </c>
      <c r="K43" s="7" t="inlineStr">
        <is>
          <t>Review status: Approved</t>
        </is>
      </c>
      <c r="L43" s="4" t="inlineStr">
        <is>
          <t>https://nsap.nic.in/Guidelines/english_wps.pdf</t>
        </is>
      </c>
      <c r="M43" s="4" t="inlineStr"/>
    </row>
    <row r="44" ht="45" customHeight="1">
      <c r="A44" s="4" t="inlineStr">
        <is>
          <t>C06-L07</t>
        </is>
      </c>
      <c r="B44" s="4" t="inlineStr">
        <is>
          <t>C06</t>
        </is>
      </c>
      <c r="C44" s="4" t="inlineStr">
        <is>
          <t>Sources and References</t>
        </is>
      </c>
      <c r="D44" s="4" t="inlineStr">
        <is>
          <t>IGNWPS Office Memorandum Dated 30th Sep 2009</t>
        </is>
      </c>
      <c r="E44" s="5" t="inlineStr">
        <is>
          <t>Open source</t>
        </is>
      </c>
      <c r="F44" s="4" t="inlineStr">
        <is>
          <t>.scheme.schemeContent.references[4]</t>
        </is>
      </c>
      <c r="G44" s="4" t="inlineStr">
        <is>
          <t>Listed by myScheme; destination not independently opened</t>
        </is>
      </c>
      <c r="H44" s="4" t="inlineStr">
        <is>
          <t>As published</t>
        </is>
      </c>
      <c r="I44" s="4" t="inlineStr">
        <is>
          <t>Not established</t>
        </is>
      </c>
      <c r="J44" s="6" t="n">
        <v>46323</v>
      </c>
      <c r="K44" s="7" t="inlineStr">
        <is>
          <t>Review status: Approved</t>
        </is>
      </c>
      <c r="L44" s="4" t="inlineStr">
        <is>
          <t>https://nsap.nic.in/Guidelines/guidelines%20on%20IGNWPS%2030sep09.pdf</t>
        </is>
      </c>
      <c r="M44" s="4" t="inlineStr"/>
    </row>
    <row r="45" ht="45" customHeight="1">
      <c r="A45" s="4" t="inlineStr">
        <is>
          <t>MS-M01</t>
        </is>
      </c>
      <c r="B45" s="4" t="inlineStr">
        <is>
          <t>M01</t>
        </is>
      </c>
      <c r="C45" s="4" t="inlineStr">
        <is>
          <t>Official scheme page</t>
        </is>
      </c>
      <c r="D45" s="4" t="inlineStr">
        <is>
          <t>Sanjay Gandhi Niradhar Grant Scheme</t>
        </is>
      </c>
      <c r="E45" s="5" t="inlineStr">
        <is>
          <t>Open source</t>
        </is>
      </c>
      <c r="F45" s="4" t="inlineStr">
        <is>
          <t>myScheme scheme page</t>
        </is>
      </c>
      <c r="G45" s="4" t="inlineStr">
        <is>
          <t>Retrieved public myScheme content; policy currency not independently verified</t>
        </is>
      </c>
      <c r="H45" s="4" t="inlineStr">
        <is>
          <t>English</t>
        </is>
      </c>
      <c r="I45" s="4" t="inlineStr">
        <is>
          <t>Effective date not established</t>
        </is>
      </c>
      <c r="J45" s="6" t="n">
        <v>46323</v>
      </c>
      <c r="K45" s="7" t="inlineStr">
        <is>
          <t>Review status: Approved</t>
        </is>
      </c>
      <c r="L45" s="4" t="inlineStr">
        <is>
          <t>https://www.myscheme.gov.in/schemes/sgngs</t>
        </is>
      </c>
      <c r="M45" s="4" t="inlineStr">
        <is>
          <t>4614b9c2046247e977b6f5b992c24a3c79f716e7a12f889dc48f83b0fd2fe87c</t>
        </is>
      </c>
    </row>
    <row r="46" ht="45" customHeight="1">
      <c r="A46" s="4" t="inlineStr">
        <is>
          <t>M01-L01</t>
        </is>
      </c>
      <c r="B46" s="4" t="inlineStr">
        <is>
          <t>M01</t>
        </is>
      </c>
      <c r="C46" s="4" t="inlineStr">
        <is>
          <t>Application / document link</t>
        </is>
      </c>
      <c r="D46" s="4" t="inlineStr">
        <is>
          <t>format</t>
        </is>
      </c>
      <c r="E46" s="5" t="inlineStr">
        <is>
          <t>Open source</t>
        </is>
      </c>
      <c r="F46" s="4" t="inlineStr">
        <is>
          <t>.scheme.applicationProcess[0].process[0].children[2]</t>
        </is>
      </c>
      <c r="G46" s="4" t="inlineStr">
        <is>
          <t>Listed by myScheme; destination not independently opened</t>
        </is>
      </c>
      <c r="H46" s="4" t="inlineStr">
        <is>
          <t>As published</t>
        </is>
      </c>
      <c r="I46" s="4" t="inlineStr">
        <is>
          <t>Not established</t>
        </is>
      </c>
      <c r="J46" s="6" t="n">
        <v>46323</v>
      </c>
      <c r="K46" s="7" t="inlineStr">
        <is>
          <t>Review status: Approved</t>
        </is>
      </c>
      <c r="L46" s="4" t="inlineStr">
        <is>
          <t>https://cdn.s3waas.gov.in/s317e62166fc8586dfa4d1bc0e1742c08b/uploads/2018/03/2018031988.pdf</t>
        </is>
      </c>
      <c r="M46" s="4" t="inlineStr"/>
    </row>
    <row r="47" ht="45" customHeight="1">
      <c r="A47" s="4" t="inlineStr">
        <is>
          <t>M01-L02</t>
        </is>
      </c>
      <c r="B47" s="4" t="inlineStr">
        <is>
          <t>M01</t>
        </is>
      </c>
      <c r="C47" s="4" t="inlineStr">
        <is>
          <t>Application / document link</t>
        </is>
      </c>
      <c r="D47" s="4" t="inlineStr">
        <is>
          <t>Source link</t>
        </is>
      </c>
      <c r="E47" s="5" t="inlineStr">
        <is>
          <t>Open source</t>
        </is>
      </c>
      <c r="F47" s="4" t="inlineStr">
        <is>
          <t>.scheme.applicationProcess[0]</t>
        </is>
      </c>
      <c r="G47" s="4" t="inlineStr">
        <is>
          <t>Listed by myScheme; destination not independently opened</t>
        </is>
      </c>
      <c r="H47" s="4" t="inlineStr">
        <is>
          <t>As published</t>
        </is>
      </c>
      <c r="I47" s="4" t="inlineStr">
        <is>
          <t>Not established</t>
        </is>
      </c>
      <c r="J47" s="6" t="n">
        <v>46323</v>
      </c>
      <c r="K47" s="7" t="inlineStr">
        <is>
          <t>Review status: Approved</t>
        </is>
      </c>
      <c r="L47" s="4" t="inlineStr">
        <is>
          <t>https://cdn.s3waas.gov.in/s317e62166fc8586dfa4d1bc0e1742c08b/uploads/2018/03/2018031988.pdf</t>
        </is>
      </c>
      <c r="M47" s="4" t="inlineStr"/>
    </row>
    <row r="48" ht="45" customHeight="1">
      <c r="A48" s="4" t="inlineStr">
        <is>
          <t>M01-L03</t>
        </is>
      </c>
      <c r="B48" s="4" t="inlineStr">
        <is>
          <t>M01</t>
        </is>
      </c>
      <c r="C48" s="4" t="inlineStr">
        <is>
          <t>Application / document link</t>
        </is>
      </c>
      <c r="D48" s="4" t="inlineStr">
        <is>
          <t>Registration:</t>
        </is>
      </c>
      <c r="E48" s="5" t="inlineStr">
        <is>
          <t>Open source</t>
        </is>
      </c>
      <c r="F48" s="4" t="inlineStr">
        <is>
          <t>.scheme.applicationProcess[1].process[0].children[1]</t>
        </is>
      </c>
      <c r="G48" s="4" t="inlineStr">
        <is>
          <t>Listed by myScheme; destination not independently opened</t>
        </is>
      </c>
      <c r="H48" s="4" t="inlineStr">
        <is>
          <t>As published</t>
        </is>
      </c>
      <c r="I48" s="4" t="inlineStr">
        <is>
          <t>Not established</t>
        </is>
      </c>
      <c r="J48" s="6" t="n">
        <v>46323</v>
      </c>
      <c r="K48" s="7" t="inlineStr">
        <is>
          <t>Review status: Approved</t>
        </is>
      </c>
      <c r="L48" s="4" t="inlineStr">
        <is>
          <t>https://aaplesarkar.mahaonline.gov.in/pdf/UM_AS_Reg.pdf</t>
        </is>
      </c>
      <c r="M48" s="4" t="inlineStr"/>
    </row>
    <row r="49" ht="45" customHeight="1">
      <c r="A49" s="4" t="inlineStr">
        <is>
          <t>M01-L04</t>
        </is>
      </c>
      <c r="B49" s="4" t="inlineStr">
        <is>
          <t>M01</t>
        </is>
      </c>
      <c r="C49" s="4" t="inlineStr">
        <is>
          <t>Application / document link</t>
        </is>
      </c>
      <c r="D49" s="4" t="inlineStr">
        <is>
          <t>Official Portal</t>
        </is>
      </c>
      <c r="E49" s="5" t="inlineStr">
        <is>
          <t>Open source</t>
        </is>
      </c>
      <c r="F49" s="4" t="inlineStr">
        <is>
          <t>.scheme.applicationProcess[1].process[2].children[2]</t>
        </is>
      </c>
      <c r="G49" s="4" t="inlineStr">
        <is>
          <t>Listed by myScheme; destination not independently opened</t>
        </is>
      </c>
      <c r="H49" s="4" t="inlineStr">
        <is>
          <t>As published</t>
        </is>
      </c>
      <c r="I49" s="4" t="inlineStr">
        <is>
          <t>Not established</t>
        </is>
      </c>
      <c r="J49" s="6" t="n">
        <v>46323</v>
      </c>
      <c r="K49" s="7" t="inlineStr">
        <is>
          <t>Review status: Approved</t>
        </is>
      </c>
      <c r="L49" s="4" t="inlineStr">
        <is>
          <t>https://aaplesarkar.mahaonline.gov.in/</t>
        </is>
      </c>
      <c r="M49" s="4" t="inlineStr"/>
    </row>
    <row r="50" ht="45" customHeight="1">
      <c r="A50" s="4" t="inlineStr">
        <is>
          <t>M01-L05</t>
        </is>
      </c>
      <c r="B50" s="4" t="inlineStr">
        <is>
          <t>M01</t>
        </is>
      </c>
      <c r="C50" s="4" t="inlineStr">
        <is>
          <t>Application / document link</t>
        </is>
      </c>
      <c r="D50" s="4" t="inlineStr">
        <is>
          <t>Registration Page</t>
        </is>
      </c>
      <c r="E50" s="5" t="inlineStr">
        <is>
          <t>Open source</t>
        </is>
      </c>
      <c r="F50" s="4" t="inlineStr">
        <is>
          <t>.scheme.applicationProcess[1].process[2].children[4]</t>
        </is>
      </c>
      <c r="G50" s="4" t="inlineStr">
        <is>
          <t>Listed by myScheme; destination not independently opened</t>
        </is>
      </c>
      <c r="H50" s="4" t="inlineStr">
        <is>
          <t>As published</t>
        </is>
      </c>
      <c r="I50" s="4" t="inlineStr">
        <is>
          <t>Not established</t>
        </is>
      </c>
      <c r="J50" s="6" t="n">
        <v>46323</v>
      </c>
      <c r="K50" s="7" t="inlineStr">
        <is>
          <t>Review status: Approved</t>
        </is>
      </c>
      <c r="L50" s="4" t="inlineStr">
        <is>
          <t>https://aaplesarkar.mahaonline.gov.in/en/Registration/Register</t>
        </is>
      </c>
      <c r="M50" s="4" t="inlineStr"/>
    </row>
    <row r="51" ht="45" customHeight="1">
      <c r="A51" s="4" t="inlineStr">
        <is>
          <t>M01-L06</t>
        </is>
      </c>
      <c r="B51" s="4" t="inlineStr">
        <is>
          <t>M01</t>
        </is>
      </c>
      <c r="C51" s="4" t="inlineStr">
        <is>
          <t>Application / document link</t>
        </is>
      </c>
      <c r="D51" s="4" t="inlineStr">
        <is>
          <t>Registration Manual</t>
        </is>
      </c>
      <c r="E51" s="5" t="inlineStr">
        <is>
          <t>Open source</t>
        </is>
      </c>
      <c r="F51" s="4" t="inlineStr">
        <is>
          <t>.scheme.applicationProcess[1].process[4].children[2]</t>
        </is>
      </c>
      <c r="G51" s="4" t="inlineStr">
        <is>
          <t>Listed by myScheme; destination not independently opened</t>
        </is>
      </c>
      <c r="H51" s="4" t="inlineStr">
        <is>
          <t>As published</t>
        </is>
      </c>
      <c r="I51" s="4" t="inlineStr">
        <is>
          <t>Not established</t>
        </is>
      </c>
      <c r="J51" s="6" t="n">
        <v>46323</v>
      </c>
      <c r="K51" s="7" t="inlineStr">
        <is>
          <t>Review status: Approved</t>
        </is>
      </c>
      <c r="L51" s="4" t="inlineStr">
        <is>
          <t>https://aaplesarkar.mahaonline.gov.in/pdf/UM_AS_Reg.pdf</t>
        </is>
      </c>
      <c r="M51" s="4" t="inlineStr"/>
    </row>
    <row r="52" ht="45" customHeight="1">
      <c r="A52" s="4" t="inlineStr">
        <is>
          <t>M01-L07</t>
        </is>
      </c>
      <c r="B52" s="4" t="inlineStr">
        <is>
          <t>M01</t>
        </is>
      </c>
      <c r="C52" s="4" t="inlineStr">
        <is>
          <t>Application / document link</t>
        </is>
      </c>
      <c r="D52" s="4" t="inlineStr">
        <is>
          <t>Upload your Photograph</t>
        </is>
      </c>
      <c r="E52" s="5" t="inlineStr">
        <is>
          <t>Open source</t>
        </is>
      </c>
      <c r="F52" s="4" t="inlineStr">
        <is>
          <t>.scheme.applicationProcess[1].process[12].children[2]</t>
        </is>
      </c>
      <c r="G52" s="4" t="inlineStr">
        <is>
          <t>Listed by myScheme; destination not independently opened</t>
        </is>
      </c>
      <c r="H52" s="4" t="inlineStr">
        <is>
          <t>As published</t>
        </is>
      </c>
      <c r="I52" s="4" t="inlineStr">
        <is>
          <t>Not established</t>
        </is>
      </c>
      <c r="J52" s="6" t="n">
        <v>46323</v>
      </c>
      <c r="K52" s="7" t="inlineStr">
        <is>
          <t>Review status: Approved</t>
        </is>
      </c>
      <c r="L52" s="4" t="inlineStr">
        <is>
          <t>https://aaplesarkar.mahaonline.gov.in/pdf/Photoupload.pdf</t>
        </is>
      </c>
      <c r="M52" s="4" t="inlineStr"/>
    </row>
    <row r="53" ht="45" customHeight="1">
      <c r="A53" s="4" t="inlineStr">
        <is>
          <t>M01-L08</t>
        </is>
      </c>
      <c r="B53" s="4" t="inlineStr">
        <is>
          <t>M01</t>
        </is>
      </c>
      <c r="C53" s="4" t="inlineStr">
        <is>
          <t>Application / document link</t>
        </is>
      </c>
      <c r="D53" s="4" t="inlineStr">
        <is>
          <t>Official Portal</t>
        </is>
      </c>
      <c r="E53" s="5" t="inlineStr">
        <is>
          <t>Open source</t>
        </is>
      </c>
      <c r="F53" s="4" t="inlineStr">
        <is>
          <t>.scheme.applicationProcess[1].process[30].children[2]</t>
        </is>
      </c>
      <c r="G53" s="4" t="inlineStr">
        <is>
          <t>Listed by myScheme; destination not independently opened</t>
        </is>
      </c>
      <c r="H53" s="4" t="inlineStr">
        <is>
          <t>As published</t>
        </is>
      </c>
      <c r="I53" s="4" t="inlineStr">
        <is>
          <t>Not established</t>
        </is>
      </c>
      <c r="J53" s="6" t="n">
        <v>46323</v>
      </c>
      <c r="K53" s="7" t="inlineStr">
        <is>
          <t>Review status: Approved</t>
        </is>
      </c>
      <c r="L53" s="4" t="inlineStr">
        <is>
          <t>https://aaplesarkar.mahaonline.gov.in/</t>
        </is>
      </c>
      <c r="M53" s="4" t="inlineStr"/>
    </row>
    <row r="54" ht="45" customHeight="1">
      <c r="A54" s="4" t="inlineStr">
        <is>
          <t>M01-L09</t>
        </is>
      </c>
      <c r="B54" s="4" t="inlineStr">
        <is>
          <t>M01</t>
        </is>
      </c>
      <c r="C54" s="4" t="inlineStr">
        <is>
          <t>Application / document link</t>
        </is>
      </c>
      <c r="D54" s="4" t="inlineStr">
        <is>
          <t>Source link</t>
        </is>
      </c>
      <c r="E54" s="5" t="inlineStr">
        <is>
          <t>Open source</t>
        </is>
      </c>
      <c r="F54" s="4" t="inlineStr">
        <is>
          <t>.scheme.applicationProcess[1]</t>
        </is>
      </c>
      <c r="G54" s="4" t="inlineStr">
        <is>
          <t>Listed by myScheme; destination not independently opened</t>
        </is>
      </c>
      <c r="H54" s="4" t="inlineStr">
        <is>
          <t>As published</t>
        </is>
      </c>
      <c r="I54" s="4" t="inlineStr">
        <is>
          <t>Not established</t>
        </is>
      </c>
      <c r="J54" s="6" t="n">
        <v>46323</v>
      </c>
      <c r="K54" s="7" t="inlineStr">
        <is>
          <t>Review status: Approved</t>
        </is>
      </c>
      <c r="L54" s="4" t="inlineStr">
        <is>
          <t>https://aaplesarkar.mahaonline.gov.in/</t>
        </is>
      </c>
      <c r="M54" s="4" t="inlineStr"/>
    </row>
    <row r="55" ht="45" customHeight="1">
      <c r="A55" s="4" t="inlineStr">
        <is>
          <t>M01-L10</t>
        </is>
      </c>
      <c r="B55" s="4" t="inlineStr">
        <is>
          <t>M01</t>
        </is>
      </c>
      <c r="C55" s="4" t="inlineStr">
        <is>
          <t>Sources and References</t>
        </is>
      </c>
      <c r="D55" s="4" t="inlineStr">
        <is>
          <t>Guidelines</t>
        </is>
      </c>
      <c r="E55" s="5" t="inlineStr">
        <is>
          <t>Open source</t>
        </is>
      </c>
      <c r="F55" s="4" t="inlineStr">
        <is>
          <t>.scheme.schemeContent.references[0]</t>
        </is>
      </c>
      <c r="G55" s="4" t="inlineStr">
        <is>
          <t>Listed by myScheme; destination not independently opened</t>
        </is>
      </c>
      <c r="H55" s="4" t="inlineStr">
        <is>
          <t>As published</t>
        </is>
      </c>
      <c r="I55" s="4" t="inlineStr">
        <is>
          <t>Not established</t>
        </is>
      </c>
      <c r="J55" s="6" t="n">
        <v>46323</v>
      </c>
      <c r="K55" s="7" t="inlineStr">
        <is>
          <t>Review status: Approved</t>
        </is>
      </c>
      <c r="L55" s="4" t="inlineStr">
        <is>
          <t>https://sjsa.maharashtra.gov.in/mr/schemes-page?scheme_nature=37</t>
        </is>
      </c>
      <c r="M55" s="4" t="inlineStr"/>
    </row>
    <row r="56" ht="45" customHeight="1">
      <c r="A56" s="4" t="inlineStr">
        <is>
          <t>M01-L11</t>
        </is>
      </c>
      <c r="B56" s="4" t="inlineStr">
        <is>
          <t>M01</t>
        </is>
      </c>
      <c r="C56" s="4" t="inlineStr">
        <is>
          <t>Sources and References</t>
        </is>
      </c>
      <c r="D56" s="4" t="inlineStr">
        <is>
          <t>Guidelines (Marathi)</t>
        </is>
      </c>
      <c r="E56" s="5" t="inlineStr">
        <is>
          <t>Open source</t>
        </is>
      </c>
      <c r="F56" s="4" t="inlineStr">
        <is>
          <t>.scheme.schemeContent.references[1]</t>
        </is>
      </c>
      <c r="G56" s="4" t="inlineStr">
        <is>
          <t>Listed by myScheme; destination not independently opened</t>
        </is>
      </c>
      <c r="H56" s="4" t="inlineStr">
        <is>
          <t>As published</t>
        </is>
      </c>
      <c r="I56" s="4" t="inlineStr">
        <is>
          <t>Not established</t>
        </is>
      </c>
      <c r="J56" s="6" t="n">
        <v>46323</v>
      </c>
      <c r="K56" s="7" t="inlineStr">
        <is>
          <t>Review status: Approved</t>
        </is>
      </c>
      <c r="L56" s="4" t="inlineStr">
        <is>
          <t>https://static.s3waas.gov.in/s3db85e2590b6109813dafa101ceb2faeb/uploads/2018/03/2018030785.pdf</t>
        </is>
      </c>
      <c r="M56" s="4" t="inlineStr"/>
    </row>
    <row r="57" ht="54.4" customHeight="1">
      <c r="A57" s="4" t="inlineStr">
        <is>
          <t>M01-L12</t>
        </is>
      </c>
      <c r="B57" s="4" t="inlineStr">
        <is>
          <t>M01</t>
        </is>
      </c>
      <c r="C57" s="4" t="inlineStr">
        <is>
          <t>Sources and References</t>
        </is>
      </c>
      <c r="D57" s="4" t="inlineStr">
        <is>
          <t>Mumbai Suburban</t>
        </is>
      </c>
      <c r="E57" s="5" t="inlineStr">
        <is>
          <t>Open source</t>
        </is>
      </c>
      <c r="F57" s="4" t="inlineStr">
        <is>
          <t>.scheme.schemeContent.references[2]</t>
        </is>
      </c>
      <c r="G57" s="4" t="inlineStr">
        <is>
          <t>Listed by myScheme; destination not independently opened</t>
        </is>
      </c>
      <c r="H57" s="4" t="inlineStr">
        <is>
          <t>As published</t>
        </is>
      </c>
      <c r="I57" s="4" t="inlineStr">
        <is>
          <t>Not established</t>
        </is>
      </c>
      <c r="J57" s="6" t="n">
        <v>46323</v>
      </c>
      <c r="K57" s="7" t="inlineStr">
        <is>
          <t>Review status: Approved</t>
        </is>
      </c>
      <c r="L57" s="4" t="inlineStr">
        <is>
          <t>https://mumbaisuburban.gov.in/scheme/sanjay-gandhi-niradhar-pension-scheme/#:~:text=To%20provide%20financial%20assistance%20to,outraged%20women%2C%20Transgender%2C%20etc.</t>
        </is>
      </c>
      <c r="M57" s="4" t="inlineStr"/>
    </row>
    <row r="58" ht="45" customHeight="1">
      <c r="A58" s="4" t="inlineStr">
        <is>
          <t>M01-L13</t>
        </is>
      </c>
      <c r="B58" s="4" t="inlineStr">
        <is>
          <t>M01</t>
        </is>
      </c>
      <c r="C58" s="4" t="inlineStr">
        <is>
          <t>Sources and References</t>
        </is>
      </c>
      <c r="D58" s="4" t="inlineStr">
        <is>
          <t>Application Form</t>
        </is>
      </c>
      <c r="E58" s="5" t="inlineStr">
        <is>
          <t>Open source</t>
        </is>
      </c>
      <c r="F58" s="4" t="inlineStr">
        <is>
          <t>.scheme.schemeContent.references[3]</t>
        </is>
      </c>
      <c r="G58" s="4" t="inlineStr">
        <is>
          <t>Listed by myScheme; destination not independently opened</t>
        </is>
      </c>
      <c r="H58" s="4" t="inlineStr">
        <is>
          <t>As published</t>
        </is>
      </c>
      <c r="I58" s="4" t="inlineStr">
        <is>
          <t>Not established</t>
        </is>
      </c>
      <c r="J58" s="6" t="n">
        <v>46323</v>
      </c>
      <c r="K58" s="7" t="inlineStr">
        <is>
          <t>Review status: Approved</t>
        </is>
      </c>
      <c r="L58" s="4" t="inlineStr">
        <is>
          <t>https://cdn.s3waas.gov.in/s304025959b191f8f9de3f924f0940515f/uploads/2018/04/2018040628-1.pdf</t>
        </is>
      </c>
      <c r="M58" s="4" t="inlineStr"/>
    </row>
    <row r="59" ht="45" customHeight="1">
      <c r="A59" s="4" t="inlineStr">
        <is>
          <t>M01-L14</t>
        </is>
      </c>
      <c r="B59" s="4" t="inlineStr">
        <is>
          <t>M01</t>
        </is>
      </c>
      <c r="C59" s="4" t="inlineStr">
        <is>
          <t>Sources and References</t>
        </is>
      </c>
      <c r="D59" s="4" t="inlineStr">
        <is>
          <t>Contact Us</t>
        </is>
      </c>
      <c r="E59" s="5" t="inlineStr">
        <is>
          <t>Open source</t>
        </is>
      </c>
      <c r="F59" s="4" t="inlineStr">
        <is>
          <t>.scheme.schemeContent.references[4]</t>
        </is>
      </c>
      <c r="G59" s="4" t="inlineStr">
        <is>
          <t>Listed by myScheme; destination not independently opened</t>
        </is>
      </c>
      <c r="H59" s="4" t="inlineStr">
        <is>
          <t>As published</t>
        </is>
      </c>
      <c r="I59" s="4" t="inlineStr">
        <is>
          <t>Not established</t>
        </is>
      </c>
      <c r="J59" s="6" t="n">
        <v>46323</v>
      </c>
      <c r="K59" s="7" t="inlineStr">
        <is>
          <t>Review status: Approved</t>
        </is>
      </c>
      <c r="L59" s="4" t="inlineStr">
        <is>
          <t>https://aaplesarkar.mahaonline.gov.in/en/CommonForm/ContactUs</t>
        </is>
      </c>
      <c r="M59" s="4" t="inlineStr"/>
    </row>
    <row r="60" ht="45" customHeight="1">
      <c r="A60" s="4" t="inlineStr">
        <is>
          <t>M01-L15</t>
        </is>
      </c>
      <c r="B60" s="4" t="inlineStr">
        <is>
          <t>M01</t>
        </is>
      </c>
      <c r="C60" s="4" t="inlineStr">
        <is>
          <t>Sources and References</t>
        </is>
      </c>
      <c r="D60" s="4" t="inlineStr">
        <is>
          <t>Photo Upload Manual</t>
        </is>
      </c>
      <c r="E60" s="5" t="inlineStr">
        <is>
          <t>Open source</t>
        </is>
      </c>
      <c r="F60" s="4" t="inlineStr">
        <is>
          <t>.scheme.schemeContent.references[5]</t>
        </is>
      </c>
      <c r="G60" s="4" t="inlineStr">
        <is>
          <t>Listed by myScheme; destination not independently opened</t>
        </is>
      </c>
      <c r="H60" s="4" t="inlineStr">
        <is>
          <t>As published</t>
        </is>
      </c>
      <c r="I60" s="4" t="inlineStr">
        <is>
          <t>Not established</t>
        </is>
      </c>
      <c r="J60" s="6" t="n">
        <v>46323</v>
      </c>
      <c r="K60" s="7" t="inlineStr">
        <is>
          <t>Review status: Approved</t>
        </is>
      </c>
      <c r="L60" s="4" t="inlineStr">
        <is>
          <t>https://aaplesarkar.mahaonline.gov.in/pdf/Photoupload.pdf</t>
        </is>
      </c>
      <c r="M60" s="4" t="inlineStr"/>
    </row>
    <row r="61" ht="45" customHeight="1">
      <c r="A61" s="4" t="inlineStr">
        <is>
          <t>M01-L16</t>
        </is>
      </c>
      <c r="B61" s="4" t="inlineStr">
        <is>
          <t>M01</t>
        </is>
      </c>
      <c r="C61" s="4" t="inlineStr">
        <is>
          <t>Sources and References</t>
        </is>
      </c>
      <c r="D61" s="4" t="inlineStr">
        <is>
          <t>Seva Kendras</t>
        </is>
      </c>
      <c r="E61" s="5" t="inlineStr">
        <is>
          <t>Open source</t>
        </is>
      </c>
      <c r="F61" s="4" t="inlineStr">
        <is>
          <t>.scheme.schemeContent.references[6]</t>
        </is>
      </c>
      <c r="G61" s="4" t="inlineStr">
        <is>
          <t>Listed by myScheme; destination not independently opened</t>
        </is>
      </c>
      <c r="H61" s="4" t="inlineStr">
        <is>
          <t>As published</t>
        </is>
      </c>
      <c r="I61" s="4" t="inlineStr">
        <is>
          <t>Not established</t>
        </is>
      </c>
      <c r="J61" s="6" t="n">
        <v>46323</v>
      </c>
      <c r="K61" s="7" t="inlineStr">
        <is>
          <t>Review status: Approved</t>
        </is>
      </c>
      <c r="L61" s="4" t="inlineStr">
        <is>
          <t>https://aaplesarkar.mahaonline.gov.in/en/CommonForm/SewaKendraDetails</t>
        </is>
      </c>
      <c r="M61" s="4" t="inlineStr"/>
    </row>
    <row r="62" ht="45" customHeight="1">
      <c r="A62" s="4" t="inlineStr">
        <is>
          <t>MS-M02</t>
        </is>
      </c>
      <c r="B62" s="4" t="inlineStr">
        <is>
          <t>M02</t>
        </is>
      </c>
      <c r="C62" s="4" t="inlineStr">
        <is>
          <t>Official scheme page</t>
        </is>
      </c>
      <c r="D62" s="4" t="inlineStr">
        <is>
          <t>Shravanbal Seva State Pension Scheme</t>
        </is>
      </c>
      <c r="E62" s="5" t="inlineStr">
        <is>
          <t>Open source</t>
        </is>
      </c>
      <c r="F62" s="4" t="inlineStr">
        <is>
          <t>myScheme scheme page</t>
        </is>
      </c>
      <c r="G62" s="4" t="inlineStr">
        <is>
          <t>Retrieved public myScheme content; policy currency not independently verified</t>
        </is>
      </c>
      <c r="H62" s="4" t="inlineStr">
        <is>
          <t>English</t>
        </is>
      </c>
      <c r="I62" s="4" t="inlineStr">
        <is>
          <t>Effective date not established</t>
        </is>
      </c>
      <c r="J62" s="6" t="n">
        <v>46323</v>
      </c>
      <c r="K62" s="7" t="inlineStr">
        <is>
          <t>Review status: Approved</t>
        </is>
      </c>
      <c r="L62" s="4" t="inlineStr">
        <is>
          <t>https://www.myscheme.gov.in/schemes/sbssps</t>
        </is>
      </c>
      <c r="M62" s="4" t="inlineStr">
        <is>
          <t>0e33c069a22a52d1749ac8a9f3337be60eb5dbda25495ec64cfa1ebcc0e1e5d2</t>
        </is>
      </c>
    </row>
    <row r="63" ht="45" customHeight="1">
      <c r="A63" s="4" t="inlineStr">
        <is>
          <t>M02-L01</t>
        </is>
      </c>
      <c r="B63" s="4" t="inlineStr">
        <is>
          <t>M02</t>
        </is>
      </c>
      <c r="C63" s="4" t="inlineStr">
        <is>
          <t>Application / document link</t>
        </is>
      </c>
      <c r="D63" s="4" t="inlineStr">
        <is>
          <t>Registration:</t>
        </is>
      </c>
      <c r="E63" s="5" t="inlineStr">
        <is>
          <t>Open source</t>
        </is>
      </c>
      <c r="F63" s="4" t="inlineStr">
        <is>
          <t>.scheme.applicationProcess[0].process[0].children[1]</t>
        </is>
      </c>
      <c r="G63" s="4" t="inlineStr">
        <is>
          <t>Listed by myScheme; destination not independently opened</t>
        </is>
      </c>
      <c r="H63" s="4" t="inlineStr">
        <is>
          <t>As published</t>
        </is>
      </c>
      <c r="I63" s="4" t="inlineStr">
        <is>
          <t>Not established</t>
        </is>
      </c>
      <c r="J63" s="6" t="n">
        <v>46323</v>
      </c>
      <c r="K63" s="7" t="inlineStr">
        <is>
          <t>Review status: Approved</t>
        </is>
      </c>
      <c r="L63" s="4" t="inlineStr">
        <is>
          <t>https://aaplesarkar.mahaonline.gov.in/pdf/UM_AS_Reg.pdf</t>
        </is>
      </c>
      <c r="M63" s="4" t="inlineStr"/>
    </row>
    <row r="64" ht="45" customHeight="1">
      <c r="A64" s="4" t="inlineStr">
        <is>
          <t>M02-L02</t>
        </is>
      </c>
      <c r="B64" s="4" t="inlineStr">
        <is>
          <t>M02</t>
        </is>
      </c>
      <c r="C64" s="4" t="inlineStr">
        <is>
          <t>Application / document link</t>
        </is>
      </c>
      <c r="D64" s="4" t="inlineStr">
        <is>
          <t>Official Portal</t>
        </is>
      </c>
      <c r="E64" s="5" t="inlineStr">
        <is>
          <t>Open source</t>
        </is>
      </c>
      <c r="F64" s="4" t="inlineStr">
        <is>
          <t>.scheme.applicationProcess[0].process[2].children[2]</t>
        </is>
      </c>
      <c r="G64" s="4" t="inlineStr">
        <is>
          <t>Listed by myScheme; destination not independently opened</t>
        </is>
      </c>
      <c r="H64" s="4" t="inlineStr">
        <is>
          <t>As published</t>
        </is>
      </c>
      <c r="I64" s="4" t="inlineStr">
        <is>
          <t>Not established</t>
        </is>
      </c>
      <c r="J64" s="6" t="n">
        <v>46323</v>
      </c>
      <c r="K64" s="7" t="inlineStr">
        <is>
          <t>Review status: Approved</t>
        </is>
      </c>
      <c r="L64" s="4" t="inlineStr">
        <is>
          <t>https://aaplesarkar.mahaonline.gov.in/</t>
        </is>
      </c>
      <c r="M64" s="4" t="inlineStr"/>
    </row>
    <row r="65" ht="45" customHeight="1">
      <c r="A65" s="4" t="inlineStr">
        <is>
          <t>M02-L03</t>
        </is>
      </c>
      <c r="B65" s="4" t="inlineStr">
        <is>
          <t>M02</t>
        </is>
      </c>
      <c r="C65" s="4" t="inlineStr">
        <is>
          <t>Application / document link</t>
        </is>
      </c>
      <c r="D65" s="4" t="inlineStr">
        <is>
          <t>Registration Page</t>
        </is>
      </c>
      <c r="E65" s="5" t="inlineStr">
        <is>
          <t>Open source</t>
        </is>
      </c>
      <c r="F65" s="4" t="inlineStr">
        <is>
          <t>.scheme.applicationProcess[0].process[2].children[4]</t>
        </is>
      </c>
      <c r="G65" s="4" t="inlineStr">
        <is>
          <t>Listed by myScheme; destination not independently opened</t>
        </is>
      </c>
      <c r="H65" s="4" t="inlineStr">
        <is>
          <t>As published</t>
        </is>
      </c>
      <c r="I65" s="4" t="inlineStr">
        <is>
          <t>Not established</t>
        </is>
      </c>
      <c r="J65" s="6" t="n">
        <v>46323</v>
      </c>
      <c r="K65" s="7" t="inlineStr">
        <is>
          <t>Review status: Approved</t>
        </is>
      </c>
      <c r="L65" s="4" t="inlineStr">
        <is>
          <t>https://aaplesarkar.mahaonline.gov.in/en/Registration/Register</t>
        </is>
      </c>
      <c r="M65" s="4" t="inlineStr"/>
    </row>
    <row r="66" ht="45" customHeight="1">
      <c r="A66" s="4" t="inlineStr">
        <is>
          <t>M02-L04</t>
        </is>
      </c>
      <c r="B66" s="4" t="inlineStr">
        <is>
          <t>M02</t>
        </is>
      </c>
      <c r="C66" s="4" t="inlineStr">
        <is>
          <t>Application / document link</t>
        </is>
      </c>
      <c r="D66" s="4" t="inlineStr">
        <is>
          <t>Registration Manual</t>
        </is>
      </c>
      <c r="E66" s="5" t="inlineStr">
        <is>
          <t>Open source</t>
        </is>
      </c>
      <c r="F66" s="4" t="inlineStr">
        <is>
          <t>.scheme.applicationProcess[0].process[4].children[2]</t>
        </is>
      </c>
      <c r="G66" s="4" t="inlineStr">
        <is>
          <t>Listed by myScheme; destination not independently opened</t>
        </is>
      </c>
      <c r="H66" s="4" t="inlineStr">
        <is>
          <t>As published</t>
        </is>
      </c>
      <c r="I66" s="4" t="inlineStr">
        <is>
          <t>Not established</t>
        </is>
      </c>
      <c r="J66" s="6" t="n">
        <v>46323</v>
      </c>
      <c r="K66" s="7" t="inlineStr">
        <is>
          <t>Review status: Approved</t>
        </is>
      </c>
      <c r="L66" s="4" t="inlineStr">
        <is>
          <t>https://aaplesarkar.mahaonline.gov.in/pdf/UM_AS_Reg.pdf</t>
        </is>
      </c>
      <c r="M66" s="4" t="inlineStr"/>
    </row>
    <row r="67" ht="45" customHeight="1">
      <c r="A67" s="4" t="inlineStr">
        <is>
          <t>M02-L05</t>
        </is>
      </c>
      <c r="B67" s="4" t="inlineStr">
        <is>
          <t>M02</t>
        </is>
      </c>
      <c r="C67" s="4" t="inlineStr">
        <is>
          <t>Application / document link</t>
        </is>
      </c>
      <c r="D67" s="4" t="inlineStr">
        <is>
          <t>Upload your Photograph</t>
        </is>
      </c>
      <c r="E67" s="5" t="inlineStr">
        <is>
          <t>Open source</t>
        </is>
      </c>
      <c r="F67" s="4" t="inlineStr">
        <is>
          <t>.scheme.applicationProcess[0].process[12].children[2]</t>
        </is>
      </c>
      <c r="G67" s="4" t="inlineStr">
        <is>
          <t>Listed by myScheme; destination not independently opened</t>
        </is>
      </c>
      <c r="H67" s="4" t="inlineStr">
        <is>
          <t>As published</t>
        </is>
      </c>
      <c r="I67" s="4" t="inlineStr">
        <is>
          <t>Not established</t>
        </is>
      </c>
      <c r="J67" s="6" t="n">
        <v>46323</v>
      </c>
      <c r="K67" s="7" t="inlineStr">
        <is>
          <t>Review status: Approved</t>
        </is>
      </c>
      <c r="L67" s="4" t="inlineStr">
        <is>
          <t>https://aaplesarkar.mahaonline.gov.in/pdf/Photoupload.pdf</t>
        </is>
      </c>
      <c r="M67" s="4" t="inlineStr"/>
    </row>
    <row r="68" ht="45" customHeight="1">
      <c r="A68" s="4" t="inlineStr">
        <is>
          <t>M02-L06</t>
        </is>
      </c>
      <c r="B68" s="4" t="inlineStr">
        <is>
          <t>M02</t>
        </is>
      </c>
      <c r="C68" s="4" t="inlineStr">
        <is>
          <t>Application / document link</t>
        </is>
      </c>
      <c r="D68" s="4" t="inlineStr">
        <is>
          <t>Official Portal</t>
        </is>
      </c>
      <c r="E68" s="5" t="inlineStr">
        <is>
          <t>Open source</t>
        </is>
      </c>
      <c r="F68" s="4" t="inlineStr">
        <is>
          <t>.scheme.applicationProcess[0].process[30].children[2]</t>
        </is>
      </c>
      <c r="G68" s="4" t="inlineStr">
        <is>
          <t>Listed by myScheme; destination not independently opened</t>
        </is>
      </c>
      <c r="H68" s="4" t="inlineStr">
        <is>
          <t>As published</t>
        </is>
      </c>
      <c r="I68" s="4" t="inlineStr">
        <is>
          <t>Not established</t>
        </is>
      </c>
      <c r="J68" s="6" t="n">
        <v>46323</v>
      </c>
      <c r="K68" s="7" t="inlineStr">
        <is>
          <t>Review status: Approved</t>
        </is>
      </c>
      <c r="L68" s="4" t="inlineStr">
        <is>
          <t>https://aaplesarkar.mahaonline.gov.in/</t>
        </is>
      </c>
      <c r="M68" s="4" t="inlineStr"/>
    </row>
    <row r="69" ht="45" customHeight="1">
      <c r="A69" s="4" t="inlineStr">
        <is>
          <t>M02-L07</t>
        </is>
      </c>
      <c r="B69" s="4" t="inlineStr">
        <is>
          <t>M02</t>
        </is>
      </c>
      <c r="C69" s="4" t="inlineStr">
        <is>
          <t>Application / document link</t>
        </is>
      </c>
      <c r="D69" s="4" t="inlineStr">
        <is>
          <t>Source link</t>
        </is>
      </c>
      <c r="E69" s="5" t="inlineStr">
        <is>
          <t>Open source</t>
        </is>
      </c>
      <c r="F69" s="4" t="inlineStr">
        <is>
          <t>.scheme.applicationProcess[0]</t>
        </is>
      </c>
      <c r="G69" s="4" t="inlineStr">
        <is>
          <t>Listed by myScheme; destination not independently opened</t>
        </is>
      </c>
      <c r="H69" s="4" t="inlineStr">
        <is>
          <t>As published</t>
        </is>
      </c>
      <c r="I69" s="4" t="inlineStr">
        <is>
          <t>Not established</t>
        </is>
      </c>
      <c r="J69" s="6" t="n">
        <v>46323</v>
      </c>
      <c r="K69" s="7" t="inlineStr">
        <is>
          <t>Review status: Approved</t>
        </is>
      </c>
      <c r="L69" s="4" t="inlineStr">
        <is>
          <t>https://aaplesarkar.mahaonline.gov.in/</t>
        </is>
      </c>
      <c r="M69" s="4" t="inlineStr"/>
    </row>
    <row r="70" ht="45" customHeight="1">
      <c r="A70" s="4" t="inlineStr">
        <is>
          <t>M02-L08</t>
        </is>
      </c>
      <c r="B70" s="4" t="inlineStr">
        <is>
          <t>M02</t>
        </is>
      </c>
      <c r="C70" s="4" t="inlineStr">
        <is>
          <t>Application / document link</t>
        </is>
      </c>
      <c r="D70" s="4" t="inlineStr">
        <is>
          <t>Source link</t>
        </is>
      </c>
      <c r="E70" s="5" t="inlineStr">
        <is>
          <t>Open source</t>
        </is>
      </c>
      <c r="F70" s="4" t="inlineStr">
        <is>
          <t>.scheme.applicationProcess[1].process[0].children[2]</t>
        </is>
      </c>
      <c r="G70" s="4" t="inlineStr">
        <is>
          <t>Listed by myScheme; destination not independently opened</t>
        </is>
      </c>
      <c r="H70" s="4" t="inlineStr">
        <is>
          <t>As published</t>
        </is>
      </c>
      <c r="I70" s="4" t="inlineStr">
        <is>
          <t>Not established</t>
        </is>
      </c>
      <c r="J70" s="6" t="n">
        <v>46323</v>
      </c>
      <c r="K70" s="7" t="inlineStr">
        <is>
          <t>Review status: Approved</t>
        </is>
      </c>
      <c r="L70" s="4" t="inlineStr">
        <is>
          <t>https://cdn.s3waas.gov.in/s317e62166fc8586dfa4d1bc0e1742c08b/uploads/2018/03/2018031988.pdf</t>
        </is>
      </c>
      <c r="M70" s="4" t="inlineStr"/>
    </row>
    <row r="71" ht="45" customHeight="1">
      <c r="A71" s="4" t="inlineStr">
        <is>
          <t>M02-L09</t>
        </is>
      </c>
      <c r="B71" s="4" t="inlineStr">
        <is>
          <t>M02</t>
        </is>
      </c>
      <c r="C71" s="4" t="inlineStr">
        <is>
          <t>Sources and References</t>
        </is>
      </c>
      <c r="D71" s="4" t="inlineStr">
        <is>
          <t>Guidelines</t>
        </is>
      </c>
      <c r="E71" s="5" t="inlineStr">
        <is>
          <t>Open source</t>
        </is>
      </c>
      <c r="F71" s="4" t="inlineStr">
        <is>
          <t>.scheme.schemeContent.references[0]</t>
        </is>
      </c>
      <c r="G71" s="4" t="inlineStr">
        <is>
          <t>Listed by myScheme; destination not independently opened</t>
        </is>
      </c>
      <c r="H71" s="4" t="inlineStr">
        <is>
          <t>As published</t>
        </is>
      </c>
      <c r="I71" s="4" t="inlineStr">
        <is>
          <t>Not established</t>
        </is>
      </c>
      <c r="J71" s="6" t="n">
        <v>46323</v>
      </c>
      <c r="K71" s="7" t="inlineStr">
        <is>
          <t>Review status: Approved</t>
        </is>
      </c>
      <c r="L71" s="4" t="inlineStr">
        <is>
          <t>https://sjsa.maharashtra.gov.in/mr/schemes-page?scheme_nature=37</t>
        </is>
      </c>
      <c r="M71" s="4" t="inlineStr"/>
    </row>
    <row r="72" ht="45" customHeight="1">
      <c r="A72" s="4" t="inlineStr">
        <is>
          <t>M02-L10</t>
        </is>
      </c>
      <c r="B72" s="4" t="inlineStr">
        <is>
          <t>M02</t>
        </is>
      </c>
      <c r="C72" s="4" t="inlineStr">
        <is>
          <t>Sources and References</t>
        </is>
      </c>
      <c r="D72" s="4" t="inlineStr">
        <is>
          <t>Guidelines (Marathi)</t>
        </is>
      </c>
      <c r="E72" s="5" t="inlineStr">
        <is>
          <t>Open source</t>
        </is>
      </c>
      <c r="F72" s="4" t="inlineStr">
        <is>
          <t>.scheme.schemeContent.references[1]</t>
        </is>
      </c>
      <c r="G72" s="4" t="inlineStr">
        <is>
          <t>Listed by myScheme; destination not independently opened</t>
        </is>
      </c>
      <c r="H72" s="4" t="inlineStr">
        <is>
          <t>As published</t>
        </is>
      </c>
      <c r="I72" s="4" t="inlineStr">
        <is>
          <t>Not established</t>
        </is>
      </c>
      <c r="J72" s="6" t="n">
        <v>46323</v>
      </c>
      <c r="K72" s="7" t="inlineStr">
        <is>
          <t>Review status: Approved</t>
        </is>
      </c>
      <c r="L72" s="4" t="inlineStr">
        <is>
          <t>https://cdn.s3waas.gov.in/s317e62166fc8586dfa4d1bc0e1742c08b/uploads/2018/03/2018031988.pdf</t>
        </is>
      </c>
      <c r="M72" s="4" t="inlineStr"/>
    </row>
    <row r="73" ht="45" customHeight="1">
      <c r="A73" s="4" t="inlineStr">
        <is>
          <t>M02-L11</t>
        </is>
      </c>
      <c r="B73" s="4" t="inlineStr">
        <is>
          <t>M02</t>
        </is>
      </c>
      <c r="C73" s="4" t="inlineStr">
        <is>
          <t>Sources and References</t>
        </is>
      </c>
      <c r="D73" s="4" t="inlineStr">
        <is>
          <t>Contact Us</t>
        </is>
      </c>
      <c r="E73" s="5" t="inlineStr">
        <is>
          <t>Open source</t>
        </is>
      </c>
      <c r="F73" s="4" t="inlineStr">
        <is>
          <t>.scheme.schemeContent.references[2]</t>
        </is>
      </c>
      <c r="G73" s="4" t="inlineStr">
        <is>
          <t>Listed by myScheme; destination not independently opened</t>
        </is>
      </c>
      <c r="H73" s="4" t="inlineStr">
        <is>
          <t>As published</t>
        </is>
      </c>
      <c r="I73" s="4" t="inlineStr">
        <is>
          <t>Not established</t>
        </is>
      </c>
      <c r="J73" s="6" t="n">
        <v>46323</v>
      </c>
      <c r="K73" s="7" t="inlineStr">
        <is>
          <t>Review status: Approved</t>
        </is>
      </c>
      <c r="L73" s="4" t="inlineStr">
        <is>
          <t>https://aaplesarkar.mahaonline.gov.in/en/CommonForm/ContactUs</t>
        </is>
      </c>
      <c r="M73" s="4" t="inlineStr"/>
    </row>
    <row r="74" ht="45" customHeight="1">
      <c r="A74" s="4" t="inlineStr">
        <is>
          <t>M02-L12</t>
        </is>
      </c>
      <c r="B74" s="4" t="inlineStr">
        <is>
          <t>M02</t>
        </is>
      </c>
      <c r="C74" s="4" t="inlineStr">
        <is>
          <t>Sources and References</t>
        </is>
      </c>
      <c r="D74" s="4" t="inlineStr">
        <is>
          <t>Photo Upload Manual</t>
        </is>
      </c>
      <c r="E74" s="5" t="inlineStr">
        <is>
          <t>Open source</t>
        </is>
      </c>
      <c r="F74" s="4" t="inlineStr">
        <is>
          <t>.scheme.schemeContent.references[3]</t>
        </is>
      </c>
      <c r="G74" s="4" t="inlineStr">
        <is>
          <t>Listed by myScheme; destination not independently opened</t>
        </is>
      </c>
      <c r="H74" s="4" t="inlineStr">
        <is>
          <t>As published</t>
        </is>
      </c>
      <c r="I74" s="4" t="inlineStr">
        <is>
          <t>Not established</t>
        </is>
      </c>
      <c r="J74" s="6" t="n">
        <v>46323</v>
      </c>
      <c r="K74" s="7" t="inlineStr">
        <is>
          <t>Review status: Approved</t>
        </is>
      </c>
      <c r="L74" s="4" t="inlineStr">
        <is>
          <t>https://aaplesarkar.mahaonline.gov.in/pdf/Photoupload.pdf</t>
        </is>
      </c>
      <c r="M74" s="4" t="inlineStr"/>
    </row>
    <row r="75" ht="45" customHeight="1">
      <c r="A75" s="4" t="inlineStr">
        <is>
          <t>M02-L13</t>
        </is>
      </c>
      <c r="B75" s="4" t="inlineStr">
        <is>
          <t>M02</t>
        </is>
      </c>
      <c r="C75" s="4" t="inlineStr">
        <is>
          <t>Sources and References</t>
        </is>
      </c>
      <c r="D75" s="4" t="inlineStr">
        <is>
          <t>Seva Kendras</t>
        </is>
      </c>
      <c r="E75" s="5" t="inlineStr">
        <is>
          <t>Open source</t>
        </is>
      </c>
      <c r="F75" s="4" t="inlineStr">
        <is>
          <t>.scheme.schemeContent.references[4]</t>
        </is>
      </c>
      <c r="G75" s="4" t="inlineStr">
        <is>
          <t>Listed by myScheme; destination not independently opened</t>
        </is>
      </c>
      <c r="H75" s="4" t="inlineStr">
        <is>
          <t>As published</t>
        </is>
      </c>
      <c r="I75" s="4" t="inlineStr">
        <is>
          <t>Not established</t>
        </is>
      </c>
      <c r="J75" s="6" t="n">
        <v>46323</v>
      </c>
      <c r="K75" s="7" t="inlineStr">
        <is>
          <t>Review status: Approved</t>
        </is>
      </c>
      <c r="L75" s="4" t="inlineStr">
        <is>
          <t>https://aaplesarkar.mahaonline.gov.in/en/CommonForm/SewaKendraDetails</t>
        </is>
      </c>
      <c r="M75" s="4" t="inlineStr"/>
    </row>
    <row r="76" ht="45" customHeight="1">
      <c r="A76" s="4" t="inlineStr">
        <is>
          <t>S23</t>
        </is>
      </c>
      <c r="B76" s="4" t="inlineStr">
        <is>
          <t>M03</t>
        </is>
      </c>
      <c r="C76" s="4" t="inlineStr">
        <is>
          <t>District scheme page</t>
        </is>
      </c>
      <c r="D76" s="4" t="inlineStr">
        <is>
          <t>Lek Ladki Yojana, Beed</t>
        </is>
      </c>
      <c r="E76" s="5" t="inlineStr">
        <is>
          <t>Open source</t>
        </is>
      </c>
      <c r="F76" s="4" t="inlineStr">
        <is>
          <t>Eligibility Criteria and document checklist</t>
        </is>
      </c>
      <c r="G76" s="4" t="inlineStr">
        <is>
          <t>Retained department source; no myScheme match established on 28 Oct 2026.</t>
        </is>
      </c>
      <c r="H76" s="4" t="inlineStr">
        <is>
          <t>English</t>
        </is>
      </c>
      <c r="I76" s="4" t="inlineStr">
        <is>
          <t>Page updated 8 Apr 2025</t>
        </is>
      </c>
      <c r="J76" s="6" t="inlineStr">
        <is>
          <t>2026-10-23 00:00:00</t>
        </is>
      </c>
      <c r="K76" s="7" t="n"/>
      <c r="L76" s="4" t="inlineStr"/>
      <c r="M76" s="4" t="inlineStr"/>
    </row>
    <row r="77" ht="45" customHeight="1">
      <c r="A77" s="4" t="inlineStr">
        <is>
          <t>S24</t>
        </is>
      </c>
      <c r="B77" s="4" t="inlineStr">
        <is>
          <t>M03</t>
        </is>
      </c>
      <c r="C77" s="4" t="inlineStr">
        <is>
          <t>Government Resolution PDF</t>
        </is>
      </c>
      <c r="D77" s="4" t="inlineStr">
        <is>
          <t>Lek Ladki GR and annexures</t>
        </is>
      </c>
      <c r="E77" s="5" t="inlineStr">
        <is>
          <t>Open PDF</t>
        </is>
      </c>
      <c r="F77" s="4" t="inlineStr">
        <is>
          <t>PDF page 2: conditions A and documents B; annexures</t>
        </is>
      </c>
      <c r="G77" s="4" t="inlineStr">
        <is>
          <t>Retained department source; no myScheme match established on 28 Oct 2026.</t>
        </is>
      </c>
      <c r="H77" s="4" t="inlineStr">
        <is>
          <t>Marathi</t>
        </is>
      </c>
      <c r="I77" s="4" t="inlineStr">
        <is>
          <t>30 Oct 2023</t>
        </is>
      </c>
      <c r="J77" s="6" t="inlineStr">
        <is>
          <t>2026-10-23 00:00:00</t>
        </is>
      </c>
      <c r="K77" s="7" t="n"/>
      <c r="L77" s="4" t="inlineStr"/>
      <c r="M77" s="4" t="inlineStr"/>
    </row>
    <row r="78" ht="45" customHeight="1">
      <c r="A78" s="4" t="inlineStr">
        <is>
          <t>S25</t>
        </is>
      </c>
      <c r="B78" s="4" t="inlineStr">
        <is>
          <t>M03</t>
        </is>
      </c>
      <c r="C78" s="4" t="inlineStr">
        <is>
          <t>District application guidance</t>
        </is>
      </c>
      <c r="D78" s="4" t="inlineStr">
        <is>
          <t>Pune Lek Ladki scheme</t>
        </is>
      </c>
      <c r="E78" s="5" t="inlineStr">
        <is>
          <t>Open source</t>
        </is>
      </c>
      <c r="F78" s="4" t="inlineStr">
        <is>
          <t>How To Apply: prescribed form at Anganwadi</t>
        </is>
      </c>
      <c r="G78" s="4" t="inlineStr">
        <is>
          <t>Retained department source; no myScheme match established on 28 Oct 2026.</t>
        </is>
      </c>
      <c r="H78" s="4" t="inlineStr">
        <is>
          <t>English</t>
        </is>
      </c>
      <c r="I78" s="4" t="inlineStr">
        <is>
          <t>Not established</t>
        </is>
      </c>
      <c r="J78" s="6" t="inlineStr">
        <is>
          <t>2026-10-23 00:00:00</t>
        </is>
      </c>
      <c r="K78" s="7" t="n"/>
      <c r="L78" s="4" t="inlineStr"/>
      <c r="M78" s="4" t="inlineStr"/>
    </row>
    <row r="79" ht="45" customHeight="1">
      <c r="A79" s="4" t="inlineStr">
        <is>
          <t>MS-M03</t>
        </is>
      </c>
      <c r="B79" s="4" t="inlineStr">
        <is>
          <t>M03</t>
        </is>
      </c>
      <c r="C79" s="4" t="inlineStr">
        <is>
          <t>Official scheme page</t>
        </is>
      </c>
      <c r="D79" s="4" t="inlineStr">
        <is>
          <t>Lek Ladki Yojana</t>
        </is>
      </c>
      <c r="E79" s="5" t="inlineStr">
        <is>
          <t>Open source</t>
        </is>
      </c>
      <c r="F79" s="4" t="inlineStr">
        <is>
          <t>All extracted sections</t>
        </is>
      </c>
      <c r="G79" s="4" t="inlineStr">
        <is>
          <t>Retained department source; no myScheme match established on 28 Oct 2026.</t>
        </is>
      </c>
      <c r="H79" s="4" t="inlineStr">
        <is>
          <t>English</t>
        </is>
      </c>
      <c r="I79" s="4" t="inlineStr">
        <is>
          <t>Earlier source dates retained</t>
        </is>
      </c>
      <c r="J79" s="6" t="inlineStr">
        <is>
          <t>2026-10-23 00:00:00</t>
        </is>
      </c>
      <c r="K79" s="7" t="n"/>
      <c r="L79" s="4" t="inlineStr"/>
      <c r="M79" s="4" t="inlineStr">
        <is>
          <t>8667675258b411529764b51a33310982e871a40fa9477f511a1879ef02fa4ff5</t>
        </is>
      </c>
    </row>
    <row r="80" ht="45" customHeight="1">
      <c r="A80" s="4" t="inlineStr">
        <is>
          <t>S26</t>
        </is>
      </c>
      <c r="B80" s="4" t="inlineStr">
        <is>
          <t>M04</t>
        </is>
      </c>
      <c r="C80" s="4" t="inlineStr">
        <is>
          <t>Department scheme page</t>
        </is>
      </c>
      <c r="D80" s="4" t="inlineStr">
        <is>
          <t>Mukhyamantri Vayoshri</t>
        </is>
      </c>
      <c r="E80" s="5" t="inlineStr">
        <is>
          <t>Open source</t>
        </is>
      </c>
      <c r="F80" s="4" t="inlineStr">
        <is>
          <t>Main conditions; benefits; application</t>
        </is>
      </c>
      <c r="G80" s="4" t="inlineStr">
        <is>
          <t>Retained department source; no myScheme match established on 28 Oct 2026.</t>
        </is>
      </c>
      <c r="H80" s="4" t="inlineStr">
        <is>
          <t>Marathi</t>
        </is>
      </c>
      <c r="I80" s="4" t="inlineStr">
        <is>
          <t>Scheme dated 6 Feb 2024</t>
        </is>
      </c>
      <c r="J80" s="6" t="inlineStr">
        <is>
          <t>2026-10-23 00:00:00</t>
        </is>
      </c>
      <c r="K80" s="7" t="n"/>
      <c r="L80" s="4" t="inlineStr"/>
      <c r="M80" s="4" t="inlineStr"/>
    </row>
    <row r="81" ht="45" customHeight="1">
      <c r="A81" s="4" t="inlineStr">
        <is>
          <t>S27</t>
        </is>
      </c>
      <c r="B81" s="4" t="inlineStr">
        <is>
          <t>M04</t>
        </is>
      </c>
      <c r="C81" s="4" t="inlineStr">
        <is>
          <t>Government Resolution PDF</t>
        </is>
      </c>
      <c r="D81" s="4" t="inlineStr">
        <is>
          <t>Vayoshri GR</t>
        </is>
      </c>
      <c r="E81" s="5" t="inlineStr">
        <is>
          <t>Open PDF</t>
        </is>
      </c>
      <c r="F81" s="4" t="inlineStr">
        <is>
          <t>PDF page 4 section 8; annexures</t>
        </is>
      </c>
      <c r="G81" s="4" t="inlineStr">
        <is>
          <t>Retained department source; no myScheme match established on 28 Oct 2026.</t>
        </is>
      </c>
      <c r="H81" s="4" t="inlineStr">
        <is>
          <t>Marathi</t>
        </is>
      </c>
      <c r="I81" s="4" t="inlineStr">
        <is>
          <t>6 Feb 2024</t>
        </is>
      </c>
      <c r="J81" s="6" t="inlineStr">
        <is>
          <t>2026-10-23 00:00:00</t>
        </is>
      </c>
      <c r="K81" s="7" t="n"/>
      <c r="L81" s="4" t="inlineStr"/>
      <c r="M81" s="4" t="inlineStr"/>
    </row>
    <row r="82" ht="45" customHeight="1">
      <c r="A82" s="4" t="inlineStr">
        <is>
          <t>S28</t>
        </is>
      </c>
      <c r="B82" s="4" t="inlineStr">
        <is>
          <t>M04</t>
        </is>
      </c>
      <c r="C82" s="4" t="inlineStr">
        <is>
          <t>District scheme page</t>
        </is>
      </c>
      <c r="D82" s="4" t="inlineStr">
        <is>
          <t>Nashik Vayoshri scheme and PDF link</t>
        </is>
      </c>
      <c r="E82" s="5" t="inlineStr">
        <is>
          <t>Open source</t>
        </is>
      </c>
      <c r="F82" s="4" t="inlineStr">
        <is>
          <t>Eligibility; linked GR</t>
        </is>
      </c>
      <c r="G82" s="4" t="inlineStr">
        <is>
          <t>Retained department source; no myScheme match established on 28 Oct 2026.</t>
        </is>
      </c>
      <c r="H82" s="4" t="inlineStr">
        <is>
          <t>English</t>
        </is>
      </c>
      <c r="I82" s="4" t="inlineStr">
        <is>
          <t>Page updated 28 Jan 2025</t>
        </is>
      </c>
      <c r="J82" s="6" t="inlineStr">
        <is>
          <t>2026-10-23 00:00:00</t>
        </is>
      </c>
      <c r="K82" s="7" t="n"/>
      <c r="L82" s="4" t="inlineStr"/>
      <c r="M82" s="4" t="inlineStr"/>
    </row>
    <row r="83" ht="45" customHeight="1">
      <c r="A83" s="4" t="inlineStr">
        <is>
          <t>S30</t>
        </is>
      </c>
      <c r="B83" s="4" t="inlineStr">
        <is>
          <t>M04</t>
        </is>
      </c>
      <c r="C83" s="4" t="inlineStr">
        <is>
          <t>District checklist</t>
        </is>
      </c>
      <c r="D83" s="4" t="inlineStr">
        <is>
          <t>Satara schemes and required documents</t>
        </is>
      </c>
      <c r="E83" s="5" t="inlineStr">
        <is>
          <t>Open source</t>
        </is>
      </c>
      <c r="F83" s="4" t="inlineStr">
        <is>
          <t>Chief Minister Vayoshri Scheme, row 13</t>
        </is>
      </c>
      <c r="G83" s="4" t="inlineStr">
        <is>
          <t>Retained department source; no myScheme match established on 28 Oct 2026.</t>
        </is>
      </c>
      <c r="H83" s="4" t="inlineStr">
        <is>
          <t>English</t>
        </is>
      </c>
      <c r="I83" s="4" t="inlineStr">
        <is>
          <t>Not established</t>
        </is>
      </c>
      <c r="J83" s="6" t="inlineStr">
        <is>
          <t>2026-10-23 00:00:00</t>
        </is>
      </c>
      <c r="K83" s="7" t="n"/>
      <c r="L83" s="4" t="inlineStr"/>
      <c r="M83" s="4" t="inlineStr"/>
    </row>
    <row r="84" ht="45" customHeight="1">
      <c r="A84" s="4" t="inlineStr">
        <is>
          <t>MS-M04</t>
        </is>
      </c>
      <c r="B84" s="4" t="inlineStr">
        <is>
          <t>M04</t>
        </is>
      </c>
      <c r="C84" s="4" t="inlineStr">
        <is>
          <t>Official scheme page</t>
        </is>
      </c>
      <c r="D84" s="4" t="inlineStr">
        <is>
          <t>Mukhyamantri Vayoshri Yojana</t>
        </is>
      </c>
      <c r="E84" s="5" t="inlineStr">
        <is>
          <t>Open source</t>
        </is>
      </c>
      <c r="F84" s="4" t="inlineStr">
        <is>
          <t>All extracted sections</t>
        </is>
      </c>
      <c r="G84" s="4" t="inlineStr">
        <is>
          <t>Retained department source; no myScheme match established on 28 Oct 2026.</t>
        </is>
      </c>
      <c r="H84" s="4" t="inlineStr">
        <is>
          <t>English</t>
        </is>
      </c>
      <c r="I84" s="4" t="inlineStr">
        <is>
          <t>Earlier source dates retained</t>
        </is>
      </c>
      <c r="J84" s="6" t="inlineStr">
        <is>
          <t>2026-10-23 00:00:00</t>
        </is>
      </c>
      <c r="K84" s="7" t="n"/>
      <c r="L84" s="4" t="inlineStr"/>
      <c r="M84" s="4" t="inlineStr">
        <is>
          <t>230cad492e7ff5e546fbdf5b217d58219bad51a67aaba4e0ae05ee44320b737d</t>
        </is>
      </c>
    </row>
    <row r="85" ht="45" customHeight="1">
      <c r="A85" s="4" t="inlineStr">
        <is>
          <t>MS-C07</t>
        </is>
      </c>
      <c r="B85" s="4" t="inlineStr">
        <is>
          <t>C07</t>
        </is>
      </c>
      <c r="C85" s="4" t="inlineStr">
        <is>
          <t>Official scheme page</t>
        </is>
      </c>
      <c r="D85" s="4" t="inlineStr">
        <is>
          <t>Rashtriya Krishi Vigyan Puraskar</t>
        </is>
      </c>
      <c r="E85" s="5" t="inlineStr">
        <is>
          <t>Open source</t>
        </is>
      </c>
      <c r="F85" s="4" t="inlineStr">
        <is>
          <t>myScheme scheme page</t>
        </is>
      </c>
      <c r="G85" s="4" t="inlineStr">
        <is>
          <t>Retrieved public myScheme content; policy currency not independently verified</t>
        </is>
      </c>
      <c r="H85" s="4" t="inlineStr">
        <is>
          <t>English</t>
        </is>
      </c>
      <c r="I85" s="4" t="inlineStr">
        <is>
          <t>Effective date not established</t>
        </is>
      </c>
      <c r="J85" s="6" t="n">
        <v>46323</v>
      </c>
      <c r="K85" s="7" t="inlineStr">
        <is>
          <t>Review status: Approved</t>
        </is>
      </c>
      <c r="L85" s="4" t="inlineStr">
        <is>
          <t>https://www.myscheme.gov.in/schemes/rkvp</t>
        </is>
      </c>
      <c r="M85" s="4" t="inlineStr">
        <is>
          <t>2e86f237a00f11b4df662d2c8234be068370492da6e794f1a99c61c2b390ee04</t>
        </is>
      </c>
    </row>
    <row r="86" ht="45" customHeight="1">
      <c r="A86" s="4" t="inlineStr">
        <is>
          <t>C07-L01</t>
        </is>
      </c>
      <c r="B86" s="4" t="inlineStr">
        <is>
          <t>C07</t>
        </is>
      </c>
      <c r="C86" s="4" t="inlineStr">
        <is>
          <t>Application / document link</t>
        </is>
      </c>
      <c r="D86" s="4" t="inlineStr">
        <is>
          <t>fficial website</t>
        </is>
      </c>
      <c r="E86" s="5" t="inlineStr">
        <is>
          <t>Open source</t>
        </is>
      </c>
      <c r="F86" s="4" t="inlineStr">
        <is>
          <t>.scheme.applicationProcess[0].process[1].children[2]</t>
        </is>
      </c>
      <c r="G86" s="4" t="inlineStr">
        <is>
          <t>Listed by myScheme; destination not independently opened</t>
        </is>
      </c>
      <c r="H86" s="4" t="inlineStr">
        <is>
          <t>As published</t>
        </is>
      </c>
      <c r="I86" s="4" t="inlineStr">
        <is>
          <t>Not established</t>
        </is>
      </c>
      <c r="J86" s="6" t="n">
        <v>46323</v>
      </c>
      <c r="K86" s="7" t="inlineStr">
        <is>
          <t>Review status: Approved</t>
        </is>
      </c>
      <c r="L86" s="4" t="inlineStr">
        <is>
          <t>https://awards.gov.in/</t>
        </is>
      </c>
      <c r="M86" s="4" t="inlineStr"/>
    </row>
    <row r="87" ht="45" customHeight="1">
      <c r="A87" s="4" t="inlineStr">
        <is>
          <t>C07-L02</t>
        </is>
      </c>
      <c r="B87" s="4" t="inlineStr">
        <is>
          <t>C07</t>
        </is>
      </c>
      <c r="C87" s="4" t="inlineStr">
        <is>
          <t>Application / document link</t>
        </is>
      </c>
      <c r="D87" s="4" t="inlineStr">
        <is>
          <t>Registration button.</t>
        </is>
      </c>
      <c r="E87" s="5" t="inlineStr">
        <is>
          <t>Open source</t>
        </is>
      </c>
      <c r="F87" s="4" t="inlineStr">
        <is>
          <t>.scheme.applicationProcess[0].process[1].children[4]</t>
        </is>
      </c>
      <c r="G87" s="4" t="inlineStr">
        <is>
          <t>Listed by myScheme; destination not independently opened</t>
        </is>
      </c>
      <c r="H87" s="4" t="inlineStr">
        <is>
          <t>As published</t>
        </is>
      </c>
      <c r="I87" s="4" t="inlineStr">
        <is>
          <t>Not established</t>
        </is>
      </c>
      <c r="J87" s="6" t="n">
        <v>46323</v>
      </c>
      <c r="K87" s="7" t="inlineStr">
        <is>
          <t>Review status: Approved</t>
        </is>
      </c>
      <c r="L87" s="4" t="inlineStr">
        <is>
          <t>https://awards.gov.in/Registration/SignUp</t>
        </is>
      </c>
      <c r="M87" s="4" t="inlineStr"/>
    </row>
    <row r="88" ht="45" customHeight="1">
      <c r="A88" s="4" t="inlineStr">
        <is>
          <t>C07-L03</t>
        </is>
      </c>
      <c r="B88" s="4" t="inlineStr">
        <is>
          <t>C07</t>
        </is>
      </c>
      <c r="C88" s="4" t="inlineStr">
        <is>
          <t>Application / document link</t>
        </is>
      </c>
      <c r="D88" s="4" t="inlineStr">
        <is>
          <t>Log in</t>
        </is>
      </c>
      <c r="E88" s="5" t="inlineStr">
        <is>
          <t>Open source</t>
        </is>
      </c>
      <c r="F88" s="4" t="inlineStr">
        <is>
          <t>.scheme.applicationProcess[0].process[8].children[2]</t>
        </is>
      </c>
      <c r="G88" s="4" t="inlineStr">
        <is>
          <t>Listed by myScheme; destination not independently opened</t>
        </is>
      </c>
      <c r="H88" s="4" t="inlineStr">
        <is>
          <t>As published</t>
        </is>
      </c>
      <c r="I88" s="4" t="inlineStr">
        <is>
          <t>Not established</t>
        </is>
      </c>
      <c r="J88" s="6" t="n">
        <v>46323</v>
      </c>
      <c r="K88" s="7" t="inlineStr">
        <is>
          <t>Review status: Approved</t>
        </is>
      </c>
      <c r="L88" s="4" t="inlineStr">
        <is>
          <t>https://awards.gov.in/Login</t>
        </is>
      </c>
      <c r="M88" s="4" t="inlineStr"/>
    </row>
    <row r="89" ht="45" customHeight="1">
      <c r="A89" s="4" t="inlineStr">
        <is>
          <t>C07-L04</t>
        </is>
      </c>
      <c r="B89" s="4" t="inlineStr">
        <is>
          <t>C07</t>
        </is>
      </c>
      <c r="C89" s="4" t="inlineStr">
        <is>
          <t>Application / document link</t>
        </is>
      </c>
      <c r="D89" s="4" t="inlineStr">
        <is>
          <t>Nominate / Apply Now".</t>
        </is>
      </c>
      <c r="E89" s="5" t="inlineStr">
        <is>
          <t>Open source</t>
        </is>
      </c>
      <c r="F89" s="4" t="inlineStr">
        <is>
          <t>.scheme.applicationProcess[0].process[9].children[2]</t>
        </is>
      </c>
      <c r="G89" s="4" t="inlineStr">
        <is>
          <t>Listed by myScheme; destination not independently opened</t>
        </is>
      </c>
      <c r="H89" s="4" t="inlineStr">
        <is>
          <t>As published</t>
        </is>
      </c>
      <c r="I89" s="4" t="inlineStr">
        <is>
          <t>Not established</t>
        </is>
      </c>
      <c r="J89" s="6" t="n">
        <v>46323</v>
      </c>
      <c r="K89" s="7" t="inlineStr">
        <is>
          <t>Review status: Approved</t>
        </is>
      </c>
      <c r="L89" s="4" t="inlineStr">
        <is>
          <t>https://awards.gov.in/Home/AwardLibrary</t>
        </is>
      </c>
      <c r="M89" s="4" t="inlineStr"/>
    </row>
    <row r="90" ht="45" customHeight="1">
      <c r="A90" s="4" t="inlineStr">
        <is>
          <t>C07-L05</t>
        </is>
      </c>
      <c r="B90" s="4" t="inlineStr">
        <is>
          <t>C07</t>
        </is>
      </c>
      <c r="C90" s="4" t="inlineStr">
        <is>
          <t>Sources and References</t>
        </is>
      </c>
      <c r="D90" s="4" t="inlineStr">
        <is>
          <t>Guidelines</t>
        </is>
      </c>
      <c r="E90" s="5" t="inlineStr">
        <is>
          <t>Open source</t>
        </is>
      </c>
      <c r="F90" s="4" t="inlineStr">
        <is>
          <t>.scheme.schemeContent.references[0]</t>
        </is>
      </c>
      <c r="G90" s="4" t="inlineStr">
        <is>
          <t>Listed by myScheme; destination not independently opened</t>
        </is>
      </c>
      <c r="H90" s="4" t="inlineStr">
        <is>
          <t>As published</t>
        </is>
      </c>
      <c r="I90" s="4" t="inlineStr">
        <is>
          <t>Not established</t>
        </is>
      </c>
      <c r="J90" s="6" t="n">
        <v>46323</v>
      </c>
      <c r="K90" s="7" t="inlineStr">
        <is>
          <t>Review status: Approved</t>
        </is>
      </c>
      <c r="L90" s="4" t="inlineStr">
        <is>
          <t>https://awards.gov.in/Home/AwardLibrary</t>
        </is>
      </c>
      <c r="M90" s="4" t="inlineStr"/>
    </row>
    <row r="91" ht="45" customHeight="1">
      <c r="A91" s="4" t="inlineStr">
        <is>
          <t>C07-L06</t>
        </is>
      </c>
      <c r="B91" s="4" t="inlineStr">
        <is>
          <t>C07</t>
        </is>
      </c>
      <c r="C91" s="4" t="inlineStr">
        <is>
          <t>Sources and References</t>
        </is>
      </c>
      <c r="D91" s="4" t="inlineStr">
        <is>
          <t>Website</t>
        </is>
      </c>
      <c r="E91" s="5" t="inlineStr">
        <is>
          <t>Open source</t>
        </is>
      </c>
      <c r="F91" s="4" t="inlineStr">
        <is>
          <t>.scheme.schemeContent.references[1]</t>
        </is>
      </c>
      <c r="G91" s="4" t="inlineStr">
        <is>
          <t>Listed by myScheme; destination not independently opened</t>
        </is>
      </c>
      <c r="H91" s="4" t="inlineStr">
        <is>
          <t>As published</t>
        </is>
      </c>
      <c r="I91" s="4" t="inlineStr">
        <is>
          <t>Not established</t>
        </is>
      </c>
      <c r="J91" s="6" t="n">
        <v>46323</v>
      </c>
      <c r="K91" s="7" t="inlineStr">
        <is>
          <t>Review status: Approved</t>
        </is>
      </c>
      <c r="L91" s="4" t="inlineStr">
        <is>
          <t>https://icar.org.in/hi/node/22890</t>
        </is>
      </c>
      <c r="M91" s="4" t="inlineStr"/>
    </row>
    <row r="92" ht="45" customHeight="1">
      <c r="A92" s="4" t="inlineStr">
        <is>
          <t>MS-C08</t>
        </is>
      </c>
      <c r="B92" s="4" t="inlineStr">
        <is>
          <t>C08</t>
        </is>
      </c>
      <c r="C92" s="4" t="inlineStr">
        <is>
          <t>Official scheme page</t>
        </is>
      </c>
      <c r="D92" s="4" t="inlineStr">
        <is>
          <t>Market Development Assistance</t>
        </is>
      </c>
      <c r="E92" s="5" t="inlineStr">
        <is>
          <t>Open source</t>
        </is>
      </c>
      <c r="F92" s="4" t="inlineStr">
        <is>
          <t>myScheme scheme page</t>
        </is>
      </c>
      <c r="G92" s="4" t="inlineStr">
        <is>
          <t>Retrieved public myScheme content; policy currency not independently verified</t>
        </is>
      </c>
      <c r="H92" s="4" t="inlineStr">
        <is>
          <t>English</t>
        </is>
      </c>
      <c r="I92" s="4" t="inlineStr">
        <is>
          <t>Effective date not established</t>
        </is>
      </c>
      <c r="J92" s="6" t="n">
        <v>46323</v>
      </c>
      <c r="K92" s="7" t="inlineStr">
        <is>
          <t>Review status: Approved</t>
        </is>
      </c>
      <c r="L92" s="4" t="inlineStr">
        <is>
          <t>https://www.myscheme.gov.in/schemes/mda-fert</t>
        </is>
      </c>
      <c r="M92" s="4" t="inlineStr">
        <is>
          <t>6245ae0408da15f837fbc2f578d28b7bcccf9a72a9358abaf4b3401fe3f36026</t>
        </is>
      </c>
    </row>
    <row r="93" ht="58.56" customHeight="1">
      <c r="A93" s="4" t="inlineStr">
        <is>
          <t>C08-L01</t>
        </is>
      </c>
      <c r="B93" s="4" t="inlineStr">
        <is>
          <t>C08</t>
        </is>
      </c>
      <c r="C93" s="4" t="inlineStr">
        <is>
          <t>Application / document link</t>
        </is>
      </c>
      <c r="D93" s="4" t="inlineStr">
        <is>
          <t>Annexure-I</t>
        </is>
      </c>
      <c r="E93" s="5" t="inlineStr">
        <is>
          <t>Open source</t>
        </is>
      </c>
      <c r="F93" s="4" t="inlineStr">
        <is>
          <t>.scheme.applicationProcess[0].process[9].children[1]</t>
        </is>
      </c>
      <c r="G93" s="4" t="inlineStr">
        <is>
          <t>Listed by myScheme; destination not independently opened</t>
        </is>
      </c>
      <c r="H93" s="4" t="inlineStr">
        <is>
          <t>As published</t>
        </is>
      </c>
      <c r="I93" s="4" t="inlineStr">
        <is>
          <t>Not established</t>
        </is>
      </c>
      <c r="J93" s="6" t="n">
        <v>46323</v>
      </c>
      <c r="K93" s="7" t="inlineStr">
        <is>
          <t>Review status: Approved</t>
        </is>
      </c>
      <c r="L93" s="4" t="inlineStr">
        <is>
          <t>https://fert.gov.in/sites/default/files/Guidelines%20on%20Market%20Development%20Assistance%20(MDA)%20for%20Promotion%20of%20Organic%20Fertilizers%20-%20Regarding%20(20-09-2023)_0.pdf</t>
        </is>
      </c>
      <c r="M93" s="4" t="inlineStr"/>
    </row>
    <row r="94" ht="58.56" customHeight="1">
      <c r="A94" s="4" t="inlineStr">
        <is>
          <t>C08-L02</t>
        </is>
      </c>
      <c r="B94" s="4" t="inlineStr">
        <is>
          <t>C08</t>
        </is>
      </c>
      <c r="C94" s="4" t="inlineStr">
        <is>
          <t>Application / document link</t>
        </is>
      </c>
      <c r="D94" s="4" t="inlineStr">
        <is>
          <t>Annexure-II</t>
        </is>
      </c>
      <c r="E94" s="5" t="inlineStr">
        <is>
          <t>Open source</t>
        </is>
      </c>
      <c r="F94" s="4" t="inlineStr">
        <is>
          <t>.scheme.applicationProcess[0].process[9].children[3]</t>
        </is>
      </c>
      <c r="G94" s="4" t="inlineStr">
        <is>
          <t>Listed by myScheme; destination not independently opened</t>
        </is>
      </c>
      <c r="H94" s="4" t="inlineStr">
        <is>
          <t>As published</t>
        </is>
      </c>
      <c r="I94" s="4" t="inlineStr">
        <is>
          <t>Not established</t>
        </is>
      </c>
      <c r="J94" s="6" t="n">
        <v>46323</v>
      </c>
      <c r="K94" s="7" t="inlineStr">
        <is>
          <t>Review status: Approved</t>
        </is>
      </c>
      <c r="L94" s="4" t="inlineStr">
        <is>
          <t>https://fert.gov.in/sites/default/files/Guidelines%20on%20Market%20Development%20Assistance%20(MDA)%20for%20Promotion%20of%20Organic%20Fertilizers%20-%20Regarding%20(20-09-2023)_0.pdf</t>
        </is>
      </c>
      <c r="M94" s="4" t="inlineStr"/>
    </row>
    <row r="95" ht="58.56" customHeight="1">
      <c r="A95" s="4" t="inlineStr">
        <is>
          <t>C08-L03</t>
        </is>
      </c>
      <c r="B95" s="4" t="inlineStr">
        <is>
          <t>C08</t>
        </is>
      </c>
      <c r="C95" s="4" t="inlineStr">
        <is>
          <t>Sources and References</t>
        </is>
      </c>
      <c r="D95" s="4" t="inlineStr">
        <is>
          <t>Guidelines</t>
        </is>
      </c>
      <c r="E95" s="5" t="inlineStr">
        <is>
          <t>Open source</t>
        </is>
      </c>
      <c r="F95" s="4" t="inlineStr">
        <is>
          <t>.scheme.schemeContent.references[0]</t>
        </is>
      </c>
      <c r="G95" s="4" t="inlineStr">
        <is>
          <t>Listed by myScheme; destination not independently opened</t>
        </is>
      </c>
      <c r="H95" s="4" t="inlineStr">
        <is>
          <t>As published</t>
        </is>
      </c>
      <c r="I95" s="4" t="inlineStr">
        <is>
          <t>Not established</t>
        </is>
      </c>
      <c r="J95" s="6" t="n">
        <v>46323</v>
      </c>
      <c r="K95" s="7" t="inlineStr">
        <is>
          <t>Review status: Approved</t>
        </is>
      </c>
      <c r="L95" s="4" t="inlineStr">
        <is>
          <t>https://fert.gov.in/sites/default/files/Guidelines%20on%20Market%20Development%20Assistance%20(MDA)%20for%20Promotion%20of%20Organic%20Fertilizers%20-%20Regarding%20(20-09-2023)_0.pdf</t>
        </is>
      </c>
      <c r="M95" s="4" t="inlineStr"/>
    </row>
    <row r="96" ht="58.56" customHeight="1">
      <c r="A96" s="4" t="inlineStr">
        <is>
          <t>C08-L04</t>
        </is>
      </c>
      <c r="B96" s="4" t="inlineStr">
        <is>
          <t>C08</t>
        </is>
      </c>
      <c r="C96" s="4" t="inlineStr">
        <is>
          <t>Application / document link</t>
        </is>
      </c>
      <c r="D96" s="4" t="inlineStr">
        <is>
          <t>Annexure-I</t>
        </is>
      </c>
      <c r="E96" s="5" t="inlineStr">
        <is>
          <t>Open source</t>
        </is>
      </c>
      <c r="F96" s="4" t="inlineStr">
        <is>
          <t>.documents.en.documents_required[1].children[2].children[1]</t>
        </is>
      </c>
      <c r="G96" s="4" t="inlineStr">
        <is>
          <t>Listed by myScheme; destination not independently opened</t>
        </is>
      </c>
      <c r="H96" s="4" t="inlineStr">
        <is>
          <t>As published</t>
        </is>
      </c>
      <c r="I96" s="4" t="inlineStr">
        <is>
          <t>Not established</t>
        </is>
      </c>
      <c r="J96" s="6" t="n">
        <v>46323</v>
      </c>
      <c r="K96" s="7" t="inlineStr">
        <is>
          <t>Review status: Approved</t>
        </is>
      </c>
      <c r="L96" s="4" t="inlineStr">
        <is>
          <t>https://fert.gov.in/sites/default/files/Guidelines%20on%20Market%20Development%20Assistance%20(MDA)%20for%20Promotion%20of%20Organic%20Fertilizers%20-%20Regarding%20(20-09-2023)_0.pdf</t>
        </is>
      </c>
      <c r="M96" s="4" t="inlineStr"/>
    </row>
    <row r="97" ht="58.56" customHeight="1">
      <c r="A97" s="4" t="inlineStr">
        <is>
          <t>C08-L05</t>
        </is>
      </c>
      <c r="B97" s="4" t="inlineStr">
        <is>
          <t>C08</t>
        </is>
      </c>
      <c r="C97" s="4" t="inlineStr">
        <is>
          <t>Application / document link</t>
        </is>
      </c>
      <c r="D97" s="4" t="inlineStr">
        <is>
          <t>Annexure-II</t>
        </is>
      </c>
      <c r="E97" s="5" t="inlineStr">
        <is>
          <t>Open source</t>
        </is>
      </c>
      <c r="F97" s="4" t="inlineStr">
        <is>
          <t>.documents.en.documents_required[1].children[3].children[1]</t>
        </is>
      </c>
      <c r="G97" s="4" t="inlineStr">
        <is>
          <t>Listed by myScheme; destination not independently opened</t>
        </is>
      </c>
      <c r="H97" s="4" t="inlineStr">
        <is>
          <t>As published</t>
        </is>
      </c>
      <c r="I97" s="4" t="inlineStr">
        <is>
          <t>Not established</t>
        </is>
      </c>
      <c r="J97" s="6" t="n">
        <v>46323</v>
      </c>
      <c r="K97" s="7" t="inlineStr">
        <is>
          <t>Review status: Approved</t>
        </is>
      </c>
      <c r="L97" s="4" t="inlineStr">
        <is>
          <t>https://fert.gov.in/sites/default/files/Guidelines%20on%20Market%20Development%20Assistance%20(MDA)%20for%20Promotion%20of%20Organic%20Fertilizers%20-%20Regarding%20(20-09-2023)_0.pdf</t>
        </is>
      </c>
      <c r="M97" s="4" t="inlineStr"/>
    </row>
    <row r="98" ht="54.4" customHeight="1">
      <c r="A98" s="4" t="inlineStr">
        <is>
          <t>MS-C09</t>
        </is>
      </c>
      <c r="B98" s="4" t="inlineStr">
        <is>
          <t>C09</t>
        </is>
      </c>
      <c r="C98" s="4" t="inlineStr">
        <is>
          <t>Official scheme page</t>
        </is>
      </c>
      <c r="D98" s="4" t="inlineStr">
        <is>
          <t>PRISM (Promoting Innovations in Individuals, Start-ups and MSMEs): Category-2: Fabrication of Working Model/Process Know-how/Testing &amp; Trial/Patenting/Technology Transfer</t>
        </is>
      </c>
      <c r="E98" s="5" t="inlineStr">
        <is>
          <t>Open source</t>
        </is>
      </c>
      <c r="F98" s="4" t="inlineStr">
        <is>
          <t>myScheme scheme page</t>
        </is>
      </c>
      <c r="G98" s="4" t="inlineStr">
        <is>
          <t>Retrieved public myScheme content; policy currency not independently verified</t>
        </is>
      </c>
      <c r="H98" s="4" t="inlineStr">
        <is>
          <t>English</t>
        </is>
      </c>
      <c r="I98" s="4" t="inlineStr">
        <is>
          <t>Effective date not established</t>
        </is>
      </c>
      <c r="J98" s="6" t="n">
        <v>46323</v>
      </c>
      <c r="K98" s="7" t="inlineStr">
        <is>
          <t>Review status: Approved</t>
        </is>
      </c>
      <c r="L98" s="4" t="inlineStr">
        <is>
          <t>https://www.myscheme.gov.in/schemes/prism-c2-fwmpkhttptt</t>
        </is>
      </c>
      <c r="M98" s="4" t="inlineStr">
        <is>
          <t>1e8f42c4c5b244c0a4d666fffdfce80d99a03842fc46ac591d1b61b20948b4de</t>
        </is>
      </c>
    </row>
    <row r="99" ht="45" customHeight="1">
      <c r="A99" s="4" t="inlineStr">
        <is>
          <t>C09-L01</t>
        </is>
      </c>
      <c r="B99" s="4" t="inlineStr">
        <is>
          <t>C09</t>
        </is>
      </c>
      <c r="C99" s="4" t="inlineStr">
        <is>
          <t>Application / document link</t>
        </is>
      </c>
      <c r="D99" s="4" t="inlineStr">
        <is>
          <t>application form</t>
        </is>
      </c>
      <c r="E99" s="5" t="inlineStr">
        <is>
          <t>Open source</t>
        </is>
      </c>
      <c r="F99" s="4" t="inlineStr">
        <is>
          <t>.scheme.applicationProcess[0].process[4].children[1].children[1]</t>
        </is>
      </c>
      <c r="G99" s="4" t="inlineStr">
        <is>
          <t>Listed by myScheme; destination not independently opened</t>
        </is>
      </c>
      <c r="H99" s="4" t="inlineStr">
        <is>
          <t>As published</t>
        </is>
      </c>
      <c r="I99" s="4" t="inlineStr">
        <is>
          <t>Not established</t>
        </is>
      </c>
      <c r="J99" s="6" t="n">
        <v>46323</v>
      </c>
      <c r="K99" s="7" t="inlineStr">
        <is>
          <t>Review status: Approved</t>
        </is>
      </c>
      <c r="L99" s="4" t="inlineStr">
        <is>
          <t>https://www.dsir.gov.in/sites/default/files/2019-09/guide_ph1_cat2.pdf</t>
        </is>
      </c>
      <c r="M99" s="4" t="inlineStr"/>
    </row>
    <row r="100" ht="45" customHeight="1">
      <c r="A100" s="4" t="inlineStr">
        <is>
          <t>C09-L02</t>
        </is>
      </c>
      <c r="B100" s="4" t="inlineStr">
        <is>
          <t>C09</t>
        </is>
      </c>
      <c r="C100" s="4" t="inlineStr">
        <is>
          <t>Sources and References</t>
        </is>
      </c>
      <c r="D100" s="4" t="inlineStr">
        <is>
          <t>Guidelines</t>
        </is>
      </c>
      <c r="E100" s="5" t="inlineStr">
        <is>
          <t>Open source</t>
        </is>
      </c>
      <c r="F100" s="4" t="inlineStr">
        <is>
          <t>.scheme.schemeContent.references[0]</t>
        </is>
      </c>
      <c r="G100" s="4" t="inlineStr">
        <is>
          <t>Listed by myScheme; destination not independently opened</t>
        </is>
      </c>
      <c r="H100" s="4" t="inlineStr">
        <is>
          <t>As published</t>
        </is>
      </c>
      <c r="I100" s="4" t="inlineStr">
        <is>
          <t>Not established</t>
        </is>
      </c>
      <c r="J100" s="6" t="n">
        <v>46323</v>
      </c>
      <c r="K100" s="7" t="inlineStr">
        <is>
          <t>Review status: Approved</t>
        </is>
      </c>
      <c r="L100" s="4" t="inlineStr">
        <is>
          <t>https://www.dsir.gov.in/sites/default/files/2019-09/guide_ph1_cat2.pdf</t>
        </is>
      </c>
      <c r="M100" s="4" t="inlineStr"/>
    </row>
    <row r="101" ht="45" customHeight="1">
      <c r="A101" s="4" t="inlineStr">
        <is>
          <t>MS-C10</t>
        </is>
      </c>
      <c r="B101" s="4" t="inlineStr">
        <is>
          <t>C10</t>
        </is>
      </c>
      <c r="C101" s="4" t="inlineStr">
        <is>
          <t>Official scheme page</t>
        </is>
      </c>
      <c r="D101" s="4" t="inlineStr">
        <is>
          <t>Khadi Gramodyog Vikas Yojana: Khadi Vikas Yojana</t>
        </is>
      </c>
      <c r="E101" s="5" t="inlineStr">
        <is>
          <t>Open source</t>
        </is>
      </c>
      <c r="F101" s="4" t="inlineStr">
        <is>
          <t>myScheme scheme page</t>
        </is>
      </c>
      <c r="G101" s="4" t="inlineStr">
        <is>
          <t>Retrieved public myScheme content; policy currency not independently verified</t>
        </is>
      </c>
      <c r="H101" s="4" t="inlineStr">
        <is>
          <t>English</t>
        </is>
      </c>
      <c r="I101" s="4" t="inlineStr">
        <is>
          <t>Effective date not established</t>
        </is>
      </c>
      <c r="J101" s="6" t="n">
        <v>46323</v>
      </c>
      <c r="K101" s="7" t="inlineStr">
        <is>
          <t>Review status: Approved</t>
        </is>
      </c>
      <c r="L101" s="4" t="inlineStr">
        <is>
          <t>https://www.myscheme.gov.in/schemes/kvyoj</t>
        </is>
      </c>
      <c r="M101" s="4" t="inlineStr">
        <is>
          <t>8176375d03a4f1110a9795f0fcc8f604654e25ffe49742a62605bc938131e56f</t>
        </is>
      </c>
    </row>
    <row r="102" ht="45" customHeight="1">
      <c r="A102" s="4" t="inlineStr">
        <is>
          <t>C10-L01</t>
        </is>
      </c>
      <c r="B102" s="4" t="inlineStr">
        <is>
          <t>C10</t>
        </is>
      </c>
      <c r="C102" s="4" t="inlineStr">
        <is>
          <t>Application / document link</t>
        </is>
      </c>
      <c r="D102" s="4" t="inlineStr">
        <is>
          <t>official website</t>
        </is>
      </c>
      <c r="E102" s="5" t="inlineStr">
        <is>
          <t>Open source</t>
        </is>
      </c>
      <c r="F102" s="4" t="inlineStr">
        <is>
          <t>.scheme.applicationProcess[0].process[0].children[0].children[2]</t>
        </is>
      </c>
      <c r="G102" s="4" t="inlineStr">
        <is>
          <t>Listed by myScheme; destination not independently opened</t>
        </is>
      </c>
      <c r="H102" s="4" t="inlineStr">
        <is>
          <t>As published</t>
        </is>
      </c>
      <c r="I102" s="4" t="inlineStr">
        <is>
          <t>Not established</t>
        </is>
      </c>
      <c r="J102" s="6" t="n">
        <v>46323</v>
      </c>
      <c r="K102" s="7" t="inlineStr">
        <is>
          <t>Review status: Approved</t>
        </is>
      </c>
      <c r="L102" s="4" t="inlineStr">
        <is>
          <t>https://www.kviconline.gov.in/</t>
        </is>
      </c>
      <c r="M102" s="4" t="inlineStr"/>
    </row>
    <row r="103" ht="45" customHeight="1">
      <c r="A103" s="4" t="inlineStr">
        <is>
          <t>C10-L02</t>
        </is>
      </c>
      <c r="B103" s="4" t="inlineStr">
        <is>
          <t>C10</t>
        </is>
      </c>
      <c r="C103" s="4" t="inlineStr">
        <is>
          <t>Application / document link</t>
        </is>
      </c>
      <c r="D103" s="4" t="inlineStr">
        <is>
          <t>KVIC online portal</t>
        </is>
      </c>
      <c r="E103" s="5" t="inlineStr">
        <is>
          <t>Open source</t>
        </is>
      </c>
      <c r="F103" s="4" t="inlineStr">
        <is>
          <t>.scheme.applicationProcess[0].process[0].children[1].children[2]</t>
        </is>
      </c>
      <c r="G103" s="4" t="inlineStr">
        <is>
          <t>Listed by myScheme; destination not independently opened</t>
        </is>
      </c>
      <c r="H103" s="4" t="inlineStr">
        <is>
          <t>As published</t>
        </is>
      </c>
      <c r="I103" s="4" t="inlineStr">
        <is>
          <t>Not established</t>
        </is>
      </c>
      <c r="J103" s="6" t="n">
        <v>46323</v>
      </c>
      <c r="K103" s="7" t="inlineStr">
        <is>
          <t>Review status: Approved</t>
        </is>
      </c>
      <c r="L103" s="4" t="inlineStr">
        <is>
          <t>https://kviconline.gov.in/mdaclaims/certKhadi/index.jsp</t>
        </is>
      </c>
      <c r="M103" s="4" t="inlineStr"/>
    </row>
    <row r="104" ht="45" customHeight="1">
      <c r="A104" s="4" t="inlineStr">
        <is>
          <t>C10-L03</t>
        </is>
      </c>
      <c r="B104" s="4" t="inlineStr">
        <is>
          <t>C10</t>
        </is>
      </c>
      <c r="C104" s="4" t="inlineStr">
        <is>
          <t>Application / document link</t>
        </is>
      </c>
      <c r="D104" s="4" t="inlineStr">
        <is>
          <t>Online Registration of Khadi Institutions</t>
        </is>
      </c>
      <c r="E104" s="5" t="inlineStr">
        <is>
          <t>Open source</t>
        </is>
      </c>
      <c r="F104" s="4" t="inlineStr">
        <is>
          <t>.scheme.applicationProcess[0].process[0].children[1].children[4]</t>
        </is>
      </c>
      <c r="G104" s="4" t="inlineStr">
        <is>
          <t>Listed by myScheme; destination not independently opened</t>
        </is>
      </c>
      <c r="H104" s="4" t="inlineStr">
        <is>
          <t>As published</t>
        </is>
      </c>
      <c r="I104" s="4" t="inlineStr">
        <is>
          <t>Not established</t>
        </is>
      </c>
      <c r="J104" s="6" t="n">
        <v>46323</v>
      </c>
      <c r="K104" s="7" t="inlineStr">
        <is>
          <t>Review status: Approved</t>
        </is>
      </c>
      <c r="L104" s="4" t="inlineStr">
        <is>
          <t>https://kviconline.gov.in/mdaclaims/certKhadi/khadiCertificateRenew.jsp?app=1</t>
        </is>
      </c>
      <c r="M104" s="4" t="inlineStr"/>
    </row>
    <row r="105" ht="45" customHeight="1">
      <c r="A105" s="4" t="inlineStr">
        <is>
          <t>C10-L04</t>
        </is>
      </c>
      <c r="B105" s="4" t="inlineStr">
        <is>
          <t>C10</t>
        </is>
      </c>
      <c r="C105" s="4" t="inlineStr">
        <is>
          <t>Application / document link</t>
        </is>
      </c>
      <c r="D105" s="4" t="inlineStr">
        <is>
          <t>Login</t>
        </is>
      </c>
      <c r="E105" s="5" t="inlineStr">
        <is>
          <t>Open source</t>
        </is>
      </c>
      <c r="F105" s="4" t="inlineStr">
        <is>
          <t>.scheme.applicationProcess[0].process[0].children[4].children[2]</t>
        </is>
      </c>
      <c r="G105" s="4" t="inlineStr">
        <is>
          <t>Listed by myScheme; destination not independently opened</t>
        </is>
      </c>
      <c r="H105" s="4" t="inlineStr">
        <is>
          <t>As published</t>
        </is>
      </c>
      <c r="I105" s="4" t="inlineStr">
        <is>
          <t>Not established</t>
        </is>
      </c>
      <c r="J105" s="6" t="n">
        <v>46323</v>
      </c>
      <c r="K105" s="7" t="inlineStr">
        <is>
          <t>Review status: Approved</t>
        </is>
      </c>
      <c r="L105" s="4" t="inlineStr">
        <is>
          <t>https://kviconline.gov.in/mdaclaims/certKhadi/certApplicantLogin.jsp</t>
        </is>
      </c>
      <c r="M105" s="4" t="inlineStr"/>
    </row>
    <row r="106" ht="45" customHeight="1">
      <c r="A106" s="4" t="inlineStr">
        <is>
          <t>C10-L05</t>
        </is>
      </c>
      <c r="B106" s="4" t="inlineStr">
        <is>
          <t>C10</t>
        </is>
      </c>
      <c r="C106" s="4" t="inlineStr">
        <is>
          <t>Sources and References</t>
        </is>
      </c>
      <c r="D106" s="4" t="inlineStr">
        <is>
          <t>Guidelines Page No. 28</t>
        </is>
      </c>
      <c r="E106" s="5" t="inlineStr">
        <is>
          <t>Open source</t>
        </is>
      </c>
      <c r="F106" s="4" t="inlineStr">
        <is>
          <t>.scheme.schemeContent.references[0]</t>
        </is>
      </c>
      <c r="G106" s="4" t="inlineStr">
        <is>
          <t>Listed by myScheme; destination not independently opened</t>
        </is>
      </c>
      <c r="H106" s="4" t="inlineStr">
        <is>
          <t>As published</t>
        </is>
      </c>
      <c r="I106" s="4" t="inlineStr">
        <is>
          <t>Not established</t>
        </is>
      </c>
      <c r="J106" s="6" t="n">
        <v>46323</v>
      </c>
      <c r="K106" s="7" t="inlineStr">
        <is>
          <t>Review status: Approved</t>
        </is>
      </c>
      <c r="L106" s="4" t="inlineStr">
        <is>
          <t>https://www.dcmsme.gov.in/ebook/MSMESchemebooklet2025-26.pdf</t>
        </is>
      </c>
      <c r="M106" s="4" t="inlineStr"/>
    </row>
    <row r="107" ht="45" customHeight="1">
      <c r="A107" s="4" t="inlineStr">
        <is>
          <t>MS-C11</t>
        </is>
      </c>
      <c r="B107" s="4" t="inlineStr">
        <is>
          <t>C11</t>
        </is>
      </c>
      <c r="C107" s="4" t="inlineStr">
        <is>
          <t>Official scheme page</t>
        </is>
      </c>
      <c r="D107" s="4" t="inlineStr">
        <is>
          <t>Stand-Up India</t>
        </is>
      </c>
      <c r="E107" s="5" t="inlineStr">
        <is>
          <t>Open source</t>
        </is>
      </c>
      <c r="F107" s="4" t="inlineStr">
        <is>
          <t>myScheme scheme page</t>
        </is>
      </c>
      <c r="G107" s="4" t="inlineStr">
        <is>
          <t>Retrieved public myScheme content; policy currency not independently verified</t>
        </is>
      </c>
      <c r="H107" s="4" t="inlineStr">
        <is>
          <t>English</t>
        </is>
      </c>
      <c r="I107" s="4" t="inlineStr">
        <is>
          <t>Effective date not established</t>
        </is>
      </c>
      <c r="J107" s="6" t="n">
        <v>46323</v>
      </c>
      <c r="K107" s="7" t="inlineStr">
        <is>
          <t>Review status: Approved</t>
        </is>
      </c>
      <c r="L107" s="4" t="inlineStr">
        <is>
          <t>https://www.myscheme.gov.in/schemes/sui</t>
        </is>
      </c>
      <c r="M107" s="4" t="inlineStr">
        <is>
          <t>90bd4c3e8be08e4c6f7003a404633e5822658d4383bc690325ec88cdef285e0c</t>
        </is>
      </c>
    </row>
    <row r="108" ht="45" customHeight="1">
      <c r="A108" s="4" t="inlineStr">
        <is>
          <t>C11-L01</t>
        </is>
      </c>
      <c r="B108" s="4" t="inlineStr">
        <is>
          <t>C11</t>
        </is>
      </c>
      <c r="C108" s="4" t="inlineStr">
        <is>
          <t>Application / document link</t>
        </is>
      </c>
      <c r="D108" s="4" t="inlineStr">
        <is>
          <t>https://www.rbi.org.in/Scripts/query.aspx</t>
        </is>
      </c>
      <c r="E108" s="5" t="inlineStr">
        <is>
          <t>Open source</t>
        </is>
      </c>
      <c r="F108" s="4" t="inlineStr">
        <is>
          <t>.scheme.applicationProcess[0].process[0].children[1]</t>
        </is>
      </c>
      <c r="G108" s="4" t="inlineStr">
        <is>
          <t>Listed by myScheme; destination not independently opened</t>
        </is>
      </c>
      <c r="H108" s="4" t="inlineStr">
        <is>
          <t>As published</t>
        </is>
      </c>
      <c r="I108" s="4" t="inlineStr">
        <is>
          <t>Not established</t>
        </is>
      </c>
      <c r="J108" s="6" t="n">
        <v>46323</v>
      </c>
      <c r="K108" s="7" t="inlineStr">
        <is>
          <t>Review status: Approved</t>
        </is>
      </c>
      <c r="L108" s="4" t="inlineStr">
        <is>
          <t>https://www.rbi.org.in/Scripts/query.aspx</t>
        </is>
      </c>
      <c r="M108" s="4" t="inlineStr"/>
    </row>
    <row r="109" ht="45" customHeight="1">
      <c r="A109" s="4" t="inlineStr">
        <is>
          <t>C11-L02</t>
        </is>
      </c>
      <c r="B109" s="4" t="inlineStr">
        <is>
          <t>C11</t>
        </is>
      </c>
      <c r="C109" s="4" t="inlineStr">
        <is>
          <t>Application / document link</t>
        </is>
      </c>
      <c r="D109" s="4" t="inlineStr">
        <is>
          <t>https://www.standupmitra.in/LDMS#NoBack</t>
        </is>
      </c>
      <c r="E109" s="5" t="inlineStr">
        <is>
          <t>Open source</t>
        </is>
      </c>
      <c r="F109" s="4" t="inlineStr">
        <is>
          <t>.scheme.applicationProcess[0].process[0].children[3]</t>
        </is>
      </c>
      <c r="G109" s="4" t="inlineStr">
        <is>
          <t>Listed by myScheme; destination not independently opened</t>
        </is>
      </c>
      <c r="H109" s="4" t="inlineStr">
        <is>
          <t>As published</t>
        </is>
      </c>
      <c r="I109" s="4" t="inlineStr">
        <is>
          <t>Not established</t>
        </is>
      </c>
      <c r="J109" s="6" t="n">
        <v>46323</v>
      </c>
      <c r="K109" s="7" t="inlineStr">
        <is>
          <t>Review status: Approved</t>
        </is>
      </c>
      <c r="L109" s="4" t="inlineStr">
        <is>
          <t>https://www.standupmitra.in/LDMS#NoBack</t>
        </is>
      </c>
      <c r="M109" s="4" t="inlineStr"/>
    </row>
    <row r="110" ht="45" customHeight="1">
      <c r="A110" s="4" t="inlineStr">
        <is>
          <t>C11-L03</t>
        </is>
      </c>
      <c r="B110" s="4" t="inlineStr">
        <is>
          <t>C11</t>
        </is>
      </c>
      <c r="C110" s="4" t="inlineStr">
        <is>
          <t>Application / document link</t>
        </is>
      </c>
      <c r="D110" s="4" t="inlineStr">
        <is>
          <t>www.standupmitra.in</t>
        </is>
      </c>
      <c r="E110" s="5" t="inlineStr">
        <is>
          <t>Open source</t>
        </is>
      </c>
      <c r="F110" s="4" t="inlineStr">
        <is>
          <t>.scheme.applicationProcess[0].process[1].children[1]</t>
        </is>
      </c>
      <c r="G110" s="4" t="inlineStr">
        <is>
          <t>Listed by myScheme; destination not independently opened</t>
        </is>
      </c>
      <c r="H110" s="4" t="inlineStr">
        <is>
          <t>As published</t>
        </is>
      </c>
      <c r="I110" s="4" t="inlineStr">
        <is>
          <t>Not established</t>
        </is>
      </c>
      <c r="J110" s="6" t="n">
        <v>46323</v>
      </c>
      <c r="K110" s="7" t="inlineStr">
        <is>
          <t>Review status: Approved</t>
        </is>
      </c>
      <c r="L110" s="4" t="inlineStr">
        <is>
          <t>https://www.standupmitra.in/</t>
        </is>
      </c>
      <c r="M110" s="4" t="inlineStr"/>
    </row>
    <row r="111" ht="45" customHeight="1">
      <c r="A111" s="4" t="inlineStr">
        <is>
          <t>C11-L04</t>
        </is>
      </c>
      <c r="B111" s="4" t="inlineStr">
        <is>
          <t>C11</t>
        </is>
      </c>
      <c r="C111" s="4" t="inlineStr">
        <is>
          <t>Application / document link</t>
        </is>
      </c>
      <c r="D111" s="4" t="inlineStr">
        <is>
          <t>https://www.standupmitra.in/Login/Register</t>
        </is>
      </c>
      <c r="E111" s="5" t="inlineStr">
        <is>
          <t>Open source</t>
        </is>
      </c>
      <c r="F111" s="4" t="inlineStr">
        <is>
          <t>.scheme.applicationProcess[0].process[3].children[0].children[1]</t>
        </is>
      </c>
      <c r="G111" s="4" t="inlineStr">
        <is>
          <t>Listed by myScheme; destination not independently opened</t>
        </is>
      </c>
      <c r="H111" s="4" t="inlineStr">
        <is>
          <t>As published</t>
        </is>
      </c>
      <c r="I111" s="4" t="inlineStr">
        <is>
          <t>Not established</t>
        </is>
      </c>
      <c r="J111" s="6" t="n">
        <v>46323</v>
      </c>
      <c r="K111" s="7" t="inlineStr">
        <is>
          <t>Review status: Approved</t>
        </is>
      </c>
      <c r="L111" s="4" t="inlineStr">
        <is>
          <t>https://www.standupmitra.in/Login/Register</t>
        </is>
      </c>
      <c r="M111" s="4" t="inlineStr"/>
    </row>
    <row r="112" ht="45" customHeight="1">
      <c r="A112" s="4" t="inlineStr">
        <is>
          <t>C11-L05</t>
        </is>
      </c>
      <c r="B112" s="4" t="inlineStr">
        <is>
          <t>C11</t>
        </is>
      </c>
      <c r="C112" s="4" t="inlineStr">
        <is>
          <t>Sources and References</t>
        </is>
      </c>
      <c r="D112" s="4" t="inlineStr">
        <is>
          <t>Guidelines</t>
        </is>
      </c>
      <c r="E112" s="5" t="inlineStr">
        <is>
          <t>Open source</t>
        </is>
      </c>
      <c r="F112" s="4" t="inlineStr">
        <is>
          <t>.scheme.schemeContent.references[0]</t>
        </is>
      </c>
      <c r="G112" s="4" t="inlineStr">
        <is>
          <t>Listed by myScheme; destination not independently opened</t>
        </is>
      </c>
      <c r="H112" s="4" t="inlineStr">
        <is>
          <t>As published</t>
        </is>
      </c>
      <c r="I112" s="4" t="inlineStr">
        <is>
          <t>Not established</t>
        </is>
      </c>
      <c r="J112" s="6" t="n">
        <v>46323</v>
      </c>
      <c r="K112" s="7" t="inlineStr">
        <is>
          <t>Review status: Approved</t>
        </is>
      </c>
      <c r="L112" s="4" t="inlineStr">
        <is>
          <t>https://www.udyami.org.in/storage/schemes/file/t4CQkv4D2TsdhI3MK8KqFSnYPw6RTBBsmh7p449D.pdf</t>
        </is>
      </c>
      <c r="M112" s="4" t="inlineStr"/>
    </row>
    <row r="113" ht="45" customHeight="1">
      <c r="A113" s="4" t="inlineStr">
        <is>
          <t>MS-C12</t>
        </is>
      </c>
      <c r="B113" s="4" t="inlineStr">
        <is>
          <t>C12</t>
        </is>
      </c>
      <c r="C113" s="4" t="inlineStr">
        <is>
          <t>Official scheme page</t>
        </is>
      </c>
      <c r="D113" s="4" t="inlineStr">
        <is>
          <t>"Marketing Incentive" under the "Handloom Marketing Assistance" Component of the National Handloom Development Programme</t>
        </is>
      </c>
      <c r="E113" s="5" t="inlineStr">
        <is>
          <t>Open source</t>
        </is>
      </c>
      <c r="F113" s="4" t="inlineStr">
        <is>
          <t>myScheme scheme page</t>
        </is>
      </c>
      <c r="G113" s="4" t="inlineStr">
        <is>
          <t>Retrieved public myScheme content; policy currency not independently verified</t>
        </is>
      </c>
      <c r="H113" s="4" t="inlineStr">
        <is>
          <t>English</t>
        </is>
      </c>
      <c r="I113" s="4" t="inlineStr">
        <is>
          <t>Effective date not established</t>
        </is>
      </c>
      <c r="J113" s="6" t="n">
        <v>46323</v>
      </c>
      <c r="K113" s="7" t="inlineStr">
        <is>
          <t>Review status: Approved</t>
        </is>
      </c>
      <c r="L113" s="4" t="inlineStr">
        <is>
          <t>https://www.myscheme.gov.in/schemes/mi-hma-nhdp</t>
        </is>
      </c>
      <c r="M113" s="4" t="inlineStr">
        <is>
          <t>558258990ea85734b6b88de10fcb59ecc36eba5bd91d49337d04460cae0b5e59</t>
        </is>
      </c>
    </row>
    <row r="114" ht="45" customHeight="1">
      <c r="A114" s="4" t="inlineStr">
        <is>
          <t>C12-L01</t>
        </is>
      </c>
      <c r="B114" s="4" t="inlineStr">
        <is>
          <t>C12</t>
        </is>
      </c>
      <c r="C114" s="4" t="inlineStr">
        <is>
          <t>Sources and References</t>
        </is>
      </c>
      <c r="D114" s="4" t="inlineStr">
        <is>
          <t>National Handloom Development Programme (NHDP)</t>
        </is>
      </c>
      <c r="E114" s="5" t="inlineStr">
        <is>
          <t>Open source</t>
        </is>
      </c>
      <c r="F114" s="4" t="inlineStr">
        <is>
          <t>.scheme.schemeContent.references[0]</t>
        </is>
      </c>
      <c r="G114" s="4" t="inlineStr">
        <is>
          <t>Listed by myScheme; destination not independently opened</t>
        </is>
      </c>
      <c r="H114" s="4" t="inlineStr">
        <is>
          <t>As published</t>
        </is>
      </c>
      <c r="I114" s="4" t="inlineStr">
        <is>
          <t>Not established</t>
        </is>
      </c>
      <c r="J114" s="6" t="n">
        <v>46323</v>
      </c>
      <c r="K114" s="7" t="inlineStr">
        <is>
          <t>Review status: Approved</t>
        </is>
      </c>
      <c r="L114" s="4" t="inlineStr">
        <is>
          <t>https://handlooms.nic.in/assets/img/Final%20Revised%20%20Guidelines%20NHDP%2012.04.2023.pdf</t>
        </is>
      </c>
      <c r="M114" s="4" t="inlineStr"/>
    </row>
    <row r="115" ht="45" customHeight="1">
      <c r="A115" s="4" t="inlineStr">
        <is>
          <t>C12-L02</t>
        </is>
      </c>
      <c r="B115" s="4" t="inlineStr">
        <is>
          <t>C12</t>
        </is>
      </c>
      <c r="C115" s="4" t="inlineStr">
        <is>
          <t>Application / document link</t>
        </is>
      </c>
      <c r="D115" s="4" t="inlineStr">
        <is>
          <t>Annexure - B9</t>
        </is>
      </c>
      <c r="E115" s="5" t="inlineStr">
        <is>
          <t>Open source</t>
        </is>
      </c>
      <c r="F115" s="4" t="inlineStr">
        <is>
          <t>.documents.en.documents_required[4].children[0].children[1]</t>
        </is>
      </c>
      <c r="G115" s="4" t="inlineStr">
        <is>
          <t>Listed by myScheme; destination not independently opened</t>
        </is>
      </c>
      <c r="H115" s="4" t="inlineStr">
        <is>
          <t>As published</t>
        </is>
      </c>
      <c r="I115" s="4" t="inlineStr">
        <is>
          <t>Not established</t>
        </is>
      </c>
      <c r="J115" s="6" t="n">
        <v>46323</v>
      </c>
      <c r="K115" s="7" t="inlineStr">
        <is>
          <t>Review status: Approved</t>
        </is>
      </c>
      <c r="L115" s="4" t="inlineStr">
        <is>
          <t>https://handlooms.nic.in/assets/img/Final%20Revised%20%20Guidelines%20NHDP%2012.04.2023.pdf</t>
        </is>
      </c>
      <c r="M115" s="4" t="inlineStr"/>
    </row>
    <row r="116" ht="45" customHeight="1">
      <c r="A116" s="4" t="inlineStr">
        <is>
          <t>C12-L03</t>
        </is>
      </c>
      <c r="B116" s="4" t="inlineStr">
        <is>
          <t>C12</t>
        </is>
      </c>
      <c r="C116" s="4" t="inlineStr">
        <is>
          <t>Application / document link</t>
        </is>
      </c>
      <c r="D116" s="4" t="inlineStr">
        <is>
          <t>Annexure - B10</t>
        </is>
      </c>
      <c r="E116" s="5" t="inlineStr">
        <is>
          <t>Open source</t>
        </is>
      </c>
      <c r="F116" s="4" t="inlineStr">
        <is>
          <t>.documents.en.documents_required[4].children[5].children[1]</t>
        </is>
      </c>
      <c r="G116" s="4" t="inlineStr">
        <is>
          <t>Listed by myScheme; destination not independently opened</t>
        </is>
      </c>
      <c r="H116" s="4" t="inlineStr">
        <is>
          <t>As published</t>
        </is>
      </c>
      <c r="I116" s="4" t="inlineStr">
        <is>
          <t>Not established</t>
        </is>
      </c>
      <c r="J116" s="6" t="n">
        <v>46323</v>
      </c>
      <c r="K116" s="7" t="inlineStr">
        <is>
          <t>Review status: Approved</t>
        </is>
      </c>
      <c r="L116" s="4" t="inlineStr">
        <is>
          <t>https://handlooms.nic.in/assets/img/Final%20Revised%20%20Guidelines%20NHDP%2012.04.2023.pdf</t>
        </is>
      </c>
      <c r="M116" s="4" t="inlineStr"/>
    </row>
    <row r="117" ht="45" customHeight="1">
      <c r="A117" s="4" t="inlineStr">
        <is>
          <t>MS-C13</t>
        </is>
      </c>
      <c r="B117" s="4" t="inlineStr">
        <is>
          <t>C13</t>
        </is>
      </c>
      <c r="C117" s="4" t="inlineStr">
        <is>
          <t>Official scheme page</t>
        </is>
      </c>
      <c r="D117" s="4" t="inlineStr">
        <is>
          <t>Kisan Credit Card</t>
        </is>
      </c>
      <c r="E117" s="5" t="inlineStr">
        <is>
          <t>Open source</t>
        </is>
      </c>
      <c r="F117" s="4" t="inlineStr">
        <is>
          <t>myScheme scheme page</t>
        </is>
      </c>
      <c r="G117" s="4" t="inlineStr">
        <is>
          <t>Retrieved public myScheme content; policy currency not independently verified</t>
        </is>
      </c>
      <c r="H117" s="4" t="inlineStr">
        <is>
          <t>English</t>
        </is>
      </c>
      <c r="I117" s="4" t="inlineStr">
        <is>
          <t>Effective date not established</t>
        </is>
      </c>
      <c r="J117" s="6" t="n">
        <v>46323</v>
      </c>
      <c r="K117" s="7" t="inlineStr">
        <is>
          <t>Review status: Approved</t>
        </is>
      </c>
      <c r="L117" s="4" t="inlineStr">
        <is>
          <t>https://www.myscheme.gov.in/schemes/kcc</t>
        </is>
      </c>
      <c r="M117" s="4" t="inlineStr">
        <is>
          <t>241c8bb1dbc1747e4095f127d2f054f2b4f2691e4337599e03b6a0f05685344e</t>
        </is>
      </c>
    </row>
    <row r="118" ht="45" customHeight="1">
      <c r="A118" s="4" t="inlineStr">
        <is>
          <t>C13-L01</t>
        </is>
      </c>
      <c r="B118" s="4" t="inlineStr">
        <is>
          <t>C13</t>
        </is>
      </c>
      <c r="C118" s="4" t="inlineStr">
        <is>
          <t>Sources and References</t>
        </is>
      </c>
      <c r="D118" s="4" t="inlineStr">
        <is>
          <t>Details-1</t>
        </is>
      </c>
      <c r="E118" s="5" t="inlineStr">
        <is>
          <t>Open source</t>
        </is>
      </c>
      <c r="F118" s="4" t="inlineStr">
        <is>
          <t>.scheme.schemeContent.references[0]</t>
        </is>
      </c>
      <c r="G118" s="4" t="inlineStr">
        <is>
          <t>Listed by myScheme; destination not independently opened</t>
        </is>
      </c>
      <c r="H118" s="4" t="inlineStr">
        <is>
          <t>As published</t>
        </is>
      </c>
      <c r="I118" s="4" t="inlineStr">
        <is>
          <t>Not established</t>
        </is>
      </c>
      <c r="J118" s="6" t="n">
        <v>46323</v>
      </c>
      <c r="K118" s="7" t="inlineStr">
        <is>
          <t>Review status: Approved</t>
        </is>
      </c>
      <c r="L118" s="4" t="inlineStr">
        <is>
          <t>https://pib.gov.in/FactsheetDetails.aspx?Id=148600</t>
        </is>
      </c>
      <c r="M118" s="4" t="inlineStr"/>
    </row>
    <row r="119" ht="45" customHeight="1">
      <c r="A119" s="4" t="inlineStr">
        <is>
          <t>C13-L02</t>
        </is>
      </c>
      <c r="B119" s="4" t="inlineStr">
        <is>
          <t>C13</t>
        </is>
      </c>
      <c r="C119" s="4" t="inlineStr">
        <is>
          <t>Sources and References</t>
        </is>
      </c>
      <c r="D119" s="4" t="inlineStr">
        <is>
          <t>Details-2</t>
        </is>
      </c>
      <c r="E119" s="5" t="inlineStr">
        <is>
          <t>Open source</t>
        </is>
      </c>
      <c r="F119" s="4" t="inlineStr">
        <is>
          <t>.scheme.schemeContent.references[1]</t>
        </is>
      </c>
      <c r="G119" s="4" t="inlineStr">
        <is>
          <t>Listed by myScheme; destination not independently opened</t>
        </is>
      </c>
      <c r="H119" s="4" t="inlineStr">
        <is>
          <t>As published</t>
        </is>
      </c>
      <c r="I119" s="4" t="inlineStr">
        <is>
          <t>Not established</t>
        </is>
      </c>
      <c r="J119" s="6" t="n">
        <v>46323</v>
      </c>
      <c r="K119" s="7" t="inlineStr">
        <is>
          <t>Review status: Approved</t>
        </is>
      </c>
      <c r="L119" s="4" t="inlineStr">
        <is>
          <t>https://sbi.co.in/web/agri-rural/agriculture-banking/crop-loan/kisan-credit-card</t>
        </is>
      </c>
      <c r="M119" s="4" t="inlineStr"/>
    </row>
    <row r="120" ht="45" customHeight="1">
      <c r="A120" s="4" t="inlineStr">
        <is>
          <t>C13-L03</t>
        </is>
      </c>
      <c r="B120" s="4" t="inlineStr">
        <is>
          <t>C13</t>
        </is>
      </c>
      <c r="C120" s="4" t="inlineStr">
        <is>
          <t>Sources and References</t>
        </is>
      </c>
      <c r="D120" s="4" t="inlineStr">
        <is>
          <t>Notification</t>
        </is>
      </c>
      <c r="E120" s="5" t="inlineStr">
        <is>
          <t>Open source</t>
        </is>
      </c>
      <c r="F120" s="4" t="inlineStr">
        <is>
          <t>.scheme.schemeContent.references[2]</t>
        </is>
      </c>
      <c r="G120" s="4" t="inlineStr">
        <is>
          <t>Listed by myScheme; destination not independently opened</t>
        </is>
      </c>
      <c r="H120" s="4" t="inlineStr">
        <is>
          <t>As published</t>
        </is>
      </c>
      <c r="I120" s="4" t="inlineStr">
        <is>
          <t>Not established</t>
        </is>
      </c>
      <c r="J120" s="6" t="n">
        <v>46323</v>
      </c>
      <c r="K120" s="7" t="inlineStr">
        <is>
          <t>Review status: Approved</t>
        </is>
      </c>
      <c r="L120" s="4" t="inlineStr">
        <is>
          <t>https://rbidocs.rbi.org.in/rdocs/notification/PDFs/04MCKCC030720171E79A08735884C429CF26F5414AB36D9.PDF</t>
        </is>
      </c>
      <c r="M120" s="4" t="inlineStr"/>
    </row>
    <row r="121" ht="45" customHeight="1">
      <c r="A121" s="4" t="inlineStr">
        <is>
          <t>MS-C14</t>
        </is>
      </c>
      <c r="B121" s="4" t="inlineStr">
        <is>
          <t>C14</t>
        </is>
      </c>
      <c r="C121" s="4" t="inlineStr">
        <is>
          <t>Official scheme page</t>
        </is>
      </c>
      <c r="D121" s="4" t="inlineStr">
        <is>
          <t>Pradhan Mantri Fasal Bima Yojna (PMFBY)</t>
        </is>
      </c>
      <c r="E121" s="5" t="inlineStr">
        <is>
          <t>Open source</t>
        </is>
      </c>
      <c r="F121" s="4" t="inlineStr">
        <is>
          <t>myScheme scheme page</t>
        </is>
      </c>
      <c r="G121" s="4" t="inlineStr">
        <is>
          <t>Retrieved public myScheme content; policy currency not independently verified</t>
        </is>
      </c>
      <c r="H121" s="4" t="inlineStr">
        <is>
          <t>English</t>
        </is>
      </c>
      <c r="I121" s="4" t="inlineStr">
        <is>
          <t>Effective date not established</t>
        </is>
      </c>
      <c r="J121" s="6" t="n">
        <v>46323</v>
      </c>
      <c r="K121" s="7" t="inlineStr">
        <is>
          <t>Review status: Approved</t>
        </is>
      </c>
      <c r="L121" s="4" t="inlineStr">
        <is>
          <t>https://www.myscheme.gov.in/schemes/pmfby</t>
        </is>
      </c>
      <c r="M121" s="4" t="inlineStr">
        <is>
          <t>9029f2b77d695fe4319463961ddd4e539b6a2f4f4f6973260bea292bd578c638</t>
        </is>
      </c>
    </row>
    <row r="122" ht="45" customHeight="1">
      <c r="A122" s="4" t="inlineStr">
        <is>
          <t>C14-L01</t>
        </is>
      </c>
      <c r="B122" s="4" t="inlineStr">
        <is>
          <t>C14</t>
        </is>
      </c>
      <c r="C122" s="4" t="inlineStr">
        <is>
          <t>Application / document link</t>
        </is>
      </c>
      <c r="D122" s="4" t="inlineStr">
        <is>
          <t>Official Website</t>
        </is>
      </c>
      <c r="E122" s="5" t="inlineStr">
        <is>
          <t>Open source</t>
        </is>
      </c>
      <c r="F122" s="4" t="inlineStr">
        <is>
          <t>.scheme.applicationProcess[0].process[0].children[2]</t>
        </is>
      </c>
      <c r="G122" s="4" t="inlineStr">
        <is>
          <t>Listed by myScheme; destination not independently opened</t>
        </is>
      </c>
      <c r="H122" s="4" t="inlineStr">
        <is>
          <t>As published</t>
        </is>
      </c>
      <c r="I122" s="4" t="inlineStr">
        <is>
          <t>Not established</t>
        </is>
      </c>
      <c r="J122" s="6" t="n">
        <v>46323</v>
      </c>
      <c r="K122" s="7" t="inlineStr">
        <is>
          <t>Review status: Approved</t>
        </is>
      </c>
      <c r="L122" s="4" t="inlineStr">
        <is>
          <t>https://pmfby.gov.in/</t>
        </is>
      </c>
      <c r="M122" s="4" t="inlineStr"/>
    </row>
    <row r="123" ht="45" customHeight="1">
      <c r="A123" s="4" t="inlineStr">
        <is>
          <t>C14-L02</t>
        </is>
      </c>
      <c r="B123" s="4" t="inlineStr">
        <is>
          <t>C14</t>
        </is>
      </c>
      <c r="C123" s="4" t="inlineStr">
        <is>
          <t>Application / document link</t>
        </is>
      </c>
      <c r="D123" s="4" t="inlineStr">
        <is>
          <t>Online Registration Form</t>
        </is>
      </c>
      <c r="E123" s="5" t="inlineStr">
        <is>
          <t>Open source</t>
        </is>
      </c>
      <c r="F123" s="4" t="inlineStr">
        <is>
          <t>.scheme.applicationProcess[0].process[2].children[1]</t>
        </is>
      </c>
      <c r="G123" s="4" t="inlineStr">
        <is>
          <t>Listed by myScheme; destination not independently opened</t>
        </is>
      </c>
      <c r="H123" s="4" t="inlineStr">
        <is>
          <t>As published</t>
        </is>
      </c>
      <c r="I123" s="4" t="inlineStr">
        <is>
          <t>Not established</t>
        </is>
      </c>
      <c r="J123" s="6" t="n">
        <v>46323</v>
      </c>
      <c r="K123" s="7" t="inlineStr">
        <is>
          <t>Review status: Approved</t>
        </is>
      </c>
      <c r="L123" s="4" t="inlineStr">
        <is>
          <t>https://pmfby.gov.in/farmerRegistrationForm</t>
        </is>
      </c>
      <c r="M123" s="4" t="inlineStr"/>
    </row>
    <row r="124" ht="45" customHeight="1">
      <c r="A124" s="4" t="inlineStr">
        <is>
          <t>C14-L03</t>
        </is>
      </c>
      <c r="B124" s="4" t="inlineStr">
        <is>
          <t>C14</t>
        </is>
      </c>
      <c r="C124" s="4" t="inlineStr">
        <is>
          <t>Application / document link</t>
        </is>
      </c>
      <c r="D124" s="4" t="inlineStr">
        <is>
          <t>Source link</t>
        </is>
      </c>
      <c r="E124" s="5" t="inlineStr">
        <is>
          <t>Open source</t>
        </is>
      </c>
      <c r="F124" s="4" t="inlineStr">
        <is>
          <t>.scheme.applicationProcess[0]</t>
        </is>
      </c>
      <c r="G124" s="4" t="inlineStr">
        <is>
          <t>Listed by myScheme; destination not independently opened</t>
        </is>
      </c>
      <c r="H124" s="4" t="inlineStr">
        <is>
          <t>As published</t>
        </is>
      </c>
      <c r="I124" s="4" t="inlineStr">
        <is>
          <t>Not established</t>
        </is>
      </c>
      <c r="J124" s="6" t="n">
        <v>46323</v>
      </c>
      <c r="K124" s="7" t="inlineStr">
        <is>
          <t>Review status: Approved</t>
        </is>
      </c>
      <c r="L124" s="4" t="inlineStr">
        <is>
          <t>https://pmfby.gov.in/</t>
        </is>
      </c>
      <c r="M124" s="4" t="inlineStr"/>
    </row>
    <row r="125" ht="45" customHeight="1">
      <c r="A125" s="4" t="inlineStr">
        <is>
          <t>C14-L04</t>
        </is>
      </c>
      <c r="B125" s="4" t="inlineStr">
        <is>
          <t>C14</t>
        </is>
      </c>
      <c r="C125" s="4" t="inlineStr">
        <is>
          <t>Application / document link</t>
        </is>
      </c>
      <c r="D125" s="4" t="inlineStr">
        <is>
          <t>participating bank</t>
        </is>
      </c>
      <c r="E125" s="5" t="inlineStr">
        <is>
          <t>Open source</t>
        </is>
      </c>
      <c r="F125" s="4" t="inlineStr">
        <is>
          <t>.scheme.applicationProcess[1].process[0].children[2]</t>
        </is>
      </c>
      <c r="G125" s="4" t="inlineStr">
        <is>
          <t>Listed by myScheme; destination not independently opened</t>
        </is>
      </c>
      <c r="H125" s="4" t="inlineStr">
        <is>
          <t>As published</t>
        </is>
      </c>
      <c r="I125" s="4" t="inlineStr">
        <is>
          <t>Not established</t>
        </is>
      </c>
      <c r="J125" s="6" t="n">
        <v>46323</v>
      </c>
      <c r="K125" s="7" t="inlineStr">
        <is>
          <t>Review status: Approved</t>
        </is>
      </c>
      <c r="L125" s="4" t="inlineStr">
        <is>
          <t>https://pmfby.gov.in/bankBranchDirectory</t>
        </is>
      </c>
      <c r="M125" s="4" t="inlineStr"/>
    </row>
    <row r="126" ht="45" customHeight="1">
      <c r="A126" s="4" t="inlineStr">
        <is>
          <t>C14-L05</t>
        </is>
      </c>
      <c r="B126" s="4" t="inlineStr">
        <is>
          <t>C14</t>
        </is>
      </c>
      <c r="C126" s="4" t="inlineStr">
        <is>
          <t>Application / document link</t>
        </is>
      </c>
      <c r="D126" s="4" t="inlineStr">
        <is>
          <t>insurance office,</t>
        </is>
      </c>
      <c r="E126" s="5" t="inlineStr">
        <is>
          <t>Open source</t>
        </is>
      </c>
      <c r="F126" s="4" t="inlineStr">
        <is>
          <t>.scheme.applicationProcess[1].process[0].children[4]</t>
        </is>
      </c>
      <c r="G126" s="4" t="inlineStr">
        <is>
          <t>Listed by myScheme; destination not independently opened</t>
        </is>
      </c>
      <c r="H126" s="4" t="inlineStr">
        <is>
          <t>As published</t>
        </is>
      </c>
      <c r="I126" s="4" t="inlineStr">
        <is>
          <t>Not established</t>
        </is>
      </c>
      <c r="J126" s="6" t="n">
        <v>46323</v>
      </c>
      <c r="K126" s="7" t="inlineStr">
        <is>
          <t>Review status: Approved</t>
        </is>
      </c>
      <c r="L126" s="4" t="inlineStr">
        <is>
          <t>https://pmfby.gov.in/insuranceCompanyDirectory</t>
        </is>
      </c>
      <c r="M126" s="4" t="inlineStr"/>
    </row>
    <row r="127" ht="45" customHeight="1">
      <c r="A127" s="4" t="inlineStr">
        <is>
          <t>C14-L06</t>
        </is>
      </c>
      <c r="B127" s="4" t="inlineStr">
        <is>
          <t>C14</t>
        </is>
      </c>
      <c r="C127" s="4" t="inlineStr">
        <is>
          <t>Application / document link</t>
        </is>
      </c>
      <c r="D127" s="4" t="inlineStr">
        <is>
          <t>Common Service Centre (CSC)</t>
        </is>
      </c>
      <c r="E127" s="5" t="inlineStr">
        <is>
          <t>Open source</t>
        </is>
      </c>
      <c r="F127" s="4" t="inlineStr">
        <is>
          <t>.scheme.applicationProcess[2].process[0].children[2]</t>
        </is>
      </c>
      <c r="G127" s="4" t="inlineStr">
        <is>
          <t>Listed by myScheme; destination not independently opened</t>
        </is>
      </c>
      <c r="H127" s="4" t="inlineStr">
        <is>
          <t>As published</t>
        </is>
      </c>
      <c r="I127" s="4" t="inlineStr">
        <is>
          <t>Not established</t>
        </is>
      </c>
      <c r="J127" s="6" t="n">
        <v>46323</v>
      </c>
      <c r="K127" s="7" t="inlineStr">
        <is>
          <t>Review status: Approved</t>
        </is>
      </c>
      <c r="L127" s="4" t="inlineStr">
        <is>
          <t>https://locator.csccloud.in/</t>
        </is>
      </c>
      <c r="M127" s="4" t="inlineStr"/>
    </row>
    <row r="128" ht="45" customHeight="1">
      <c r="A128" s="4" t="inlineStr">
        <is>
          <t>C14-L07</t>
        </is>
      </c>
      <c r="B128" s="4" t="inlineStr">
        <is>
          <t>C14</t>
        </is>
      </c>
      <c r="C128" s="4" t="inlineStr">
        <is>
          <t>Sources and References</t>
        </is>
      </c>
      <c r="D128" s="4" t="inlineStr">
        <is>
          <t>Official Website</t>
        </is>
      </c>
      <c r="E128" s="5" t="inlineStr">
        <is>
          <t>Open source</t>
        </is>
      </c>
      <c r="F128" s="4" t="inlineStr">
        <is>
          <t>.scheme.schemeContent.references[0]</t>
        </is>
      </c>
      <c r="G128" s="4" t="inlineStr">
        <is>
          <t>Listed by myScheme; destination not independently opened</t>
        </is>
      </c>
      <c r="H128" s="4" t="inlineStr">
        <is>
          <t>As published</t>
        </is>
      </c>
      <c r="I128" s="4" t="inlineStr">
        <is>
          <t>Not established</t>
        </is>
      </c>
      <c r="J128" s="6" t="n">
        <v>46323</v>
      </c>
      <c r="K128" s="7" t="inlineStr">
        <is>
          <t>Review status: Approved</t>
        </is>
      </c>
      <c r="L128" s="4" t="inlineStr">
        <is>
          <t>https://pmfby.gov.in/</t>
        </is>
      </c>
      <c r="M128" s="4" t="inlineStr"/>
    </row>
    <row r="129" ht="45" customHeight="1">
      <c r="A129" s="4" t="inlineStr">
        <is>
          <t>C14-L08</t>
        </is>
      </c>
      <c r="B129" s="4" t="inlineStr">
        <is>
          <t>C14</t>
        </is>
      </c>
      <c r="C129" s="4" t="inlineStr">
        <is>
          <t>Sources and References</t>
        </is>
      </c>
      <c r="D129" s="4" t="inlineStr">
        <is>
          <t>Guidelines</t>
        </is>
      </c>
      <c r="E129" s="5" t="inlineStr">
        <is>
          <t>Open source</t>
        </is>
      </c>
      <c r="F129" s="4" t="inlineStr">
        <is>
          <t>.scheme.schemeContent.references[1]</t>
        </is>
      </c>
      <c r="G129" s="4" t="inlineStr">
        <is>
          <t>Listed by myScheme; destination not independently opened</t>
        </is>
      </c>
      <c r="H129" s="4" t="inlineStr">
        <is>
          <t>As published</t>
        </is>
      </c>
      <c r="I129" s="4" t="inlineStr">
        <is>
          <t>Not established</t>
        </is>
      </c>
      <c r="J129" s="6" t="n">
        <v>46323</v>
      </c>
      <c r="K129" s="7" t="inlineStr">
        <is>
          <t>Review status: Approved</t>
        </is>
      </c>
      <c r="L129" s="4" t="inlineStr">
        <is>
          <t>https://pmfby.gov.in/pdf/Revamped%20Operational%20Guidelines_17th%20August%202020.pdf</t>
        </is>
      </c>
      <c r="M129" s="4" t="inlineStr"/>
    </row>
    <row r="130" ht="45" customHeight="1">
      <c r="A130" s="4" t="inlineStr">
        <is>
          <t>C14-L09</t>
        </is>
      </c>
      <c r="B130" s="4" t="inlineStr">
        <is>
          <t>C14</t>
        </is>
      </c>
      <c r="C130" s="4" t="inlineStr">
        <is>
          <t>Sources and References</t>
        </is>
      </c>
      <c r="D130" s="4" t="inlineStr">
        <is>
          <t>FAQ</t>
        </is>
      </c>
      <c r="E130" s="5" t="inlineStr">
        <is>
          <t>Open source</t>
        </is>
      </c>
      <c r="F130" s="4" t="inlineStr">
        <is>
          <t>.scheme.schemeContent.references[2]</t>
        </is>
      </c>
      <c r="G130" s="4" t="inlineStr">
        <is>
          <t>Listed by myScheme; destination not independently opened</t>
        </is>
      </c>
      <c r="H130" s="4" t="inlineStr">
        <is>
          <t>As published</t>
        </is>
      </c>
      <c r="I130" s="4" t="inlineStr">
        <is>
          <t>Not established</t>
        </is>
      </c>
      <c r="J130" s="6" t="n">
        <v>46323</v>
      </c>
      <c r="K130" s="7" t="inlineStr">
        <is>
          <t>Review status: Approved</t>
        </is>
      </c>
      <c r="L130" s="4" t="inlineStr">
        <is>
          <t>https://pmfby.gov.in/pdf/FAQ%E2%80%93For%20Portal.pdf</t>
        </is>
      </c>
      <c r="M130" s="4" t="inlineStr"/>
    </row>
    <row r="131" ht="45" customHeight="1">
      <c r="A131" s="4" t="inlineStr">
        <is>
          <t>MS-C15</t>
        </is>
      </c>
      <c r="B131" s="4" t="inlineStr">
        <is>
          <t>C15</t>
        </is>
      </c>
      <c r="C131" s="4" t="inlineStr">
        <is>
          <t>Official scheme page</t>
        </is>
      </c>
      <c r="D131" s="4" t="inlineStr">
        <is>
          <t>Post Graduate Indira Gandhi Scholarship For Single Girl Child</t>
        </is>
      </c>
      <c r="E131" s="5" t="inlineStr">
        <is>
          <t>Open source</t>
        </is>
      </c>
      <c r="F131" s="4" t="inlineStr">
        <is>
          <t>myScheme scheme page</t>
        </is>
      </c>
      <c r="G131" s="4" t="inlineStr">
        <is>
          <t>Retrieved public myScheme content; policy currency not independently verified</t>
        </is>
      </c>
      <c r="H131" s="4" t="inlineStr">
        <is>
          <t>English</t>
        </is>
      </c>
      <c r="I131" s="4" t="inlineStr">
        <is>
          <t>Effective date not established</t>
        </is>
      </c>
      <c r="J131" s="6" t="n">
        <v>46323</v>
      </c>
      <c r="K131" s="7" t="inlineStr">
        <is>
          <t>Review status: Approved</t>
        </is>
      </c>
      <c r="L131" s="4" t="inlineStr">
        <is>
          <t>https://www.myscheme.gov.in/schemes/pg-igssgc</t>
        </is>
      </c>
      <c r="M131" s="4" t="inlineStr">
        <is>
          <t>1856e0f443c3861784868d3c9caf4cda019c34f22e9a31b6dc728964d6b7c76d</t>
        </is>
      </c>
    </row>
    <row r="132" ht="45" customHeight="1">
      <c r="A132" s="4" t="inlineStr">
        <is>
          <t>C15-L01</t>
        </is>
      </c>
      <c r="B132" s="4" t="inlineStr">
        <is>
          <t>C15</t>
        </is>
      </c>
      <c r="C132" s="4" t="inlineStr">
        <is>
          <t>Sources and References</t>
        </is>
      </c>
      <c r="D132" s="4" t="inlineStr">
        <is>
          <t>Guidelines</t>
        </is>
      </c>
      <c r="E132" s="5" t="inlineStr">
        <is>
          <t>Open source</t>
        </is>
      </c>
      <c r="F132" s="4" t="inlineStr">
        <is>
          <t>.scheme.schemeContent.references[0]</t>
        </is>
      </c>
      <c r="G132" s="4" t="inlineStr">
        <is>
          <t>Listed by myScheme; destination not independently opened</t>
        </is>
      </c>
      <c r="H132" s="4" t="inlineStr">
        <is>
          <t>As published</t>
        </is>
      </c>
      <c r="I132" s="4" t="inlineStr">
        <is>
          <t>Not established</t>
        </is>
      </c>
      <c r="J132" s="6" t="n">
        <v>46323</v>
      </c>
      <c r="K132" s="7" t="inlineStr">
        <is>
          <t>Review status: Approved</t>
        </is>
      </c>
      <c r="L132" s="4" t="inlineStr">
        <is>
          <t>https://scholarships.gov.in/public/schemeGuidelines/Guidelines_SGC1819.pdf</t>
        </is>
      </c>
      <c r="M132" s="4" t="inlineStr"/>
    </row>
    <row r="133" ht="45" customHeight="1">
      <c r="A133" s="4" t="inlineStr">
        <is>
          <t>C15-L02</t>
        </is>
      </c>
      <c r="B133" s="4" t="inlineStr">
        <is>
          <t>C15</t>
        </is>
      </c>
      <c r="C133" s="4" t="inlineStr">
        <is>
          <t>Sources and References</t>
        </is>
      </c>
      <c r="D133" s="4" t="inlineStr">
        <is>
          <t>FAQs</t>
        </is>
      </c>
      <c r="E133" s="5" t="inlineStr">
        <is>
          <t>Open source</t>
        </is>
      </c>
      <c r="F133" s="4" t="inlineStr">
        <is>
          <t>.scheme.schemeContent.references[1]</t>
        </is>
      </c>
      <c r="G133" s="4" t="inlineStr">
        <is>
          <t>Listed by myScheme; destination not independently opened</t>
        </is>
      </c>
      <c r="H133" s="4" t="inlineStr">
        <is>
          <t>As published</t>
        </is>
      </c>
      <c r="I133" s="4" t="inlineStr">
        <is>
          <t>Not established</t>
        </is>
      </c>
      <c r="J133" s="6" t="n">
        <v>46323</v>
      </c>
      <c r="K133" s="7" t="inlineStr">
        <is>
          <t>Review status: Approved</t>
        </is>
      </c>
      <c r="L133" s="4" t="inlineStr">
        <is>
          <t>https://scholarships.gov.in/public/FAQ/FAQ_SGC1819.pdf</t>
        </is>
      </c>
      <c r="M133" s="4" t="inlineStr"/>
    </row>
    <row r="134" ht="54.4" customHeight="1">
      <c r="A134" s="4" t="inlineStr">
        <is>
          <t>MS-C16</t>
        </is>
      </c>
      <c r="B134" s="4" t="inlineStr">
        <is>
          <t>C16</t>
        </is>
      </c>
      <c r="C134" s="4" t="inlineStr">
        <is>
          <t>Official scheme page</t>
        </is>
      </c>
      <c r="D134" s="4" t="inlineStr">
        <is>
          <t>Dr Ambedkar Central Sector Scheme of Interest Subsidy on Educational Loans for Overseas Studies for Other Backward Classes (OBCs) and Economically Backward Classes (EBCs)</t>
        </is>
      </c>
      <c r="E134" s="5" t="inlineStr">
        <is>
          <t>Open source</t>
        </is>
      </c>
      <c r="F134" s="4" t="inlineStr">
        <is>
          <t>myScheme scheme page</t>
        </is>
      </c>
      <c r="G134" s="4" t="inlineStr">
        <is>
          <t>Retrieved public myScheme content; policy currency not independently verified</t>
        </is>
      </c>
      <c r="H134" s="4" t="inlineStr">
        <is>
          <t>English</t>
        </is>
      </c>
      <c r="I134" s="4" t="inlineStr">
        <is>
          <t>Effective date not established</t>
        </is>
      </c>
      <c r="J134" s="6" t="n">
        <v>46323</v>
      </c>
      <c r="K134" s="7" t="inlineStr">
        <is>
          <t>Review status: Approved</t>
        </is>
      </c>
      <c r="L134" s="4" t="inlineStr">
        <is>
          <t>https://www.myscheme.gov.in/schemes/dacssiselosobcebc</t>
        </is>
      </c>
      <c r="M134" s="4" t="inlineStr">
        <is>
          <t>ffa365dc59e0642461deb35e08569030bc28ff047358c26f6b76303827dcd520</t>
        </is>
      </c>
    </row>
    <row r="135" ht="45" customHeight="1">
      <c r="A135" s="4" t="inlineStr">
        <is>
          <t>C16-L01</t>
        </is>
      </c>
      <c r="B135" s="4" t="inlineStr">
        <is>
          <t>C16</t>
        </is>
      </c>
      <c r="C135" s="4" t="inlineStr">
        <is>
          <t>Application / document link</t>
        </is>
      </c>
      <c r="D135" s="4" t="inlineStr">
        <is>
          <t>listed courses</t>
        </is>
      </c>
      <c r="E135" s="5" t="inlineStr">
        <is>
          <t>Open source</t>
        </is>
      </c>
      <c r="F135" s="4" t="inlineStr">
        <is>
          <t>.scheme.eligibilityCriteria.eligibilityDescription[0].children[1].children[1]</t>
        </is>
      </c>
      <c r="G135" s="4" t="inlineStr">
        <is>
          <t>Listed by myScheme; destination not independently opened</t>
        </is>
      </c>
      <c r="H135" s="4" t="inlineStr">
        <is>
          <t>As published</t>
        </is>
      </c>
      <c r="I135" s="4" t="inlineStr">
        <is>
          <t>Not established</t>
        </is>
      </c>
      <c r="J135" s="6" t="n">
        <v>46323</v>
      </c>
      <c r="K135" s="7" t="inlineStr">
        <is>
          <t>Review status: Approved</t>
        </is>
      </c>
      <c r="L135" s="4" t="inlineStr">
        <is>
          <t>https://socialjustice.gov.in/writereaddata/UploadFile/Guidelines%20ISEL%20Scheme%20(wef%2001%20Oct%202017).pdf</t>
        </is>
      </c>
      <c r="M135" s="4" t="inlineStr"/>
    </row>
    <row r="136" ht="45" customHeight="1">
      <c r="A136" s="4" t="inlineStr">
        <is>
          <t>C16-L02</t>
        </is>
      </c>
      <c r="B136" s="4" t="inlineStr">
        <is>
          <t>C16</t>
        </is>
      </c>
      <c r="C136" s="4" t="inlineStr">
        <is>
          <t>Sources and References</t>
        </is>
      </c>
      <c r="D136" s="4" t="inlineStr">
        <is>
          <t>Guidelines</t>
        </is>
      </c>
      <c r="E136" s="5" t="inlineStr">
        <is>
          <t>Open source</t>
        </is>
      </c>
      <c r="F136" s="4" t="inlineStr">
        <is>
          <t>.scheme.schemeContent.references[0]</t>
        </is>
      </c>
      <c r="G136" s="4" t="inlineStr">
        <is>
          <t>Listed by myScheme; destination not independently opened</t>
        </is>
      </c>
      <c r="H136" s="4" t="inlineStr">
        <is>
          <t>As published</t>
        </is>
      </c>
      <c r="I136" s="4" t="inlineStr">
        <is>
          <t>Not established</t>
        </is>
      </c>
      <c r="J136" s="6" t="n">
        <v>46323</v>
      </c>
      <c r="K136" s="7" t="inlineStr">
        <is>
          <t>Review status: Approved</t>
        </is>
      </c>
      <c r="L136" s="4" t="inlineStr">
        <is>
          <t>https://socialjustice.gov.in/writereaddata/UploadFile/Guidelines%20ISEL%20Scheme%20(wef%2001%20Oct%202017).pdf</t>
        </is>
      </c>
      <c r="M136" s="4" t="inlineStr"/>
    </row>
    <row r="137" ht="45" customHeight="1">
      <c r="A137" s="4" t="inlineStr">
        <is>
          <t>C16-L03</t>
        </is>
      </c>
      <c r="B137" s="4" t="inlineStr">
        <is>
          <t>C16</t>
        </is>
      </c>
      <c r="C137" s="4" t="inlineStr">
        <is>
          <t>Sources and References</t>
        </is>
      </c>
      <c r="D137" s="4" t="inlineStr">
        <is>
          <t>Amendment Reg. Income Criteria</t>
        </is>
      </c>
      <c r="E137" s="5" t="inlineStr">
        <is>
          <t>Open source</t>
        </is>
      </c>
      <c r="F137" s="4" t="inlineStr">
        <is>
          <t>.scheme.schemeContent.references[1]</t>
        </is>
      </c>
      <c r="G137" s="4" t="inlineStr">
        <is>
          <t>Listed by myScheme; destination not independently opened</t>
        </is>
      </c>
      <c r="H137" s="4" t="inlineStr">
        <is>
          <t>As published</t>
        </is>
      </c>
      <c r="I137" s="4" t="inlineStr">
        <is>
          <t>Not established</t>
        </is>
      </c>
      <c r="J137" s="6" t="n">
        <v>46323</v>
      </c>
      <c r="K137" s="7" t="inlineStr">
        <is>
          <t>Review status: Approved</t>
        </is>
      </c>
      <c r="L137" s="4" t="inlineStr">
        <is>
          <t>https://socialjustice.gov.in/writereaddata/UploadFile/RICfor%20ISSC.pdf</t>
        </is>
      </c>
      <c r="M137" s="4" t="inlineStr"/>
    </row>
    <row r="138" ht="45" customHeight="1">
      <c r="A138" s="4" t="inlineStr">
        <is>
          <t>C16-L04</t>
        </is>
      </c>
      <c r="B138" s="4" t="inlineStr">
        <is>
          <t>C16</t>
        </is>
      </c>
      <c r="C138" s="4" t="inlineStr">
        <is>
          <t>Sources and References</t>
        </is>
      </c>
      <c r="D138" s="4" t="inlineStr">
        <is>
          <t>Check Claim Details On UMANG</t>
        </is>
      </c>
      <c r="E138" s="5" t="inlineStr">
        <is>
          <t>Open source</t>
        </is>
      </c>
      <c r="F138" s="4" t="inlineStr">
        <is>
          <t>.scheme.schemeContent.references[2]</t>
        </is>
      </c>
      <c r="G138" s="4" t="inlineStr">
        <is>
          <t>Listed by myScheme; destination not independently opened</t>
        </is>
      </c>
      <c r="H138" s="4" t="inlineStr">
        <is>
          <t>As published</t>
        </is>
      </c>
      <c r="I138" s="4" t="inlineStr">
        <is>
          <t>Not established</t>
        </is>
      </c>
      <c r="J138" s="6" t="n">
        <v>46323</v>
      </c>
      <c r="K138" s="7" t="inlineStr">
        <is>
          <t>Review status: Approved</t>
        </is>
      </c>
      <c r="L138" s="4" t="inlineStr">
        <is>
          <t>https://web.umang.gov.in/landing/department/dr-ambedkar-central-sector-scheme-of-interest-subsidy.html</t>
        </is>
      </c>
      <c r="M138" s="4" t="inlineStr"/>
    </row>
    <row r="139" ht="45" customHeight="1">
      <c r="A139" s="4" t="inlineStr">
        <is>
          <t>C16-L05</t>
        </is>
      </c>
      <c r="B139" s="4" t="inlineStr">
        <is>
          <t>C16</t>
        </is>
      </c>
      <c r="C139" s="4" t="inlineStr">
        <is>
          <t>Application / document link</t>
        </is>
      </c>
      <c r="D139" s="4" t="inlineStr">
        <is>
          <t>prescribed Performa</t>
        </is>
      </c>
      <c r="E139" s="5" t="inlineStr">
        <is>
          <t>Open source</t>
        </is>
      </c>
      <c r="F139" s="4" t="inlineStr">
        <is>
          <t>.documents.en.documents_required[0].children[4].children[1]</t>
        </is>
      </c>
      <c r="G139" s="4" t="inlineStr">
        <is>
          <t>Listed by myScheme; destination not independently opened</t>
        </is>
      </c>
      <c r="H139" s="4" t="inlineStr">
        <is>
          <t>As published</t>
        </is>
      </c>
      <c r="I139" s="4" t="inlineStr">
        <is>
          <t>Not established</t>
        </is>
      </c>
      <c r="J139" s="6" t="n">
        <v>46323</v>
      </c>
      <c r="K139" s="7" t="inlineStr">
        <is>
          <t>Review status: Approved</t>
        </is>
      </c>
      <c r="L139" s="4" t="inlineStr">
        <is>
          <t>https://socialjustice.gov.in/writereaddata/UploadFile/Guidelines%20ISEL%20Scheme%20(wef%2001%20Oct%202017).pdf</t>
        </is>
      </c>
      <c r="M139" s="4" t="inlineStr"/>
    </row>
    <row r="140" ht="45" customHeight="1">
      <c r="A140" s="4" t="inlineStr">
        <is>
          <t>MS-C17</t>
        </is>
      </c>
      <c r="B140" s="4" t="inlineStr">
        <is>
          <t>C17</t>
        </is>
      </c>
      <c r="C140" s="4" t="inlineStr">
        <is>
          <t>Official scheme page</t>
        </is>
      </c>
      <c r="D140" s="4" t="inlineStr">
        <is>
          <t>Nikshay Poshan Yojana</t>
        </is>
      </c>
      <c r="E140" s="5" t="inlineStr">
        <is>
          <t>Open source</t>
        </is>
      </c>
      <c r="F140" s="4" t="inlineStr">
        <is>
          <t>myScheme scheme page</t>
        </is>
      </c>
      <c r="G140" s="4" t="inlineStr">
        <is>
          <t>Retrieved public myScheme content; policy currency not independently verified</t>
        </is>
      </c>
      <c r="H140" s="4" t="inlineStr">
        <is>
          <t>English</t>
        </is>
      </c>
      <c r="I140" s="4" t="inlineStr">
        <is>
          <t>Effective date not established</t>
        </is>
      </c>
      <c r="J140" s="6" t="n">
        <v>46323</v>
      </c>
      <c r="K140" s="7" t="inlineStr">
        <is>
          <t>Review status: Approved</t>
        </is>
      </c>
      <c r="L140" s="4" t="inlineStr">
        <is>
          <t>https://www.myscheme.gov.in/schemes/nikshay</t>
        </is>
      </c>
      <c r="M140" s="4" t="inlineStr">
        <is>
          <t>265c1bfa97264052955171914213b2bc8a18b9f4e3f579e68d96541960dc1a6f</t>
        </is>
      </c>
    </row>
    <row r="141" ht="45" customHeight="1">
      <c r="A141" s="4" t="inlineStr">
        <is>
          <t>C17-L01</t>
        </is>
      </c>
      <c r="B141" s="4" t="inlineStr">
        <is>
          <t>C17</t>
        </is>
      </c>
      <c r="C141" s="4" t="inlineStr">
        <is>
          <t>Sources and References</t>
        </is>
      </c>
      <c r="D141" s="4" t="inlineStr">
        <is>
          <t>Guidelines</t>
        </is>
      </c>
      <c r="E141" s="5" t="inlineStr">
        <is>
          <t>Open source</t>
        </is>
      </c>
      <c r="F141" s="4" t="inlineStr">
        <is>
          <t>.scheme.schemeContent.references[0]</t>
        </is>
      </c>
      <c r="G141" s="4" t="inlineStr">
        <is>
          <t>Listed by myScheme; destination not independently opened</t>
        </is>
      </c>
      <c r="H141" s="4" t="inlineStr">
        <is>
          <t>As published</t>
        </is>
      </c>
      <c r="I141" s="4" t="inlineStr">
        <is>
          <t>Not established</t>
        </is>
      </c>
      <c r="J141" s="6" t="n">
        <v>46323</v>
      </c>
      <c r="K141" s="7" t="inlineStr">
        <is>
          <t>Review status: Approved</t>
        </is>
      </c>
      <c r="L141" s="4" t="inlineStr">
        <is>
          <t>https://tbcindia.mohfw.gov.in/wp-content/uploads/2023/05/23294204DBTManualForNTEP.pdf</t>
        </is>
      </c>
      <c r="M141" s="4" t="inlineStr"/>
    </row>
    <row r="142" ht="45" customHeight="1">
      <c r="A142" s="4" t="inlineStr">
        <is>
          <t>C17-L02</t>
        </is>
      </c>
      <c r="B142" s="4" t="inlineStr">
        <is>
          <t>C17</t>
        </is>
      </c>
      <c r="C142" s="4" t="inlineStr">
        <is>
          <t>Sources and References</t>
        </is>
      </c>
      <c r="D142" s="4" t="inlineStr">
        <is>
          <t>Official Website</t>
        </is>
      </c>
      <c r="E142" s="5" t="inlineStr">
        <is>
          <t>Open source</t>
        </is>
      </c>
      <c r="F142" s="4" t="inlineStr">
        <is>
          <t>.scheme.schemeContent.references[1]</t>
        </is>
      </c>
      <c r="G142" s="4" t="inlineStr">
        <is>
          <t>Listed by myScheme; destination not independently opened</t>
        </is>
      </c>
      <c r="H142" s="4" t="inlineStr">
        <is>
          <t>As published</t>
        </is>
      </c>
      <c r="I142" s="4" t="inlineStr">
        <is>
          <t>Not established</t>
        </is>
      </c>
      <c r="J142" s="6" t="n">
        <v>46323</v>
      </c>
      <c r="K142" s="7" t="inlineStr">
        <is>
          <t>Review status: Approved</t>
        </is>
      </c>
      <c r="L142" s="4" t="inlineStr">
        <is>
          <t>https://www.nikshay.in/</t>
        </is>
      </c>
      <c r="M142" s="4" t="inlineStr"/>
    </row>
    <row r="143" ht="45" customHeight="1">
      <c r="A143" s="4" t="inlineStr">
        <is>
          <t>C17-L03</t>
        </is>
      </c>
      <c r="B143" s="4" t="inlineStr">
        <is>
          <t>C17</t>
        </is>
      </c>
      <c r="C143" s="4" t="inlineStr">
        <is>
          <t>Sources and References</t>
        </is>
      </c>
      <c r="D143" s="4" t="inlineStr">
        <is>
          <t>Manual</t>
        </is>
      </c>
      <c r="E143" s="5" t="inlineStr">
        <is>
          <t>Open source</t>
        </is>
      </c>
      <c r="F143" s="4" t="inlineStr">
        <is>
          <t>.scheme.schemeContent.references[2]</t>
        </is>
      </c>
      <c r="G143" s="4" t="inlineStr">
        <is>
          <t>Listed by myScheme; destination not independently opened</t>
        </is>
      </c>
      <c r="H143" s="4" t="inlineStr">
        <is>
          <t>As published</t>
        </is>
      </c>
      <c r="I143" s="4" t="inlineStr">
        <is>
          <t>Not established</t>
        </is>
      </c>
      <c r="J143" s="6" t="n">
        <v>46323</v>
      </c>
      <c r="K143" s="7" t="inlineStr">
        <is>
          <t>Review status: Approved</t>
        </is>
      </c>
      <c r="L143" s="4" t="inlineStr">
        <is>
          <t>https://communitysupport.nikshay.in/Guidance_Booklet_16_09_2022.pdf</t>
        </is>
      </c>
      <c r="M143" s="4" t="inlineStr"/>
    </row>
    <row r="144" ht="45" customHeight="1">
      <c r="A144" s="4" t="inlineStr">
        <is>
          <t>C17-L04</t>
        </is>
      </c>
      <c r="B144" s="4" t="inlineStr">
        <is>
          <t>C17</t>
        </is>
      </c>
      <c r="C144" s="4" t="inlineStr">
        <is>
          <t>Sources and References</t>
        </is>
      </c>
      <c r="D144" s="4" t="inlineStr">
        <is>
          <t>State TB Officer Directory</t>
        </is>
      </c>
      <c r="E144" s="5" t="inlineStr">
        <is>
          <t>Open source</t>
        </is>
      </c>
      <c r="F144" s="4" t="inlineStr">
        <is>
          <t>.scheme.schemeContent.references[3]</t>
        </is>
      </c>
      <c r="G144" s="4" t="inlineStr">
        <is>
          <t>Listed by myScheme; destination not independently opened</t>
        </is>
      </c>
      <c r="H144" s="4" t="inlineStr">
        <is>
          <t>As published</t>
        </is>
      </c>
      <c r="I144" s="4" t="inlineStr">
        <is>
          <t>Not established</t>
        </is>
      </c>
      <c r="J144" s="6" t="n">
        <v>46323</v>
      </c>
      <c r="K144" s="7" t="inlineStr">
        <is>
          <t>Review status: Approved</t>
        </is>
      </c>
      <c r="L144" s="4" t="inlineStr">
        <is>
          <t>https://reports.nikshay.in/Reports/StosDirectory</t>
        </is>
      </c>
      <c r="M144" s="4" t="inlineStr"/>
    </row>
    <row r="145" ht="45" customHeight="1">
      <c r="A145" s="4" t="inlineStr">
        <is>
          <t>MS-C18</t>
        </is>
      </c>
      <c r="B145" s="4" t="inlineStr">
        <is>
          <t>C18</t>
        </is>
      </c>
      <c r="C145" s="4" t="inlineStr">
        <is>
          <t>Official scheme page</t>
        </is>
      </c>
      <c r="D145" s="4" t="inlineStr">
        <is>
          <t>Pradhan Mantri Surakshit Matritva Abhiyan</t>
        </is>
      </c>
      <c r="E145" s="5" t="inlineStr">
        <is>
          <t>Open source</t>
        </is>
      </c>
      <c r="F145" s="4" t="inlineStr">
        <is>
          <t>myScheme scheme page</t>
        </is>
      </c>
      <c r="G145" s="4" t="inlineStr">
        <is>
          <t>Retrieved public myScheme content; policy currency not independently verified</t>
        </is>
      </c>
      <c r="H145" s="4" t="inlineStr">
        <is>
          <t>English</t>
        </is>
      </c>
      <c r="I145" s="4" t="inlineStr">
        <is>
          <t>Effective date not established</t>
        </is>
      </c>
      <c r="J145" s="6" t="n">
        <v>46323</v>
      </c>
      <c r="K145" s="7" t="inlineStr">
        <is>
          <t>Review status: Approved</t>
        </is>
      </c>
      <c r="L145" s="4" t="inlineStr">
        <is>
          <t>https://www.myscheme.gov.in/schemes/pmsma</t>
        </is>
      </c>
      <c r="M145" s="4" t="inlineStr">
        <is>
          <t>4c31c2aab875a96ac06c2bb1692950c7234c3a93c2259fec0aae07f446ba7a1f</t>
        </is>
      </c>
    </row>
    <row r="146" ht="45" customHeight="1">
      <c r="A146" s="4" t="inlineStr">
        <is>
          <t>C18-L01</t>
        </is>
      </c>
      <c r="B146" s="4" t="inlineStr">
        <is>
          <t>C18</t>
        </is>
      </c>
      <c r="C146" s="4" t="inlineStr">
        <is>
          <t>Application / document link</t>
        </is>
      </c>
      <c r="D146" s="4" t="inlineStr">
        <is>
          <t>Official Portal</t>
        </is>
      </c>
      <c r="E146" s="5" t="inlineStr">
        <is>
          <t>Open source</t>
        </is>
      </c>
      <c r="F146" s="4" t="inlineStr">
        <is>
          <t>.scheme.applicationProcess[0].process[1].children[1]</t>
        </is>
      </c>
      <c r="G146" s="4" t="inlineStr">
        <is>
          <t>Listed by myScheme; destination not independently opened</t>
        </is>
      </c>
      <c r="H146" s="4" t="inlineStr">
        <is>
          <t>As published</t>
        </is>
      </c>
      <c r="I146" s="4" t="inlineStr">
        <is>
          <t>Not established</t>
        </is>
      </c>
      <c r="J146" s="6" t="n">
        <v>46323</v>
      </c>
      <c r="K146" s="7" t="inlineStr">
        <is>
          <t>Review status: Approved</t>
        </is>
      </c>
      <c r="L146" s="4" t="inlineStr">
        <is>
          <t>https://pmsma.nhp.gov.in/</t>
        </is>
      </c>
      <c r="M146" s="4" t="inlineStr"/>
    </row>
    <row r="147" ht="45" customHeight="1">
      <c r="A147" s="4" t="inlineStr">
        <is>
          <t>C18-L02</t>
        </is>
      </c>
      <c r="B147" s="4" t="inlineStr">
        <is>
          <t>C18</t>
        </is>
      </c>
      <c r="C147" s="4" t="inlineStr">
        <is>
          <t>Sources and References</t>
        </is>
      </c>
      <c r="D147" s="4" t="inlineStr">
        <is>
          <t>Guidelines</t>
        </is>
      </c>
      <c r="E147" s="5" t="inlineStr">
        <is>
          <t>Open source</t>
        </is>
      </c>
      <c r="F147" s="4" t="inlineStr">
        <is>
          <t>.scheme.schemeContent.references[0]</t>
        </is>
      </c>
      <c r="G147" s="4" t="inlineStr">
        <is>
          <t>Listed by myScheme; destination not independently opened</t>
        </is>
      </c>
      <c r="H147" s="4" t="inlineStr">
        <is>
          <t>As published</t>
        </is>
      </c>
      <c r="I147" s="4" t="inlineStr">
        <is>
          <t>Not established</t>
        </is>
      </c>
      <c r="J147" s="6" t="n">
        <v>46323</v>
      </c>
      <c r="K147" s="7" t="inlineStr">
        <is>
          <t>Review status: Approved</t>
        </is>
      </c>
      <c r="L147" s="4" t="inlineStr">
        <is>
          <t>https://pmsma.mohfw.gov.in/wp-content/uploads/2016/09/Pradhan_Mantri_Surakshit_Matritva_Abhiyan-2.pdf</t>
        </is>
      </c>
      <c r="M147" s="4" t="inlineStr"/>
    </row>
    <row r="148" ht="45" customHeight="1">
      <c r="A148" s="4" t="inlineStr">
        <is>
          <t>C18-L03</t>
        </is>
      </c>
      <c r="B148" s="4" t="inlineStr">
        <is>
          <t>C18</t>
        </is>
      </c>
      <c r="C148" s="4" t="inlineStr">
        <is>
          <t>Sources and References</t>
        </is>
      </c>
      <c r="D148" s="4" t="inlineStr">
        <is>
          <t>Operational Framework</t>
        </is>
      </c>
      <c r="E148" s="5" t="inlineStr">
        <is>
          <t>Open source</t>
        </is>
      </c>
      <c r="F148" s="4" t="inlineStr">
        <is>
          <t>.scheme.schemeContent.references[1]</t>
        </is>
      </c>
      <c r="G148" s="4" t="inlineStr">
        <is>
          <t>Listed by myScheme; destination not independently opened</t>
        </is>
      </c>
      <c r="H148" s="4" t="inlineStr">
        <is>
          <t>As published</t>
        </is>
      </c>
      <c r="I148" s="4" t="inlineStr">
        <is>
          <t>Not established</t>
        </is>
      </c>
      <c r="J148" s="6" t="n">
        <v>46323</v>
      </c>
      <c r="K148" s="7" t="inlineStr">
        <is>
          <t>Review status: Approved</t>
        </is>
      </c>
      <c r="L148" s="4" t="inlineStr">
        <is>
          <t>https://pmsma.mohfw.gov.in/wp-content/uploads/2016/09/PMSMA_Operational_Framework.pdf</t>
        </is>
      </c>
      <c r="M148" s="4" t="inlineStr"/>
    </row>
    <row r="149" ht="45" customHeight="1">
      <c r="A149" s="4" t="inlineStr">
        <is>
          <t>C18-L04</t>
        </is>
      </c>
      <c r="B149" s="4" t="inlineStr">
        <is>
          <t>C18</t>
        </is>
      </c>
      <c r="C149" s="4" t="inlineStr">
        <is>
          <t>Sources and References</t>
        </is>
      </c>
      <c r="D149" s="4" t="inlineStr">
        <is>
          <t>Pre-requisites For Facilities</t>
        </is>
      </c>
      <c r="E149" s="5" t="inlineStr">
        <is>
          <t>Open source</t>
        </is>
      </c>
      <c r="F149" s="4" t="inlineStr">
        <is>
          <t>.scheme.schemeContent.references[2]</t>
        </is>
      </c>
      <c r="G149" s="4" t="inlineStr">
        <is>
          <t>Listed by myScheme; destination not independently opened</t>
        </is>
      </c>
      <c r="H149" s="4" t="inlineStr">
        <is>
          <t>As published</t>
        </is>
      </c>
      <c r="I149" s="4" t="inlineStr">
        <is>
          <t>Not established</t>
        </is>
      </c>
      <c r="J149" s="6" t="n">
        <v>46323</v>
      </c>
      <c r="K149" s="7" t="inlineStr">
        <is>
          <t>Review status: Approved</t>
        </is>
      </c>
      <c r="L149" s="4" t="inlineStr">
        <is>
          <t>https://pmsma.mohfw.gov.in/wp-content/uploads/2016/10/PMSMA_Operational_Framework.34.pdf</t>
        </is>
      </c>
      <c r="M149" s="4" t="inlineStr"/>
    </row>
    <row r="150" ht="45" customHeight="1">
      <c r="A150" s="4" t="inlineStr">
        <is>
          <t>C18-L05</t>
        </is>
      </c>
      <c r="B150" s="4" t="inlineStr">
        <is>
          <t>C18</t>
        </is>
      </c>
      <c r="C150" s="4" t="inlineStr">
        <is>
          <t>Sources and References</t>
        </is>
      </c>
      <c r="D150" s="4" t="inlineStr">
        <is>
          <t>Synopsis For High Risk Pregnancy</t>
        </is>
      </c>
      <c r="E150" s="5" t="inlineStr">
        <is>
          <t>Open source</t>
        </is>
      </c>
      <c r="F150" s="4" t="inlineStr">
        <is>
          <t>.scheme.schemeContent.references[3]</t>
        </is>
      </c>
      <c r="G150" s="4" t="inlineStr">
        <is>
          <t>Listed by myScheme; destination not independently opened</t>
        </is>
      </c>
      <c r="H150" s="4" t="inlineStr">
        <is>
          <t>As published</t>
        </is>
      </c>
      <c r="I150" s="4" t="inlineStr">
        <is>
          <t>Not established</t>
        </is>
      </c>
      <c r="J150" s="6" t="n">
        <v>46323</v>
      </c>
      <c r="K150" s="7" t="inlineStr">
        <is>
          <t>Review status: Approved</t>
        </is>
      </c>
      <c r="L150" s="4" t="inlineStr">
        <is>
          <t>https://pmsma.mohfw.gov.in/wp-content/uploads/2016/10/High-Risk-Conditions-in-preg-modified-Final.pdf</t>
        </is>
      </c>
      <c r="M150" s="4" t="inlineStr"/>
    </row>
    <row r="151" ht="45" customHeight="1">
      <c r="A151" s="4" t="inlineStr">
        <is>
          <t>MS-C19</t>
        </is>
      </c>
      <c r="B151" s="4" t="inlineStr">
        <is>
          <t>C19</t>
        </is>
      </c>
      <c r="C151" s="4" t="inlineStr">
        <is>
          <t>Official scheme page</t>
        </is>
      </c>
      <c r="D151" s="4" t="inlineStr">
        <is>
          <t>PM POSHAN - Prime Minister's Overarching Scheme For Holistic Nourishment</t>
        </is>
      </c>
      <c r="E151" s="5" t="inlineStr">
        <is>
          <t>Open source</t>
        </is>
      </c>
      <c r="F151" s="4" t="inlineStr">
        <is>
          <t>myScheme scheme page</t>
        </is>
      </c>
      <c r="G151" s="4" t="inlineStr">
        <is>
          <t>Retrieved public myScheme content; policy currency not independently verified</t>
        </is>
      </c>
      <c r="H151" s="4" t="inlineStr">
        <is>
          <t>English</t>
        </is>
      </c>
      <c r="I151" s="4" t="inlineStr">
        <is>
          <t>Effective date not established</t>
        </is>
      </c>
      <c r="J151" s="6" t="n">
        <v>46323</v>
      </c>
      <c r="K151" s="7" t="inlineStr">
        <is>
          <t>Review status: Approved</t>
        </is>
      </c>
      <c r="L151" s="4" t="inlineStr">
        <is>
          <t>https://www.myscheme.gov.in/schemes/pm-poshan</t>
        </is>
      </c>
      <c r="M151" s="4" t="inlineStr">
        <is>
          <t>2209c13064f8b327da10deca6a8ed9c4f6fe1bc9e8c791eb289647e57c751868</t>
        </is>
      </c>
    </row>
    <row r="152" ht="45" customHeight="1">
      <c r="A152" s="4" t="inlineStr">
        <is>
          <t>C19-L01</t>
        </is>
      </c>
      <c r="B152" s="4" t="inlineStr">
        <is>
          <t>C19</t>
        </is>
      </c>
      <c r="C152" s="4" t="inlineStr">
        <is>
          <t>Sources and References</t>
        </is>
      </c>
      <c r="D152" s="4" t="inlineStr">
        <is>
          <t>Guidelines</t>
        </is>
      </c>
      <c r="E152" s="5" t="inlineStr">
        <is>
          <t>Open source</t>
        </is>
      </c>
      <c r="F152" s="4" t="inlineStr">
        <is>
          <t>.scheme.schemeContent.references[0]</t>
        </is>
      </c>
      <c r="G152" s="4" t="inlineStr">
        <is>
          <t>Listed by myScheme; destination not independently opened</t>
        </is>
      </c>
      <c r="H152" s="4" t="inlineStr">
        <is>
          <t>As published</t>
        </is>
      </c>
      <c r="I152" s="4" t="inlineStr">
        <is>
          <t>Not established</t>
        </is>
      </c>
      <c r="J152" s="6" t="n">
        <v>46323</v>
      </c>
      <c r="K152" s="7" t="inlineStr">
        <is>
          <t>Review status: Approved</t>
        </is>
      </c>
      <c r="L152" s="4" t="inlineStr">
        <is>
          <t>https://www.india.gov.in/spotlight/poshan-abhiyaan-pms-overarching-scheme-holistic-nourishment</t>
        </is>
      </c>
      <c r="M152" s="4" t="inlineStr"/>
    </row>
    <row r="153" ht="45" customHeight="1">
      <c r="A153" s="4" t="inlineStr">
        <is>
          <t>C19-L02</t>
        </is>
      </c>
      <c r="B153" s="4" t="inlineStr">
        <is>
          <t>C19</t>
        </is>
      </c>
      <c r="C153" s="4" t="inlineStr">
        <is>
          <t>Sources and References</t>
        </is>
      </c>
      <c r="D153" s="4" t="inlineStr">
        <is>
          <t>PIB</t>
        </is>
      </c>
      <c r="E153" s="5" t="inlineStr">
        <is>
          <t>Open source</t>
        </is>
      </c>
      <c r="F153" s="4" t="inlineStr">
        <is>
          <t>.scheme.schemeContent.references[1]</t>
        </is>
      </c>
      <c r="G153" s="4" t="inlineStr">
        <is>
          <t>Listed by myScheme; destination not independently opened</t>
        </is>
      </c>
      <c r="H153" s="4" t="inlineStr">
        <is>
          <t>As published</t>
        </is>
      </c>
      <c r="I153" s="4" t="inlineStr">
        <is>
          <t>Not established</t>
        </is>
      </c>
      <c r="J153" s="6" t="n">
        <v>46323</v>
      </c>
      <c r="K153" s="7" t="inlineStr">
        <is>
          <t>Review status: Approved</t>
        </is>
      </c>
      <c r="L153" s="4" t="inlineStr">
        <is>
          <t>https://pib.gov.in/Pressreleaseshare.aspx?PRID=1812421#:~:text=The%20Government%20has%20approved%20the,by%20the%20Ministry%20of%20Education.</t>
        </is>
      </c>
      <c r="M153" s="4" t="inlineStr"/>
    </row>
    <row r="154" ht="45" customHeight="1">
      <c r="A154" s="4" t="inlineStr">
        <is>
          <t>MS-C20</t>
        </is>
      </c>
      <c r="B154" s="4" t="inlineStr">
        <is>
          <t>C20</t>
        </is>
      </c>
      <c r="C154" s="4" t="inlineStr">
        <is>
          <t>Official scheme page</t>
        </is>
      </c>
      <c r="D154" s="4" t="inlineStr">
        <is>
          <t>Youth Hostel Scheme</t>
        </is>
      </c>
      <c r="E154" s="5" t="inlineStr">
        <is>
          <t>Open source</t>
        </is>
      </c>
      <c r="F154" s="4" t="inlineStr">
        <is>
          <t>myScheme scheme page</t>
        </is>
      </c>
      <c r="G154" s="4" t="inlineStr">
        <is>
          <t>Retrieved public myScheme content; policy currency not independently verified</t>
        </is>
      </c>
      <c r="H154" s="4" t="inlineStr">
        <is>
          <t>English</t>
        </is>
      </c>
      <c r="I154" s="4" t="inlineStr">
        <is>
          <t>Effective date not established</t>
        </is>
      </c>
      <c r="J154" s="6" t="n">
        <v>46323</v>
      </c>
      <c r="K154" s="7" t="inlineStr">
        <is>
          <t>Review status: Approved</t>
        </is>
      </c>
      <c r="L154" s="4" t="inlineStr">
        <is>
          <t>https://www.myscheme.gov.in/schemes/yhs</t>
        </is>
      </c>
      <c r="M154" s="4" t="inlineStr">
        <is>
          <t>f6115a0f5fc7842dc8477ade1b6494699683e506d6d01d23e36fba02c4d67880</t>
        </is>
      </c>
    </row>
    <row r="155" ht="45" customHeight="1">
      <c r="A155" s="4" t="inlineStr">
        <is>
          <t>C20-L01</t>
        </is>
      </c>
      <c r="B155" s="4" t="inlineStr">
        <is>
          <t>C20</t>
        </is>
      </c>
      <c r="C155" s="4" t="inlineStr">
        <is>
          <t>Application / document link</t>
        </is>
      </c>
      <c r="D155" s="4" t="inlineStr">
        <is>
          <t>official website</t>
        </is>
      </c>
      <c r="E155" s="5" t="inlineStr">
        <is>
          <t>Open source</t>
        </is>
      </c>
      <c r="F155" s="4" t="inlineStr">
        <is>
          <t>.scheme.applicationProcess[0].process[0].children[0].children[1]</t>
        </is>
      </c>
      <c r="G155" s="4" t="inlineStr">
        <is>
          <t>Listed by myScheme; destination not independently opened</t>
        </is>
      </c>
      <c r="H155" s="4" t="inlineStr">
        <is>
          <t>As published</t>
        </is>
      </c>
      <c r="I155" s="4" t="inlineStr">
        <is>
          <t>Not established</t>
        </is>
      </c>
      <c r="J155" s="6" t="n">
        <v>46323</v>
      </c>
      <c r="K155" s="7" t="inlineStr">
        <is>
          <t>Review status: Approved</t>
        </is>
      </c>
      <c r="L155" s="4" t="inlineStr">
        <is>
          <t>https://dbtyas-youth.gov.in/</t>
        </is>
      </c>
      <c r="M155" s="4" t="inlineStr"/>
    </row>
    <row r="156" ht="45" customHeight="1">
      <c r="A156" s="4" t="inlineStr">
        <is>
          <t>C20-L02</t>
        </is>
      </c>
      <c r="B156" s="4" t="inlineStr">
        <is>
          <t>C20</t>
        </is>
      </c>
      <c r="C156" s="4" t="inlineStr">
        <is>
          <t>Application / document link</t>
        </is>
      </c>
      <c r="D156" s="4" t="inlineStr">
        <is>
          <t>Apply Now</t>
        </is>
      </c>
      <c r="E156" s="5" t="inlineStr">
        <is>
          <t>Open source</t>
        </is>
      </c>
      <c r="F156" s="4" t="inlineStr">
        <is>
          <t>.scheme.applicationProcess[0].process[0].children[1].children[1]</t>
        </is>
      </c>
      <c r="G156" s="4" t="inlineStr">
        <is>
          <t>Listed by myScheme; destination not independently opened</t>
        </is>
      </c>
      <c r="H156" s="4" t="inlineStr">
        <is>
          <t>As published</t>
        </is>
      </c>
      <c r="I156" s="4" t="inlineStr">
        <is>
          <t>Not established</t>
        </is>
      </c>
      <c r="J156" s="6" t="n">
        <v>46323</v>
      </c>
      <c r="K156" s="7" t="inlineStr">
        <is>
          <t>Review status: Approved</t>
        </is>
      </c>
      <c r="L156" s="4" t="inlineStr">
        <is>
          <t>https://dbtyas-youth.gov.in/userlogin.php</t>
        </is>
      </c>
      <c r="M156" s="4" t="inlineStr"/>
    </row>
    <row r="157" ht="45" customHeight="1">
      <c r="A157" s="4" t="inlineStr">
        <is>
          <t>C20-L03</t>
        </is>
      </c>
      <c r="B157" s="4" t="inlineStr">
        <is>
          <t>C20</t>
        </is>
      </c>
      <c r="C157" s="4" t="inlineStr">
        <is>
          <t>Sources and References</t>
        </is>
      </c>
      <c r="D157" s="4" t="inlineStr">
        <is>
          <t>Guidelines</t>
        </is>
      </c>
      <c r="E157" s="5" t="inlineStr">
        <is>
          <t>Open source</t>
        </is>
      </c>
      <c r="F157" s="4" t="inlineStr">
        <is>
          <t>.scheme.schemeContent.references[0]</t>
        </is>
      </c>
      <c r="G157" s="4" t="inlineStr">
        <is>
          <t>Listed by myScheme; destination not independently opened</t>
        </is>
      </c>
      <c r="H157" s="4" t="inlineStr">
        <is>
          <t>As published</t>
        </is>
      </c>
      <c r="I157" s="4" t="inlineStr">
        <is>
          <t>Not established</t>
        </is>
      </c>
      <c r="J157" s="6" t="n">
        <v>46323</v>
      </c>
      <c r="K157" s="7" t="inlineStr">
        <is>
          <t>Review status: Approved</t>
        </is>
      </c>
      <c r="L157" s="4" t="inlineStr">
        <is>
          <t>https://yas.nic.in/sites/default/files/Youth%20Hostel%20Scheme_0.pdf</t>
        </is>
      </c>
      <c r="M157" s="4" t="inlineStr"/>
    </row>
    <row r="158" ht="45" customHeight="1">
      <c r="A158" s="4" t="inlineStr">
        <is>
          <t>C20-L04</t>
        </is>
      </c>
      <c r="B158" s="4" t="inlineStr">
        <is>
          <t>C20</t>
        </is>
      </c>
      <c r="C158" s="4" t="inlineStr">
        <is>
          <t>Sources and References</t>
        </is>
      </c>
      <c r="D158" s="4" t="inlineStr">
        <is>
          <t>Office Order</t>
        </is>
      </c>
      <c r="E158" s="5" t="inlineStr">
        <is>
          <t>Open source</t>
        </is>
      </c>
      <c r="F158" s="4" t="inlineStr">
        <is>
          <t>.scheme.schemeContent.references[1]</t>
        </is>
      </c>
      <c r="G158" s="4" t="inlineStr">
        <is>
          <t>Listed by myScheme; destination not independently opened</t>
        </is>
      </c>
      <c r="H158" s="4" t="inlineStr">
        <is>
          <t>As published</t>
        </is>
      </c>
      <c r="I158" s="4" t="inlineStr">
        <is>
          <t>Not established</t>
        </is>
      </c>
      <c r="J158" s="6" t="n">
        <v>46323</v>
      </c>
      <c r="K158" s="7" t="inlineStr">
        <is>
          <t>Review status: Approved</t>
        </is>
      </c>
      <c r="L158" s="4" t="inlineStr">
        <is>
          <t>https://yas.nic.in/sites/default/files/File845.PDF</t>
        </is>
      </c>
      <c r="M158" s="4" t="inlineStr"/>
    </row>
    <row r="159" ht="45" customHeight="1">
      <c r="A159" s="4" t="inlineStr">
        <is>
          <t>C20-L05</t>
        </is>
      </c>
      <c r="B159" s="4" t="inlineStr">
        <is>
          <t>C20</t>
        </is>
      </c>
      <c r="C159" s="4" t="inlineStr">
        <is>
          <t>Sources and References</t>
        </is>
      </c>
      <c r="D159" s="4" t="inlineStr">
        <is>
          <t>Official Website</t>
        </is>
      </c>
      <c r="E159" s="5" t="inlineStr">
        <is>
          <t>Open source</t>
        </is>
      </c>
      <c r="F159" s="4" t="inlineStr">
        <is>
          <t>.scheme.schemeContent.references[2]</t>
        </is>
      </c>
      <c r="G159" s="4" t="inlineStr">
        <is>
          <t>Listed by myScheme; destination not independently opened</t>
        </is>
      </c>
      <c r="H159" s="4" t="inlineStr">
        <is>
          <t>As published</t>
        </is>
      </c>
      <c r="I159" s="4" t="inlineStr">
        <is>
          <t>Not established</t>
        </is>
      </c>
      <c r="J159" s="6" t="n">
        <v>46323</v>
      </c>
      <c r="K159" s="7" t="inlineStr">
        <is>
          <t>Review status: Approved</t>
        </is>
      </c>
      <c r="L159" s="4" t="inlineStr">
        <is>
          <t>https://dbtyas-youth.gov.in/</t>
        </is>
      </c>
      <c r="M159" s="4" t="inlineStr"/>
    </row>
    <row r="160" ht="45" customHeight="1">
      <c r="A160" s="4" t="inlineStr">
        <is>
          <t>C20-L06</t>
        </is>
      </c>
      <c r="B160" s="4" t="inlineStr">
        <is>
          <t>C20</t>
        </is>
      </c>
      <c r="C160" s="4" t="inlineStr">
        <is>
          <t>Sources and References</t>
        </is>
      </c>
      <c r="D160" s="4" t="inlineStr">
        <is>
          <t>List Of Youth Hostel</t>
        </is>
      </c>
      <c r="E160" s="5" t="inlineStr">
        <is>
          <t>Open source</t>
        </is>
      </c>
      <c r="F160" s="4" t="inlineStr">
        <is>
          <t>.scheme.schemeContent.references[3]</t>
        </is>
      </c>
      <c r="G160" s="4" t="inlineStr">
        <is>
          <t>Listed by myScheme; destination not independently opened</t>
        </is>
      </c>
      <c r="H160" s="4" t="inlineStr">
        <is>
          <t>As published</t>
        </is>
      </c>
      <c r="I160" s="4" t="inlineStr">
        <is>
          <t>Not established</t>
        </is>
      </c>
      <c r="J160" s="6" t="n">
        <v>46323</v>
      </c>
      <c r="K160" s="7" t="inlineStr">
        <is>
          <t>Review status: Approved</t>
        </is>
      </c>
      <c r="L160" s="4" t="inlineStr">
        <is>
          <t>https://yas.gov.in/sites/default/files/YH%20details.pdf</t>
        </is>
      </c>
      <c r="M160" s="4" t="inlineStr"/>
    </row>
    <row r="161" ht="45" customHeight="1">
      <c r="A161" s="4" t="inlineStr">
        <is>
          <t>C20-L07</t>
        </is>
      </c>
      <c r="B161" s="4" t="inlineStr">
        <is>
          <t>C20</t>
        </is>
      </c>
      <c r="C161" s="4" t="inlineStr">
        <is>
          <t>Sources and References</t>
        </is>
      </c>
      <c r="D161" s="4" t="inlineStr">
        <is>
          <t>CPC Order Dated 09.10.2015</t>
        </is>
      </c>
      <c r="E161" s="5" t="inlineStr">
        <is>
          <t>Open source</t>
        </is>
      </c>
      <c r="F161" s="4" t="inlineStr">
        <is>
          <t>.scheme.schemeContent.references[4]</t>
        </is>
      </c>
      <c r="G161" s="4" t="inlineStr">
        <is>
          <t>Listed by myScheme; destination not independently opened</t>
        </is>
      </c>
      <c r="H161" s="4" t="inlineStr">
        <is>
          <t>As published</t>
        </is>
      </c>
      <c r="I161" s="4" t="inlineStr">
        <is>
          <t>Not established</t>
        </is>
      </c>
      <c r="J161" s="6" t="n">
        <v>46323</v>
      </c>
      <c r="K161" s="7" t="inlineStr">
        <is>
          <t>Review status: Approved</t>
        </is>
      </c>
      <c r="L161" s="4" t="inlineStr">
        <is>
          <t>https://yas.gov.in/sites/default/files/CPC%20Order.pdf</t>
        </is>
      </c>
      <c r="M161" s="4" t="inlineStr"/>
    </row>
    <row r="162" ht="45" customHeight="1">
      <c r="A162" s="4" t="inlineStr">
        <is>
          <t>MS-C21</t>
        </is>
      </c>
      <c r="B162" s="4" t="inlineStr">
        <is>
          <t>C21</t>
        </is>
      </c>
      <c r="C162" s="4" t="inlineStr">
        <is>
          <t>Official scheme page</t>
        </is>
      </c>
      <c r="D162" s="4" t="inlineStr">
        <is>
          <t>AVYAY - National Action Plan for Senior Citizens: Health and Shelter for Senior Citizens</t>
        </is>
      </c>
      <c r="E162" s="5" t="inlineStr">
        <is>
          <t>Open source</t>
        </is>
      </c>
      <c r="F162" s="4" t="inlineStr">
        <is>
          <t>myScheme scheme page</t>
        </is>
      </c>
      <c r="G162" s="4" t="inlineStr">
        <is>
          <t>Retrieved public myScheme content; policy currency not independently verified</t>
        </is>
      </c>
      <c r="H162" s="4" t="inlineStr">
        <is>
          <t>English</t>
        </is>
      </c>
      <c r="I162" s="4" t="inlineStr">
        <is>
          <t>Effective date not established</t>
        </is>
      </c>
      <c r="J162" s="6" t="n">
        <v>46323</v>
      </c>
      <c r="K162" s="7" t="inlineStr">
        <is>
          <t>Review status: Approved</t>
        </is>
      </c>
      <c r="L162" s="4" t="inlineStr">
        <is>
          <t>https://www.myscheme.gov.in/schemes/avyay-napsc-hssc</t>
        </is>
      </c>
      <c r="M162" s="4" t="inlineStr">
        <is>
          <t>3ca3545470a2f090b3d93853723088be13448e3724f83a43cc689a6a105ca419</t>
        </is>
      </c>
    </row>
    <row r="163" ht="45" customHeight="1">
      <c r="A163" s="4" t="inlineStr">
        <is>
          <t>C21-L01</t>
        </is>
      </c>
      <c r="B163" s="4" t="inlineStr">
        <is>
          <t>C21</t>
        </is>
      </c>
      <c r="C163" s="4" t="inlineStr">
        <is>
          <t>Application / document link</t>
        </is>
      </c>
      <c r="D163" s="4" t="inlineStr">
        <is>
          <t>E-anudaan Portal.</t>
        </is>
      </c>
      <c r="E163" s="5" t="inlineStr">
        <is>
          <t>Open source</t>
        </is>
      </c>
      <c r="F163" s="4" t="inlineStr">
        <is>
          <t>.scheme.applicationProcess[0].process[1].children[0].children[1]</t>
        </is>
      </c>
      <c r="G163" s="4" t="inlineStr">
        <is>
          <t>Listed by myScheme; destination not independently opened</t>
        </is>
      </c>
      <c r="H163" s="4" t="inlineStr">
        <is>
          <t>As published</t>
        </is>
      </c>
      <c r="I163" s="4" t="inlineStr">
        <is>
          <t>Not established</t>
        </is>
      </c>
      <c r="J163" s="6" t="n">
        <v>46323</v>
      </c>
      <c r="K163" s="7" t="inlineStr">
        <is>
          <t>Review status: Approved</t>
        </is>
      </c>
      <c r="L163" s="4" t="inlineStr">
        <is>
          <t>https://grants-msje.gov.in/</t>
        </is>
      </c>
      <c r="M163" s="4" t="inlineStr"/>
    </row>
    <row r="164" ht="45" customHeight="1">
      <c r="A164" s="4" t="inlineStr">
        <is>
          <t>C21-L02</t>
        </is>
      </c>
      <c r="B164" s="4" t="inlineStr">
        <is>
          <t>C21</t>
        </is>
      </c>
      <c r="C164" s="4" t="inlineStr">
        <is>
          <t>Sources and References</t>
        </is>
      </c>
      <c r="D164" s="4" t="inlineStr">
        <is>
          <t>Guidelines</t>
        </is>
      </c>
      <c r="E164" s="5" t="inlineStr">
        <is>
          <t>Open source</t>
        </is>
      </c>
      <c r="F164" s="4" t="inlineStr">
        <is>
          <t>.scheme.schemeContent.references[0]</t>
        </is>
      </c>
      <c r="G164" s="4" t="inlineStr">
        <is>
          <t>Listed by myScheme; destination not independently opened</t>
        </is>
      </c>
      <c r="H164" s="4" t="inlineStr">
        <is>
          <t>As published</t>
        </is>
      </c>
      <c r="I164" s="4" t="inlineStr">
        <is>
          <t>Not established</t>
        </is>
      </c>
      <c r="J164" s="6" t="n">
        <v>46323</v>
      </c>
      <c r="K164" s="7" t="inlineStr">
        <is>
          <t>Review status: Approved</t>
        </is>
      </c>
      <c r="L164" s="4" t="inlineStr">
        <is>
          <t>https://socialjustice.gov.in/schemes/43</t>
        </is>
      </c>
      <c r="M164" s="4" t="inlineStr"/>
    </row>
    <row r="165" ht="45" customHeight="1">
      <c r="A165" s="4" t="inlineStr">
        <is>
          <t>MS-C22</t>
        </is>
      </c>
      <c r="B165" s="4" t="inlineStr">
        <is>
          <t>C22</t>
        </is>
      </c>
      <c r="C165" s="4" t="inlineStr">
        <is>
          <t>Official scheme page</t>
        </is>
      </c>
      <c r="D165" s="4" t="inlineStr">
        <is>
          <t>Nyaya Mitra Scheme</t>
        </is>
      </c>
      <c r="E165" s="5" t="inlineStr">
        <is>
          <t>Open source</t>
        </is>
      </c>
      <c r="F165" s="4" t="inlineStr">
        <is>
          <t>myScheme scheme page</t>
        </is>
      </c>
      <c r="G165" s="4" t="inlineStr">
        <is>
          <t>Retrieved public myScheme content; policy currency not independently verified</t>
        </is>
      </c>
      <c r="H165" s="4" t="inlineStr">
        <is>
          <t>English</t>
        </is>
      </c>
      <c r="I165" s="4" t="inlineStr">
        <is>
          <t>Effective date not established</t>
        </is>
      </c>
      <c r="J165" s="6" t="n">
        <v>46323</v>
      </c>
      <c r="K165" s="7" t="inlineStr">
        <is>
          <t>Review status: Approved</t>
        </is>
      </c>
      <c r="L165" s="4" t="inlineStr">
        <is>
          <t>https://www.myscheme.gov.in/schemes/nms</t>
        </is>
      </c>
      <c r="M165" s="4" t="inlineStr">
        <is>
          <t>610abbf9740185aeaef43b29bc1ddc82deeda51b537edcf0cd8afc59cab6bf03</t>
        </is>
      </c>
    </row>
    <row r="166" ht="45" customHeight="1">
      <c r="A166" s="4" t="inlineStr">
        <is>
          <t>C22-L01</t>
        </is>
      </c>
      <c r="B166" s="4" t="inlineStr">
        <is>
          <t>C22</t>
        </is>
      </c>
      <c r="C166" s="4" t="inlineStr">
        <is>
          <t>Sources and References</t>
        </is>
      </c>
      <c r="D166" s="4" t="inlineStr">
        <is>
          <t>Scheme Guidelines</t>
        </is>
      </c>
      <c r="E166" s="5" t="inlineStr">
        <is>
          <t>Open source</t>
        </is>
      </c>
      <c r="F166" s="4" t="inlineStr">
        <is>
          <t>.scheme.schemeContent.references[0]</t>
        </is>
      </c>
      <c r="G166" s="4" t="inlineStr">
        <is>
          <t>Listed by myScheme; destination not independently opened</t>
        </is>
      </c>
      <c r="H166" s="4" t="inlineStr">
        <is>
          <t>As published</t>
        </is>
      </c>
      <c r="I166" s="4" t="inlineStr">
        <is>
          <t>Not established</t>
        </is>
      </c>
      <c r="J166" s="6" t="n">
        <v>46323</v>
      </c>
      <c r="K166" s="7" t="inlineStr">
        <is>
          <t>Review status: Approved</t>
        </is>
      </c>
      <c r="L166" s="4" t="inlineStr">
        <is>
          <t>https://drtktopecollege.in/wp-content/uploads/2021/03/Nyaya-Mitra-scheme.pdf?attachment_id=541</t>
        </is>
      </c>
      <c r="M166" s="4" t="inlineStr"/>
    </row>
    <row r="167" ht="45" customHeight="1">
      <c r="A167" s="4" t="inlineStr">
        <is>
          <t>C22-L02</t>
        </is>
      </c>
      <c r="B167" s="4" t="inlineStr">
        <is>
          <t>C22</t>
        </is>
      </c>
      <c r="C167" s="4" t="inlineStr">
        <is>
          <t>Sources and References</t>
        </is>
      </c>
      <c r="D167" s="4" t="inlineStr">
        <is>
          <t>More Information</t>
        </is>
      </c>
      <c r="E167" s="5" t="inlineStr">
        <is>
          <t>Open source</t>
        </is>
      </c>
      <c r="F167" s="4" t="inlineStr">
        <is>
          <t>.scheme.schemeContent.references[1]</t>
        </is>
      </c>
      <c r="G167" s="4" t="inlineStr">
        <is>
          <t>Listed by myScheme; destination not independently opened</t>
        </is>
      </c>
      <c r="H167" s="4" t="inlineStr">
        <is>
          <t>As published</t>
        </is>
      </c>
      <c r="I167" s="4" t="inlineStr">
        <is>
          <t>Not established</t>
        </is>
      </c>
      <c r="J167" s="6" t="n">
        <v>46323</v>
      </c>
      <c r="K167" s="7" t="inlineStr">
        <is>
          <t>Review status: Approved</t>
        </is>
      </c>
      <c r="L167" s="4" t="inlineStr">
        <is>
          <t>https://www.doj.gov.in/page/nyaya-mitra-programme</t>
        </is>
      </c>
      <c r="M167" s="4" t="inlineStr"/>
    </row>
    <row r="168" ht="45" customHeight="1">
      <c r="A168" s="4" t="inlineStr">
        <is>
          <t>C22-L03</t>
        </is>
      </c>
      <c r="B168" s="4" t="inlineStr">
        <is>
          <t>C22</t>
        </is>
      </c>
      <c r="C168" s="4" t="inlineStr">
        <is>
          <t>Sources and References</t>
        </is>
      </c>
      <c r="D168" s="4" t="inlineStr">
        <is>
          <t>Press Release (29.07.2022)</t>
        </is>
      </c>
      <c r="E168" s="5" t="inlineStr">
        <is>
          <t>Open source</t>
        </is>
      </c>
      <c r="F168" s="4" t="inlineStr">
        <is>
          <t>.scheme.schemeContent.references[2]</t>
        </is>
      </c>
      <c r="G168" s="4" t="inlineStr">
        <is>
          <t>Listed by myScheme; destination not independently opened</t>
        </is>
      </c>
      <c r="H168" s="4" t="inlineStr">
        <is>
          <t>As published</t>
        </is>
      </c>
      <c r="I168" s="4" t="inlineStr">
        <is>
          <t>Not established</t>
        </is>
      </c>
      <c r="J168" s="6" t="n">
        <v>46323</v>
      </c>
      <c r="K168" s="7" t="inlineStr">
        <is>
          <t>Review status: Approved</t>
        </is>
      </c>
      <c r="L168" s="4" t="inlineStr">
        <is>
          <t>https://www.pib.gov.in/PressReleaseIframePage.aspx?PRID=1846198&amp;reg=3&amp;lang=2</t>
        </is>
      </c>
      <c r="M168" s="4" t="inlineStr"/>
    </row>
    <row r="169" ht="45" customHeight="1">
      <c r="A169" s="4" t="inlineStr">
        <is>
          <t>MS-C23</t>
        </is>
      </c>
      <c r="B169" s="4" t="inlineStr">
        <is>
          <t>C23</t>
        </is>
      </c>
      <c r="C169" s="4" t="inlineStr">
        <is>
          <t>Official scheme page</t>
        </is>
      </c>
      <c r="D169" s="4" t="inlineStr">
        <is>
          <t>Nari Adalat</t>
        </is>
      </c>
      <c r="E169" s="5" t="inlineStr">
        <is>
          <t>Open source</t>
        </is>
      </c>
      <c r="F169" s="4" t="inlineStr">
        <is>
          <t>myScheme scheme page</t>
        </is>
      </c>
      <c r="G169" s="4" t="inlineStr">
        <is>
          <t>Retrieved public myScheme content; policy currency not independently verified</t>
        </is>
      </c>
      <c r="H169" s="4" t="inlineStr">
        <is>
          <t>English</t>
        </is>
      </c>
      <c r="I169" s="4" t="inlineStr">
        <is>
          <t>Effective date not established</t>
        </is>
      </c>
      <c r="J169" s="6" t="n">
        <v>46323</v>
      </c>
      <c r="K169" s="7" t="inlineStr">
        <is>
          <t>Review status: Approved</t>
        </is>
      </c>
      <c r="L169" s="4" t="inlineStr">
        <is>
          <t>https://www.myscheme.gov.in/schemes/nari-adalat</t>
        </is>
      </c>
      <c r="M169" s="4" t="inlineStr">
        <is>
          <t>deb0d84d7f674af581509b95ededf43ee1b01188e7bc1c82d7578ce1c0e2b4ad</t>
        </is>
      </c>
    </row>
    <row r="170" ht="45" customHeight="1">
      <c r="A170" s="4" t="inlineStr">
        <is>
          <t>MS-C24</t>
        </is>
      </c>
      <c r="B170" s="4" t="inlineStr">
        <is>
          <t>C24</t>
        </is>
      </c>
      <c r="C170" s="4" t="inlineStr">
        <is>
          <t>Official scheme page</t>
        </is>
      </c>
      <c r="D170" s="4" t="inlineStr">
        <is>
          <t>National Post Doctoral Fellowship</t>
        </is>
      </c>
      <c r="E170" s="5" t="inlineStr">
        <is>
          <t>Open source</t>
        </is>
      </c>
      <c r="F170" s="4" t="inlineStr">
        <is>
          <t>myScheme scheme page</t>
        </is>
      </c>
      <c r="G170" s="4" t="inlineStr">
        <is>
          <t>Retrieved public myScheme content; policy currency not independently verified</t>
        </is>
      </c>
      <c r="H170" s="4" t="inlineStr">
        <is>
          <t>English</t>
        </is>
      </c>
      <c r="I170" s="4" t="inlineStr">
        <is>
          <t>Effective date not established</t>
        </is>
      </c>
      <c r="J170" s="6" t="n">
        <v>46323</v>
      </c>
      <c r="K170" s="7" t="inlineStr">
        <is>
          <t>Review status: Approved</t>
        </is>
      </c>
      <c r="L170" s="4" t="inlineStr">
        <is>
          <t>https://www.myscheme.gov.in/schemes/n-pdf</t>
        </is>
      </c>
      <c r="M170" s="4" t="inlineStr">
        <is>
          <t>5c066ab4d2733cf451feed8ebe76a5469c906e9b49957c139e940215a4dc55c3</t>
        </is>
      </c>
    </row>
    <row r="171" ht="45" customHeight="1">
      <c r="A171" s="4" t="inlineStr">
        <is>
          <t>C24-L01</t>
        </is>
      </c>
      <c r="B171" s="4" t="inlineStr">
        <is>
          <t>C24</t>
        </is>
      </c>
      <c r="C171" s="4" t="inlineStr">
        <is>
          <t>Application / document link</t>
        </is>
      </c>
      <c r="D171" s="4" t="inlineStr">
        <is>
          <t>www.serbonline.in</t>
        </is>
      </c>
      <c r="E171" s="5" t="inlineStr">
        <is>
          <t>Open source</t>
        </is>
      </c>
      <c r="F171" s="4" t="inlineStr">
        <is>
          <t>.scheme.applicationProcess[0].process[1].children[0].children[2]</t>
        </is>
      </c>
      <c r="G171" s="4" t="inlineStr">
        <is>
          <t>Listed by myScheme; destination not independently opened</t>
        </is>
      </c>
      <c r="H171" s="4" t="inlineStr">
        <is>
          <t>As published</t>
        </is>
      </c>
      <c r="I171" s="4" t="inlineStr">
        <is>
          <t>Not established</t>
        </is>
      </c>
      <c r="J171" s="6" t="n">
        <v>46323</v>
      </c>
      <c r="K171" s="7" t="inlineStr">
        <is>
          <t>Review status: Approved</t>
        </is>
      </c>
      <c r="L171" s="4" t="inlineStr">
        <is>
          <t>https://www.serbonline.in/SERB/npdf?HomePage=New</t>
        </is>
      </c>
      <c r="M171" s="4" t="inlineStr"/>
    </row>
    <row r="172" ht="45" customHeight="1">
      <c r="A172" s="4" t="inlineStr">
        <is>
          <t>C24-L02</t>
        </is>
      </c>
      <c r="B172" s="4" t="inlineStr">
        <is>
          <t>C24</t>
        </is>
      </c>
      <c r="C172" s="4" t="inlineStr">
        <is>
          <t>Application / document link</t>
        </is>
      </c>
      <c r="D172" s="4" t="inlineStr">
        <is>
          <t>https://serb.gov.in/</t>
        </is>
      </c>
      <c r="E172" s="5" t="inlineStr">
        <is>
          <t>Open source</t>
        </is>
      </c>
      <c r="F172" s="4" t="inlineStr">
        <is>
          <t>.scheme.applicationProcess[0].process[1].children[0].children[4]</t>
        </is>
      </c>
      <c r="G172" s="4" t="inlineStr">
        <is>
          <t>Listed by myScheme; destination not independently opened</t>
        </is>
      </c>
      <c r="H172" s="4" t="inlineStr">
        <is>
          <t>As published</t>
        </is>
      </c>
      <c r="I172" s="4" t="inlineStr">
        <is>
          <t>Not established</t>
        </is>
      </c>
      <c r="J172" s="6" t="n">
        <v>46323</v>
      </c>
      <c r="K172" s="7" t="inlineStr">
        <is>
          <t>Review status: Approved</t>
        </is>
      </c>
      <c r="L172" s="4" t="inlineStr">
        <is>
          <t>https://serb.gov.in/page/awards_fellowship#National%20Post%20Doctoral%20Fellowship</t>
        </is>
      </c>
      <c r="M172" s="4" t="inlineStr"/>
    </row>
    <row r="173" ht="45" customHeight="1">
      <c r="A173" s="4" t="inlineStr">
        <is>
          <t>C24-L03</t>
        </is>
      </c>
      <c r="B173" s="4" t="inlineStr">
        <is>
          <t>C24</t>
        </is>
      </c>
      <c r="C173" s="4" t="inlineStr">
        <is>
          <t>Application / document link</t>
        </is>
      </c>
      <c r="D173" s="4" t="inlineStr">
        <is>
          <t>www.serbonline.in</t>
        </is>
      </c>
      <c r="E173" s="5" t="inlineStr">
        <is>
          <t>Open source</t>
        </is>
      </c>
      <c r="F173" s="4" t="inlineStr">
        <is>
          <t>.scheme.applicationProcess[0].process[1].children[1].children[2]</t>
        </is>
      </c>
      <c r="G173" s="4" t="inlineStr">
        <is>
          <t>Listed by myScheme; destination not independently opened</t>
        </is>
      </c>
      <c r="H173" s="4" t="inlineStr">
        <is>
          <t>As published</t>
        </is>
      </c>
      <c r="I173" s="4" t="inlineStr">
        <is>
          <t>Not established</t>
        </is>
      </c>
      <c r="J173" s="6" t="n">
        <v>46323</v>
      </c>
      <c r="K173" s="7" t="inlineStr">
        <is>
          <t>Review status: Approved</t>
        </is>
      </c>
      <c r="L173" s="4" t="inlineStr">
        <is>
          <t>https://www.serbonline.in/SERB/npdf?HomePage=New</t>
        </is>
      </c>
      <c r="M173" s="4" t="inlineStr"/>
    </row>
    <row r="174" ht="45" customHeight="1">
      <c r="A174" s="4" t="inlineStr">
        <is>
          <t>C24-L04</t>
        </is>
      </c>
      <c r="B174" s="4" t="inlineStr">
        <is>
          <t>C24</t>
        </is>
      </c>
      <c r="C174" s="4" t="inlineStr">
        <is>
          <t>Application / document link</t>
        </is>
      </c>
      <c r="D174" s="4" t="inlineStr">
        <is>
          <t>click here to register</t>
        </is>
      </c>
      <c r="E174" s="5" t="inlineStr">
        <is>
          <t>Open source</t>
        </is>
      </c>
      <c r="F174" s="4" t="inlineStr">
        <is>
          <t>.scheme.applicationProcess[0].process[1].children[2].children[2]</t>
        </is>
      </c>
      <c r="G174" s="4" t="inlineStr">
        <is>
          <t>Listed by myScheme; destination not independently opened</t>
        </is>
      </c>
      <c r="H174" s="4" t="inlineStr">
        <is>
          <t>As published</t>
        </is>
      </c>
      <c r="I174" s="4" t="inlineStr">
        <is>
          <t>Not established</t>
        </is>
      </c>
      <c r="J174" s="6" t="n">
        <v>46323</v>
      </c>
      <c r="K174" s="7" t="inlineStr">
        <is>
          <t>Review status: Approved</t>
        </is>
      </c>
      <c r="L174" s="4" t="inlineStr">
        <is>
          <t>https://serbonline.in/SERB/Registration</t>
        </is>
      </c>
      <c r="M174" s="4" t="inlineStr"/>
    </row>
    <row r="175" ht="45" customHeight="1">
      <c r="A175" s="4" t="inlineStr">
        <is>
          <t>C24-L05</t>
        </is>
      </c>
      <c r="B175" s="4" t="inlineStr">
        <is>
          <t>C24</t>
        </is>
      </c>
      <c r="C175" s="4" t="inlineStr">
        <is>
          <t>Application / document link</t>
        </is>
      </c>
      <c r="D175" s="4" t="inlineStr">
        <is>
          <t>Complete guidelines for Principal Investigator for SERB-online system</t>
        </is>
      </c>
      <c r="E175" s="5" t="inlineStr">
        <is>
          <t>Open source</t>
        </is>
      </c>
      <c r="F175" s="4" t="inlineStr">
        <is>
          <t>.scheme.applicationProcess[0].process[1].children[13].children[1]</t>
        </is>
      </c>
      <c r="G175" s="4" t="inlineStr">
        <is>
          <t>Listed by myScheme; destination not independently opened</t>
        </is>
      </c>
      <c r="H175" s="4" t="inlineStr">
        <is>
          <t>As published</t>
        </is>
      </c>
      <c r="I175" s="4" t="inlineStr">
        <is>
          <t>Not established</t>
        </is>
      </c>
      <c r="J175" s="6" t="n">
        <v>46323</v>
      </c>
      <c r="K175" s="7" t="inlineStr">
        <is>
          <t>Review status: Approved</t>
        </is>
      </c>
      <c r="L175" s="4" t="inlineStr">
        <is>
          <t>https://www.serbonline.in/SERB_Help/pi/Multiscreen_HTML5/desktop/Login.htm</t>
        </is>
      </c>
      <c r="M175" s="4" t="inlineStr"/>
    </row>
    <row r="176" ht="45" customHeight="1">
      <c r="A176" s="4" t="inlineStr">
        <is>
          <t>C24-L06</t>
        </is>
      </c>
      <c r="B176" s="4" t="inlineStr">
        <is>
          <t>C24</t>
        </is>
      </c>
      <c r="C176" s="4" t="inlineStr">
        <is>
          <t>Sources and References</t>
        </is>
      </c>
      <c r="D176" s="4" t="inlineStr">
        <is>
          <t>Official Website</t>
        </is>
      </c>
      <c r="E176" s="5" t="inlineStr">
        <is>
          <t>Open source</t>
        </is>
      </c>
      <c r="F176" s="4" t="inlineStr">
        <is>
          <t>.scheme.schemeContent.references[0]</t>
        </is>
      </c>
      <c r="G176" s="4" t="inlineStr">
        <is>
          <t>Listed by myScheme; destination not independently opened</t>
        </is>
      </c>
      <c r="H176" s="4" t="inlineStr">
        <is>
          <t>As published</t>
        </is>
      </c>
      <c r="I176" s="4" t="inlineStr">
        <is>
          <t>Not established</t>
        </is>
      </c>
      <c r="J176" s="6" t="n">
        <v>46323</v>
      </c>
      <c r="K176" s="7" t="inlineStr">
        <is>
          <t>Review status: Approved</t>
        </is>
      </c>
      <c r="L176" s="4" t="inlineStr">
        <is>
          <t>https://serb.gov.in/page/awards_fellowship#National%20Post%20Doctoral%20Fellowship</t>
        </is>
      </c>
      <c r="M176" s="4" t="inlineStr"/>
    </row>
    <row r="177" ht="45" customHeight="1">
      <c r="A177" s="4" t="inlineStr">
        <is>
          <t>C24-L07</t>
        </is>
      </c>
      <c r="B177" s="4" t="inlineStr">
        <is>
          <t>C24</t>
        </is>
      </c>
      <c r="C177" s="4" t="inlineStr">
        <is>
          <t>Sources and References</t>
        </is>
      </c>
      <c r="D177" s="4" t="inlineStr">
        <is>
          <t>Guidelines</t>
        </is>
      </c>
      <c r="E177" s="5" t="inlineStr">
        <is>
          <t>Open source</t>
        </is>
      </c>
      <c r="F177" s="4" t="inlineStr">
        <is>
          <t>.scheme.schemeContent.references[1]</t>
        </is>
      </c>
      <c r="G177" s="4" t="inlineStr">
        <is>
          <t>Listed by myScheme; destination not independently opened</t>
        </is>
      </c>
      <c r="H177" s="4" t="inlineStr">
        <is>
          <t>As published</t>
        </is>
      </c>
      <c r="I177" s="4" t="inlineStr">
        <is>
          <t>Not established</t>
        </is>
      </c>
      <c r="J177" s="6" t="n">
        <v>46323</v>
      </c>
      <c r="K177" s="7" t="inlineStr">
        <is>
          <t>Review status: Approved</t>
        </is>
      </c>
      <c r="L177" s="4" t="inlineStr">
        <is>
          <t>https://www.serbonline.in/SERB/npdf?HomePage=New</t>
        </is>
      </c>
      <c r="M177" s="4" t="inlineStr"/>
    </row>
    <row r="178" ht="45" customHeight="1">
      <c r="A178" s="4" t="inlineStr">
        <is>
          <t>C24-L08</t>
        </is>
      </c>
      <c r="B178" s="4" t="inlineStr">
        <is>
          <t>C24</t>
        </is>
      </c>
      <c r="C178" s="4" t="inlineStr">
        <is>
          <t>Sources and References</t>
        </is>
      </c>
      <c r="D178" s="4" t="inlineStr">
        <is>
          <t>India Science, Technology &amp; Innovation</t>
        </is>
      </c>
      <c r="E178" s="5" t="inlineStr">
        <is>
          <t>Open source</t>
        </is>
      </c>
      <c r="F178" s="4" t="inlineStr">
        <is>
          <t>.scheme.schemeContent.references[2]</t>
        </is>
      </c>
      <c r="G178" s="4" t="inlineStr">
        <is>
          <t>Listed by myScheme; destination not independently opened</t>
        </is>
      </c>
      <c r="H178" s="4" t="inlineStr">
        <is>
          <t>As published</t>
        </is>
      </c>
      <c r="I178" s="4" t="inlineStr">
        <is>
          <t>Not established</t>
        </is>
      </c>
      <c r="J178" s="6" t="n">
        <v>46323</v>
      </c>
      <c r="K178" s="7" t="inlineStr">
        <is>
          <t>Review status: Approved</t>
        </is>
      </c>
      <c r="L178" s="4" t="inlineStr">
        <is>
          <t>https://www.indiascienceandtechnology.gov.in/programme-schemes/research-and-development/national-post-doctoral-fellowship-n-pdf</t>
        </is>
      </c>
      <c r="M178" s="4" t="inlineStr"/>
    </row>
    <row r="179" ht="45" customHeight="1">
      <c r="A179" s="4" t="inlineStr">
        <is>
          <t>C24-L09</t>
        </is>
      </c>
      <c r="B179" s="4" t="inlineStr">
        <is>
          <t>C24</t>
        </is>
      </c>
      <c r="C179" s="4" t="inlineStr">
        <is>
          <t>Sources and References</t>
        </is>
      </c>
      <c r="D179" s="4" t="inlineStr">
        <is>
          <t>Registration Portal</t>
        </is>
      </c>
      <c r="E179" s="5" t="inlineStr">
        <is>
          <t>Open source</t>
        </is>
      </c>
      <c r="F179" s="4" t="inlineStr">
        <is>
          <t>.scheme.schemeContent.references[3]</t>
        </is>
      </c>
      <c r="G179" s="4" t="inlineStr">
        <is>
          <t>Listed by myScheme; destination not independently opened</t>
        </is>
      </c>
      <c r="H179" s="4" t="inlineStr">
        <is>
          <t>As published</t>
        </is>
      </c>
      <c r="I179" s="4" t="inlineStr">
        <is>
          <t>Not established</t>
        </is>
      </c>
      <c r="J179" s="6" t="n">
        <v>46323</v>
      </c>
      <c r="K179" s="7" t="inlineStr">
        <is>
          <t>Review status: Approved</t>
        </is>
      </c>
      <c r="L179" s="4" t="inlineStr">
        <is>
          <t>https://serbonline.in/SERB/Registration</t>
        </is>
      </c>
      <c r="M179" s="4" t="inlineStr"/>
    </row>
    <row r="180" ht="45" customHeight="1">
      <c r="A180" s="4" t="inlineStr">
        <is>
          <t>MS-C25</t>
        </is>
      </c>
      <c r="B180" s="4" t="inlineStr">
        <is>
          <t>C25</t>
        </is>
      </c>
      <c r="C180" s="4" t="inlineStr">
        <is>
          <t>Official scheme page</t>
        </is>
      </c>
      <c r="D180" s="4" t="inlineStr">
        <is>
          <t>Women’s Instinct for Developing and Ushering in Scientific Heights &amp; Innovation</t>
        </is>
      </c>
      <c r="E180" s="5" t="inlineStr">
        <is>
          <t>Open source</t>
        </is>
      </c>
      <c r="F180" s="4" t="inlineStr">
        <is>
          <t>myScheme scheme page</t>
        </is>
      </c>
      <c r="G180" s="4" t="inlineStr">
        <is>
          <t>Retrieved public myScheme content; policy currency not independently verified</t>
        </is>
      </c>
      <c r="H180" s="4" t="inlineStr">
        <is>
          <t>English</t>
        </is>
      </c>
      <c r="I180" s="4" t="inlineStr">
        <is>
          <t>Effective date not established</t>
        </is>
      </c>
      <c r="J180" s="6" t="n">
        <v>46323</v>
      </c>
      <c r="K180" s="7" t="inlineStr">
        <is>
          <t>Review status: Approved</t>
        </is>
      </c>
      <c r="L180" s="4" t="inlineStr">
        <is>
          <t>https://www.myscheme.gov.in/schemes/widushi</t>
        </is>
      </c>
      <c r="M180" s="4" t="inlineStr">
        <is>
          <t>281bc0083982ac6b56b6ecaa09829409f43b1317460f698566fdc355264b0f4a</t>
        </is>
      </c>
    </row>
    <row r="181" ht="45" customHeight="1">
      <c r="A181" s="4" t="inlineStr">
        <is>
          <t>C25-L01</t>
        </is>
      </c>
      <c r="B181" s="4" t="inlineStr">
        <is>
          <t>C25</t>
        </is>
      </c>
      <c r="C181" s="4" t="inlineStr">
        <is>
          <t>Application / document link</t>
        </is>
      </c>
      <c r="D181" s="4" t="inlineStr">
        <is>
          <t>https://dst.gov.in</t>
        </is>
      </c>
      <c r="E181" s="5" t="inlineStr">
        <is>
          <t>Open source</t>
        </is>
      </c>
      <c r="F181" s="4" t="inlineStr">
        <is>
          <t>.scheme.applicationProcess[0].process[0].children[2].children[2]</t>
        </is>
      </c>
      <c r="G181" s="4" t="inlineStr">
        <is>
          <t>Listed by myScheme; destination not independently opened</t>
        </is>
      </c>
      <c r="H181" s="4" t="inlineStr">
        <is>
          <t>As published</t>
        </is>
      </c>
      <c r="I181" s="4" t="inlineStr">
        <is>
          <t>Not established</t>
        </is>
      </c>
      <c r="J181" s="6" t="n">
        <v>46323</v>
      </c>
      <c r="K181" s="7" t="inlineStr">
        <is>
          <t>Review status: Approved</t>
        </is>
      </c>
      <c r="L181" s="4" t="inlineStr">
        <is>
          <t>https://dst.gov.in/</t>
        </is>
      </c>
      <c r="M181" s="4" t="inlineStr"/>
    </row>
    <row r="182" ht="45" customHeight="1">
      <c r="A182" s="4" t="inlineStr">
        <is>
          <t>C25-L02</t>
        </is>
      </c>
      <c r="B182" s="4" t="inlineStr">
        <is>
          <t>C25</t>
        </is>
      </c>
      <c r="C182" s="4" t="inlineStr">
        <is>
          <t>Application / document link</t>
        </is>
      </c>
      <c r="D182" s="4" t="inlineStr">
        <is>
          <t>https://onlinedst.gov.in/</t>
        </is>
      </c>
      <c r="E182" s="5" t="inlineStr">
        <is>
          <t>Open source</t>
        </is>
      </c>
      <c r="F182" s="4" t="inlineStr">
        <is>
          <t>.scheme.applicationProcess[0].process[0].children[2].children[4]</t>
        </is>
      </c>
      <c r="G182" s="4" t="inlineStr">
        <is>
          <t>Listed by myScheme; destination not independently opened</t>
        </is>
      </c>
      <c r="H182" s="4" t="inlineStr">
        <is>
          <t>As published</t>
        </is>
      </c>
      <c r="I182" s="4" t="inlineStr">
        <is>
          <t>Not established</t>
        </is>
      </c>
      <c r="J182" s="6" t="n">
        <v>46323</v>
      </c>
      <c r="K182" s="7" t="inlineStr">
        <is>
          <t>Review status: Approved</t>
        </is>
      </c>
      <c r="L182" s="4" t="inlineStr">
        <is>
          <t>https://onlinedst.gov.in/</t>
        </is>
      </c>
      <c r="M182" s="4" t="inlineStr"/>
    </row>
    <row r="183" ht="45" customHeight="1">
      <c r="A183" s="4" t="inlineStr">
        <is>
          <t>C25-L03</t>
        </is>
      </c>
      <c r="B183" s="4" t="inlineStr">
        <is>
          <t>C25</t>
        </is>
      </c>
      <c r="C183" s="4" t="inlineStr">
        <is>
          <t>Application / document link</t>
        </is>
      </c>
      <c r="D183" s="4" t="inlineStr">
        <is>
          <t>https://online-wosa.gov.in/</t>
        </is>
      </c>
      <c r="E183" s="5" t="inlineStr">
        <is>
          <t>Open source</t>
        </is>
      </c>
      <c r="F183" s="4" t="inlineStr">
        <is>
          <t>.scheme.applicationProcess[0].process[0].children[2].children[6]</t>
        </is>
      </c>
      <c r="G183" s="4" t="inlineStr">
        <is>
          <t>Listed by myScheme; destination not independently opened</t>
        </is>
      </c>
      <c r="H183" s="4" t="inlineStr">
        <is>
          <t>As published</t>
        </is>
      </c>
      <c r="I183" s="4" t="inlineStr">
        <is>
          <t>Not established</t>
        </is>
      </c>
      <c r="J183" s="6" t="n">
        <v>46323</v>
      </c>
      <c r="K183" s="7" t="inlineStr">
        <is>
          <t>Review status: Approved</t>
        </is>
      </c>
      <c r="L183" s="4" t="inlineStr">
        <is>
          <t>https://online-wosa.gov.in/</t>
        </is>
      </c>
      <c r="M183" s="4" t="inlineStr"/>
    </row>
    <row r="184" ht="45" customHeight="1">
      <c r="A184" s="4" t="inlineStr">
        <is>
          <t>C25-L04</t>
        </is>
      </c>
      <c r="B184" s="4" t="inlineStr">
        <is>
          <t>C25</t>
        </is>
      </c>
      <c r="C184" s="4" t="inlineStr">
        <is>
          <t>Application / document link</t>
        </is>
      </c>
      <c r="D184" s="4" t="inlineStr">
        <is>
          <t>https://onlinedst.gov.in/</t>
        </is>
      </c>
      <c r="E184" s="5" t="inlineStr">
        <is>
          <t>Open source</t>
        </is>
      </c>
      <c r="F184" s="4" t="inlineStr">
        <is>
          <t>.scheme.applicationProcess[0].process[0].children[3].children[2]</t>
        </is>
      </c>
      <c r="G184" s="4" t="inlineStr">
        <is>
          <t>Listed by myScheme; destination not independently opened</t>
        </is>
      </c>
      <c r="H184" s="4" t="inlineStr">
        <is>
          <t>As published</t>
        </is>
      </c>
      <c r="I184" s="4" t="inlineStr">
        <is>
          <t>Not established</t>
        </is>
      </c>
      <c r="J184" s="6" t="n">
        <v>46323</v>
      </c>
      <c r="K184" s="7" t="inlineStr">
        <is>
          <t>Review status: Approved</t>
        </is>
      </c>
      <c r="L184" s="4" t="inlineStr">
        <is>
          <t>https://onlinedst.gov.in/</t>
        </is>
      </c>
      <c r="M184" s="4" t="inlineStr"/>
    </row>
    <row r="185" ht="45" customHeight="1">
      <c r="A185" s="4" t="inlineStr">
        <is>
          <t>C25-L05</t>
        </is>
      </c>
      <c r="B185" s="4" t="inlineStr">
        <is>
          <t>C25</t>
        </is>
      </c>
      <c r="C185" s="4" t="inlineStr">
        <is>
          <t>Application / document link</t>
        </is>
      </c>
      <c r="D185" s="4" t="inlineStr">
        <is>
          <t>www.dst.gov.in</t>
        </is>
      </c>
      <c r="E185" s="5" t="inlineStr">
        <is>
          <t>Open source</t>
        </is>
      </c>
      <c r="F185" s="4" t="inlineStr">
        <is>
          <t>.scheme.applicationProcess[0].process[0].children[12].children[1]</t>
        </is>
      </c>
      <c r="G185" s="4" t="inlineStr">
        <is>
          <t>Listed by myScheme; destination not independently opened</t>
        </is>
      </c>
      <c r="H185" s="4" t="inlineStr">
        <is>
          <t>As published</t>
        </is>
      </c>
      <c r="I185" s="4" t="inlineStr">
        <is>
          <t>Not established</t>
        </is>
      </c>
      <c r="J185" s="6" t="n">
        <v>46323</v>
      </c>
      <c r="K185" s="7" t="inlineStr">
        <is>
          <t>Review status: Approved</t>
        </is>
      </c>
      <c r="L185" s="4" t="inlineStr">
        <is>
          <t>https://dst.gov.in/</t>
        </is>
      </c>
      <c r="M185" s="4" t="inlineStr"/>
    </row>
    <row r="186" ht="45" customHeight="1">
      <c r="A186" s="4" t="inlineStr">
        <is>
          <t>C25-L06</t>
        </is>
      </c>
      <c r="B186" s="4" t="inlineStr">
        <is>
          <t>C25</t>
        </is>
      </c>
      <c r="C186" s="4" t="inlineStr">
        <is>
          <t>Application / document link</t>
        </is>
      </c>
      <c r="D186" s="4" t="inlineStr">
        <is>
          <t>online-wosa.gov.in</t>
        </is>
      </c>
      <c r="E186" s="5" t="inlineStr">
        <is>
          <t>Open source</t>
        </is>
      </c>
      <c r="F186" s="4" t="inlineStr">
        <is>
          <t>.scheme.applicationProcess[0].process[0].children[12].children[3]</t>
        </is>
      </c>
      <c r="G186" s="4" t="inlineStr">
        <is>
          <t>Listed by myScheme; destination not independently opened</t>
        </is>
      </c>
      <c r="H186" s="4" t="inlineStr">
        <is>
          <t>As published</t>
        </is>
      </c>
      <c r="I186" s="4" t="inlineStr">
        <is>
          <t>Not established</t>
        </is>
      </c>
      <c r="J186" s="6" t="n">
        <v>46323</v>
      </c>
      <c r="K186" s="7" t="inlineStr">
        <is>
          <t>Review status: Approved</t>
        </is>
      </c>
      <c r="L186" s="4" t="inlineStr">
        <is>
          <t>https://online-wosa.gov.in/</t>
        </is>
      </c>
      <c r="M186" s="4" t="inlineStr"/>
    </row>
    <row r="187" ht="45" customHeight="1">
      <c r="A187" s="4" t="inlineStr">
        <is>
          <t>C25-L07</t>
        </is>
      </c>
      <c r="B187" s="4" t="inlineStr">
        <is>
          <t>C25</t>
        </is>
      </c>
      <c r="C187" s="4" t="inlineStr">
        <is>
          <t>Sources and References</t>
        </is>
      </c>
      <c r="D187" s="4" t="inlineStr">
        <is>
          <t>Guidelines</t>
        </is>
      </c>
      <c r="E187" s="5" t="inlineStr">
        <is>
          <t>Open source</t>
        </is>
      </c>
      <c r="F187" s="4" t="inlineStr">
        <is>
          <t>.scheme.schemeContent.references[0]</t>
        </is>
      </c>
      <c r="G187" s="4" t="inlineStr">
        <is>
          <t>Listed by myScheme; destination not independently opened</t>
        </is>
      </c>
      <c r="H187" s="4" t="inlineStr">
        <is>
          <t>As published</t>
        </is>
      </c>
      <c r="I187" s="4" t="inlineStr">
        <is>
          <t>Not established</t>
        </is>
      </c>
      <c r="J187" s="6" t="n">
        <v>46323</v>
      </c>
      <c r="K187" s="7" t="inlineStr">
        <is>
          <t>Review status: Approved</t>
        </is>
      </c>
      <c r="L187" s="4" t="inlineStr">
        <is>
          <t>https://dst.gov.in/sites/default/files/Advertisement-WIDUSHI_0.pdf</t>
        </is>
      </c>
      <c r="M187" s="4" t="inlineStr"/>
    </row>
    <row r="188" ht="45" customHeight="1">
      <c r="A188" s="4" t="inlineStr">
        <is>
          <t>C25-L08</t>
        </is>
      </c>
      <c r="B188" s="4" t="inlineStr">
        <is>
          <t>C25</t>
        </is>
      </c>
      <c r="C188" s="4" t="inlineStr">
        <is>
          <t>Sources and References</t>
        </is>
      </c>
      <c r="D188" s="4" t="inlineStr">
        <is>
          <t>Official Website</t>
        </is>
      </c>
      <c r="E188" s="5" t="inlineStr">
        <is>
          <t>Open source</t>
        </is>
      </c>
      <c r="F188" s="4" t="inlineStr">
        <is>
          <t>.scheme.schemeContent.references[1]</t>
        </is>
      </c>
      <c r="G188" s="4" t="inlineStr">
        <is>
          <t>Listed by myScheme; destination not independently opened</t>
        </is>
      </c>
      <c r="H188" s="4" t="inlineStr">
        <is>
          <t>As published</t>
        </is>
      </c>
      <c r="I188" s="4" t="inlineStr">
        <is>
          <t>Not established</t>
        </is>
      </c>
      <c r="J188" s="6" t="n">
        <v>46323</v>
      </c>
      <c r="K188" s="7" t="inlineStr">
        <is>
          <t>Review status: Approved</t>
        </is>
      </c>
      <c r="L188" s="4" t="inlineStr">
        <is>
          <t>https://online-wosa.gov.in/</t>
        </is>
      </c>
      <c r="M188" s="4" t="inlineStr"/>
    </row>
    <row r="189" ht="45" customHeight="1">
      <c r="A189" s="4" t="inlineStr">
        <is>
          <t>C25-L09</t>
        </is>
      </c>
      <c r="B189" s="4" t="inlineStr">
        <is>
          <t>C25</t>
        </is>
      </c>
      <c r="C189" s="4" t="inlineStr">
        <is>
          <t>Sources and References</t>
        </is>
      </c>
      <c r="D189" s="4" t="inlineStr">
        <is>
          <t>E-PMS Portal</t>
        </is>
      </c>
      <c r="E189" s="5" t="inlineStr">
        <is>
          <t>Open source</t>
        </is>
      </c>
      <c r="F189" s="4" t="inlineStr">
        <is>
          <t>.scheme.schemeContent.references[2]</t>
        </is>
      </c>
      <c r="G189" s="4" t="inlineStr">
        <is>
          <t>Listed by myScheme; destination not independently opened</t>
        </is>
      </c>
      <c r="H189" s="4" t="inlineStr">
        <is>
          <t>As published</t>
        </is>
      </c>
      <c r="I189" s="4" t="inlineStr">
        <is>
          <t>Not established</t>
        </is>
      </c>
      <c r="J189" s="6" t="n">
        <v>46323</v>
      </c>
      <c r="K189" s="7" t="inlineStr">
        <is>
          <t>Review status: Approved</t>
        </is>
      </c>
      <c r="L189" s="4" t="inlineStr">
        <is>
          <t>https://onlinedst.gov.in/</t>
        </is>
      </c>
      <c r="M189" s="4" t="inlineStr"/>
    </row>
    <row r="190" ht="45" customHeight="1">
      <c r="A190" s="4" t="inlineStr">
        <is>
          <t>C25-L10</t>
        </is>
      </c>
      <c r="B190" s="4" t="inlineStr">
        <is>
          <t>C25</t>
        </is>
      </c>
      <c r="C190" s="4" t="inlineStr">
        <is>
          <t>Sources and References</t>
        </is>
      </c>
      <c r="D190" s="4" t="inlineStr">
        <is>
          <t>DST Portal</t>
        </is>
      </c>
      <c r="E190" s="5" t="inlineStr">
        <is>
          <t>Open source</t>
        </is>
      </c>
      <c r="F190" s="4" t="inlineStr">
        <is>
          <t>.scheme.schemeContent.references[3]</t>
        </is>
      </c>
      <c r="G190" s="4" t="inlineStr">
        <is>
          <t>Listed by myScheme; destination not independently opened</t>
        </is>
      </c>
      <c r="H190" s="4" t="inlineStr">
        <is>
          <t>As published</t>
        </is>
      </c>
      <c r="I190" s="4" t="inlineStr">
        <is>
          <t>Not established</t>
        </is>
      </c>
      <c r="J190" s="6" t="n">
        <v>46323</v>
      </c>
      <c r="K190" s="7" t="inlineStr">
        <is>
          <t>Review status: Approved</t>
        </is>
      </c>
      <c r="L190" s="4" t="inlineStr">
        <is>
          <t>https://dst.gov.in/</t>
        </is>
      </c>
      <c r="M190" s="4" t="inlineStr"/>
    </row>
    <row r="191" ht="45" customHeight="1">
      <c r="A191" s="4" t="inlineStr">
        <is>
          <t>MS-C26</t>
        </is>
      </c>
      <c r="B191" s="4" t="inlineStr">
        <is>
          <t>C26</t>
        </is>
      </c>
      <c r="C191" s="4" t="inlineStr">
        <is>
          <t>Official scheme page</t>
        </is>
      </c>
      <c r="D191" s="4" t="inlineStr">
        <is>
          <t>Teachers Associateship for Research Excellence</t>
        </is>
      </c>
      <c r="E191" s="5" t="inlineStr">
        <is>
          <t>Open source</t>
        </is>
      </c>
      <c r="F191" s="4" t="inlineStr">
        <is>
          <t>myScheme scheme page</t>
        </is>
      </c>
      <c r="G191" s="4" t="inlineStr">
        <is>
          <t>Retrieved public myScheme content; policy currency not independently verified</t>
        </is>
      </c>
      <c r="H191" s="4" t="inlineStr">
        <is>
          <t>English</t>
        </is>
      </c>
      <c r="I191" s="4" t="inlineStr">
        <is>
          <t>Effective date not established</t>
        </is>
      </c>
      <c r="J191" s="6" t="n">
        <v>46323</v>
      </c>
      <c r="K191" s="7" t="inlineStr">
        <is>
          <t>Review status: Approved</t>
        </is>
      </c>
      <c r="L191" s="4" t="inlineStr">
        <is>
          <t>https://www.myscheme.gov.in/schemes/tare</t>
        </is>
      </c>
      <c r="M191" s="4" t="inlineStr">
        <is>
          <t>db2b865922fd017c4146c7146981acef0a89450c354d5d65dada20f9d8625d67</t>
        </is>
      </c>
    </row>
    <row r="192" ht="45" customHeight="1">
      <c r="A192" s="4" t="inlineStr">
        <is>
          <t>C26-L01</t>
        </is>
      </c>
      <c r="B192" s="4" t="inlineStr">
        <is>
          <t>C26</t>
        </is>
      </c>
      <c r="C192" s="4" t="inlineStr">
        <is>
          <t>Application / document link</t>
        </is>
      </c>
      <c r="D192" s="4" t="inlineStr">
        <is>
          <t>www.serbonline.in</t>
        </is>
      </c>
      <c r="E192" s="5" t="inlineStr">
        <is>
          <t>Open source</t>
        </is>
      </c>
      <c r="F192" s="4" t="inlineStr">
        <is>
          <t>.scheme.applicationProcess[0].process[0].children[0].children[2]</t>
        </is>
      </c>
      <c r="G192" s="4" t="inlineStr">
        <is>
          <t>Listed by myScheme; destination not independently opened</t>
        </is>
      </c>
      <c r="H192" s="4" t="inlineStr">
        <is>
          <t>As published</t>
        </is>
      </c>
      <c r="I192" s="4" t="inlineStr">
        <is>
          <t>Not established</t>
        </is>
      </c>
      <c r="J192" s="6" t="n">
        <v>46323</v>
      </c>
      <c r="K192" s="7" t="inlineStr">
        <is>
          <t>Review status: Approved</t>
        </is>
      </c>
      <c r="L192" s="4" t="inlineStr">
        <is>
          <t>https://www.serbonline.in/SERB/HomePage</t>
        </is>
      </c>
      <c r="M192" s="4" t="inlineStr"/>
    </row>
    <row r="193" ht="45" customHeight="1">
      <c r="A193" s="4" t="inlineStr">
        <is>
          <t>C26-L02</t>
        </is>
      </c>
      <c r="B193" s="4" t="inlineStr">
        <is>
          <t>C26</t>
        </is>
      </c>
      <c r="C193" s="4" t="inlineStr">
        <is>
          <t>Application / document link</t>
        </is>
      </c>
      <c r="D193" s="4" t="inlineStr">
        <is>
          <t>www.serb.gov.in</t>
        </is>
      </c>
      <c r="E193" s="5" t="inlineStr">
        <is>
          <t>Open source</t>
        </is>
      </c>
      <c r="F193" s="4" t="inlineStr">
        <is>
          <t>.scheme.applicationProcess[0].process[0].children[0].children[4]</t>
        </is>
      </c>
      <c r="G193" s="4" t="inlineStr">
        <is>
          <t>Listed by myScheme; destination not independently opened</t>
        </is>
      </c>
      <c r="H193" s="4" t="inlineStr">
        <is>
          <t>As published</t>
        </is>
      </c>
      <c r="I193" s="4" t="inlineStr">
        <is>
          <t>Not established</t>
        </is>
      </c>
      <c r="J193" s="6" t="n">
        <v>46323</v>
      </c>
      <c r="K193" s="7" t="inlineStr">
        <is>
          <t>Review status: Approved</t>
        </is>
      </c>
      <c r="L193" s="4" t="inlineStr">
        <is>
          <t>https://serb.gov.in/page/english/awards_fellowship#Teachers%20Associateship%20for%20Research%20Excellence%20(TARE)</t>
        </is>
      </c>
      <c r="M193" s="4" t="inlineStr"/>
    </row>
    <row r="194" ht="45" customHeight="1">
      <c r="A194" s="4" t="inlineStr">
        <is>
          <t>C26-L03</t>
        </is>
      </c>
      <c r="B194" s="4" t="inlineStr">
        <is>
          <t>C26</t>
        </is>
      </c>
      <c r="C194" s="4" t="inlineStr">
        <is>
          <t>Application / document link</t>
        </is>
      </c>
      <c r="D194" s="4" t="inlineStr">
        <is>
          <t>Click here to register</t>
        </is>
      </c>
      <c r="E194" s="5" t="inlineStr">
        <is>
          <t>Open source</t>
        </is>
      </c>
      <c r="F194" s="4" t="inlineStr">
        <is>
          <t>.scheme.applicationProcess[0].process[0].children[1].children[2]</t>
        </is>
      </c>
      <c r="G194" s="4" t="inlineStr">
        <is>
          <t>Listed by myScheme; destination not independently opened</t>
        </is>
      </c>
      <c r="H194" s="4" t="inlineStr">
        <is>
          <t>As published</t>
        </is>
      </c>
      <c r="I194" s="4" t="inlineStr">
        <is>
          <t>Not established</t>
        </is>
      </c>
      <c r="J194" s="6" t="n">
        <v>46323</v>
      </c>
      <c r="K194" s="7" t="inlineStr">
        <is>
          <t>Review status: Approved</t>
        </is>
      </c>
      <c r="L194" s="4" t="inlineStr">
        <is>
          <t>https://www.serbonline.in/SERB/Registration</t>
        </is>
      </c>
      <c r="M194" s="4" t="inlineStr"/>
    </row>
    <row r="195" ht="45" customHeight="1">
      <c r="A195" s="4" t="inlineStr">
        <is>
          <t>C26-L04</t>
        </is>
      </c>
      <c r="B195" s="4" t="inlineStr">
        <is>
          <t>C26</t>
        </is>
      </c>
      <c r="C195" s="4" t="inlineStr">
        <is>
          <t>Sources and References</t>
        </is>
      </c>
      <c r="D195" s="4" t="inlineStr">
        <is>
          <t>Scheme Details</t>
        </is>
      </c>
      <c r="E195" s="5" t="inlineStr">
        <is>
          <t>Open source</t>
        </is>
      </c>
      <c r="F195" s="4" t="inlineStr">
        <is>
          <t>.scheme.schemeContent.references[0]</t>
        </is>
      </c>
      <c r="G195" s="4" t="inlineStr">
        <is>
          <t>Listed by myScheme; destination not independently opened</t>
        </is>
      </c>
      <c r="H195" s="4" t="inlineStr">
        <is>
          <t>As published</t>
        </is>
      </c>
      <c r="I195" s="4" t="inlineStr">
        <is>
          <t>Not established</t>
        </is>
      </c>
      <c r="J195" s="6" t="n">
        <v>46323</v>
      </c>
      <c r="K195" s="7" t="inlineStr">
        <is>
          <t>Review status: Approved</t>
        </is>
      </c>
      <c r="L195" s="4" t="inlineStr">
        <is>
          <t>https://www.serbonline.in/SERB/Tare</t>
        </is>
      </c>
      <c r="M195" s="4" t="inlineStr"/>
    </row>
    <row r="196" ht="45" customHeight="1">
      <c r="A196" s="4" t="inlineStr">
        <is>
          <t>C26-L05</t>
        </is>
      </c>
      <c r="B196" s="4" t="inlineStr">
        <is>
          <t>C26</t>
        </is>
      </c>
      <c r="C196" s="4" t="inlineStr">
        <is>
          <t>Sources and References</t>
        </is>
      </c>
      <c r="D196" s="4" t="inlineStr">
        <is>
          <t>Official Website</t>
        </is>
      </c>
      <c r="E196" s="5" t="inlineStr">
        <is>
          <t>Open source</t>
        </is>
      </c>
      <c r="F196" s="4" t="inlineStr">
        <is>
          <t>.scheme.schemeContent.references[1]</t>
        </is>
      </c>
      <c r="G196" s="4" t="inlineStr">
        <is>
          <t>Listed by myScheme; destination not independently opened</t>
        </is>
      </c>
      <c r="H196" s="4" t="inlineStr">
        <is>
          <t>As published</t>
        </is>
      </c>
      <c r="I196" s="4" t="inlineStr">
        <is>
          <t>Not established</t>
        </is>
      </c>
      <c r="J196" s="6" t="n">
        <v>46323</v>
      </c>
      <c r="K196" s="7" t="inlineStr">
        <is>
          <t>Review status: Approved</t>
        </is>
      </c>
      <c r="L196" s="4" t="inlineStr">
        <is>
          <t>https://serb.gov.in/page/english/awards_fellowship#Teachers%20Associateship%20for%20Research%20Excellence%20(TARE)</t>
        </is>
      </c>
      <c r="M196" s="4" t="inlineStr"/>
    </row>
    <row r="197" ht="45" customHeight="1">
      <c r="A197" s="4" t="inlineStr">
        <is>
          <t>MS-C27</t>
        </is>
      </c>
      <c r="B197" s="4" t="inlineStr">
        <is>
          <t>C27</t>
        </is>
      </c>
      <c r="C197" s="4" t="inlineStr">
        <is>
          <t>Official scheme page</t>
        </is>
      </c>
      <c r="D197" s="4" t="inlineStr">
        <is>
          <t>Pradhan Mantri Virasat ka Samvardhan</t>
        </is>
      </c>
      <c r="E197" s="5" t="inlineStr">
        <is>
          <t>Open source</t>
        </is>
      </c>
      <c r="F197" s="4" t="inlineStr">
        <is>
          <t>myScheme scheme page</t>
        </is>
      </c>
      <c r="G197" s="4" t="inlineStr">
        <is>
          <t>Retrieved public myScheme content; policy currency not independently verified</t>
        </is>
      </c>
      <c r="H197" s="4" t="inlineStr">
        <is>
          <t>English</t>
        </is>
      </c>
      <c r="I197" s="4" t="inlineStr">
        <is>
          <t>Effective date not established</t>
        </is>
      </c>
      <c r="J197" s="6" t="n">
        <v>46323</v>
      </c>
      <c r="K197" s="7" t="inlineStr">
        <is>
          <t>Review status: Approved</t>
        </is>
      </c>
      <c r="L197" s="4" t="inlineStr">
        <is>
          <t>https://www.myscheme.gov.in/schemes/pm-vikas</t>
        </is>
      </c>
      <c r="M197" s="4" t="inlineStr">
        <is>
          <t>7c3ca7ef75ac697068fcb6050e0f22ba8c381d835ad69d1ed0d2b7f50841b25e</t>
        </is>
      </c>
    </row>
    <row r="198" ht="45" customHeight="1">
      <c r="A198" s="4" t="inlineStr">
        <is>
          <t>MS-C28</t>
        </is>
      </c>
      <c r="B198" s="4" t="inlineStr">
        <is>
          <t>C28</t>
        </is>
      </c>
      <c r="C198" s="4" t="inlineStr">
        <is>
          <t>Official scheme page</t>
        </is>
      </c>
      <c r="D198" s="4" t="inlineStr">
        <is>
          <t>Agnipath Yojana</t>
        </is>
      </c>
      <c r="E198" s="5" t="inlineStr">
        <is>
          <t>Open source</t>
        </is>
      </c>
      <c r="F198" s="4" t="inlineStr">
        <is>
          <t>myScheme scheme page</t>
        </is>
      </c>
      <c r="G198" s="4" t="inlineStr">
        <is>
          <t>Retrieved public myScheme content; policy currency not independently verified</t>
        </is>
      </c>
      <c r="H198" s="4" t="inlineStr">
        <is>
          <t>English</t>
        </is>
      </c>
      <c r="I198" s="4" t="inlineStr">
        <is>
          <t>Effective date not established</t>
        </is>
      </c>
      <c r="J198" s="6" t="n">
        <v>46323</v>
      </c>
      <c r="K198" s="7" t="inlineStr">
        <is>
          <t>Review status: Approved</t>
        </is>
      </c>
      <c r="L198" s="4" t="inlineStr">
        <is>
          <t>https://www.myscheme.gov.in/schemes/ay</t>
        </is>
      </c>
      <c r="M198" s="4" t="inlineStr">
        <is>
          <t>f53d5aa40cf0b9439a70f6bb6e782828b5687cf51a84010b552a3ad45d9d135b</t>
        </is>
      </c>
    </row>
    <row r="199" ht="45" customHeight="1">
      <c r="A199" s="4" t="inlineStr">
        <is>
          <t>C28-L01</t>
        </is>
      </c>
      <c r="B199" s="4" t="inlineStr">
        <is>
          <t>C28</t>
        </is>
      </c>
      <c r="C199" s="4" t="inlineStr">
        <is>
          <t>Application / document link</t>
        </is>
      </c>
      <c r="D199" s="4" t="inlineStr">
        <is>
          <t>Official Website</t>
        </is>
      </c>
      <c r="E199" s="5" t="inlineStr">
        <is>
          <t>Open source</t>
        </is>
      </c>
      <c r="F199" s="4" t="inlineStr">
        <is>
          <t>.scheme.applicationProcess[0].process[0].children[2].children[0].children[1]</t>
        </is>
      </c>
      <c r="G199" s="4" t="inlineStr">
        <is>
          <t>Listed by myScheme; destination not independently opened</t>
        </is>
      </c>
      <c r="H199" s="4" t="inlineStr">
        <is>
          <t>As published</t>
        </is>
      </c>
      <c r="I199" s="4" t="inlineStr">
        <is>
          <t>Not established</t>
        </is>
      </c>
      <c r="J199" s="6" t="n">
        <v>46323</v>
      </c>
      <c r="K199" s="7" t="inlineStr">
        <is>
          <t>Review status: Approved</t>
        </is>
      </c>
      <c r="L199" s="4" t="inlineStr">
        <is>
          <t>https://joinindianarmy.nic.in/BRAVOUserLogin.htm</t>
        </is>
      </c>
      <c r="M199" s="4" t="inlineStr"/>
    </row>
    <row r="200" ht="45" customHeight="1">
      <c r="A200" s="4" t="inlineStr">
        <is>
          <t>C28-L02</t>
        </is>
      </c>
      <c r="B200" s="4" t="inlineStr">
        <is>
          <t>C28</t>
        </is>
      </c>
      <c r="C200" s="4" t="inlineStr">
        <is>
          <t>Application / document link</t>
        </is>
      </c>
      <c r="D200" s="4" t="inlineStr">
        <is>
          <t>Official Website</t>
        </is>
      </c>
      <c r="E200" s="5" t="inlineStr">
        <is>
          <t>Open source</t>
        </is>
      </c>
      <c r="F200" s="4" t="inlineStr">
        <is>
          <t>.scheme.applicationProcess[0].process[0].children[2].children[1].children[1]</t>
        </is>
      </c>
      <c r="G200" s="4" t="inlineStr">
        <is>
          <t>Listed by myScheme; destination not independently opened</t>
        </is>
      </c>
      <c r="H200" s="4" t="inlineStr">
        <is>
          <t>As published</t>
        </is>
      </c>
      <c r="I200" s="4" t="inlineStr">
        <is>
          <t>Not established</t>
        </is>
      </c>
      <c r="J200" s="6" t="n">
        <v>46323</v>
      </c>
      <c r="K200" s="7" t="inlineStr">
        <is>
          <t>Review status: Approved</t>
        </is>
      </c>
      <c r="L200" s="4" t="inlineStr">
        <is>
          <t>https://www.joinindiannavy.gov.in/en/page/agniveer-ways-to-join.html</t>
        </is>
      </c>
      <c r="M200" s="4" t="inlineStr"/>
    </row>
    <row r="201" ht="45" customHeight="1">
      <c r="A201" s="4" t="inlineStr">
        <is>
          <t>C28-L03</t>
        </is>
      </c>
      <c r="B201" s="4" t="inlineStr">
        <is>
          <t>C28</t>
        </is>
      </c>
      <c r="C201" s="4" t="inlineStr">
        <is>
          <t>Application / document link</t>
        </is>
      </c>
      <c r="D201" s="4" t="inlineStr">
        <is>
          <t>Official Website</t>
        </is>
      </c>
      <c r="E201" s="5" t="inlineStr">
        <is>
          <t>Open source</t>
        </is>
      </c>
      <c r="F201" s="4" t="inlineStr">
        <is>
          <t>.scheme.applicationProcess[0].process[0].children[2].children[2].children[1]</t>
        </is>
      </c>
      <c r="G201" s="4" t="inlineStr">
        <is>
          <t>Listed by myScheme; destination not independently opened</t>
        </is>
      </c>
      <c r="H201" s="4" t="inlineStr">
        <is>
          <t>As published</t>
        </is>
      </c>
      <c r="I201" s="4" t="inlineStr">
        <is>
          <t>Not established</t>
        </is>
      </c>
      <c r="J201" s="6" t="n">
        <v>46323</v>
      </c>
      <c r="K201" s="7" t="inlineStr">
        <is>
          <t>Review status: Approved</t>
        </is>
      </c>
      <c r="L201" s="4" t="inlineStr">
        <is>
          <t>https://indianairforce.nic.in/agniveer/</t>
        </is>
      </c>
      <c r="M201" s="4" t="inlineStr"/>
    </row>
    <row r="202" ht="45" customHeight="1">
      <c r="A202" s="4" t="inlineStr">
        <is>
          <t>C28-L04</t>
        </is>
      </c>
      <c r="B202" s="4" t="inlineStr">
        <is>
          <t>C28</t>
        </is>
      </c>
      <c r="C202" s="4" t="inlineStr">
        <is>
          <t>Sources and References</t>
        </is>
      </c>
      <c r="D202" s="4" t="inlineStr">
        <is>
          <t>English Leaflet</t>
        </is>
      </c>
      <c r="E202" s="5" t="inlineStr">
        <is>
          <t>Open source</t>
        </is>
      </c>
      <c r="F202" s="4" t="inlineStr">
        <is>
          <t>.scheme.schemeContent.references[0]</t>
        </is>
      </c>
      <c r="G202" s="4" t="inlineStr">
        <is>
          <t>Listed by myScheme; destination not independently opened</t>
        </is>
      </c>
      <c r="H202" s="4" t="inlineStr">
        <is>
          <t>As published</t>
        </is>
      </c>
      <c r="I202" s="4" t="inlineStr">
        <is>
          <t>Not established</t>
        </is>
      </c>
      <c r="J202" s="6" t="n">
        <v>46323</v>
      </c>
      <c r="K202" s="7" t="inlineStr">
        <is>
          <t>Review status: Approved</t>
        </is>
      </c>
      <c r="L202" s="4" t="inlineStr">
        <is>
          <t>https://static.mygov.in/rest/s3fs-public/mygov_165520214151307401.pdf</t>
        </is>
      </c>
      <c r="M202" s="4" t="inlineStr"/>
    </row>
    <row r="203" ht="45" customHeight="1">
      <c r="A203" s="4" t="inlineStr">
        <is>
          <t>C28-L05</t>
        </is>
      </c>
      <c r="B203" s="4" t="inlineStr">
        <is>
          <t>C28</t>
        </is>
      </c>
      <c r="C203" s="4" t="inlineStr">
        <is>
          <t>Sources and References</t>
        </is>
      </c>
      <c r="D203" s="4" t="inlineStr">
        <is>
          <t>Hindi Leaflet</t>
        </is>
      </c>
      <c r="E203" s="5" t="inlineStr">
        <is>
          <t>Open source</t>
        </is>
      </c>
      <c r="F203" s="4" t="inlineStr">
        <is>
          <t>.scheme.schemeContent.references[1]</t>
        </is>
      </c>
      <c r="G203" s="4" t="inlineStr">
        <is>
          <t>Listed by myScheme; destination not independently opened</t>
        </is>
      </c>
      <c r="H203" s="4" t="inlineStr">
        <is>
          <t>As published</t>
        </is>
      </c>
      <c r="I203" s="4" t="inlineStr">
        <is>
          <t>Not established</t>
        </is>
      </c>
      <c r="J203" s="6" t="n">
        <v>46323</v>
      </c>
      <c r="K203" s="7" t="inlineStr">
        <is>
          <t>Review status: Approved</t>
        </is>
      </c>
      <c r="L203" s="4" t="inlineStr">
        <is>
          <t>https://static.mygov.in/rest/s3fs-public/mygov_165520220351307401.pdf</t>
        </is>
      </c>
      <c r="M203" s="4" t="inlineStr"/>
    </row>
    <row r="204" ht="45" customHeight="1">
      <c r="A204" s="4" t="inlineStr">
        <is>
          <t>C28-L06</t>
        </is>
      </c>
      <c r="B204" s="4" t="inlineStr">
        <is>
          <t>C28</t>
        </is>
      </c>
      <c r="C204" s="4" t="inlineStr">
        <is>
          <t>Sources and References</t>
        </is>
      </c>
      <c r="D204" s="4" t="inlineStr">
        <is>
          <t>PIB</t>
        </is>
      </c>
      <c r="E204" s="5" t="inlineStr">
        <is>
          <t>Open source</t>
        </is>
      </c>
      <c r="F204" s="4" t="inlineStr">
        <is>
          <t>.scheme.schemeContent.references[2]</t>
        </is>
      </c>
      <c r="G204" s="4" t="inlineStr">
        <is>
          <t>Listed by myScheme; destination not independently opened</t>
        </is>
      </c>
      <c r="H204" s="4" t="inlineStr">
        <is>
          <t>As published</t>
        </is>
      </c>
      <c r="I204" s="4" t="inlineStr">
        <is>
          <t>Not established</t>
        </is>
      </c>
      <c r="J204" s="6" t="n">
        <v>46323</v>
      </c>
      <c r="K204" s="7" t="inlineStr">
        <is>
          <t>Review status: Approved</t>
        </is>
      </c>
      <c r="L204" s="4" t="inlineStr">
        <is>
          <t>https://pib.gov.in/PressReleasePage.aspx?PRID=1833747</t>
        </is>
      </c>
      <c r="M204" s="4" t="inlineStr"/>
    </row>
    <row r="205" ht="45" customHeight="1">
      <c r="A205" s="4" t="inlineStr">
        <is>
          <t>C28-L07</t>
        </is>
      </c>
      <c r="B205" s="4" t="inlineStr">
        <is>
          <t>C28</t>
        </is>
      </c>
      <c r="C205" s="4" t="inlineStr">
        <is>
          <t>Sources and References</t>
        </is>
      </c>
      <c r="D205" s="4" t="inlineStr">
        <is>
          <t>Guidelines By Indian Air Force</t>
        </is>
      </c>
      <c r="E205" s="5" t="inlineStr">
        <is>
          <t>Open source</t>
        </is>
      </c>
      <c r="F205" s="4" t="inlineStr">
        <is>
          <t>.scheme.schemeContent.references[3]</t>
        </is>
      </c>
      <c r="G205" s="4" t="inlineStr">
        <is>
          <t>Listed by myScheme; destination not independently opened</t>
        </is>
      </c>
      <c r="H205" s="4" t="inlineStr">
        <is>
          <t>As published</t>
        </is>
      </c>
      <c r="I205" s="4" t="inlineStr">
        <is>
          <t>Not established</t>
        </is>
      </c>
      <c r="J205" s="6" t="n">
        <v>46323</v>
      </c>
      <c r="K205" s="7" t="inlineStr">
        <is>
          <t>Review status: Approved</t>
        </is>
      </c>
      <c r="L205" s="4" t="inlineStr">
        <is>
          <t>https://indianairforce.nic.in/wp-content/uploads/2022/06/Detailed-BRIEF-13-JUN-22.pdf</t>
        </is>
      </c>
      <c r="M205" s="4" t="inlineStr"/>
    </row>
    <row r="206" ht="45" customHeight="1">
      <c r="A206" s="4" t="inlineStr">
        <is>
          <t>C28-L08</t>
        </is>
      </c>
      <c r="B206" s="4" t="inlineStr">
        <is>
          <t>C28</t>
        </is>
      </c>
      <c r="C206" s="4" t="inlineStr">
        <is>
          <t>Sources and References</t>
        </is>
      </c>
      <c r="D206" s="4" t="inlineStr">
        <is>
          <t>PIB (ministry Of Education)</t>
        </is>
      </c>
      <c r="E206" s="5" t="inlineStr">
        <is>
          <t>Open source</t>
        </is>
      </c>
      <c r="F206" s="4" t="inlineStr">
        <is>
          <t>.scheme.schemeContent.references[4]</t>
        </is>
      </c>
      <c r="G206" s="4" t="inlineStr">
        <is>
          <t>Listed by myScheme; destination not independently opened</t>
        </is>
      </c>
      <c r="H206" s="4" t="inlineStr">
        <is>
          <t>As published</t>
        </is>
      </c>
      <c r="I206" s="4" t="inlineStr">
        <is>
          <t>Not established</t>
        </is>
      </c>
      <c r="J206" s="6" t="n">
        <v>46323</v>
      </c>
      <c r="K206" s="7" t="inlineStr">
        <is>
          <t>Review status: Approved</t>
        </is>
      </c>
      <c r="L206" s="4" t="inlineStr">
        <is>
          <t>https://pib.gov.in/PressReleasePage.aspx?PRID=1834202</t>
        </is>
      </c>
      <c r="M206" s="4" t="inlineStr"/>
    </row>
    <row r="207" ht="45" customHeight="1">
      <c r="A207" s="4" t="inlineStr">
        <is>
          <t>MS-C29</t>
        </is>
      </c>
      <c r="B207" s="4" t="inlineStr">
        <is>
          <t>C29</t>
        </is>
      </c>
      <c r="C207" s="4" t="inlineStr">
        <is>
          <t>Official scheme page</t>
        </is>
      </c>
      <c r="D207" s="4" t="inlineStr">
        <is>
          <t>Indira Gandhi National Disability Pension Scheme</t>
        </is>
      </c>
      <c r="E207" s="5" t="inlineStr">
        <is>
          <t>Open source</t>
        </is>
      </c>
      <c r="F207" s="4" t="inlineStr">
        <is>
          <t>myScheme scheme page</t>
        </is>
      </c>
      <c r="G207" s="4" t="inlineStr">
        <is>
          <t>Retrieved public myScheme content; policy currency not independently verified</t>
        </is>
      </c>
      <c r="H207" s="4" t="inlineStr">
        <is>
          <t>English</t>
        </is>
      </c>
      <c r="I207" s="4" t="inlineStr">
        <is>
          <t>Effective date not established</t>
        </is>
      </c>
      <c r="J207" s="6" t="n">
        <v>46323</v>
      </c>
      <c r="K207" s="7" t="inlineStr">
        <is>
          <t>Review status: Approved</t>
        </is>
      </c>
      <c r="L207" s="4" t="inlineStr">
        <is>
          <t>https://www.myscheme.gov.in/schemes/igndps</t>
        </is>
      </c>
      <c r="M207" s="4" t="inlineStr">
        <is>
          <t>2bdc71e16d85e7fed3dc1decdb90df879a3b5e5973f9e93b451b35eed67f3c0f</t>
        </is>
      </c>
    </row>
    <row r="208" ht="45" customHeight="1">
      <c r="A208" s="4" t="inlineStr">
        <is>
          <t>C29-L01</t>
        </is>
      </c>
      <c r="B208" s="4" t="inlineStr">
        <is>
          <t>C29</t>
        </is>
      </c>
      <c r="C208" s="4" t="inlineStr">
        <is>
          <t>Application / document link</t>
        </is>
      </c>
      <c r="D208" s="4" t="inlineStr">
        <is>
          <t>https://web.umang.gov.in/web_new/home</t>
        </is>
      </c>
      <c r="E208" s="5" t="inlineStr">
        <is>
          <t>Open source</t>
        </is>
      </c>
      <c r="F208" s="4" t="inlineStr">
        <is>
          <t>.scheme.applicationProcess[0].process[0].children[0].children[1]</t>
        </is>
      </c>
      <c r="G208" s="4" t="inlineStr">
        <is>
          <t>Listed by myScheme; destination not independently opened</t>
        </is>
      </c>
      <c r="H208" s="4" t="inlineStr">
        <is>
          <t>As published</t>
        </is>
      </c>
      <c r="I208" s="4" t="inlineStr">
        <is>
          <t>Not established</t>
        </is>
      </c>
      <c r="J208" s="6" t="n">
        <v>46323</v>
      </c>
      <c r="K208" s="7" t="inlineStr">
        <is>
          <t>Review status: Approved</t>
        </is>
      </c>
      <c r="L208" s="4" t="inlineStr">
        <is>
          <t>https://web.umang.gov.in/web_new/home</t>
        </is>
      </c>
      <c r="M208" s="4" t="inlineStr"/>
    </row>
    <row r="209" ht="45" customHeight="1">
      <c r="A209" s="4" t="inlineStr">
        <is>
          <t>C29-L02</t>
        </is>
      </c>
      <c r="B209" s="4" t="inlineStr">
        <is>
          <t>C29</t>
        </is>
      </c>
      <c r="C209" s="4" t="inlineStr">
        <is>
          <t>Application / document link</t>
        </is>
      </c>
      <c r="D209" s="4" t="inlineStr">
        <is>
          <t>Source link</t>
        </is>
      </c>
      <c r="E209" s="5" t="inlineStr">
        <is>
          <t>Open source</t>
        </is>
      </c>
      <c r="F209" s="4" t="inlineStr">
        <is>
          <t>.scheme.applicationProcess[0]</t>
        </is>
      </c>
      <c r="G209" s="4" t="inlineStr">
        <is>
          <t>Listed by myScheme; destination not independently opened</t>
        </is>
      </c>
      <c r="H209" s="4" t="inlineStr">
        <is>
          <t>As published</t>
        </is>
      </c>
      <c r="I209" s="4" t="inlineStr">
        <is>
          <t>Not established</t>
        </is>
      </c>
      <c r="J209" s="6" t="n">
        <v>46323</v>
      </c>
      <c r="K209" s="7" t="inlineStr">
        <is>
          <t>Review status: Approved</t>
        </is>
      </c>
      <c r="L209" s="4" t="inlineStr">
        <is>
          <t>https://web.umang.gov.in/web_new/home</t>
        </is>
      </c>
      <c r="M209" s="4" t="inlineStr"/>
    </row>
    <row r="210" ht="45" customHeight="1">
      <c r="A210" s="4" t="inlineStr">
        <is>
          <t>C29-L03</t>
        </is>
      </c>
      <c r="B210" s="4" t="inlineStr">
        <is>
          <t>C29</t>
        </is>
      </c>
      <c r="C210" s="4" t="inlineStr">
        <is>
          <t>Sources and References</t>
        </is>
      </c>
      <c r="D210" s="4" t="inlineStr">
        <is>
          <t>Scheme Guidelines</t>
        </is>
      </c>
      <c r="E210" s="5" t="inlineStr">
        <is>
          <t>Open source</t>
        </is>
      </c>
      <c r="F210" s="4" t="inlineStr">
        <is>
          <t>.scheme.schemeContent.references[0]</t>
        </is>
      </c>
      <c r="G210" s="4" t="inlineStr">
        <is>
          <t>Listed by myScheme; destination not independently opened</t>
        </is>
      </c>
      <c r="H210" s="4" t="inlineStr">
        <is>
          <t>As published</t>
        </is>
      </c>
      <c r="I210" s="4" t="inlineStr">
        <is>
          <t>Not established</t>
        </is>
      </c>
      <c r="J210" s="6" t="n">
        <v>46323</v>
      </c>
      <c r="K210" s="7" t="inlineStr">
        <is>
          <t>Review status: Approved</t>
        </is>
      </c>
      <c r="L210" s="4" t="inlineStr">
        <is>
          <t>https://nsap.nic.in/Guidelines/nsap_guidelines_oct2014.pdf</t>
        </is>
      </c>
      <c r="M210" s="4" t="inlineStr"/>
    </row>
    <row r="211" ht="45" customHeight="1">
      <c r="A211" s="4" t="inlineStr">
        <is>
          <t>C29-L04</t>
        </is>
      </c>
      <c r="B211" s="4" t="inlineStr">
        <is>
          <t>C29</t>
        </is>
      </c>
      <c r="C211" s="4" t="inlineStr">
        <is>
          <t>Sources and References</t>
        </is>
      </c>
      <c r="D211" s="4" t="inlineStr">
        <is>
          <t>Office Memorandum 1</t>
        </is>
      </c>
      <c r="E211" s="5" t="inlineStr">
        <is>
          <t>Open source</t>
        </is>
      </c>
      <c r="F211" s="4" t="inlineStr">
        <is>
          <t>.scheme.schemeContent.references[1]</t>
        </is>
      </c>
      <c r="G211" s="4" t="inlineStr">
        <is>
          <t>Listed by myScheme; destination not independently opened</t>
        </is>
      </c>
      <c r="H211" s="4" t="inlineStr">
        <is>
          <t>As published</t>
        </is>
      </c>
      <c r="I211" s="4" t="inlineStr">
        <is>
          <t>Not established</t>
        </is>
      </c>
      <c r="J211" s="6" t="n">
        <v>46323</v>
      </c>
      <c r="K211" s="7" t="inlineStr">
        <is>
          <t>Review status: Approved</t>
        </is>
      </c>
      <c r="L211" s="4" t="inlineStr">
        <is>
          <t>https://nsap.nic.in/Guidelines/dps.pdf</t>
        </is>
      </c>
      <c r="M211" s="4" t="inlineStr"/>
    </row>
    <row r="212" ht="45" customHeight="1">
      <c r="A212" s="4" t="inlineStr">
        <is>
          <t>C29-L05</t>
        </is>
      </c>
      <c r="B212" s="4" t="inlineStr">
        <is>
          <t>C29</t>
        </is>
      </c>
      <c r="C212" s="4" t="inlineStr">
        <is>
          <t>Sources and References</t>
        </is>
      </c>
      <c r="D212" s="4" t="inlineStr">
        <is>
          <t>Office Memorandum 2</t>
        </is>
      </c>
      <c r="E212" s="5" t="inlineStr">
        <is>
          <t>Open source</t>
        </is>
      </c>
      <c r="F212" s="4" t="inlineStr">
        <is>
          <t>.scheme.schemeContent.references[2]</t>
        </is>
      </c>
      <c r="G212" s="4" t="inlineStr">
        <is>
          <t>Listed by myScheme; destination not independently opened</t>
        </is>
      </c>
      <c r="H212" s="4" t="inlineStr">
        <is>
          <t>As published</t>
        </is>
      </c>
      <c r="I212" s="4" t="inlineStr">
        <is>
          <t>Not established</t>
        </is>
      </c>
      <c r="J212" s="6" t="n">
        <v>46323</v>
      </c>
      <c r="K212" s="7" t="inlineStr">
        <is>
          <t>Review status: Approved</t>
        </is>
      </c>
      <c r="L212" s="4" t="inlineStr">
        <is>
          <t>https://nsap.nic.in/Guidelines/english_dps.pdf</t>
        </is>
      </c>
      <c r="M212" s="4" t="inlineStr"/>
    </row>
    <row r="213" ht="45" customHeight="1">
      <c r="A213" s="4" t="inlineStr">
        <is>
          <t>C29-L06</t>
        </is>
      </c>
      <c r="B213" s="4" t="inlineStr">
        <is>
          <t>C29</t>
        </is>
      </c>
      <c r="C213" s="4" t="inlineStr">
        <is>
          <t>Sources and References</t>
        </is>
      </c>
      <c r="D213" s="4" t="inlineStr">
        <is>
          <t>Office Memorandum 3</t>
        </is>
      </c>
      <c r="E213" s="5" t="inlineStr">
        <is>
          <t>Open source</t>
        </is>
      </c>
      <c r="F213" s="4" t="inlineStr">
        <is>
          <t>.scheme.schemeContent.references[3]</t>
        </is>
      </c>
      <c r="G213" s="4" t="inlineStr">
        <is>
          <t>Listed by myScheme; destination not independently opened</t>
        </is>
      </c>
      <c r="H213" s="4" t="inlineStr">
        <is>
          <t>As published</t>
        </is>
      </c>
      <c r="I213" s="4" t="inlineStr">
        <is>
          <t>Not established</t>
        </is>
      </c>
      <c r="J213" s="6" t="n">
        <v>46323</v>
      </c>
      <c r="K213" s="7" t="inlineStr">
        <is>
          <t>Review status: Approved</t>
        </is>
      </c>
      <c r="L213" s="4" t="inlineStr">
        <is>
          <t>https://nsap.nic.in/circular.do?method=showguidlines#</t>
        </is>
      </c>
      <c r="M213" s="4" t="inlineStr"/>
    </row>
    <row r="214" ht="45" customHeight="1">
      <c r="A214" s="4" t="inlineStr">
        <is>
          <t>MS-C30</t>
        </is>
      </c>
      <c r="B214" s="4" t="inlineStr">
        <is>
          <t>C30</t>
        </is>
      </c>
      <c r="C214" s="4" t="inlineStr">
        <is>
          <t>Official scheme page</t>
        </is>
      </c>
      <c r="D214" s="4" t="inlineStr">
        <is>
          <t>Persons With Disabilities Scheme In Colleges: Higher Education For Persons With Special Needs</t>
        </is>
      </c>
      <c r="E214" s="5" t="inlineStr">
        <is>
          <t>Open source</t>
        </is>
      </c>
      <c r="F214" s="4" t="inlineStr">
        <is>
          <t>myScheme scheme page</t>
        </is>
      </c>
      <c r="G214" s="4" t="inlineStr">
        <is>
          <t>Retrieved public myScheme content; policy currency not independently verified</t>
        </is>
      </c>
      <c r="H214" s="4" t="inlineStr">
        <is>
          <t>English</t>
        </is>
      </c>
      <c r="I214" s="4" t="inlineStr">
        <is>
          <t>Effective date not established</t>
        </is>
      </c>
      <c r="J214" s="6" t="n">
        <v>46323</v>
      </c>
      <c r="K214" s="7" t="inlineStr">
        <is>
          <t>Review status: Approved</t>
        </is>
      </c>
      <c r="L214" s="4" t="inlineStr">
        <is>
          <t>https://www.myscheme.gov.in/schemes/hepsn</t>
        </is>
      </c>
      <c r="M214" s="4" t="inlineStr">
        <is>
          <t>a5d3e6b4141c06b51efbf8246b93b092c56566082676780c1cd9778641024b08</t>
        </is>
      </c>
    </row>
    <row r="215" ht="45" customHeight="1">
      <c r="A215" s="4" t="inlineStr">
        <is>
          <t>C30-L01</t>
        </is>
      </c>
      <c r="B215" s="4" t="inlineStr">
        <is>
          <t>C30</t>
        </is>
      </c>
      <c r="C215" s="4" t="inlineStr">
        <is>
          <t>Application / document link</t>
        </is>
      </c>
      <c r="D215" s="4" t="inlineStr">
        <is>
          <t>Proforma For financial assistance under the scheme to assist for college to facilitate higher Education for Person (HEPSN) Scheme</t>
        </is>
      </c>
      <c r="E215" s="5" t="inlineStr">
        <is>
          <t>Open source</t>
        </is>
      </c>
      <c r="F215" s="4" t="inlineStr">
        <is>
          <t>.scheme.applicationProcess[0].process[0].children[1]</t>
        </is>
      </c>
      <c r="G215" s="4" t="inlineStr">
        <is>
          <t>Listed by myScheme; destination not independently opened</t>
        </is>
      </c>
      <c r="H215" s="4" t="inlineStr">
        <is>
          <t>As published</t>
        </is>
      </c>
      <c r="I215" s="4" t="inlineStr">
        <is>
          <t>Not established</t>
        </is>
      </c>
      <c r="J215" s="6" t="n">
        <v>46323</v>
      </c>
      <c r="K215" s="7" t="inlineStr">
        <is>
          <t>Review status: Approved</t>
        </is>
      </c>
      <c r="L215" s="4" t="inlineStr">
        <is>
          <t>https://www.ugc.gov.in/pdfnews/1112642_Person-with-Disability-guidelines.pdf</t>
        </is>
      </c>
      <c r="M215" s="4" t="inlineStr"/>
    </row>
    <row r="216" ht="45" customHeight="1">
      <c r="A216" s="4" t="inlineStr">
        <is>
          <t>C30-L02</t>
        </is>
      </c>
      <c r="B216" s="4" t="inlineStr">
        <is>
          <t>C30</t>
        </is>
      </c>
      <c r="C216" s="4" t="inlineStr">
        <is>
          <t>Application / document link</t>
        </is>
      </c>
      <c r="D216" s="4" t="inlineStr">
        <is>
          <t>Source link</t>
        </is>
      </c>
      <c r="E216" s="5" t="inlineStr">
        <is>
          <t>Open source</t>
        </is>
      </c>
      <c r="F216" s="4" t="inlineStr">
        <is>
          <t>.scheme.applicationProcess[0]</t>
        </is>
      </c>
      <c r="G216" s="4" t="inlineStr">
        <is>
          <t>Listed by myScheme; destination not independently opened</t>
        </is>
      </c>
      <c r="H216" s="4" t="inlineStr">
        <is>
          <t>As published</t>
        </is>
      </c>
      <c r="I216" s="4" t="inlineStr">
        <is>
          <t>Not established</t>
        </is>
      </c>
      <c r="J216" s="6" t="n">
        <v>46323</v>
      </c>
      <c r="K216" s="7" t="inlineStr">
        <is>
          <t>Review status: Approved</t>
        </is>
      </c>
      <c r="L216" s="4" t="inlineStr">
        <is>
          <t>https://www.ugc.gov.in/pdfnews/1112642_Person-with-Disability-guidelines.pdf</t>
        </is>
      </c>
      <c r="M216" s="4" t="inlineStr"/>
    </row>
    <row r="217" ht="45" customHeight="1">
      <c r="A217" s="4" t="inlineStr">
        <is>
          <t>C30-L03</t>
        </is>
      </c>
      <c r="B217" s="4" t="inlineStr">
        <is>
          <t>C30</t>
        </is>
      </c>
      <c r="C217" s="4" t="inlineStr">
        <is>
          <t>Application / document link</t>
        </is>
      </c>
      <c r="D217" s="4" t="inlineStr">
        <is>
          <t>Persons with Disabilities Act 1995</t>
        </is>
      </c>
      <c r="E217" s="5" t="inlineStr">
        <is>
          <t>Open source</t>
        </is>
      </c>
      <c r="F217" s="4" t="inlineStr">
        <is>
          <t>.scheme.eligibilityCriteria.eligibilityDescription[0].children[0].children[1]</t>
        </is>
      </c>
      <c r="G217" s="4" t="inlineStr">
        <is>
          <t>Listed by myScheme; destination not independently opened</t>
        </is>
      </c>
      <c r="H217" s="4" t="inlineStr">
        <is>
          <t>As published</t>
        </is>
      </c>
      <c r="I217" s="4" t="inlineStr">
        <is>
          <t>Not established</t>
        </is>
      </c>
      <c r="J217" s="6" t="n">
        <v>46323</v>
      </c>
      <c r="K217" s="7" t="inlineStr">
        <is>
          <t>Review status: Approved</t>
        </is>
      </c>
      <c r="L217" s="4" t="inlineStr">
        <is>
          <t>https://thenationaltrust.gov.in/upload/uploadfiles/files/Persons%20with%20Disability%20Act%201995.pdf</t>
        </is>
      </c>
      <c r="M217" s="4" t="inlineStr"/>
    </row>
    <row r="218" ht="45" customHeight="1">
      <c r="A218" s="4" t="inlineStr">
        <is>
          <t>C30-L04</t>
        </is>
      </c>
      <c r="B218" s="4" t="inlineStr">
        <is>
          <t>C30</t>
        </is>
      </c>
      <c r="C218" s="4" t="inlineStr">
        <is>
          <t>Application / document link</t>
        </is>
      </c>
      <c r="D218" s="4" t="inlineStr">
        <is>
          <t>UGC under Sections 2(f) and 12</t>
        </is>
      </c>
      <c r="E218" s="5" t="inlineStr">
        <is>
          <t>Open source</t>
        </is>
      </c>
      <c r="F218" s="4" t="inlineStr">
        <is>
          <t>.scheme.eligibilityCriteria.eligibilityDescription[0].children[1].children[1]</t>
        </is>
      </c>
      <c r="G218" s="4" t="inlineStr">
        <is>
          <t>Listed by myScheme; destination not independently opened</t>
        </is>
      </c>
      <c r="H218" s="4" t="inlineStr">
        <is>
          <t>As published</t>
        </is>
      </c>
      <c r="I218" s="4" t="inlineStr">
        <is>
          <t>Not established</t>
        </is>
      </c>
      <c r="J218" s="6" t="n">
        <v>46323</v>
      </c>
      <c r="K218" s="7" t="inlineStr">
        <is>
          <t>Review status: Approved</t>
        </is>
      </c>
      <c r="L218" s="4" t="inlineStr">
        <is>
          <t>https://www.ugc.gov.in/recog_college.aspx#:~:text=**%20Apart%20from%20inclusion%20of,funds%20from%20the%20Central%20Government.</t>
        </is>
      </c>
      <c r="M218" s="4" t="inlineStr"/>
    </row>
    <row r="219" ht="45" customHeight="1">
      <c r="A219" s="4" t="inlineStr">
        <is>
          <t>C30-L05</t>
        </is>
      </c>
      <c r="B219" s="4" t="inlineStr">
        <is>
          <t>C30</t>
        </is>
      </c>
      <c r="C219" s="4" t="inlineStr">
        <is>
          <t>Sources and References</t>
        </is>
      </c>
      <c r="D219" s="4" t="inlineStr">
        <is>
          <t>Guideline</t>
        </is>
      </c>
      <c r="E219" s="5" t="inlineStr">
        <is>
          <t>Open source</t>
        </is>
      </c>
      <c r="F219" s="4" t="inlineStr">
        <is>
          <t>.scheme.schemeContent.references[0]</t>
        </is>
      </c>
      <c r="G219" s="4" t="inlineStr">
        <is>
          <t>Listed by myScheme; destination not independently opened</t>
        </is>
      </c>
      <c r="H219" s="4" t="inlineStr">
        <is>
          <t>As published</t>
        </is>
      </c>
      <c r="I219" s="4" t="inlineStr">
        <is>
          <t>Not established</t>
        </is>
      </c>
      <c r="J219" s="6" t="n">
        <v>46323</v>
      </c>
      <c r="K219" s="7" t="inlineStr">
        <is>
          <t>Review status: Approved</t>
        </is>
      </c>
      <c r="L219" s="4" t="inlineStr">
        <is>
          <t>https://www.ugc.gov.in/pdfnews/1112642_Person-with-Disability-guidelines.pdf</t>
        </is>
      </c>
      <c r="M219" s="4" t="inlineStr"/>
    </row>
    <row r="220" ht="45" customHeight="1">
      <c r="A220" s="4" t="inlineStr">
        <is>
          <t>MS-C31</t>
        </is>
      </c>
      <c r="B220" s="4" t="inlineStr">
        <is>
          <t>C31</t>
        </is>
      </c>
      <c r="C220" s="4" t="inlineStr">
        <is>
          <t>Official scheme page</t>
        </is>
      </c>
      <c r="D220" s="4" t="inlineStr">
        <is>
          <t>Scheme For Financial Assistance For Veteran Artists</t>
        </is>
      </c>
      <c r="E220" s="5" t="inlineStr">
        <is>
          <t>Open source</t>
        </is>
      </c>
      <c r="F220" s="4" t="inlineStr">
        <is>
          <t>myScheme scheme page</t>
        </is>
      </c>
      <c r="G220" s="4" t="inlineStr">
        <is>
          <t>Retrieved public myScheme content; policy currency not independently verified</t>
        </is>
      </c>
      <c r="H220" s="4" t="inlineStr">
        <is>
          <t>English</t>
        </is>
      </c>
      <c r="I220" s="4" t="inlineStr">
        <is>
          <t>Effective date not established</t>
        </is>
      </c>
      <c r="J220" s="6" t="n">
        <v>46323</v>
      </c>
      <c r="K220" s="7" t="inlineStr">
        <is>
          <t>Review status: Approved</t>
        </is>
      </c>
      <c r="L220" s="4" t="inlineStr">
        <is>
          <t>https://www.myscheme.gov.in/schemes/sfava</t>
        </is>
      </c>
      <c r="M220" s="4" t="inlineStr">
        <is>
          <t>f9d1bef9733967a25f442eba72b45c4b334e3e5c5a2f1dfda9508e3a7c048f88</t>
        </is>
      </c>
    </row>
    <row r="221" ht="45" customHeight="1">
      <c r="A221" s="4" t="inlineStr">
        <is>
          <t>C31-L01</t>
        </is>
      </c>
      <c r="B221" s="4" t="inlineStr">
        <is>
          <t>C31</t>
        </is>
      </c>
      <c r="C221" s="4" t="inlineStr">
        <is>
          <t>Application / document link</t>
        </is>
      </c>
      <c r="D221" s="4" t="inlineStr">
        <is>
          <t>Culture Scheme Monitoring System (CSMS)</t>
        </is>
      </c>
      <c r="E221" s="5" t="inlineStr">
        <is>
          <t>Open source</t>
        </is>
      </c>
      <c r="F221" s="4" t="inlineStr">
        <is>
          <t>.scheme.applicationProcess[0].process[1].children[0].children[1]</t>
        </is>
      </c>
      <c r="G221" s="4" t="inlineStr">
        <is>
          <t>Listed by myScheme; destination not independently opened</t>
        </is>
      </c>
      <c r="H221" s="4" t="inlineStr">
        <is>
          <t>As published</t>
        </is>
      </c>
      <c r="I221" s="4" t="inlineStr">
        <is>
          <t>Not established</t>
        </is>
      </c>
      <c r="J221" s="6" t="n">
        <v>46323</v>
      </c>
      <c r="K221" s="7" t="inlineStr">
        <is>
          <t>Review status: Approved</t>
        </is>
      </c>
      <c r="L221" s="4" t="inlineStr">
        <is>
          <t>http://csms.nic.in/login/index.php</t>
        </is>
      </c>
      <c r="M221" s="4" t="inlineStr"/>
    </row>
    <row r="222" ht="45" customHeight="1">
      <c r="A222" s="4" t="inlineStr">
        <is>
          <t>C31-L02</t>
        </is>
      </c>
      <c r="B222" s="4" t="inlineStr">
        <is>
          <t>C31</t>
        </is>
      </c>
      <c r="C222" s="4" t="inlineStr">
        <is>
          <t>Application / document link</t>
        </is>
      </c>
      <c r="D222" s="4" t="inlineStr">
        <is>
          <t>website of the Ministry of Culture</t>
        </is>
      </c>
      <c r="E222" s="5" t="inlineStr">
        <is>
          <t>Open source</t>
        </is>
      </c>
      <c r="F222" s="4" t="inlineStr">
        <is>
          <t>.scheme.applicationProcess[0].process[1].children[0].children[3]</t>
        </is>
      </c>
      <c r="G222" s="4" t="inlineStr">
        <is>
          <t>Listed by myScheme; destination not independently opened</t>
        </is>
      </c>
      <c r="H222" s="4" t="inlineStr">
        <is>
          <t>As published</t>
        </is>
      </c>
      <c r="I222" s="4" t="inlineStr">
        <is>
          <t>Not established</t>
        </is>
      </c>
      <c r="J222" s="6" t="n">
        <v>46323</v>
      </c>
      <c r="K222" s="7" t="inlineStr">
        <is>
          <t>Review status: Approved</t>
        </is>
      </c>
      <c r="L222" s="4" t="inlineStr">
        <is>
          <t>https://indiaculture.gov.in</t>
        </is>
      </c>
      <c r="M222" s="4" t="inlineStr"/>
    </row>
    <row r="223" ht="45" customHeight="1">
      <c r="A223" s="4" t="inlineStr">
        <is>
          <t>C31-L03</t>
        </is>
      </c>
      <c r="B223" s="4" t="inlineStr">
        <is>
          <t>C31</t>
        </is>
      </c>
      <c r="C223" s="4" t="inlineStr">
        <is>
          <t>Application / document link</t>
        </is>
      </c>
      <c r="D223" s="4" t="inlineStr">
        <is>
          <t>Source link</t>
        </is>
      </c>
      <c r="E223" s="5" t="inlineStr">
        <is>
          <t>Open source</t>
        </is>
      </c>
      <c r="F223" s="4" t="inlineStr">
        <is>
          <t>.scheme.applicationProcess[0]</t>
        </is>
      </c>
      <c r="G223" s="4" t="inlineStr">
        <is>
          <t>Listed by myScheme; destination not independently opened</t>
        </is>
      </c>
      <c r="H223" s="4" t="inlineStr">
        <is>
          <t>As published</t>
        </is>
      </c>
      <c r="I223" s="4" t="inlineStr">
        <is>
          <t>Not established</t>
        </is>
      </c>
      <c r="J223" s="6" t="n">
        <v>46323</v>
      </c>
      <c r="K223" s="7" t="inlineStr">
        <is>
          <t>Review status: Approved</t>
        </is>
      </c>
      <c r="L223" s="4" t="inlineStr">
        <is>
          <t>http://csms.nic.in/login/index.php</t>
        </is>
      </c>
      <c r="M223" s="4" t="inlineStr"/>
    </row>
    <row r="224" ht="45" customHeight="1">
      <c r="A224" s="4" t="inlineStr">
        <is>
          <t>C31-L04</t>
        </is>
      </c>
      <c r="B224" s="4" t="inlineStr">
        <is>
          <t>C31</t>
        </is>
      </c>
      <c r="C224" s="4" t="inlineStr">
        <is>
          <t>Application / document link</t>
        </is>
      </c>
      <c r="D224" s="4" t="inlineStr">
        <is>
          <t>Source link</t>
        </is>
      </c>
      <c r="E224" s="5" t="inlineStr">
        <is>
          <t>Open source</t>
        </is>
      </c>
      <c r="F224" s="4" t="inlineStr">
        <is>
          <t>.scheme.applicationProcess[1]</t>
        </is>
      </c>
      <c r="G224" s="4" t="inlineStr">
        <is>
          <t>Listed by myScheme; destination not independently opened</t>
        </is>
      </c>
      <c r="H224" s="4" t="inlineStr">
        <is>
          <t>As published</t>
        </is>
      </c>
      <c r="I224" s="4" t="inlineStr">
        <is>
          <t>Not established</t>
        </is>
      </c>
      <c r="J224" s="6" t="n">
        <v>46323</v>
      </c>
      <c r="K224" s="7" t="inlineStr">
        <is>
          <t>Review status: Approved</t>
        </is>
      </c>
      <c r="L224" s="4" t="inlineStr">
        <is>
          <t>https://www.indiaculture.nic.in/sites/default/files/Schemes/New_application_form_for_Artistes_Pension_1_23_07_2019.pdf</t>
        </is>
      </c>
      <c r="M224" s="4" t="inlineStr"/>
    </row>
    <row r="225" ht="45" customHeight="1">
      <c r="A225" s="4" t="inlineStr">
        <is>
          <t>C31-L05</t>
        </is>
      </c>
      <c r="B225" s="4" t="inlineStr">
        <is>
          <t>C31</t>
        </is>
      </c>
      <c r="C225" s="4" t="inlineStr">
        <is>
          <t>Sources and References</t>
        </is>
      </c>
      <c r="D225" s="4" t="inlineStr">
        <is>
          <t>Official Website</t>
        </is>
      </c>
      <c r="E225" s="5" t="inlineStr">
        <is>
          <t>Open source</t>
        </is>
      </c>
      <c r="F225" s="4" t="inlineStr">
        <is>
          <t>.scheme.schemeContent.references[0]</t>
        </is>
      </c>
      <c r="G225" s="4" t="inlineStr">
        <is>
          <t>Listed by myScheme; destination not independently opened</t>
        </is>
      </c>
      <c r="H225" s="4" t="inlineStr">
        <is>
          <t>As published</t>
        </is>
      </c>
      <c r="I225" s="4" t="inlineStr">
        <is>
          <t>Not established</t>
        </is>
      </c>
      <c r="J225" s="6" t="n">
        <v>46323</v>
      </c>
      <c r="K225" s="7" t="inlineStr">
        <is>
          <t>Review status: Approved</t>
        </is>
      </c>
      <c r="L225" s="4" t="inlineStr">
        <is>
          <t>https://indiaculture.gov.in/scheme-financial-assistance-veteran-artists</t>
        </is>
      </c>
      <c r="M225" s="4" t="inlineStr"/>
    </row>
    <row r="226" ht="59.2" customHeight="1">
      <c r="A226" s="4" t="inlineStr">
        <is>
          <t>C31-L06</t>
        </is>
      </c>
      <c r="B226" s="4" t="inlineStr">
        <is>
          <t>C31</t>
        </is>
      </c>
      <c r="C226" s="4" t="inlineStr">
        <is>
          <t>Sources and References</t>
        </is>
      </c>
      <c r="D226" s="4" t="inlineStr">
        <is>
          <t>Notice</t>
        </is>
      </c>
      <c r="E226" s="5" t="inlineStr">
        <is>
          <t>Open source</t>
        </is>
      </c>
      <c r="F226" s="4" t="inlineStr">
        <is>
          <t>.scheme.schemeContent.references[1]</t>
        </is>
      </c>
      <c r="G226" s="4" t="inlineStr">
        <is>
          <t>Listed by myScheme; destination not independently opened</t>
        </is>
      </c>
      <c r="H226" s="4" t="inlineStr">
        <is>
          <t>As published</t>
        </is>
      </c>
      <c r="I226" s="4" t="inlineStr">
        <is>
          <t>Not established</t>
        </is>
      </c>
      <c r="J226" s="6" t="n">
        <v>46323</v>
      </c>
      <c r="K226" s="7" t="inlineStr">
        <is>
          <t>Review status: Approved</t>
        </is>
      </c>
      <c r="L226" s="4" t="inlineStr">
        <is>
          <t>https://indiaculture.gov.in/sites/default/files/Schemes/NOTICE-inviting_requisite_document_from_the_beneficiary_for_release_of_their_financial_assistance_under_the_scheme_11_07_2023.pdf</t>
        </is>
      </c>
      <c r="M226" s="4" t="inlineStr"/>
    </row>
    <row r="227" ht="45" customHeight="1">
      <c r="A227" s="4" t="inlineStr">
        <is>
          <t>C31-L07</t>
        </is>
      </c>
      <c r="B227" s="4" t="inlineStr">
        <is>
          <t>C31</t>
        </is>
      </c>
      <c r="C227" s="4" t="inlineStr">
        <is>
          <t>Sources and References</t>
        </is>
      </c>
      <c r="D227" s="4" t="inlineStr">
        <is>
          <t>Application Form</t>
        </is>
      </c>
      <c r="E227" s="5" t="inlineStr">
        <is>
          <t>Open source</t>
        </is>
      </c>
      <c r="F227" s="4" t="inlineStr">
        <is>
          <t>.scheme.schemeContent.references[2]</t>
        </is>
      </c>
      <c r="G227" s="4" t="inlineStr">
        <is>
          <t>Listed by myScheme; destination not independently opened</t>
        </is>
      </c>
      <c r="H227" s="4" t="inlineStr">
        <is>
          <t>As published</t>
        </is>
      </c>
      <c r="I227" s="4" t="inlineStr">
        <is>
          <t>Not established</t>
        </is>
      </c>
      <c r="J227" s="6" t="n">
        <v>46323</v>
      </c>
      <c r="K227" s="7" t="inlineStr">
        <is>
          <t>Review status: Approved</t>
        </is>
      </c>
      <c r="L227" s="4" t="inlineStr">
        <is>
          <t>https://indiaculture.gov.in/sites/default/files/Schemes/Application_for_Scheme_for_Financial_Assistance_for_Veteran_Artists_09112022.pdf</t>
        </is>
      </c>
      <c r="M227" s="4" t="inlineStr"/>
    </row>
    <row r="228" ht="45" customHeight="1">
      <c r="A228" s="4" t="inlineStr">
        <is>
          <t>MS-C32</t>
        </is>
      </c>
      <c r="B228" s="4" t="inlineStr">
        <is>
          <t>C32</t>
        </is>
      </c>
      <c r="C228" s="4" t="inlineStr">
        <is>
          <t>Official scheme page</t>
        </is>
      </c>
      <c r="D228" s="4" t="inlineStr">
        <is>
          <t>Free Education For Sports Medal Winners / Participants Of National/ International Events</t>
        </is>
      </c>
      <c r="E228" s="5" t="inlineStr">
        <is>
          <t>Open source</t>
        </is>
      </c>
      <c r="F228" s="4" t="inlineStr">
        <is>
          <t>myScheme scheme page</t>
        </is>
      </c>
      <c r="G228" s="4" t="inlineStr">
        <is>
          <t>Retrieved public myScheme content; policy currency not independently verified</t>
        </is>
      </c>
      <c r="H228" s="4" t="inlineStr">
        <is>
          <t>English</t>
        </is>
      </c>
      <c r="I228" s="4" t="inlineStr">
        <is>
          <t>Effective date not established</t>
        </is>
      </c>
      <c r="J228" s="6" t="n">
        <v>46323</v>
      </c>
      <c r="K228" s="7" t="inlineStr">
        <is>
          <t>Review status: Approved</t>
        </is>
      </c>
      <c r="L228" s="4" t="inlineStr">
        <is>
          <t>https://www.myscheme.gov.in/schemes/fesmwpnie</t>
        </is>
      </c>
      <c r="M228" s="4" t="inlineStr">
        <is>
          <t>67ab4e80e5becb8a71d564878fb2d208eb5895141b7e5c3bfafb79499e7dea55</t>
        </is>
      </c>
    </row>
    <row r="229" ht="45" customHeight="1">
      <c r="A229" s="4" t="inlineStr">
        <is>
          <t>C32-L01</t>
        </is>
      </c>
      <c r="B229" s="4" t="inlineStr">
        <is>
          <t>C32</t>
        </is>
      </c>
      <c r="C229" s="4" t="inlineStr">
        <is>
          <t>Application / document link</t>
        </is>
      </c>
      <c r="D229" s="4" t="inlineStr">
        <is>
          <t>application form</t>
        </is>
      </c>
      <c r="E229" s="5" t="inlineStr">
        <is>
          <t>Open source</t>
        </is>
      </c>
      <c r="F229" s="4" t="inlineStr">
        <is>
          <t>.scheme.applicationProcess[0].process[0].children[2]</t>
        </is>
      </c>
      <c r="G229" s="4" t="inlineStr">
        <is>
          <t>Listed by myScheme; destination not independently opened</t>
        </is>
      </c>
      <c r="H229" s="4" t="inlineStr">
        <is>
          <t>As published</t>
        </is>
      </c>
      <c r="I229" s="4" t="inlineStr">
        <is>
          <t>Not established</t>
        </is>
      </c>
      <c r="J229" s="6" t="n">
        <v>46323</v>
      </c>
      <c r="K229" s="7" t="inlineStr">
        <is>
          <t>Review status: Approved</t>
        </is>
      </c>
      <c r="L229" s="4" t="inlineStr">
        <is>
          <t>https://www.ugc.gov.in/oldpdf/xiiplanpdf/medal-winners-guidelines.pdf</t>
        </is>
      </c>
      <c r="M229" s="4" t="inlineStr"/>
    </row>
    <row r="230" ht="45" customHeight="1">
      <c r="A230" s="4" t="inlineStr">
        <is>
          <t>C32-L02</t>
        </is>
      </c>
      <c r="B230" s="4" t="inlineStr">
        <is>
          <t>C32</t>
        </is>
      </c>
      <c r="C230" s="4" t="inlineStr">
        <is>
          <t>Application / document link</t>
        </is>
      </c>
      <c r="D230" s="4" t="inlineStr">
        <is>
          <t>Source link</t>
        </is>
      </c>
      <c r="E230" s="5" t="inlineStr">
        <is>
          <t>Open source</t>
        </is>
      </c>
      <c r="F230" s="4" t="inlineStr">
        <is>
          <t>.scheme.applicationProcess[0]</t>
        </is>
      </c>
      <c r="G230" s="4" t="inlineStr">
        <is>
          <t>Listed by myScheme; destination not independently opened</t>
        </is>
      </c>
      <c r="H230" s="4" t="inlineStr">
        <is>
          <t>As published</t>
        </is>
      </c>
      <c r="I230" s="4" t="inlineStr">
        <is>
          <t>Not established</t>
        </is>
      </c>
      <c r="J230" s="6" t="n">
        <v>46323</v>
      </c>
      <c r="K230" s="7" t="inlineStr">
        <is>
          <t>Review status: Approved</t>
        </is>
      </c>
      <c r="L230" s="4" t="inlineStr">
        <is>
          <t>http://www.ugc.ac.in/page/XII-Plan%02Guidelines.aspx</t>
        </is>
      </c>
      <c r="M230" s="4" t="inlineStr"/>
    </row>
    <row r="231" ht="45" customHeight="1">
      <c r="A231" s="4" t="inlineStr">
        <is>
          <t>C32-L03</t>
        </is>
      </c>
      <c r="B231" s="4" t="inlineStr">
        <is>
          <t>C32</t>
        </is>
      </c>
      <c r="C231" s="4" t="inlineStr">
        <is>
          <t>Sources and References</t>
        </is>
      </c>
      <c r="D231" s="4" t="inlineStr">
        <is>
          <t>Guidelines</t>
        </is>
      </c>
      <c r="E231" s="5" t="inlineStr">
        <is>
          <t>Open source</t>
        </is>
      </c>
      <c r="F231" s="4" t="inlineStr">
        <is>
          <t>.scheme.schemeContent.references[0]</t>
        </is>
      </c>
      <c r="G231" s="4" t="inlineStr">
        <is>
          <t>Listed by myScheme; destination not independently opened</t>
        </is>
      </c>
      <c r="H231" s="4" t="inlineStr">
        <is>
          <t>As published</t>
        </is>
      </c>
      <c r="I231" s="4" t="inlineStr">
        <is>
          <t>Not established</t>
        </is>
      </c>
      <c r="J231" s="6" t="n">
        <v>46323</v>
      </c>
      <c r="K231" s="7" t="inlineStr">
        <is>
          <t>Review status: Approved</t>
        </is>
      </c>
      <c r="L231" s="4" t="inlineStr">
        <is>
          <t>https://www.ugc.ac.in/oldpdf/xiiplanpdf/medal-winners-guidelines.pdf</t>
        </is>
      </c>
      <c r="M231" s="4" t="inlineStr"/>
    </row>
    <row r="232" ht="45" customHeight="1">
      <c r="A232" s="4" t="inlineStr">
        <is>
          <t>MS-C33</t>
        </is>
      </c>
      <c r="B232" s="4" t="inlineStr">
        <is>
          <t>C33</t>
        </is>
      </c>
      <c r="C232" s="4" t="inlineStr">
        <is>
          <t>Official scheme page</t>
        </is>
      </c>
      <c r="D232" s="4" t="inlineStr">
        <is>
          <t>GST Exemption Certificate Scheme</t>
        </is>
      </c>
      <c r="E232" s="5" t="inlineStr">
        <is>
          <t>Open source</t>
        </is>
      </c>
      <c r="F232" s="4" t="inlineStr">
        <is>
          <t>myScheme scheme page</t>
        </is>
      </c>
      <c r="G232" s="4" t="inlineStr">
        <is>
          <t>Retrieved public myScheme content; policy currency not independently verified</t>
        </is>
      </c>
      <c r="H232" s="4" t="inlineStr">
        <is>
          <t>English</t>
        </is>
      </c>
      <c r="I232" s="4" t="inlineStr">
        <is>
          <t>Effective date not established</t>
        </is>
      </c>
      <c r="J232" s="6" t="n">
        <v>46323</v>
      </c>
      <c r="K232" s="7" t="inlineStr">
        <is>
          <t>Review status: Approved</t>
        </is>
      </c>
      <c r="L232" s="4" t="inlineStr">
        <is>
          <t>https://www.myscheme.gov.in/schemes/gstecs</t>
        </is>
      </c>
      <c r="M232" s="4" t="inlineStr">
        <is>
          <t>8bc30e694a633b4fd4bb1b5bb7a0e1d4ae5e9d0f5ce98d75738f889b53bf834f</t>
        </is>
      </c>
    </row>
    <row r="233" ht="45" customHeight="1">
      <c r="A233" s="4" t="inlineStr">
        <is>
          <t>C33-L01</t>
        </is>
      </c>
      <c r="B233" s="4" t="inlineStr">
        <is>
          <t>C33</t>
        </is>
      </c>
      <c r="C233" s="4" t="inlineStr">
        <is>
          <t>Application / document link</t>
        </is>
      </c>
      <c r="D233" s="4" t="inlineStr">
        <is>
          <t>prescribed format</t>
        </is>
      </c>
      <c r="E233" s="5" t="inlineStr">
        <is>
          <t>Open source</t>
        </is>
      </c>
      <c r="F233" s="4" t="inlineStr">
        <is>
          <t>.scheme.applicationProcess[0].process[0].children[0].children[1]</t>
        </is>
      </c>
      <c r="G233" s="4" t="inlineStr">
        <is>
          <t>Listed by myScheme; destination not independently opened</t>
        </is>
      </c>
      <c r="H233" s="4" t="inlineStr">
        <is>
          <t>As published</t>
        </is>
      </c>
      <c r="I233" s="4" t="inlineStr">
        <is>
          <t>Not established</t>
        </is>
      </c>
      <c r="J233" s="6" t="n">
        <v>46323</v>
      </c>
      <c r="K233" s="7" t="inlineStr">
        <is>
          <t>Review status: Approved</t>
        </is>
      </c>
      <c r="L233" s="4" t="inlineStr">
        <is>
          <t>https://gecs.heavyindustries.gov.in/assets/site/main/DHIGECS_procedure_(Revised).pdf</t>
        </is>
      </c>
      <c r="M233" s="4" t="inlineStr"/>
    </row>
    <row r="234" ht="45" customHeight="1">
      <c r="A234" s="4" t="inlineStr">
        <is>
          <t>C33-L02</t>
        </is>
      </c>
      <c r="B234" s="4" t="inlineStr">
        <is>
          <t>C33</t>
        </is>
      </c>
      <c r="C234" s="4" t="inlineStr">
        <is>
          <t>Sources and References</t>
        </is>
      </c>
      <c r="D234" s="4" t="inlineStr">
        <is>
          <t>Guidelines</t>
        </is>
      </c>
      <c r="E234" s="5" t="inlineStr">
        <is>
          <t>Open source</t>
        </is>
      </c>
      <c r="F234" s="4" t="inlineStr">
        <is>
          <t>.scheme.schemeContent.references[0]</t>
        </is>
      </c>
      <c r="G234" s="4" t="inlineStr">
        <is>
          <t>Listed by myScheme; destination not independently opened</t>
        </is>
      </c>
      <c r="H234" s="4" t="inlineStr">
        <is>
          <t>As published</t>
        </is>
      </c>
      <c r="I234" s="4" t="inlineStr">
        <is>
          <t>Not established</t>
        </is>
      </c>
      <c r="J234" s="6" t="n">
        <v>46323</v>
      </c>
      <c r="K234" s="7" t="inlineStr">
        <is>
          <t>Review status: Approved</t>
        </is>
      </c>
      <c r="L234" s="4" t="inlineStr">
        <is>
          <t>https://gecs.heavyindustries.gov.in/assets/site/main/DHIGECS_procedure_(Revised).pdf</t>
        </is>
      </c>
      <c r="M234" s="4" t="inlineStr"/>
    </row>
    <row r="235" ht="45" customHeight="1">
      <c r="A235" s="4" t="inlineStr">
        <is>
          <t>C33-L03</t>
        </is>
      </c>
      <c r="B235" s="4" t="inlineStr">
        <is>
          <t>C33</t>
        </is>
      </c>
      <c r="C235" s="4" t="inlineStr">
        <is>
          <t>Sources and References</t>
        </is>
      </c>
      <c r="D235" s="4" t="inlineStr">
        <is>
          <t>User Manual - Application Process</t>
        </is>
      </c>
      <c r="E235" s="5" t="inlineStr">
        <is>
          <t>Open source</t>
        </is>
      </c>
      <c r="F235" s="4" t="inlineStr">
        <is>
          <t>.scheme.schemeContent.references[1]</t>
        </is>
      </c>
      <c r="G235" s="4" t="inlineStr">
        <is>
          <t>Listed by myScheme; destination not independently opened</t>
        </is>
      </c>
      <c r="H235" s="4" t="inlineStr">
        <is>
          <t>As published</t>
        </is>
      </c>
      <c r="I235" s="4" t="inlineStr">
        <is>
          <t>Not established</t>
        </is>
      </c>
      <c r="J235" s="6" t="n">
        <v>46323</v>
      </c>
      <c r="K235" s="7" t="inlineStr">
        <is>
          <t>Review status: Approved</t>
        </is>
      </c>
      <c r="L235" s="4" t="inlineStr">
        <is>
          <t>https://gecs.heavyindustries.gov.in/assets/site/main/User_Manual_New.pdf</t>
        </is>
      </c>
      <c r="M235" s="4" t="inlineStr"/>
    </row>
    <row r="236" ht="45" customHeight="1">
      <c r="A236" s="4" t="inlineStr">
        <is>
          <t>C33-L04</t>
        </is>
      </c>
      <c r="B236" s="4" t="inlineStr">
        <is>
          <t>C33</t>
        </is>
      </c>
      <c r="C236" s="4" t="inlineStr">
        <is>
          <t>Sources and References</t>
        </is>
      </c>
      <c r="D236" s="4" t="inlineStr">
        <is>
          <t>FAQs</t>
        </is>
      </c>
      <c r="E236" s="5" t="inlineStr">
        <is>
          <t>Open source</t>
        </is>
      </c>
      <c r="F236" s="4" t="inlineStr">
        <is>
          <t>.scheme.schemeContent.references[2]</t>
        </is>
      </c>
      <c r="G236" s="4" t="inlineStr">
        <is>
          <t>Listed by myScheme; destination not independently opened</t>
        </is>
      </c>
      <c r="H236" s="4" t="inlineStr">
        <is>
          <t>As published</t>
        </is>
      </c>
      <c r="I236" s="4" t="inlineStr">
        <is>
          <t>Not established</t>
        </is>
      </c>
      <c r="J236" s="6" t="n">
        <v>46323</v>
      </c>
      <c r="K236" s="7" t="inlineStr">
        <is>
          <t>Review status: Approved</t>
        </is>
      </c>
      <c r="L236" s="4" t="inlineStr">
        <is>
          <t>https://gecs.heavyindustries.gov.in/assets/site/main/FAQS.pdf</t>
        </is>
      </c>
      <c r="M236" s="4" t="inlineStr"/>
    </row>
    <row r="237" ht="45" customHeight="1">
      <c r="A237" s="4" t="inlineStr">
        <is>
          <t>C33-L05</t>
        </is>
      </c>
      <c r="B237" s="4" t="inlineStr">
        <is>
          <t>C33</t>
        </is>
      </c>
      <c r="C237" s="4" t="inlineStr">
        <is>
          <t>Sources and References</t>
        </is>
      </c>
      <c r="D237" s="4" t="inlineStr">
        <is>
          <t>Contact Us</t>
        </is>
      </c>
      <c r="E237" s="5" t="inlineStr">
        <is>
          <t>Open source</t>
        </is>
      </c>
      <c r="F237" s="4" t="inlineStr">
        <is>
          <t>.scheme.schemeContent.references[3]</t>
        </is>
      </c>
      <c r="G237" s="4" t="inlineStr">
        <is>
          <t>Listed by myScheme; destination not independently opened</t>
        </is>
      </c>
      <c r="H237" s="4" t="inlineStr">
        <is>
          <t>As published</t>
        </is>
      </c>
      <c r="I237" s="4" t="inlineStr">
        <is>
          <t>Not established</t>
        </is>
      </c>
      <c r="J237" s="6" t="n">
        <v>46323</v>
      </c>
      <c r="K237" s="7" t="inlineStr">
        <is>
          <t>Review status: Approved</t>
        </is>
      </c>
      <c r="L237" s="4" t="inlineStr">
        <is>
          <t>https://gecs.heavyindustries.gov.in/home/contactUs</t>
        </is>
      </c>
      <c r="M237" s="4" t="inlineStr"/>
    </row>
    <row r="238" ht="45" customHeight="1">
      <c r="A238" s="4" t="inlineStr">
        <is>
          <t>C33-L06</t>
        </is>
      </c>
      <c r="B238" s="4" t="inlineStr">
        <is>
          <t>C33</t>
        </is>
      </c>
      <c r="C238" s="4" t="inlineStr">
        <is>
          <t>Sources and References</t>
        </is>
      </c>
      <c r="D238" s="4" t="inlineStr">
        <is>
          <t>Approved Applications</t>
        </is>
      </c>
      <c r="E238" s="5" t="inlineStr">
        <is>
          <t>Open source</t>
        </is>
      </c>
      <c r="F238" s="4" t="inlineStr">
        <is>
          <t>.scheme.schemeContent.references[4]</t>
        </is>
      </c>
      <c r="G238" s="4" t="inlineStr">
        <is>
          <t>Listed by myScheme; destination not independently opened</t>
        </is>
      </c>
      <c r="H238" s="4" t="inlineStr">
        <is>
          <t>As published</t>
        </is>
      </c>
      <c r="I238" s="4" t="inlineStr">
        <is>
          <t>Not established</t>
        </is>
      </c>
      <c r="J238" s="6" t="n">
        <v>46323</v>
      </c>
      <c r="K238" s="7" t="inlineStr">
        <is>
          <t>Review status: Approved</t>
        </is>
      </c>
      <c r="L238" s="4" t="inlineStr">
        <is>
          <t>https://gecs.heavyindustries.gov.in/home/allOnlineGSTConcessionApprovedApplicant</t>
        </is>
      </c>
      <c r="M238" s="4" t="inlineStr"/>
    </row>
    <row r="239" ht="45" customHeight="1">
      <c r="A239" s="4" t="inlineStr">
        <is>
          <t>MS-C34</t>
        </is>
      </c>
      <c r="B239" s="4" t="inlineStr">
        <is>
          <t>C34</t>
        </is>
      </c>
      <c r="C239" s="4" t="inlineStr">
        <is>
          <t>Official scheme page</t>
        </is>
      </c>
      <c r="D239" s="4" t="inlineStr">
        <is>
          <t>National Energy Conservation Award</t>
        </is>
      </c>
      <c r="E239" s="5" t="inlineStr">
        <is>
          <t>Open source</t>
        </is>
      </c>
      <c r="F239" s="4" t="inlineStr">
        <is>
          <t>myScheme scheme page</t>
        </is>
      </c>
      <c r="G239" s="4" t="inlineStr">
        <is>
          <t>Retrieved public myScheme content; policy currency not independently verified</t>
        </is>
      </c>
      <c r="H239" s="4" t="inlineStr">
        <is>
          <t>English</t>
        </is>
      </c>
      <c r="I239" s="4" t="inlineStr">
        <is>
          <t>Effective date not established</t>
        </is>
      </c>
      <c r="J239" s="6" t="n">
        <v>46323</v>
      </c>
      <c r="K239" s="7" t="inlineStr">
        <is>
          <t>Review status: Approved</t>
        </is>
      </c>
      <c r="L239" s="4" t="inlineStr">
        <is>
          <t>https://www.myscheme.gov.in/schemes/neca</t>
        </is>
      </c>
      <c r="M239" s="4" t="inlineStr">
        <is>
          <t>aa340d6f01bf6db5b21b990802914ad45fd7c619f5dc9e059f97b01cb3e2c523</t>
        </is>
      </c>
    </row>
    <row r="240" ht="45" customHeight="1">
      <c r="A240" s="4" t="inlineStr">
        <is>
          <t>C34-L01</t>
        </is>
      </c>
      <c r="B240" s="4" t="inlineStr">
        <is>
          <t>C34</t>
        </is>
      </c>
      <c r="C240" s="4" t="inlineStr">
        <is>
          <t>Application / document link</t>
        </is>
      </c>
      <c r="D240" s="4" t="inlineStr">
        <is>
          <t>fficial website</t>
        </is>
      </c>
      <c r="E240" s="5" t="inlineStr">
        <is>
          <t>Open source</t>
        </is>
      </c>
      <c r="F240" s="4" t="inlineStr">
        <is>
          <t>.scheme.applicationProcess[0].process[1].children[2]</t>
        </is>
      </c>
      <c r="G240" s="4" t="inlineStr">
        <is>
          <t>Listed by myScheme; destination not independently opened</t>
        </is>
      </c>
      <c r="H240" s="4" t="inlineStr">
        <is>
          <t>As published</t>
        </is>
      </c>
      <c r="I240" s="4" t="inlineStr">
        <is>
          <t>Not established</t>
        </is>
      </c>
      <c r="J240" s="6" t="n">
        <v>46323</v>
      </c>
      <c r="K240" s="7" t="inlineStr">
        <is>
          <t>Review status: Approved</t>
        </is>
      </c>
      <c r="L240" s="4" t="inlineStr">
        <is>
          <t>https://awards.gov.in/</t>
        </is>
      </c>
      <c r="M240" s="4" t="inlineStr"/>
    </row>
    <row r="241" ht="45" customHeight="1">
      <c r="A241" s="4" t="inlineStr">
        <is>
          <t>C34-L02</t>
        </is>
      </c>
      <c r="B241" s="4" t="inlineStr">
        <is>
          <t>C34</t>
        </is>
      </c>
      <c r="C241" s="4" t="inlineStr">
        <is>
          <t>Application / document link</t>
        </is>
      </c>
      <c r="D241" s="4" t="inlineStr">
        <is>
          <t>Registration button.</t>
        </is>
      </c>
      <c r="E241" s="5" t="inlineStr">
        <is>
          <t>Open source</t>
        </is>
      </c>
      <c r="F241" s="4" t="inlineStr">
        <is>
          <t>.scheme.applicationProcess[0].process[1].children[4]</t>
        </is>
      </c>
      <c r="G241" s="4" t="inlineStr">
        <is>
          <t>Listed by myScheme; destination not independently opened</t>
        </is>
      </c>
      <c r="H241" s="4" t="inlineStr">
        <is>
          <t>As published</t>
        </is>
      </c>
      <c r="I241" s="4" t="inlineStr">
        <is>
          <t>Not established</t>
        </is>
      </c>
      <c r="J241" s="6" t="n">
        <v>46323</v>
      </c>
      <c r="K241" s="7" t="inlineStr">
        <is>
          <t>Review status: Approved</t>
        </is>
      </c>
      <c r="L241" s="4" t="inlineStr">
        <is>
          <t>https://awards.gov.in/Registration/SignUp</t>
        </is>
      </c>
      <c r="M241" s="4" t="inlineStr"/>
    </row>
    <row r="242" ht="45" customHeight="1">
      <c r="A242" s="4" t="inlineStr">
        <is>
          <t>C34-L03</t>
        </is>
      </c>
      <c r="B242" s="4" t="inlineStr">
        <is>
          <t>C34</t>
        </is>
      </c>
      <c r="C242" s="4" t="inlineStr">
        <is>
          <t>Application / document link</t>
        </is>
      </c>
      <c r="D242" s="4" t="inlineStr">
        <is>
          <t>Log in</t>
        </is>
      </c>
      <c r="E242" s="5" t="inlineStr">
        <is>
          <t>Open source</t>
        </is>
      </c>
      <c r="F242" s="4" t="inlineStr">
        <is>
          <t>.scheme.applicationProcess[0].process[8].children[2]</t>
        </is>
      </c>
      <c r="G242" s="4" t="inlineStr">
        <is>
          <t>Listed by myScheme; destination not independently opened</t>
        </is>
      </c>
      <c r="H242" s="4" t="inlineStr">
        <is>
          <t>As published</t>
        </is>
      </c>
      <c r="I242" s="4" t="inlineStr">
        <is>
          <t>Not established</t>
        </is>
      </c>
      <c r="J242" s="6" t="n">
        <v>46323</v>
      </c>
      <c r="K242" s="7" t="inlineStr">
        <is>
          <t>Review status: Approved</t>
        </is>
      </c>
      <c r="L242" s="4" t="inlineStr">
        <is>
          <t>https://awards.gov.in/Login</t>
        </is>
      </c>
      <c r="M242" s="4" t="inlineStr"/>
    </row>
    <row r="243" ht="45" customHeight="1">
      <c r="A243" s="4" t="inlineStr">
        <is>
          <t>C34-L04</t>
        </is>
      </c>
      <c r="B243" s="4" t="inlineStr">
        <is>
          <t>C34</t>
        </is>
      </c>
      <c r="C243" s="4" t="inlineStr">
        <is>
          <t>Application / document link</t>
        </is>
      </c>
      <c r="D243" s="4" t="inlineStr">
        <is>
          <t>Nominate / Apply Now".</t>
        </is>
      </c>
      <c r="E243" s="5" t="inlineStr">
        <is>
          <t>Open source</t>
        </is>
      </c>
      <c r="F243" s="4" t="inlineStr">
        <is>
          <t>.scheme.applicationProcess[0].process[9].children[2]</t>
        </is>
      </c>
      <c r="G243" s="4" t="inlineStr">
        <is>
          <t>Listed by myScheme; destination not independently opened</t>
        </is>
      </c>
      <c r="H243" s="4" t="inlineStr">
        <is>
          <t>As published</t>
        </is>
      </c>
      <c r="I243" s="4" t="inlineStr">
        <is>
          <t>Not established</t>
        </is>
      </c>
      <c r="J243" s="6" t="n">
        <v>46323</v>
      </c>
      <c r="K243" s="7" t="inlineStr">
        <is>
          <t>Review status: Approved</t>
        </is>
      </c>
      <c r="L243" s="4" t="inlineStr">
        <is>
          <t>https://awards.gov.in/Home/AwardLibrary</t>
        </is>
      </c>
      <c r="M243" s="4" t="inlineStr"/>
    </row>
    <row r="244" ht="45" customHeight="1">
      <c r="A244" s="4" t="inlineStr">
        <is>
          <t>C34-L05</t>
        </is>
      </c>
      <c r="B244" s="4" t="inlineStr">
        <is>
          <t>C34</t>
        </is>
      </c>
      <c r="C244" s="4" t="inlineStr">
        <is>
          <t>Sources and References</t>
        </is>
      </c>
      <c r="D244" s="4" t="inlineStr">
        <is>
          <t>Guidelines/Website</t>
        </is>
      </c>
      <c r="E244" s="5" t="inlineStr">
        <is>
          <t>Open source</t>
        </is>
      </c>
      <c r="F244" s="4" t="inlineStr">
        <is>
          <t>.scheme.schemeContent.references[0]</t>
        </is>
      </c>
      <c r="G244" s="4" t="inlineStr">
        <is>
          <t>Listed by myScheme; destination not independently opened</t>
        </is>
      </c>
      <c r="H244" s="4" t="inlineStr">
        <is>
          <t>As published</t>
        </is>
      </c>
      <c r="I244" s="4" t="inlineStr">
        <is>
          <t>Not established</t>
        </is>
      </c>
      <c r="J244" s="6" t="n">
        <v>46323</v>
      </c>
      <c r="K244" s="7" t="inlineStr">
        <is>
          <t>Review status: Approved</t>
        </is>
      </c>
      <c r="L244" s="4" t="inlineStr">
        <is>
          <t>https://awards.gov.in/Home/AwardLibrary</t>
        </is>
      </c>
      <c r="M244" s="4" t="inlineStr"/>
    </row>
    <row r="245" ht="45" customHeight="1">
      <c r="A245" s="4" t="inlineStr">
        <is>
          <t>MS-C35</t>
        </is>
      </c>
      <c r="B245" s="4" t="inlineStr">
        <is>
          <t>C35</t>
        </is>
      </c>
      <c r="C245" s="4" t="inlineStr">
        <is>
          <t>Official scheme page</t>
        </is>
      </c>
      <c r="D245" s="4" t="inlineStr">
        <is>
          <t>Marketing Development Assistance Scheme</t>
        </is>
      </c>
      <c r="E245" s="5" t="inlineStr">
        <is>
          <t>Open source</t>
        </is>
      </c>
      <c r="F245" s="4" t="inlineStr">
        <is>
          <t>myScheme scheme page</t>
        </is>
      </c>
      <c r="G245" s="4" t="inlineStr">
        <is>
          <t>Retrieved public myScheme content; policy currency not independently verified</t>
        </is>
      </c>
      <c r="H245" s="4" t="inlineStr">
        <is>
          <t>English</t>
        </is>
      </c>
      <c r="I245" s="4" t="inlineStr">
        <is>
          <t>Effective date not established</t>
        </is>
      </c>
      <c r="J245" s="6" t="n">
        <v>46323</v>
      </c>
      <c r="K245" s="7" t="inlineStr">
        <is>
          <t>Review status: Approved</t>
        </is>
      </c>
      <c r="L245" s="4" t="inlineStr">
        <is>
          <t>https://www.myscheme.gov.in/schemes/mdas</t>
        </is>
      </c>
      <c r="M245" s="4" t="inlineStr">
        <is>
          <t>c67e587f50def61d609547c24abfbd52c867c85221f569900af067f2503f9b2c</t>
        </is>
      </c>
    </row>
    <row r="246" ht="45" customHeight="1">
      <c r="A246" s="4" t="inlineStr">
        <is>
          <t>C35-L01</t>
        </is>
      </c>
      <c r="B246" s="4" t="inlineStr">
        <is>
          <t>C35</t>
        </is>
      </c>
      <c r="C246" s="4" t="inlineStr">
        <is>
          <t>Application / document link</t>
        </is>
      </c>
      <c r="D246" s="4" t="inlineStr">
        <is>
          <t>Annexure-I</t>
        </is>
      </c>
      <c r="E246" s="5" t="inlineStr">
        <is>
          <t>Open source</t>
        </is>
      </c>
      <c r="F246" s="4" t="inlineStr">
        <is>
          <t>.scheme.applicationProcess[0].process[2].children[2]</t>
        </is>
      </c>
      <c r="G246" s="4" t="inlineStr">
        <is>
          <t>Listed by myScheme; destination not independently opened</t>
        </is>
      </c>
      <c r="H246" s="4" t="inlineStr">
        <is>
          <t>As published</t>
        </is>
      </c>
      <c r="I246" s="4" t="inlineStr">
        <is>
          <t>Not established</t>
        </is>
      </c>
      <c r="J246" s="6" t="n">
        <v>46323</v>
      </c>
      <c r="K246" s="7" t="inlineStr">
        <is>
          <t>Review status: Approved</t>
        </is>
      </c>
      <c r="L246" s="4" t="inlineStr">
        <is>
          <t>https://tourism.gov.in/sites/default/files/2022-03/Revised%20MDA%20Guidelines%2010032022.pdf</t>
        </is>
      </c>
      <c r="M246" s="4" t="inlineStr"/>
    </row>
    <row r="247" ht="45" customHeight="1">
      <c r="A247" s="4" t="inlineStr">
        <is>
          <t>C35-L02</t>
        </is>
      </c>
      <c r="B247" s="4" t="inlineStr">
        <is>
          <t>C35</t>
        </is>
      </c>
      <c r="C247" s="4" t="inlineStr">
        <is>
          <t>Application / document link</t>
        </is>
      </c>
      <c r="D247" s="4" t="inlineStr">
        <is>
          <t>Annexure-II, III &amp; IV</t>
        </is>
      </c>
      <c r="E247" s="5" t="inlineStr">
        <is>
          <t>Open source</t>
        </is>
      </c>
      <c r="F247" s="4" t="inlineStr">
        <is>
          <t>.scheme.applicationProcess[0].process[8].children[2]</t>
        </is>
      </c>
      <c r="G247" s="4" t="inlineStr">
        <is>
          <t>Listed by myScheme; destination not independently opened</t>
        </is>
      </c>
      <c r="H247" s="4" t="inlineStr">
        <is>
          <t>As published</t>
        </is>
      </c>
      <c r="I247" s="4" t="inlineStr">
        <is>
          <t>Not established</t>
        </is>
      </c>
      <c r="J247" s="6" t="n">
        <v>46323</v>
      </c>
      <c r="K247" s="7" t="inlineStr">
        <is>
          <t>Review status: Approved</t>
        </is>
      </c>
      <c r="L247" s="4" t="inlineStr">
        <is>
          <t>https://tourism.gov.in/sites/default/files/2022-03/Revised%20MDA%20Guidelines%2010032022.pdf</t>
        </is>
      </c>
      <c r="M247" s="4" t="inlineStr"/>
    </row>
    <row r="248" ht="45" customHeight="1">
      <c r="A248" s="4" t="inlineStr">
        <is>
          <t>C35-L03</t>
        </is>
      </c>
      <c r="B248" s="4" t="inlineStr">
        <is>
          <t>C35</t>
        </is>
      </c>
      <c r="C248" s="4" t="inlineStr">
        <is>
          <t>Sources and References</t>
        </is>
      </c>
      <c r="D248" s="4" t="inlineStr">
        <is>
          <t>Guidelines</t>
        </is>
      </c>
      <c r="E248" s="5" t="inlineStr">
        <is>
          <t>Open source</t>
        </is>
      </c>
      <c r="F248" s="4" t="inlineStr">
        <is>
          <t>.scheme.schemeContent.references[0]</t>
        </is>
      </c>
      <c r="G248" s="4" t="inlineStr">
        <is>
          <t>Listed by myScheme; destination not independently opened</t>
        </is>
      </c>
      <c r="H248" s="4" t="inlineStr">
        <is>
          <t>As published</t>
        </is>
      </c>
      <c r="I248" s="4" t="inlineStr">
        <is>
          <t>Not established</t>
        </is>
      </c>
      <c r="J248" s="6" t="n">
        <v>46323</v>
      </c>
      <c r="K248" s="7" t="inlineStr">
        <is>
          <t>Review status: Approved</t>
        </is>
      </c>
      <c r="L248" s="4" t="inlineStr">
        <is>
          <t>https://tourism.gov.in/sites/default/files/2022-03/Revised%20MDA%20Guidelines%2010032022.pdf</t>
        </is>
      </c>
      <c r="M248" s="4" t="inlineStr"/>
    </row>
    <row r="249" ht="45" customHeight="1">
      <c r="A249" s="4" t="inlineStr">
        <is>
          <t>MS-C36</t>
        </is>
      </c>
      <c r="B249" s="4" t="inlineStr">
        <is>
          <t>C36</t>
        </is>
      </c>
      <c r="C249" s="4" t="inlineStr">
        <is>
          <t>Official scheme page</t>
        </is>
      </c>
      <c r="D249" s="4" t="inlineStr">
        <is>
          <t>AICTE-INAE Travel Grant Scheme For Engineering Students From AICTE Approved Engineering College/Institution</t>
        </is>
      </c>
      <c r="E249" s="5" t="inlineStr">
        <is>
          <t>Open source</t>
        </is>
      </c>
      <c r="F249" s="4" t="inlineStr">
        <is>
          <t>myScheme scheme page</t>
        </is>
      </c>
      <c r="G249" s="4" t="inlineStr">
        <is>
          <t>Retrieved public myScheme content; policy currency not independently verified</t>
        </is>
      </c>
      <c r="H249" s="4" t="inlineStr">
        <is>
          <t>English</t>
        </is>
      </c>
      <c r="I249" s="4" t="inlineStr">
        <is>
          <t>Effective date not established</t>
        </is>
      </c>
      <c r="J249" s="6" t="n">
        <v>46323</v>
      </c>
      <c r="K249" s="7" t="inlineStr">
        <is>
          <t>Review status: Approved</t>
        </is>
      </c>
      <c r="L249" s="4" t="inlineStr">
        <is>
          <t>https://www.myscheme.gov.in/schemes/ai-tgses</t>
        </is>
      </c>
      <c r="M249" s="4" t="inlineStr">
        <is>
          <t>c9ddf1f8f674cd5144d45f90761b6ebfb681b9e6aa6700d9d8ee7416ce844e7f</t>
        </is>
      </c>
    </row>
    <row r="250" ht="45" customHeight="1">
      <c r="A250" s="4" t="inlineStr">
        <is>
          <t>C36-L01</t>
        </is>
      </c>
      <c r="B250" s="4" t="inlineStr">
        <is>
          <t>C36</t>
        </is>
      </c>
      <c r="C250" s="4" t="inlineStr">
        <is>
          <t>Sources and References</t>
        </is>
      </c>
      <c r="D250" s="4" t="inlineStr">
        <is>
          <t>Guidelines</t>
        </is>
      </c>
      <c r="E250" s="5" t="inlineStr">
        <is>
          <t>Open source</t>
        </is>
      </c>
      <c r="F250" s="4" t="inlineStr">
        <is>
          <t>.scheme.schemeContent.references[0]</t>
        </is>
      </c>
      <c r="G250" s="4" t="inlineStr">
        <is>
          <t>Listed by myScheme; destination not independently opened</t>
        </is>
      </c>
      <c r="H250" s="4" t="inlineStr">
        <is>
          <t>As published</t>
        </is>
      </c>
      <c r="I250" s="4" t="inlineStr">
        <is>
          <t>Not established</t>
        </is>
      </c>
      <c r="J250" s="6" t="n">
        <v>46323</v>
      </c>
      <c r="K250" s="7" t="inlineStr">
        <is>
          <t>Review status: Approved</t>
        </is>
      </c>
      <c r="L250" s="4" t="inlineStr">
        <is>
          <t>https://www.aicte-india.org/sites/default/files/INAE-TG%20Scheme%20Guidelines.pdf</t>
        </is>
      </c>
      <c r="M250" s="4" t="inlineStr"/>
    </row>
    <row r="251" ht="45" customHeight="1">
      <c r="A251" s="4" t="inlineStr">
        <is>
          <t>MS-C37</t>
        </is>
      </c>
      <c r="B251" s="4" t="inlineStr">
        <is>
          <t>C37</t>
        </is>
      </c>
      <c r="C251" s="4" t="inlineStr">
        <is>
          <t>Official scheme page</t>
        </is>
      </c>
      <c r="D251" s="4" t="inlineStr">
        <is>
          <t>Pilgrimage Rejuvenation and Spiritual Augmentation Drive (PRASHAD)</t>
        </is>
      </c>
      <c r="E251" s="5" t="inlineStr">
        <is>
          <t>Open source</t>
        </is>
      </c>
      <c r="F251" s="4" t="inlineStr">
        <is>
          <t>myScheme scheme page</t>
        </is>
      </c>
      <c r="G251" s="4" t="inlineStr">
        <is>
          <t>Retrieved public myScheme content; policy currency not independently verified</t>
        </is>
      </c>
      <c r="H251" s="4" t="inlineStr">
        <is>
          <t>English</t>
        </is>
      </c>
      <c r="I251" s="4" t="inlineStr">
        <is>
          <t>Effective date not established</t>
        </is>
      </c>
      <c r="J251" s="6" t="n">
        <v>46323</v>
      </c>
      <c r="K251" s="7" t="inlineStr">
        <is>
          <t>Review status: Approved</t>
        </is>
      </c>
      <c r="L251" s="4" t="inlineStr">
        <is>
          <t>https://www.myscheme.gov.in/schemes/prashad</t>
        </is>
      </c>
      <c r="M251" s="4" t="inlineStr">
        <is>
          <t>bd74d2557e175755c7b67a919139a7f6ab634f71dd491ac7dd0a9c05bec9198f</t>
        </is>
      </c>
    </row>
    <row r="252" ht="45" customHeight="1">
      <c r="A252" s="4" t="inlineStr">
        <is>
          <t>C37-L01</t>
        </is>
      </c>
      <c r="B252" s="4" t="inlineStr">
        <is>
          <t>C37</t>
        </is>
      </c>
      <c r="C252" s="4" t="inlineStr">
        <is>
          <t>Sources and References</t>
        </is>
      </c>
      <c r="D252" s="4" t="inlineStr">
        <is>
          <t>Official Source</t>
        </is>
      </c>
      <c r="E252" s="5" t="inlineStr">
        <is>
          <t>Open source</t>
        </is>
      </c>
      <c r="F252" s="4" t="inlineStr">
        <is>
          <t>.scheme.schemeContent.references[0]</t>
        </is>
      </c>
      <c r="G252" s="4" t="inlineStr">
        <is>
          <t>Listed by myScheme; destination not independently opened</t>
        </is>
      </c>
      <c r="H252" s="4" t="inlineStr">
        <is>
          <t>As published</t>
        </is>
      </c>
      <c r="I252" s="4" t="inlineStr">
        <is>
          <t>Not established</t>
        </is>
      </c>
      <c r="J252" s="6" t="n">
        <v>46323</v>
      </c>
      <c r="K252" s="7" t="inlineStr">
        <is>
          <t>Review status: Approved</t>
        </is>
      </c>
      <c r="L252" s="4" t="inlineStr">
        <is>
          <t>https://tourism.gov.in/prashad-scheme</t>
        </is>
      </c>
      <c r="M252" s="4" t="inlineStr"/>
    </row>
    <row r="253" ht="45" customHeight="1">
      <c r="A253" s="4" t="inlineStr">
        <is>
          <t>C37-L02</t>
        </is>
      </c>
      <c r="B253" s="4" t="inlineStr">
        <is>
          <t>C37</t>
        </is>
      </c>
      <c r="C253" s="4" t="inlineStr">
        <is>
          <t>Sources and References</t>
        </is>
      </c>
      <c r="D253" s="4" t="inlineStr">
        <is>
          <t>Guidelines</t>
        </is>
      </c>
      <c r="E253" s="5" t="inlineStr">
        <is>
          <t>Open source</t>
        </is>
      </c>
      <c r="F253" s="4" t="inlineStr">
        <is>
          <t>.scheme.schemeContent.references[1]</t>
        </is>
      </c>
      <c r="G253" s="4" t="inlineStr">
        <is>
          <t>Listed by myScheme; destination not independently opened</t>
        </is>
      </c>
      <c r="H253" s="4" t="inlineStr">
        <is>
          <t>As published</t>
        </is>
      </c>
      <c r="I253" s="4" t="inlineStr">
        <is>
          <t>Not established</t>
        </is>
      </c>
      <c r="J253" s="6" t="n">
        <v>46323</v>
      </c>
      <c r="K253" s="7" t="inlineStr">
        <is>
          <t>Review status: Approved</t>
        </is>
      </c>
      <c r="L253" s="4" t="inlineStr">
        <is>
          <t>https://tourism.gov.in/sites/default/files/2023-08/PRASHAD%2015th%20FC%20Scheme%20Guidelines.pdf</t>
        </is>
      </c>
      <c r="M253" s="4" t="inlineStr"/>
    </row>
    <row r="254" ht="45" customHeight="1">
      <c r="A254" s="4" t="inlineStr">
        <is>
          <t>MS-C38</t>
        </is>
      </c>
      <c r="B254" s="4" t="inlineStr">
        <is>
          <t>C38</t>
        </is>
      </c>
      <c r="C254" s="4" t="inlineStr">
        <is>
          <t>Official scheme page</t>
        </is>
      </c>
      <c r="D254" s="4" t="inlineStr">
        <is>
          <t>Pratyaksh Hanstantrit Labh / Direct Benefits Transfer For LPG</t>
        </is>
      </c>
      <c r="E254" s="5" t="inlineStr">
        <is>
          <t>Open source</t>
        </is>
      </c>
      <c r="F254" s="4" t="inlineStr">
        <is>
          <t>myScheme scheme page</t>
        </is>
      </c>
      <c r="G254" s="4" t="inlineStr">
        <is>
          <t>Retrieved public myScheme content; policy currency not independently verified</t>
        </is>
      </c>
      <c r="H254" s="4" t="inlineStr">
        <is>
          <t>English</t>
        </is>
      </c>
      <c r="I254" s="4" t="inlineStr">
        <is>
          <t>Effective date not established</t>
        </is>
      </c>
      <c r="J254" s="6" t="n">
        <v>46323</v>
      </c>
      <c r="K254" s="7" t="inlineStr">
        <is>
          <t>Review status: Approved</t>
        </is>
      </c>
      <c r="L254" s="4" t="inlineStr">
        <is>
          <t>https://www.myscheme.gov.in/schemes/pahal-dbtl</t>
        </is>
      </c>
      <c r="M254" s="4" t="inlineStr">
        <is>
          <t>483e350cbcf5d7c8956b18351ada4a6c90678fc5de74a577756b8c7a1b6ba9c1</t>
        </is>
      </c>
    </row>
    <row r="255" ht="45" customHeight="1">
      <c r="A255" s="4" t="inlineStr">
        <is>
          <t>C38-L01</t>
        </is>
      </c>
      <c r="B255" s="4" t="inlineStr">
        <is>
          <t>C38</t>
        </is>
      </c>
      <c r="C255" s="4" t="inlineStr">
        <is>
          <t>Application / document link</t>
        </is>
      </c>
      <c r="D255" s="4" t="inlineStr">
        <is>
          <t>Source link</t>
        </is>
      </c>
      <c r="E255" s="5" t="inlineStr">
        <is>
          <t>Open source</t>
        </is>
      </c>
      <c r="F255" s="4" t="inlineStr">
        <is>
          <t>.scheme.applicationProcess[0]</t>
        </is>
      </c>
      <c r="G255" s="4" t="inlineStr">
        <is>
          <t>Listed by myScheme; destination not independently opened</t>
        </is>
      </c>
      <c r="H255" s="4" t="inlineStr">
        <is>
          <t>As published</t>
        </is>
      </c>
      <c r="I255" s="4" t="inlineStr">
        <is>
          <t>Not established</t>
        </is>
      </c>
      <c r="J255" s="6" t="n">
        <v>46323</v>
      </c>
      <c r="K255" s="7" t="inlineStr">
        <is>
          <t>Review status: Approved</t>
        </is>
      </c>
      <c r="L255" s="4" t="inlineStr">
        <is>
          <t>http://petroleum.nic.in/dbt/forms.html</t>
        </is>
      </c>
      <c r="M255" s="4" t="inlineStr"/>
    </row>
    <row r="256" ht="45" customHeight="1">
      <c r="A256" s="4" t="inlineStr">
        <is>
          <t>C38-L02</t>
        </is>
      </c>
      <c r="B256" s="4" t="inlineStr">
        <is>
          <t>C38</t>
        </is>
      </c>
      <c r="C256" s="4" t="inlineStr">
        <is>
          <t>Sources and References</t>
        </is>
      </c>
      <c r="D256" s="4" t="inlineStr">
        <is>
          <t>Guidelines</t>
        </is>
      </c>
      <c r="E256" s="5" t="inlineStr">
        <is>
          <t>Open source</t>
        </is>
      </c>
      <c r="F256" s="4" t="inlineStr">
        <is>
          <t>.scheme.schemeContent.references[0]</t>
        </is>
      </c>
      <c r="G256" s="4" t="inlineStr">
        <is>
          <t>Listed by myScheme; destination not independently opened</t>
        </is>
      </c>
      <c r="H256" s="4" t="inlineStr">
        <is>
          <t>As published</t>
        </is>
      </c>
      <c r="I256" s="4" t="inlineStr">
        <is>
          <t>Not established</t>
        </is>
      </c>
      <c r="J256" s="6" t="n">
        <v>46323</v>
      </c>
      <c r="K256" s="7" t="inlineStr">
        <is>
          <t>Review status: Approved</t>
        </is>
      </c>
      <c r="L256" s="4" t="inlineStr">
        <is>
          <t>https://mopng.gov.in/en/marketing/pahal</t>
        </is>
      </c>
      <c r="M256" s="4" t="inlineStr"/>
    </row>
    <row r="257" ht="45" customHeight="1">
      <c r="A257" s="4" t="inlineStr">
        <is>
          <t>C38-L03</t>
        </is>
      </c>
      <c r="B257" s="4" t="inlineStr">
        <is>
          <t>C38</t>
        </is>
      </c>
      <c r="C257" s="4" t="inlineStr">
        <is>
          <t>Sources and References</t>
        </is>
      </c>
      <c r="D257" s="4" t="inlineStr">
        <is>
          <t>Booklet</t>
        </is>
      </c>
      <c r="E257" s="5" t="inlineStr">
        <is>
          <t>Open source</t>
        </is>
      </c>
      <c r="F257" s="4" t="inlineStr">
        <is>
          <t>.scheme.schemeContent.references[1]</t>
        </is>
      </c>
      <c r="G257" s="4" t="inlineStr">
        <is>
          <t>Listed by myScheme; destination not independently opened</t>
        </is>
      </c>
      <c r="H257" s="4" t="inlineStr">
        <is>
          <t>As published</t>
        </is>
      </c>
      <c r="I257" s="4" t="inlineStr">
        <is>
          <t>Not established</t>
        </is>
      </c>
      <c r="J257" s="6" t="n">
        <v>46323</v>
      </c>
      <c r="K257" s="7" t="inlineStr">
        <is>
          <t>Review status: Approved</t>
        </is>
      </c>
      <c r="L257" s="4" t="inlineStr">
        <is>
          <t>https://mopng.gov.in/files/uploads/Booklet_edited.pdf</t>
        </is>
      </c>
      <c r="M257" s="4" t="inlineStr"/>
    </row>
    <row r="258" ht="45" customHeight="1">
      <c r="A258" s="4" t="inlineStr">
        <is>
          <t>MS-C39</t>
        </is>
      </c>
      <c r="B258" s="4" t="inlineStr">
        <is>
          <t>C39</t>
        </is>
      </c>
      <c r="C258" s="4" t="inlineStr">
        <is>
          <t>Official scheme page</t>
        </is>
      </c>
      <c r="D258" s="4" t="inlineStr">
        <is>
          <t>Atal Bhujal Yojana</t>
        </is>
      </c>
      <c r="E258" s="5" t="inlineStr">
        <is>
          <t>Open source</t>
        </is>
      </c>
      <c r="F258" s="4" t="inlineStr">
        <is>
          <t>myScheme scheme page</t>
        </is>
      </c>
      <c r="G258" s="4" t="inlineStr">
        <is>
          <t>Retrieved public myScheme content; policy currency not independently verified</t>
        </is>
      </c>
      <c r="H258" s="4" t="inlineStr">
        <is>
          <t>English</t>
        </is>
      </c>
      <c r="I258" s="4" t="inlineStr">
        <is>
          <t>Effective date not established</t>
        </is>
      </c>
      <c r="J258" s="6" t="n">
        <v>46323</v>
      </c>
      <c r="K258" s="7" t="inlineStr">
        <is>
          <t>Review status: Approved</t>
        </is>
      </c>
      <c r="L258" s="4" t="inlineStr">
        <is>
          <t>https://www.myscheme.gov.in/schemes/aby-mojs</t>
        </is>
      </c>
      <c r="M258" s="4" t="inlineStr">
        <is>
          <t>5776a732b253ebbe496eb789a381e72258953426153a0c29e2baff45f8e7c298</t>
        </is>
      </c>
    </row>
    <row r="259" ht="47.36" customHeight="1">
      <c r="A259" s="4" t="inlineStr">
        <is>
          <t>C39-L01</t>
        </is>
      </c>
      <c r="B259" s="4" t="inlineStr">
        <is>
          <t>C39</t>
        </is>
      </c>
      <c r="C259" s="4" t="inlineStr">
        <is>
          <t>Sources and References</t>
        </is>
      </c>
      <c r="D259" s="4" t="inlineStr">
        <is>
          <t>Guidelines</t>
        </is>
      </c>
      <c r="E259" s="5" t="inlineStr">
        <is>
          <t>Open source</t>
        </is>
      </c>
      <c r="F259" s="4" t="inlineStr">
        <is>
          <t>.scheme.schemeContent.references[0]</t>
        </is>
      </c>
      <c r="G259" s="4" t="inlineStr">
        <is>
          <t>Listed by myScheme; destination not independently opened</t>
        </is>
      </c>
      <c r="H259" s="4" t="inlineStr">
        <is>
          <t>As published</t>
        </is>
      </c>
      <c r="I259" s="4" t="inlineStr">
        <is>
          <t>Not established</t>
        </is>
      </c>
      <c r="J259" s="6" t="n">
        <v>46323</v>
      </c>
      <c r="K259" s="7" t="inlineStr">
        <is>
          <t>Review status: Approved</t>
        </is>
      </c>
      <c r="L259" s="4" t="inlineStr">
        <is>
          <t>https://ataljal.mowr.gov.in/WriteReadData/GeneralNotices/398cc9fe-774f-421c-9e3d-82d0ac040659_Atal%20Bhujal%20Yojana%20Program%20Guideline%201.2.pdf</t>
        </is>
      </c>
      <c r="M259" s="4" t="inlineStr"/>
    </row>
    <row r="260" ht="45" customHeight="1">
      <c r="A260" s="4" t="inlineStr">
        <is>
          <t>C39-L02</t>
        </is>
      </c>
      <c r="B260" s="4" t="inlineStr">
        <is>
          <t>C39</t>
        </is>
      </c>
      <c r="C260" s="4" t="inlineStr">
        <is>
          <t>Sources and References</t>
        </is>
      </c>
      <c r="D260" s="4" t="inlineStr">
        <is>
          <t>Website</t>
        </is>
      </c>
      <c r="E260" s="5" t="inlineStr">
        <is>
          <t>Open source</t>
        </is>
      </c>
      <c r="F260" s="4" t="inlineStr">
        <is>
          <t>.scheme.schemeContent.references[1]</t>
        </is>
      </c>
      <c r="G260" s="4" t="inlineStr">
        <is>
          <t>Listed by myScheme; destination not independently opened</t>
        </is>
      </c>
      <c r="H260" s="4" t="inlineStr">
        <is>
          <t>As published</t>
        </is>
      </c>
      <c r="I260" s="4" t="inlineStr">
        <is>
          <t>Not established</t>
        </is>
      </c>
      <c r="J260" s="6" t="n">
        <v>46323</v>
      </c>
      <c r="K260" s="7" t="inlineStr">
        <is>
          <t>Review status: Approved</t>
        </is>
      </c>
      <c r="L260" s="4" t="inlineStr">
        <is>
          <t>https://ataljal.mowr.gov.in/Home/Index/EN</t>
        </is>
      </c>
      <c r="M260" s="4" t="inlineStr"/>
    </row>
    <row r="261" ht="45" customHeight="1">
      <c r="A261" s="4" t="inlineStr">
        <is>
          <t>MS-M05</t>
        </is>
      </c>
      <c r="B261" s="4" t="inlineStr">
        <is>
          <t>M05</t>
        </is>
      </c>
      <c r="C261" s="4" t="inlineStr">
        <is>
          <t>Official scheme page</t>
        </is>
      </c>
      <c r="D261" s="4" t="inlineStr">
        <is>
          <t>State Post-metric Scholarship For Disabled</t>
        </is>
      </c>
      <c r="E261" s="5" t="inlineStr">
        <is>
          <t>Open source</t>
        </is>
      </c>
      <c r="F261" s="4" t="inlineStr">
        <is>
          <t>myScheme scheme page</t>
        </is>
      </c>
      <c r="G261" s="4" t="inlineStr">
        <is>
          <t>Retrieved public myScheme content; policy currency not independently verified</t>
        </is>
      </c>
      <c r="H261" s="4" t="inlineStr">
        <is>
          <t>English</t>
        </is>
      </c>
      <c r="I261" s="4" t="inlineStr">
        <is>
          <t>Effective date not established</t>
        </is>
      </c>
      <c r="J261" s="6" t="n">
        <v>46323</v>
      </c>
      <c r="K261" s="7" t="inlineStr">
        <is>
          <t>Review status: Approved</t>
        </is>
      </c>
      <c r="L261" s="4" t="inlineStr">
        <is>
          <t>https://www.myscheme.gov.in/schemes/spmsd</t>
        </is>
      </c>
      <c r="M261" s="4" t="inlineStr">
        <is>
          <t>b94d6a7d5f70425a03b07d50aeb7339618023769a2ee0481986ab0da975c5f23</t>
        </is>
      </c>
    </row>
    <row r="262" ht="45" customHeight="1">
      <c r="A262" s="4" t="inlineStr">
        <is>
          <t>M05-L01</t>
        </is>
      </c>
      <c r="B262" s="4" t="inlineStr">
        <is>
          <t>M05</t>
        </is>
      </c>
      <c r="C262" s="4" t="inlineStr">
        <is>
          <t>Sources and References</t>
        </is>
      </c>
      <c r="D262" s="4" t="inlineStr">
        <is>
          <t>Guidelines</t>
        </is>
      </c>
      <c r="E262" s="5" t="inlineStr">
        <is>
          <t>Open source</t>
        </is>
      </c>
      <c r="F262" s="4" t="inlineStr">
        <is>
          <t>.scheme.schemeContent.references[0]</t>
        </is>
      </c>
      <c r="G262" s="4" t="inlineStr">
        <is>
          <t>Listed by myScheme; destination not independently opened</t>
        </is>
      </c>
      <c r="H262" s="4" t="inlineStr">
        <is>
          <t>As published</t>
        </is>
      </c>
      <c r="I262" s="4" t="inlineStr">
        <is>
          <t>Not established</t>
        </is>
      </c>
      <c r="J262" s="6" t="n">
        <v>46323</v>
      </c>
      <c r="K262" s="7" t="inlineStr">
        <is>
          <t>Review status: Approved</t>
        </is>
      </c>
      <c r="L262" s="4" t="inlineStr">
        <is>
          <t>https://sjsa.maharashtra.gov.in/en/scheme-category/disability-welfare?&amp;Submit=Submit&amp;page=1</t>
        </is>
      </c>
      <c r="M262" s="4" t="inlineStr"/>
    </row>
    <row r="263" ht="45" customHeight="1">
      <c r="A263" s="4" t="inlineStr">
        <is>
          <t>M05-L02</t>
        </is>
      </c>
      <c r="B263" s="4" t="inlineStr">
        <is>
          <t>M05</t>
        </is>
      </c>
      <c r="C263" s="4" t="inlineStr">
        <is>
          <t>Sources and References</t>
        </is>
      </c>
      <c r="D263" s="4" t="inlineStr">
        <is>
          <t>Contact Us</t>
        </is>
      </c>
      <c r="E263" s="5" t="inlineStr">
        <is>
          <t>Open source</t>
        </is>
      </c>
      <c r="F263" s="4" t="inlineStr">
        <is>
          <t>.scheme.schemeContent.references[1]</t>
        </is>
      </c>
      <c r="G263" s="4" t="inlineStr">
        <is>
          <t>Listed by myScheme; destination not independently opened</t>
        </is>
      </c>
      <c r="H263" s="4" t="inlineStr">
        <is>
          <t>As published</t>
        </is>
      </c>
      <c r="I263" s="4" t="inlineStr">
        <is>
          <t>Not established</t>
        </is>
      </c>
      <c r="J263" s="6" t="n">
        <v>46323</v>
      </c>
      <c r="K263" s="7" t="inlineStr">
        <is>
          <t>Review status: Approved</t>
        </is>
      </c>
      <c r="L263" s="4" t="inlineStr">
        <is>
          <t>https://sjsa.maharashtra.gov.in/en/contacts</t>
        </is>
      </c>
      <c r="M263" s="4" t="inlineStr"/>
    </row>
    <row r="264" ht="45" customHeight="1">
      <c r="A264" s="4" t="inlineStr">
        <is>
          <t>MS-M06</t>
        </is>
      </c>
      <c r="B264" s="4" t="inlineStr">
        <is>
          <t>M06</t>
        </is>
      </c>
      <c r="C264" s="4" t="inlineStr">
        <is>
          <t>Official scheme page</t>
        </is>
      </c>
      <c r="D264" s="4" t="inlineStr">
        <is>
          <t>Homes For Intellectually Impaired Persons</t>
        </is>
      </c>
      <c r="E264" s="5" t="inlineStr">
        <is>
          <t>Open source</t>
        </is>
      </c>
      <c r="F264" s="4" t="inlineStr">
        <is>
          <t>myScheme scheme page</t>
        </is>
      </c>
      <c r="G264" s="4" t="inlineStr">
        <is>
          <t>Retrieved public myScheme content; policy currency not independently verified</t>
        </is>
      </c>
      <c r="H264" s="4" t="inlineStr">
        <is>
          <t>English</t>
        </is>
      </c>
      <c r="I264" s="4" t="inlineStr">
        <is>
          <t>Effective date not established</t>
        </is>
      </c>
      <c r="J264" s="6" t="n">
        <v>46323</v>
      </c>
      <c r="K264" s="7" t="inlineStr">
        <is>
          <t>Review status: Approved</t>
        </is>
      </c>
      <c r="L264" s="4" t="inlineStr">
        <is>
          <t>https://www.myscheme.gov.in/schemes/hiip</t>
        </is>
      </c>
      <c r="M264" s="4" t="inlineStr">
        <is>
          <t>150cae359a0e28c12e1ae84c9b6eba3cea3cabb0f9fbfc233f74dde7d4be783b</t>
        </is>
      </c>
    </row>
    <row r="265" ht="45" customHeight="1">
      <c r="A265" s="4" t="inlineStr">
        <is>
          <t>M06-L01</t>
        </is>
      </c>
      <c r="B265" s="4" t="inlineStr">
        <is>
          <t>M06</t>
        </is>
      </c>
      <c r="C265" s="4" t="inlineStr">
        <is>
          <t>Application / document link</t>
        </is>
      </c>
      <c r="D265" s="4" t="inlineStr">
        <is>
          <t>Child Welfare Committee</t>
        </is>
      </c>
      <c r="E265" s="5" t="inlineStr">
        <is>
          <t>Open source</t>
        </is>
      </c>
      <c r="F265" s="4" t="inlineStr">
        <is>
          <t>.scheme.applicationProcess[0].process[0].children[2]</t>
        </is>
      </c>
      <c r="G265" s="4" t="inlineStr">
        <is>
          <t>Listed by myScheme; destination not independently opened</t>
        </is>
      </c>
      <c r="H265" s="4" t="inlineStr">
        <is>
          <t>As published</t>
        </is>
      </c>
      <c r="I265" s="4" t="inlineStr">
        <is>
          <t>Not established</t>
        </is>
      </c>
      <c r="J265" s="6" t="n">
        <v>46323</v>
      </c>
      <c r="K265" s="7" t="inlineStr">
        <is>
          <t>Review status: Approved</t>
        </is>
      </c>
      <c r="L265" s="4" t="inlineStr">
        <is>
          <t>https://jjis.maharashtra.gov.in/Site/ViewCWCList</t>
        </is>
      </c>
      <c r="M265" s="4" t="inlineStr"/>
    </row>
    <row r="266" ht="45" customHeight="1">
      <c r="A266" s="4" t="inlineStr">
        <is>
          <t>M06-L02</t>
        </is>
      </c>
      <c r="B266" s="4" t="inlineStr">
        <is>
          <t>M06</t>
        </is>
      </c>
      <c r="C266" s="4" t="inlineStr">
        <is>
          <t>Application / document link</t>
        </is>
      </c>
      <c r="D266" s="4" t="inlineStr">
        <is>
          <t>Source link</t>
        </is>
      </c>
      <c r="E266" s="5" t="inlineStr">
        <is>
          <t>Open source</t>
        </is>
      </c>
      <c r="F266" s="4" t="inlineStr">
        <is>
          <t>.scheme.applicationProcess[0].process[0].children[4]</t>
        </is>
      </c>
      <c r="G266" s="4" t="inlineStr">
        <is>
          <t>Listed by myScheme; destination not independently opened</t>
        </is>
      </c>
      <c r="H266" s="4" t="inlineStr">
        <is>
          <t>As published</t>
        </is>
      </c>
      <c r="I266" s="4" t="inlineStr">
        <is>
          <t>Not established</t>
        </is>
      </c>
      <c r="J266" s="6" t="n">
        <v>46323</v>
      </c>
      <c r="K266" s="7" t="inlineStr">
        <is>
          <t>Review status: Approved</t>
        </is>
      </c>
      <c r="L266" s="4" t="inlineStr">
        <is>
          <t>https://sjsa.maharashtra.gov.in/en/contacts</t>
        </is>
      </c>
      <c r="M266" s="4" t="inlineStr"/>
    </row>
    <row r="267" ht="45" customHeight="1">
      <c r="A267" s="4" t="inlineStr">
        <is>
          <t>M06-L03</t>
        </is>
      </c>
      <c r="B267" s="4" t="inlineStr">
        <is>
          <t>M06</t>
        </is>
      </c>
      <c r="C267" s="4" t="inlineStr">
        <is>
          <t>Application / document link</t>
        </is>
      </c>
      <c r="D267" s="4" t="inlineStr">
        <is>
          <t>Child Welfare Committee</t>
        </is>
      </c>
      <c r="E267" s="5" t="inlineStr">
        <is>
          <t>Open source</t>
        </is>
      </c>
      <c r="F267" s="4" t="inlineStr">
        <is>
          <t>.scheme.applicationProcess[0].process[2].children[2]</t>
        </is>
      </c>
      <c r="G267" s="4" t="inlineStr">
        <is>
          <t>Listed by myScheme; destination not independently opened</t>
        </is>
      </c>
      <c r="H267" s="4" t="inlineStr">
        <is>
          <t>As published</t>
        </is>
      </c>
      <c r="I267" s="4" t="inlineStr">
        <is>
          <t>Not established</t>
        </is>
      </c>
      <c r="J267" s="6" t="n">
        <v>46323</v>
      </c>
      <c r="K267" s="7" t="inlineStr">
        <is>
          <t>Review status: Approved</t>
        </is>
      </c>
      <c r="L267" s="4" t="inlineStr">
        <is>
          <t>https://jjis.maharashtra.gov.in/Site/ViewCWCList</t>
        </is>
      </c>
      <c r="M267" s="4" t="inlineStr"/>
    </row>
    <row r="268" ht="45" customHeight="1">
      <c r="A268" s="4" t="inlineStr">
        <is>
          <t>M06-L04</t>
        </is>
      </c>
      <c r="B268" s="4" t="inlineStr">
        <is>
          <t>M06</t>
        </is>
      </c>
      <c r="C268" s="4" t="inlineStr">
        <is>
          <t>Application / document link</t>
        </is>
      </c>
      <c r="D268" s="4" t="inlineStr">
        <is>
          <t>Source link</t>
        </is>
      </c>
      <c r="E268" s="5" t="inlineStr">
        <is>
          <t>Open source</t>
        </is>
      </c>
      <c r="F268" s="4" t="inlineStr">
        <is>
          <t>.scheme.applicationProcess[0].process[2].children[4]</t>
        </is>
      </c>
      <c r="G268" s="4" t="inlineStr">
        <is>
          <t>Listed by myScheme; destination not independently opened</t>
        </is>
      </c>
      <c r="H268" s="4" t="inlineStr">
        <is>
          <t>As published</t>
        </is>
      </c>
      <c r="I268" s="4" t="inlineStr">
        <is>
          <t>Not established</t>
        </is>
      </c>
      <c r="J268" s="6" t="n">
        <v>46323</v>
      </c>
      <c r="K268" s="7" t="inlineStr">
        <is>
          <t>Review status: Approved</t>
        </is>
      </c>
      <c r="L268" s="4" t="inlineStr">
        <is>
          <t>https://sjsa.maharashtra.gov.in/en/contacts</t>
        </is>
      </c>
      <c r="M268" s="4" t="inlineStr"/>
    </row>
    <row r="269" ht="45" customHeight="1">
      <c r="A269" s="4" t="inlineStr">
        <is>
          <t>M06-L05</t>
        </is>
      </c>
      <c r="B269" s="4" t="inlineStr">
        <is>
          <t>M06</t>
        </is>
      </c>
      <c r="C269" s="4" t="inlineStr">
        <is>
          <t>Sources and References</t>
        </is>
      </c>
      <c r="D269" s="4" t="inlineStr">
        <is>
          <t>Guidelines</t>
        </is>
      </c>
      <c r="E269" s="5" t="inlineStr">
        <is>
          <t>Open source</t>
        </is>
      </c>
      <c r="F269" s="4" t="inlineStr">
        <is>
          <t>.scheme.schemeContent.references[0]</t>
        </is>
      </c>
      <c r="G269" s="4" t="inlineStr">
        <is>
          <t>Listed by myScheme; destination not independently opened</t>
        </is>
      </c>
      <c r="H269" s="4" t="inlineStr">
        <is>
          <t>As published</t>
        </is>
      </c>
      <c r="I269" s="4" t="inlineStr">
        <is>
          <t>Not established</t>
        </is>
      </c>
      <c r="J269" s="6" t="n">
        <v>46323</v>
      </c>
      <c r="K269" s="7" t="inlineStr">
        <is>
          <t>Review status: Approved</t>
        </is>
      </c>
      <c r="L269" s="4" t="inlineStr">
        <is>
          <t>https://sjsa.maharashtra.gov.in/en/scheme-category/disability-welfare</t>
        </is>
      </c>
      <c r="M269" s="4" t="inlineStr"/>
    </row>
    <row r="270" ht="45" customHeight="1">
      <c r="A270" s="4" t="inlineStr">
        <is>
          <t>MS-M07</t>
        </is>
      </c>
      <c r="B270" s="4" t="inlineStr">
        <is>
          <t>M07</t>
        </is>
      </c>
      <c r="C270" s="4" t="inlineStr">
        <is>
          <t>Official scheme page</t>
        </is>
      </c>
      <c r="D270" s="4" t="inlineStr">
        <is>
          <t>LIDCOM Gattai Stall Scheme</t>
        </is>
      </c>
      <c r="E270" s="5" t="inlineStr">
        <is>
          <t>Open source</t>
        </is>
      </c>
      <c r="F270" s="4" t="inlineStr">
        <is>
          <t>myScheme scheme page</t>
        </is>
      </c>
      <c r="G270" s="4" t="inlineStr">
        <is>
          <t>Retrieved public myScheme content; policy currency not independently verified</t>
        </is>
      </c>
      <c r="H270" s="4" t="inlineStr">
        <is>
          <t>English</t>
        </is>
      </c>
      <c r="I270" s="4" t="inlineStr">
        <is>
          <t>Effective date not established</t>
        </is>
      </c>
      <c r="J270" s="6" t="n">
        <v>46323</v>
      </c>
      <c r="K270" s="7" t="inlineStr">
        <is>
          <t>Review status: Approved</t>
        </is>
      </c>
      <c r="L270" s="4" t="inlineStr">
        <is>
          <t>https://www.myscheme.gov.in/schemes/lgss</t>
        </is>
      </c>
      <c r="M270" s="4" t="inlineStr">
        <is>
          <t>8461c67b2d5392b03430b13ec15b2cdd7c6b61bacb73db64e9a806a4698784bd</t>
        </is>
      </c>
    </row>
    <row r="271" ht="45" customHeight="1">
      <c r="A271" s="4" t="inlineStr">
        <is>
          <t>M07-L01</t>
        </is>
      </c>
      <c r="B271" s="4" t="inlineStr">
        <is>
          <t>M07</t>
        </is>
      </c>
      <c r="C271" s="4" t="inlineStr">
        <is>
          <t>Application / document link</t>
        </is>
      </c>
      <c r="D271" s="4" t="inlineStr">
        <is>
          <t>District Office</t>
        </is>
      </c>
      <c r="E271" s="5" t="inlineStr">
        <is>
          <t>Open source</t>
        </is>
      </c>
      <c r="F271" s="4" t="inlineStr">
        <is>
          <t>.scheme.applicationProcess[0].process[0].children[2]</t>
        </is>
      </c>
      <c r="G271" s="4" t="inlineStr">
        <is>
          <t>Listed by myScheme; destination not independently opened</t>
        </is>
      </c>
      <c r="H271" s="4" t="inlineStr">
        <is>
          <t>As published</t>
        </is>
      </c>
      <c r="I271" s="4" t="inlineStr">
        <is>
          <t>Not established</t>
        </is>
      </c>
      <c r="J271" s="6" t="n">
        <v>46323</v>
      </c>
      <c r="K271" s="7" t="inlineStr">
        <is>
          <t>Review status: Approved</t>
        </is>
      </c>
      <c r="L271" s="4" t="inlineStr">
        <is>
          <t>https://lidcom.co.in/contact.php</t>
        </is>
      </c>
      <c r="M271" s="4" t="inlineStr"/>
    </row>
    <row r="272" ht="45" customHeight="1">
      <c r="A272" s="4" t="inlineStr">
        <is>
          <t>M07-L02</t>
        </is>
      </c>
      <c r="B272" s="4" t="inlineStr">
        <is>
          <t>M07</t>
        </is>
      </c>
      <c r="C272" s="4" t="inlineStr">
        <is>
          <t>Sources and References</t>
        </is>
      </c>
      <c r="D272" s="4" t="inlineStr">
        <is>
          <t>Guidelines</t>
        </is>
      </c>
      <c r="E272" s="5" t="inlineStr">
        <is>
          <t>Open source</t>
        </is>
      </c>
      <c r="F272" s="4" t="inlineStr">
        <is>
          <t>.scheme.schemeContent.references[0]</t>
        </is>
      </c>
      <c r="G272" s="4" t="inlineStr">
        <is>
          <t>Listed by myScheme; destination not independently opened</t>
        </is>
      </c>
      <c r="H272" s="4" t="inlineStr">
        <is>
          <t>As published</t>
        </is>
      </c>
      <c r="I272" s="4" t="inlineStr">
        <is>
          <t>Not established</t>
        </is>
      </c>
      <c r="J272" s="6" t="n">
        <v>46323</v>
      </c>
      <c r="K272" s="7" t="inlineStr">
        <is>
          <t>Review status: Approved</t>
        </is>
      </c>
      <c r="L272" s="4" t="inlineStr">
        <is>
          <t>https://www.lidcom.co.in/gattai-stall.php</t>
        </is>
      </c>
      <c r="M272" s="4" t="inlineStr"/>
    </row>
    <row r="273" ht="45" customHeight="1">
      <c r="A273" s="4" t="inlineStr">
        <is>
          <t>M07-L03</t>
        </is>
      </c>
      <c r="B273" s="4" t="inlineStr">
        <is>
          <t>M07</t>
        </is>
      </c>
      <c r="C273" s="4" t="inlineStr">
        <is>
          <t>Sources and References</t>
        </is>
      </c>
      <c r="D273" s="4" t="inlineStr">
        <is>
          <t>Contact Us</t>
        </is>
      </c>
      <c r="E273" s="5" t="inlineStr">
        <is>
          <t>Open source</t>
        </is>
      </c>
      <c r="F273" s="4" t="inlineStr">
        <is>
          <t>.scheme.schemeContent.references[1]</t>
        </is>
      </c>
      <c r="G273" s="4" t="inlineStr">
        <is>
          <t>Listed by myScheme; destination not independently opened</t>
        </is>
      </c>
      <c r="H273" s="4" t="inlineStr">
        <is>
          <t>As published</t>
        </is>
      </c>
      <c r="I273" s="4" t="inlineStr">
        <is>
          <t>Not established</t>
        </is>
      </c>
      <c r="J273" s="6" t="n">
        <v>46323</v>
      </c>
      <c r="K273" s="7" t="inlineStr">
        <is>
          <t>Review status: Approved</t>
        </is>
      </c>
      <c r="L273" s="4" t="inlineStr">
        <is>
          <t>https://lidcom.co.in/contact.php</t>
        </is>
      </c>
      <c r="M273" s="4" t="inlineStr"/>
    </row>
    <row r="274" ht="45" customHeight="1">
      <c r="A274" s="4" t="inlineStr">
        <is>
          <t>MS-M08</t>
        </is>
      </c>
      <c r="B274" s="4" t="inlineStr">
        <is>
          <t>M08</t>
        </is>
      </c>
      <c r="C274" s="4" t="inlineStr">
        <is>
          <t>Official scheme page</t>
        </is>
      </c>
      <c r="D274" s="4" t="inlineStr">
        <is>
          <t>Mahila Kisan Yojana (Maharashtra)</t>
        </is>
      </c>
      <c r="E274" s="5" t="inlineStr">
        <is>
          <t>Open source</t>
        </is>
      </c>
      <c r="F274" s="4" t="inlineStr">
        <is>
          <t>myScheme scheme page</t>
        </is>
      </c>
      <c r="G274" s="4" t="inlineStr">
        <is>
          <t>Retrieved public myScheme content; policy currency not independently verified</t>
        </is>
      </c>
      <c r="H274" s="4" t="inlineStr">
        <is>
          <t>English</t>
        </is>
      </c>
      <c r="I274" s="4" t="inlineStr">
        <is>
          <t>Effective date not established</t>
        </is>
      </c>
      <c r="J274" s="6" t="n">
        <v>46323</v>
      </c>
      <c r="K274" s="7" t="inlineStr">
        <is>
          <t>Review status: Approved</t>
        </is>
      </c>
      <c r="L274" s="4" t="inlineStr">
        <is>
          <t>https://www.myscheme.gov.in/schemes/mkym</t>
        </is>
      </c>
      <c r="M274" s="4" t="inlineStr">
        <is>
          <t>c1034a4d83fb0e5032c9b99140b41fdd01136d990290c445b380ce7e9d19bcf5</t>
        </is>
      </c>
    </row>
    <row r="275" ht="45" customHeight="1">
      <c r="A275" s="4" t="inlineStr">
        <is>
          <t>M08-L01</t>
        </is>
      </c>
      <c r="B275" s="4" t="inlineStr">
        <is>
          <t>M08</t>
        </is>
      </c>
      <c r="C275" s="4" t="inlineStr">
        <is>
          <t>Application / document link</t>
        </is>
      </c>
      <c r="D275" s="4" t="inlineStr"/>
      <c r="E275" s="5" t="inlineStr">
        <is>
          <t>Open source</t>
        </is>
      </c>
      <c r="F275" s="4" t="inlineStr">
        <is>
          <t>.scheme.applicationProcess[0].process[0].children[2]</t>
        </is>
      </c>
      <c r="G275" s="4" t="inlineStr">
        <is>
          <t>Listed by myScheme; destination not independently opened</t>
        </is>
      </c>
      <c r="H275" s="4" t="inlineStr">
        <is>
          <t>As published</t>
        </is>
      </c>
      <c r="I275" s="4" t="inlineStr">
        <is>
          <t>Not established</t>
        </is>
      </c>
      <c r="J275" s="6" t="n">
        <v>46323</v>
      </c>
      <c r="K275" s="7" t="inlineStr">
        <is>
          <t>Review status: Approved</t>
        </is>
      </c>
      <c r="L275" s="4" t="inlineStr">
        <is>
          <t>https://sjsa.maharashtra.gov.in/en/contacts</t>
        </is>
      </c>
      <c r="M275" s="4" t="inlineStr"/>
    </row>
    <row r="276" ht="45" customHeight="1">
      <c r="A276" s="4" t="inlineStr">
        <is>
          <t>M08-L02</t>
        </is>
      </c>
      <c r="B276" s="4" t="inlineStr">
        <is>
          <t>M08</t>
        </is>
      </c>
      <c r="C276" s="4" t="inlineStr">
        <is>
          <t>Sources and References</t>
        </is>
      </c>
      <c r="D276" s="4" t="inlineStr">
        <is>
          <t>Guidelines</t>
        </is>
      </c>
      <c r="E276" s="5" t="inlineStr">
        <is>
          <t>Open source</t>
        </is>
      </c>
      <c r="F276" s="4" t="inlineStr">
        <is>
          <t>.scheme.schemeContent.references[0]</t>
        </is>
      </c>
      <c r="G276" s="4" t="inlineStr">
        <is>
          <t>Listed by myScheme; destination not independently opened</t>
        </is>
      </c>
      <c r="H276" s="4" t="inlineStr">
        <is>
          <t>As published</t>
        </is>
      </c>
      <c r="I276" s="4" t="inlineStr">
        <is>
          <t>Not established</t>
        </is>
      </c>
      <c r="J276" s="6" t="n">
        <v>46323</v>
      </c>
      <c r="K276" s="7" t="inlineStr">
        <is>
          <t>Review status: Approved</t>
        </is>
      </c>
      <c r="L276" s="4" t="inlineStr">
        <is>
          <t>https://sjsa.maharashtra.gov.in/en/scheme-category/employment</t>
        </is>
      </c>
      <c r="M276" s="4" t="inlineStr"/>
    </row>
    <row r="277" ht="45" customHeight="1">
      <c r="A277" s="4" t="inlineStr">
        <is>
          <t>MS-M09</t>
        </is>
      </c>
      <c r="B277" s="4" t="inlineStr">
        <is>
          <t>M09</t>
        </is>
      </c>
      <c r="C277" s="4" t="inlineStr">
        <is>
          <t>Official scheme page</t>
        </is>
      </c>
      <c r="D277" s="4" t="inlineStr">
        <is>
          <t>Mahila Samridhi Yojana (Maharashtra)</t>
        </is>
      </c>
      <c r="E277" s="5" t="inlineStr">
        <is>
          <t>Open source</t>
        </is>
      </c>
      <c r="F277" s="4" t="inlineStr">
        <is>
          <t>myScheme scheme page</t>
        </is>
      </c>
      <c r="G277" s="4" t="inlineStr">
        <is>
          <t>Retrieved public myScheme content; policy currency not independently verified</t>
        </is>
      </c>
      <c r="H277" s="4" t="inlineStr">
        <is>
          <t>English</t>
        </is>
      </c>
      <c r="I277" s="4" t="inlineStr">
        <is>
          <t>Effective date not established</t>
        </is>
      </c>
      <c r="J277" s="6" t="n">
        <v>46323</v>
      </c>
      <c r="K277" s="7" t="inlineStr">
        <is>
          <t>Review status: Approved</t>
        </is>
      </c>
      <c r="L277" s="4" t="inlineStr">
        <is>
          <t>https://www.myscheme.gov.in/schemes/msym</t>
        </is>
      </c>
      <c r="M277" s="4" t="inlineStr">
        <is>
          <t>3555bc315e95216d2e7d754ff74adf082de90d888dae3cb9513d6322e068f1f7</t>
        </is>
      </c>
    </row>
    <row r="278" ht="45" customHeight="1">
      <c r="A278" s="4" t="inlineStr">
        <is>
          <t>M09-L01</t>
        </is>
      </c>
      <c r="B278" s="4" t="inlineStr">
        <is>
          <t>M09</t>
        </is>
      </c>
      <c r="C278" s="4" t="inlineStr">
        <is>
          <t>Application / document link</t>
        </is>
      </c>
      <c r="D278" s="4" t="inlineStr">
        <is>
          <t>District Office</t>
        </is>
      </c>
      <c r="E278" s="5" t="inlineStr">
        <is>
          <t>Open source</t>
        </is>
      </c>
      <c r="F278" s="4" t="inlineStr">
        <is>
          <t>.scheme.applicationProcess[0].process[0].children[2]</t>
        </is>
      </c>
      <c r="G278" s="4" t="inlineStr">
        <is>
          <t>Listed by myScheme; destination not independently opened</t>
        </is>
      </c>
      <c r="H278" s="4" t="inlineStr">
        <is>
          <t>As published</t>
        </is>
      </c>
      <c r="I278" s="4" t="inlineStr">
        <is>
          <t>Not established</t>
        </is>
      </c>
      <c r="J278" s="6" t="n">
        <v>46323</v>
      </c>
      <c r="K278" s="7" t="inlineStr">
        <is>
          <t>Review status: Approved</t>
        </is>
      </c>
      <c r="L278" s="4" t="inlineStr">
        <is>
          <t>https://lidcom.co.in/contact.php</t>
        </is>
      </c>
      <c r="M278" s="4" t="inlineStr"/>
    </row>
    <row r="279" ht="45" customHeight="1">
      <c r="A279" s="4" t="inlineStr">
        <is>
          <t>M09-L02</t>
        </is>
      </c>
      <c r="B279" s="4" t="inlineStr">
        <is>
          <t>M09</t>
        </is>
      </c>
      <c r="C279" s="4" t="inlineStr">
        <is>
          <t>Application / document link</t>
        </is>
      </c>
      <c r="D279" s="4" t="inlineStr">
        <is>
          <t>District Office</t>
        </is>
      </c>
      <c r="E279" s="5" t="inlineStr">
        <is>
          <t>Open source</t>
        </is>
      </c>
      <c r="F279" s="4" t="inlineStr">
        <is>
          <t>.scheme.applicationProcess[0].process[2].children[2]</t>
        </is>
      </c>
      <c r="G279" s="4" t="inlineStr">
        <is>
          <t>Listed by myScheme; destination not independently opened</t>
        </is>
      </c>
      <c r="H279" s="4" t="inlineStr">
        <is>
          <t>As published</t>
        </is>
      </c>
      <c r="I279" s="4" t="inlineStr">
        <is>
          <t>Not established</t>
        </is>
      </c>
      <c r="J279" s="6" t="n">
        <v>46323</v>
      </c>
      <c r="K279" s="7" t="inlineStr">
        <is>
          <t>Review status: Approved</t>
        </is>
      </c>
      <c r="L279" s="4" t="inlineStr">
        <is>
          <t>https://lidcom.co.in/contact.php</t>
        </is>
      </c>
      <c r="M279" s="4" t="inlineStr"/>
    </row>
    <row r="280" ht="45" customHeight="1">
      <c r="A280" s="4" t="inlineStr">
        <is>
          <t>M09-L03</t>
        </is>
      </c>
      <c r="B280" s="4" t="inlineStr">
        <is>
          <t>M09</t>
        </is>
      </c>
      <c r="C280" s="4" t="inlineStr">
        <is>
          <t>Sources and References</t>
        </is>
      </c>
      <c r="D280" s="4" t="inlineStr">
        <is>
          <t>Guidelines</t>
        </is>
      </c>
      <c r="E280" s="5" t="inlineStr">
        <is>
          <t>Open source</t>
        </is>
      </c>
      <c r="F280" s="4" t="inlineStr">
        <is>
          <t>.scheme.schemeContent.references[0]</t>
        </is>
      </c>
      <c r="G280" s="4" t="inlineStr">
        <is>
          <t>Listed by myScheme; destination not independently opened</t>
        </is>
      </c>
      <c r="H280" s="4" t="inlineStr">
        <is>
          <t>As published</t>
        </is>
      </c>
      <c r="I280" s="4" t="inlineStr">
        <is>
          <t>Not established</t>
        </is>
      </c>
      <c r="J280" s="6" t="n">
        <v>46323</v>
      </c>
      <c r="K280" s="7" t="inlineStr">
        <is>
          <t>Review status: Approved</t>
        </is>
      </c>
      <c r="L280" s="4" t="inlineStr">
        <is>
          <t>https://sjsa.maharashtra.gov.in/en/scheme-category/employment</t>
        </is>
      </c>
      <c r="M280" s="4" t="inlineStr"/>
    </row>
    <row r="281" ht="45" customHeight="1">
      <c r="A281" s="4" t="inlineStr">
        <is>
          <t>MS-M10</t>
        </is>
      </c>
      <c r="B281" s="4" t="inlineStr">
        <is>
          <t>M10</t>
        </is>
      </c>
      <c r="C281" s="4" t="inlineStr">
        <is>
          <t>Official scheme page</t>
        </is>
      </c>
      <c r="D281" s="4" t="inlineStr">
        <is>
          <t>Financial Assistance For Aids And Appliances For Disabled Persons</t>
        </is>
      </c>
      <c r="E281" s="5" t="inlineStr">
        <is>
          <t>Open source</t>
        </is>
      </c>
      <c r="F281" s="4" t="inlineStr">
        <is>
          <t>myScheme scheme page</t>
        </is>
      </c>
      <c r="G281" s="4" t="inlineStr">
        <is>
          <t>Retrieved public myScheme content; policy currency not independently verified</t>
        </is>
      </c>
      <c r="H281" s="4" t="inlineStr">
        <is>
          <t>English</t>
        </is>
      </c>
      <c r="I281" s="4" t="inlineStr">
        <is>
          <t>Effective date not established</t>
        </is>
      </c>
      <c r="J281" s="6" t="n">
        <v>46323</v>
      </c>
      <c r="K281" s="7" t="inlineStr">
        <is>
          <t>Review status: Approved</t>
        </is>
      </c>
      <c r="L281" s="4" t="inlineStr">
        <is>
          <t>https://www.myscheme.gov.in/schemes/faaadp</t>
        </is>
      </c>
      <c r="M281" s="4" t="inlineStr">
        <is>
          <t>72a47e365429cd73183544e54c99651ada6bf671d1ab5862b7f23f715fd02a39</t>
        </is>
      </c>
    </row>
    <row r="282" ht="45" customHeight="1">
      <c r="A282" s="4" t="inlineStr">
        <is>
          <t>M10-L01</t>
        </is>
      </c>
      <c r="B282" s="4" t="inlineStr">
        <is>
          <t>M10</t>
        </is>
      </c>
      <c r="C282" s="4" t="inlineStr">
        <is>
          <t>Application / document link</t>
        </is>
      </c>
      <c r="D282" s="4" t="inlineStr">
        <is>
          <t>District Social Welfare Office</t>
        </is>
      </c>
      <c r="E282" s="5" t="inlineStr">
        <is>
          <t>Open source</t>
        </is>
      </c>
      <c r="F282" s="4" t="inlineStr">
        <is>
          <t>.scheme.applicationProcess[0].process[0].children[2]</t>
        </is>
      </c>
      <c r="G282" s="4" t="inlineStr">
        <is>
          <t>Listed by myScheme; destination not independently opened</t>
        </is>
      </c>
      <c r="H282" s="4" t="inlineStr">
        <is>
          <t>As published</t>
        </is>
      </c>
      <c r="I282" s="4" t="inlineStr">
        <is>
          <t>Not established</t>
        </is>
      </c>
      <c r="J282" s="6" t="n">
        <v>46323</v>
      </c>
      <c r="K282" s="7" t="inlineStr">
        <is>
          <t>Review status: Approved</t>
        </is>
      </c>
      <c r="L282" s="4" t="inlineStr">
        <is>
          <t>https://sjsa.maharashtra.gov.in/en/contacts</t>
        </is>
      </c>
      <c r="M282" s="4" t="inlineStr"/>
    </row>
    <row r="283" ht="45" customHeight="1">
      <c r="A283" s="4" t="inlineStr">
        <is>
          <t>M10-L02</t>
        </is>
      </c>
      <c r="B283" s="4" t="inlineStr">
        <is>
          <t>M10</t>
        </is>
      </c>
      <c r="C283" s="4" t="inlineStr">
        <is>
          <t>Sources and References</t>
        </is>
      </c>
      <c r="D283" s="4" t="inlineStr">
        <is>
          <t>Guidelines</t>
        </is>
      </c>
      <c r="E283" s="5" t="inlineStr">
        <is>
          <t>Open source</t>
        </is>
      </c>
      <c r="F283" s="4" t="inlineStr">
        <is>
          <t>.scheme.schemeContent.references[0]</t>
        </is>
      </c>
      <c r="G283" s="4" t="inlineStr">
        <is>
          <t>Listed by myScheme; destination not independently opened</t>
        </is>
      </c>
      <c r="H283" s="4" t="inlineStr">
        <is>
          <t>As published</t>
        </is>
      </c>
      <c r="I283" s="4" t="inlineStr">
        <is>
          <t>Not established</t>
        </is>
      </c>
      <c r="J283" s="6" t="n">
        <v>46323</v>
      </c>
      <c r="K283" s="7" t="inlineStr">
        <is>
          <t>Review status: Approved</t>
        </is>
      </c>
      <c r="L283" s="4" t="inlineStr">
        <is>
          <t>https://sjsa.maharashtra.gov.in/en/scheme-category/disability-welfare</t>
        </is>
      </c>
      <c r="M283" s="4" t="inlineStr"/>
    </row>
    <row r="284" ht="45" customHeight="1">
      <c r="A284" s="4" t="inlineStr">
        <is>
          <t>MS-M11</t>
        </is>
      </c>
      <c r="B284" s="4" t="inlineStr">
        <is>
          <t>M11</t>
        </is>
      </c>
      <c r="C284" s="4" t="inlineStr">
        <is>
          <t>Official scheme page</t>
        </is>
      </c>
      <c r="D284" s="4" t="inlineStr">
        <is>
          <t>Financial Assistance To Disabled For Self Employment</t>
        </is>
      </c>
      <c r="E284" s="5" t="inlineStr">
        <is>
          <t>Open source</t>
        </is>
      </c>
      <c r="F284" s="4" t="inlineStr">
        <is>
          <t>myScheme scheme page</t>
        </is>
      </c>
      <c r="G284" s="4" t="inlineStr">
        <is>
          <t>Retrieved public myScheme content; policy currency not independently verified</t>
        </is>
      </c>
      <c r="H284" s="4" t="inlineStr">
        <is>
          <t>English</t>
        </is>
      </c>
      <c r="I284" s="4" t="inlineStr">
        <is>
          <t>Effective date not established</t>
        </is>
      </c>
      <c r="J284" s="6" t="n">
        <v>46323</v>
      </c>
      <c r="K284" s="7" t="inlineStr">
        <is>
          <t>Review status: Approved</t>
        </is>
      </c>
      <c r="L284" s="4" t="inlineStr">
        <is>
          <t>https://www.myscheme.gov.in/schemes/fadse</t>
        </is>
      </c>
      <c r="M284" s="4" t="inlineStr">
        <is>
          <t>8915f15c98f2ffdcc1f11036a69e43dd1cc60889950bef006e7b9ed179d71e29</t>
        </is>
      </c>
    </row>
    <row r="285" ht="45" customHeight="1">
      <c r="A285" s="4" t="inlineStr">
        <is>
          <t>M11-L01</t>
        </is>
      </c>
      <c r="B285" s="4" t="inlineStr">
        <is>
          <t>M11</t>
        </is>
      </c>
      <c r="C285" s="4" t="inlineStr">
        <is>
          <t>Application / document link</t>
        </is>
      </c>
      <c r="D285" s="4" t="inlineStr">
        <is>
          <t>District Social Welfare Office</t>
        </is>
      </c>
      <c r="E285" s="5" t="inlineStr">
        <is>
          <t>Open source</t>
        </is>
      </c>
      <c r="F285" s="4" t="inlineStr">
        <is>
          <t>.scheme.applicationProcess[0].process[0].children[2]</t>
        </is>
      </c>
      <c r="G285" s="4" t="inlineStr">
        <is>
          <t>Listed by myScheme; destination not independently opened</t>
        </is>
      </c>
      <c r="H285" s="4" t="inlineStr">
        <is>
          <t>As published</t>
        </is>
      </c>
      <c r="I285" s="4" t="inlineStr">
        <is>
          <t>Not established</t>
        </is>
      </c>
      <c r="J285" s="6" t="n">
        <v>46323</v>
      </c>
      <c r="K285" s="7" t="inlineStr">
        <is>
          <t>Review status: Approved</t>
        </is>
      </c>
      <c r="L285" s="4" t="inlineStr">
        <is>
          <t>https://sjsa.maharashtra.gov.in/en/contacts</t>
        </is>
      </c>
      <c r="M285" s="4" t="inlineStr"/>
    </row>
    <row r="286" ht="45" customHeight="1">
      <c r="A286" s="4" t="inlineStr">
        <is>
          <t>M11-L02</t>
        </is>
      </c>
      <c r="B286" s="4" t="inlineStr">
        <is>
          <t>M11</t>
        </is>
      </c>
      <c r="C286" s="4" t="inlineStr">
        <is>
          <t>Sources and References</t>
        </is>
      </c>
      <c r="D286" s="4" t="inlineStr">
        <is>
          <t>Guidelines</t>
        </is>
      </c>
      <c r="E286" s="5" t="inlineStr">
        <is>
          <t>Open source</t>
        </is>
      </c>
      <c r="F286" s="4" t="inlineStr">
        <is>
          <t>.scheme.schemeContent.references[0]</t>
        </is>
      </c>
      <c r="G286" s="4" t="inlineStr">
        <is>
          <t>Listed by myScheme; destination not independently opened</t>
        </is>
      </c>
      <c r="H286" s="4" t="inlineStr">
        <is>
          <t>As published</t>
        </is>
      </c>
      <c r="I286" s="4" t="inlineStr">
        <is>
          <t>Not established</t>
        </is>
      </c>
      <c r="J286" s="6" t="n">
        <v>46323</v>
      </c>
      <c r="K286" s="7" t="inlineStr">
        <is>
          <t>Review status: Approved</t>
        </is>
      </c>
      <c r="L286" s="4" t="inlineStr">
        <is>
          <t>https://sjsa.maharashtra.gov.in/en/scheme-category/disability-welfare</t>
        </is>
      </c>
      <c r="M286" s="4" t="inlineStr"/>
    </row>
    <row r="287" ht="45" customHeight="1">
      <c r="A287" s="4" t="inlineStr">
        <is>
          <t>MS-M12</t>
        </is>
      </c>
      <c r="B287" s="4" t="inlineStr">
        <is>
          <t>M12</t>
        </is>
      </c>
      <c r="C287" s="4" t="inlineStr">
        <is>
          <t>Official scheme page</t>
        </is>
      </c>
      <c r="D287" s="4" t="inlineStr">
        <is>
          <t>Ramai Awas (Gharkul) Scheme for SC &amp; Nav-Buddha (Urban and Rural)</t>
        </is>
      </c>
      <c r="E287" s="5" t="inlineStr">
        <is>
          <t>Open source</t>
        </is>
      </c>
      <c r="F287" s="4" t="inlineStr">
        <is>
          <t>myScheme scheme page</t>
        </is>
      </c>
      <c r="G287" s="4" t="inlineStr">
        <is>
          <t>Retrieved public myScheme content; policy currency not independently verified</t>
        </is>
      </c>
      <c r="H287" s="4" t="inlineStr">
        <is>
          <t>English</t>
        </is>
      </c>
      <c r="I287" s="4" t="inlineStr">
        <is>
          <t>Effective date not established</t>
        </is>
      </c>
      <c r="J287" s="6" t="n">
        <v>46323</v>
      </c>
      <c r="K287" s="7" t="inlineStr">
        <is>
          <t>Review status: Approved</t>
        </is>
      </c>
      <c r="L287" s="4" t="inlineStr">
        <is>
          <t>https://www.myscheme.gov.in/schemes/rassnb</t>
        </is>
      </c>
      <c r="M287" s="4" t="inlineStr">
        <is>
          <t>70d4cb3b29566550b793523fc5ea08d9ddb908eb38d5cdbe15feffcb00f70d17</t>
        </is>
      </c>
    </row>
    <row r="288" ht="45" customHeight="1">
      <c r="A288" s="4" t="inlineStr">
        <is>
          <t>M12-L01</t>
        </is>
      </c>
      <c r="B288" s="4" t="inlineStr">
        <is>
          <t>M12</t>
        </is>
      </c>
      <c r="C288" s="4" t="inlineStr">
        <is>
          <t>Sources and References</t>
        </is>
      </c>
      <c r="D288" s="4" t="inlineStr">
        <is>
          <t>Official Website</t>
        </is>
      </c>
      <c r="E288" s="5" t="inlineStr">
        <is>
          <t>Open source</t>
        </is>
      </c>
      <c r="F288" s="4" t="inlineStr">
        <is>
          <t>.scheme.schemeContent.references[0]</t>
        </is>
      </c>
      <c r="G288" s="4" t="inlineStr">
        <is>
          <t>Listed by myScheme; destination not independently opened</t>
        </is>
      </c>
      <c r="H288" s="4" t="inlineStr">
        <is>
          <t>As published</t>
        </is>
      </c>
      <c r="I288" s="4" t="inlineStr">
        <is>
          <t>Not established</t>
        </is>
      </c>
      <c r="J288" s="6" t="n">
        <v>46323</v>
      </c>
      <c r="K288" s="7" t="inlineStr">
        <is>
          <t>Review status: Approved</t>
        </is>
      </c>
      <c r="L288" s="4" t="inlineStr">
        <is>
          <t>https://sjsa.maharashtra.gov.in/en/ramai-awas-gharkul-scheme-sc-nav-buddha-urban-and-rural</t>
        </is>
      </c>
      <c r="M288" s="4" t="inlineStr"/>
    </row>
    <row r="289" ht="45" customHeight="1">
      <c r="A289" s="4" t="inlineStr">
        <is>
          <t>MS-M13</t>
        </is>
      </c>
      <c r="B289" s="4" t="inlineStr">
        <is>
          <t>M13</t>
        </is>
      </c>
      <c r="C289" s="4" t="inlineStr">
        <is>
          <t>Official scheme page</t>
        </is>
      </c>
      <c r="D289" s="4" t="inlineStr">
        <is>
          <t>Namo Shetkari Mahasanman Nidhi Yojana</t>
        </is>
      </c>
      <c r="E289" s="5" t="inlineStr">
        <is>
          <t>Open source</t>
        </is>
      </c>
      <c r="F289" s="4" t="inlineStr">
        <is>
          <t>myScheme scheme page</t>
        </is>
      </c>
      <c r="G289" s="4" t="inlineStr">
        <is>
          <t>Retrieved public myScheme content; policy currency not independently verified</t>
        </is>
      </c>
      <c r="H289" s="4" t="inlineStr">
        <is>
          <t>English</t>
        </is>
      </c>
      <c r="I289" s="4" t="inlineStr">
        <is>
          <t>Effective date not established</t>
        </is>
      </c>
      <c r="J289" s="6" t="n">
        <v>46323</v>
      </c>
      <c r="K289" s="7" t="inlineStr">
        <is>
          <t>Review status: Approved</t>
        </is>
      </c>
      <c r="L289" s="4" t="inlineStr">
        <is>
          <t>https://www.myscheme.gov.in/schemes/namo-shetkari-mahasanman-nidhi-yojana</t>
        </is>
      </c>
      <c r="M289" s="4" t="inlineStr">
        <is>
          <t>01fda9a00e27057144bb97f36fd12ef5cb76dc6894baf621c0208b173687962f</t>
        </is>
      </c>
    </row>
    <row r="290" ht="45" customHeight="1">
      <c r="A290" s="4" t="inlineStr">
        <is>
          <t>M13-L01</t>
        </is>
      </c>
      <c r="B290" s="4" t="inlineStr">
        <is>
          <t>M13</t>
        </is>
      </c>
      <c r="C290" s="4" t="inlineStr">
        <is>
          <t>Application / document link</t>
        </is>
      </c>
      <c r="D290" s="4" t="inlineStr">
        <is>
          <t>PMKISAN</t>
        </is>
      </c>
      <c r="E290" s="5" t="inlineStr">
        <is>
          <t>Open source</t>
        </is>
      </c>
      <c r="F290" s="4" t="inlineStr">
        <is>
          <t>.scheme.applicationProcess[0].process[0].children[1]</t>
        </is>
      </c>
      <c r="G290" s="4" t="inlineStr">
        <is>
          <t>Listed by myScheme; destination not independently opened</t>
        </is>
      </c>
      <c r="H290" s="4" t="inlineStr">
        <is>
          <t>As published</t>
        </is>
      </c>
      <c r="I290" s="4" t="inlineStr">
        <is>
          <t>Not established</t>
        </is>
      </c>
      <c r="J290" s="6" t="n">
        <v>46323</v>
      </c>
      <c r="K290" s="7" t="inlineStr">
        <is>
          <t>Review status: Approved</t>
        </is>
      </c>
      <c r="L290" s="4" t="inlineStr">
        <is>
          <t>https://fw.pmkisan.gov.in/</t>
        </is>
      </c>
      <c r="M290" s="4" t="inlineStr"/>
    </row>
    <row r="291" ht="45" customHeight="1">
      <c r="A291" s="4" t="inlineStr">
        <is>
          <t>M13-L02</t>
        </is>
      </c>
      <c r="B291" s="4" t="inlineStr">
        <is>
          <t>M13</t>
        </is>
      </c>
      <c r="C291" s="4" t="inlineStr">
        <is>
          <t>Sources and References</t>
        </is>
      </c>
      <c r="D291" s="4" t="inlineStr">
        <is>
          <t>Guidelines</t>
        </is>
      </c>
      <c r="E291" s="5" t="inlineStr">
        <is>
          <t>Open source</t>
        </is>
      </c>
      <c r="F291" s="4" t="inlineStr">
        <is>
          <t>.scheme.schemeContent.references[0]</t>
        </is>
      </c>
      <c r="G291" s="4" t="inlineStr">
        <is>
          <t>Listed by myScheme; destination not independently opened</t>
        </is>
      </c>
      <c r="H291" s="4" t="inlineStr">
        <is>
          <t>As published</t>
        </is>
      </c>
      <c r="I291" s="4" t="inlineStr">
        <is>
          <t>Not established</t>
        </is>
      </c>
      <c r="J291" s="6" t="n">
        <v>46323</v>
      </c>
      <c r="K291" s="7" t="inlineStr">
        <is>
          <t>Review status: Approved</t>
        </is>
      </c>
      <c r="L291" s="4" t="inlineStr">
        <is>
          <t>https://fw.pmkisan.gov.in/Documents/RevisedPM-KISANOperationalGuidelines(English).pdf</t>
        </is>
      </c>
      <c r="M291" s="4" t="inlineStr"/>
    </row>
    <row r="292" ht="45" customHeight="1">
      <c r="A292" s="4" t="inlineStr">
        <is>
          <t>M13-L03</t>
        </is>
      </c>
      <c r="B292" s="4" t="inlineStr">
        <is>
          <t>M13</t>
        </is>
      </c>
      <c r="C292" s="4" t="inlineStr">
        <is>
          <t>Sources and References</t>
        </is>
      </c>
      <c r="D292" s="4" t="inlineStr">
        <is>
          <t>Online Link</t>
        </is>
      </c>
      <c r="E292" s="5" t="inlineStr">
        <is>
          <t>Open source</t>
        </is>
      </c>
      <c r="F292" s="4" t="inlineStr">
        <is>
          <t>.scheme.schemeContent.references[1]</t>
        </is>
      </c>
      <c r="G292" s="4" t="inlineStr">
        <is>
          <t>Listed by myScheme; destination not independently opened</t>
        </is>
      </c>
      <c r="H292" s="4" t="inlineStr">
        <is>
          <t>As published</t>
        </is>
      </c>
      <c r="I292" s="4" t="inlineStr">
        <is>
          <t>Not established</t>
        </is>
      </c>
      <c r="J292" s="6" t="n">
        <v>46323</v>
      </c>
      <c r="K292" s="7" t="inlineStr">
        <is>
          <t>Review status: Approved</t>
        </is>
      </c>
      <c r="L292" s="4" t="inlineStr">
        <is>
          <t>http://nsmny.mahait.org/</t>
        </is>
      </c>
      <c r="M292" s="4" t="inlineStr"/>
    </row>
    <row r="293" ht="45" customHeight="1">
      <c r="A293" s="4" t="inlineStr">
        <is>
          <t>MS-M14</t>
        </is>
      </c>
      <c r="B293" s="4" t="inlineStr">
        <is>
          <t>M14</t>
        </is>
      </c>
      <c r="C293" s="4" t="inlineStr">
        <is>
          <t>Official scheme page</t>
        </is>
      </c>
      <c r="D293" s="4" t="inlineStr">
        <is>
          <t>CHIEF MINISTER  EMPLOYMENT GENERATION  PROGRAMME (CMEGP)</t>
        </is>
      </c>
      <c r="E293" s="5" t="inlineStr">
        <is>
          <t>Open source</t>
        </is>
      </c>
      <c r="F293" s="4" t="inlineStr">
        <is>
          <t>myScheme scheme page</t>
        </is>
      </c>
      <c r="G293" s="4" t="inlineStr">
        <is>
          <t>Retrieved public myScheme content; policy currency not independently verified</t>
        </is>
      </c>
      <c r="H293" s="4" t="inlineStr">
        <is>
          <t>English</t>
        </is>
      </c>
      <c r="I293" s="4" t="inlineStr">
        <is>
          <t>Effective date not established</t>
        </is>
      </c>
      <c r="J293" s="6" t="n">
        <v>46323</v>
      </c>
      <c r="K293" s="7" t="inlineStr">
        <is>
          <t>Review status: Approved</t>
        </is>
      </c>
      <c r="L293" s="4" t="inlineStr">
        <is>
          <t>https://www.myscheme.gov.in/schemes/cmegp</t>
        </is>
      </c>
      <c r="M293" s="4" t="inlineStr">
        <is>
          <t>57cd7d5088f933007887211ca5f9c35aafc5255330af310d2277096410f61a8a</t>
        </is>
      </c>
    </row>
    <row r="294" ht="45" customHeight="1">
      <c r="A294" s="4" t="inlineStr">
        <is>
          <t>M14-L01</t>
        </is>
      </c>
      <c r="B294" s="4" t="inlineStr">
        <is>
          <t>M14</t>
        </is>
      </c>
      <c r="C294" s="4" t="inlineStr">
        <is>
          <t>Application / document link</t>
        </is>
      </c>
      <c r="D294" s="4" t="inlineStr">
        <is>
          <t>https://maha-cmegp.gov.in</t>
        </is>
      </c>
      <c r="E294" s="5" t="inlineStr">
        <is>
          <t>Open source</t>
        </is>
      </c>
      <c r="F294" s="4" t="inlineStr">
        <is>
          <t>.scheme.applicationProcess[0].process[0].children[0].children[1]</t>
        </is>
      </c>
      <c r="G294" s="4" t="inlineStr">
        <is>
          <t>Listed by myScheme; destination not independently opened</t>
        </is>
      </c>
      <c r="H294" s="4" t="inlineStr">
        <is>
          <t>As published</t>
        </is>
      </c>
      <c r="I294" s="4" t="inlineStr">
        <is>
          <t>Not established</t>
        </is>
      </c>
      <c r="J294" s="6" t="n">
        <v>46323</v>
      </c>
      <c r="K294" s="7" t="inlineStr">
        <is>
          <t>Review status: Approved</t>
        </is>
      </c>
      <c r="L294" s="4" t="inlineStr">
        <is>
          <t>https://maha-cmegp.gov.in</t>
        </is>
      </c>
      <c r="M294" s="4" t="inlineStr"/>
    </row>
    <row r="295" ht="45" customHeight="1">
      <c r="A295" s="4" t="inlineStr">
        <is>
          <t>MS-M15</t>
        </is>
      </c>
      <c r="B295" s="4" t="inlineStr">
        <is>
          <t>M15</t>
        </is>
      </c>
      <c r="C295" s="4" t="inlineStr">
        <is>
          <t>Official scheme page</t>
        </is>
      </c>
      <c r="D295" s="4" t="inlineStr">
        <is>
          <t>Nanaji Deshmukh Krishi Sanjivani Prakalp</t>
        </is>
      </c>
      <c r="E295" s="5" t="inlineStr">
        <is>
          <t>Open source</t>
        </is>
      </c>
      <c r="F295" s="4" t="inlineStr">
        <is>
          <t>myScheme scheme page</t>
        </is>
      </c>
      <c r="G295" s="4" t="inlineStr">
        <is>
          <t>Retrieved public myScheme content; policy currency not independently verified</t>
        </is>
      </c>
      <c r="H295" s="4" t="inlineStr">
        <is>
          <t>English</t>
        </is>
      </c>
      <c r="I295" s="4" t="inlineStr">
        <is>
          <t>Effective date not established</t>
        </is>
      </c>
      <c r="J295" s="6" t="n">
        <v>46323</v>
      </c>
      <c r="K295" s="7" t="inlineStr">
        <is>
          <t>Review status: Approved</t>
        </is>
      </c>
      <c r="L295" s="4" t="inlineStr">
        <is>
          <t>https://www.myscheme.gov.in/schemes/pocra</t>
        </is>
      </c>
      <c r="M295" s="4" t="inlineStr">
        <is>
          <t>58f8560799e48adca18a9d8bb9c4c91e00dc66c2bb55bb59af7e171bf5998543</t>
        </is>
      </c>
    </row>
    <row r="296" ht="45" customHeight="1">
      <c r="A296" s="4" t="inlineStr">
        <is>
          <t>M15-L01</t>
        </is>
      </c>
      <c r="B296" s="4" t="inlineStr">
        <is>
          <t>M15</t>
        </is>
      </c>
      <c r="C296" s="4" t="inlineStr">
        <is>
          <t>Application / document link</t>
        </is>
      </c>
      <c r="D296" s="4" t="inlineStr">
        <is>
          <t>https://dbt.mahapocra.gov.in</t>
        </is>
      </c>
      <c r="E296" s="5" t="inlineStr">
        <is>
          <t>Open source</t>
        </is>
      </c>
      <c r="F296" s="4" t="inlineStr">
        <is>
          <t>.scheme.applicationProcess[0].process[0].children[1]</t>
        </is>
      </c>
      <c r="G296" s="4" t="inlineStr">
        <is>
          <t>Listed by myScheme; destination not independently opened</t>
        </is>
      </c>
      <c r="H296" s="4" t="inlineStr">
        <is>
          <t>As published</t>
        </is>
      </c>
      <c r="I296" s="4" t="inlineStr">
        <is>
          <t>Not established</t>
        </is>
      </c>
      <c r="J296" s="6" t="n">
        <v>46323</v>
      </c>
      <c r="K296" s="7" t="inlineStr">
        <is>
          <t>Review status: Approved</t>
        </is>
      </c>
      <c r="L296" s="4" t="inlineStr">
        <is>
          <t>https://dbt.mahapocra.gov.in</t>
        </is>
      </c>
      <c r="M296" s="4" t="inlineStr"/>
    </row>
    <row r="297" ht="45" customHeight="1">
      <c r="A297" s="4" t="inlineStr">
        <is>
          <t>M15-L02</t>
        </is>
      </c>
      <c r="B297" s="4" t="inlineStr">
        <is>
          <t>M15</t>
        </is>
      </c>
      <c r="C297" s="4" t="inlineStr">
        <is>
          <t>Sources and References</t>
        </is>
      </c>
      <c r="D297" s="4" t="inlineStr">
        <is>
          <t>Online Application</t>
        </is>
      </c>
      <c r="E297" s="5" t="inlineStr">
        <is>
          <t>Open source</t>
        </is>
      </c>
      <c r="F297" s="4" t="inlineStr">
        <is>
          <t>.scheme.schemeContent.references[0]</t>
        </is>
      </c>
      <c r="G297" s="4" t="inlineStr">
        <is>
          <t>Listed by myScheme; destination not independently opened</t>
        </is>
      </c>
      <c r="H297" s="4" t="inlineStr">
        <is>
          <t>As published</t>
        </is>
      </c>
      <c r="I297" s="4" t="inlineStr">
        <is>
          <t>Not established</t>
        </is>
      </c>
      <c r="J297" s="6" t="n">
        <v>46323</v>
      </c>
      <c r="K297" s="7" t="inlineStr">
        <is>
          <t>Review status: Approved</t>
        </is>
      </c>
      <c r="L297" s="4" t="inlineStr">
        <is>
          <t>https://dbt.mahapocra.gov.in</t>
        </is>
      </c>
      <c r="M297" s="4" t="inlineStr"/>
    </row>
    <row r="298" ht="45" customHeight="1">
      <c r="A298" s="4" t="inlineStr">
        <is>
          <t>M15-L03</t>
        </is>
      </c>
      <c r="B298" s="4" t="inlineStr">
        <is>
          <t>M15</t>
        </is>
      </c>
      <c r="C298" s="4" t="inlineStr">
        <is>
          <t>Sources and References</t>
        </is>
      </c>
      <c r="D298" s="4" t="inlineStr">
        <is>
          <t>PoCRA</t>
        </is>
      </c>
      <c r="E298" s="5" t="inlineStr">
        <is>
          <t>Open source</t>
        </is>
      </c>
      <c r="F298" s="4" t="inlineStr">
        <is>
          <t>.scheme.schemeContent.references[1]</t>
        </is>
      </c>
      <c r="G298" s="4" t="inlineStr">
        <is>
          <t>Listed by myScheme; destination not independently opened</t>
        </is>
      </c>
      <c r="H298" s="4" t="inlineStr">
        <is>
          <t>As published</t>
        </is>
      </c>
      <c r="I298" s="4" t="inlineStr">
        <is>
          <t>Not established</t>
        </is>
      </c>
      <c r="J298" s="6" t="n">
        <v>46323</v>
      </c>
      <c r="K298" s="7" t="inlineStr">
        <is>
          <t>Review status: Approved</t>
        </is>
      </c>
      <c r="L298" s="4" t="inlineStr">
        <is>
          <t>https://mahapocra.gov.in/</t>
        </is>
      </c>
      <c r="M298" s="4" t="inlineStr"/>
    </row>
    <row r="299" ht="45" customHeight="1">
      <c r="A299" s="4" t="inlineStr">
        <is>
          <t>MS-M16</t>
        </is>
      </c>
      <c r="B299" s="4" t="inlineStr">
        <is>
          <t>M16</t>
        </is>
      </c>
      <c r="C299" s="4" t="inlineStr">
        <is>
          <t>Official scheme page</t>
        </is>
      </c>
      <c r="D299" s="4" t="inlineStr">
        <is>
          <t>Medical Assistance for the Treatment of Critical Illness</t>
        </is>
      </c>
      <c r="E299" s="5" t="inlineStr">
        <is>
          <t>Open source</t>
        </is>
      </c>
      <c r="F299" s="4" t="inlineStr">
        <is>
          <t>myScheme scheme page</t>
        </is>
      </c>
      <c r="G299" s="4" t="inlineStr">
        <is>
          <t>Retrieved public myScheme content; policy currency not independently verified</t>
        </is>
      </c>
      <c r="H299" s="4" t="inlineStr">
        <is>
          <t>English</t>
        </is>
      </c>
      <c r="I299" s="4" t="inlineStr">
        <is>
          <t>Effective date not established</t>
        </is>
      </c>
      <c r="J299" s="6" t="n">
        <v>46323</v>
      </c>
      <c r="K299" s="7" t="inlineStr">
        <is>
          <t>Review status: Approved</t>
        </is>
      </c>
      <c r="L299" s="4" t="inlineStr">
        <is>
          <t>https://www.myscheme.gov.in/schemes/matci</t>
        </is>
      </c>
      <c r="M299" s="4" t="inlineStr">
        <is>
          <t>bf3cf03f5be162eb16692207e2d5b054565bcafa26a4d308672b82cbda6072f2</t>
        </is>
      </c>
    </row>
    <row r="300" ht="45" customHeight="1">
      <c r="A300" s="4" t="inlineStr">
        <is>
          <t>M16-L01</t>
        </is>
      </c>
      <c r="B300" s="4" t="inlineStr">
        <is>
          <t>M16</t>
        </is>
      </c>
      <c r="C300" s="4" t="inlineStr">
        <is>
          <t>Application / document link</t>
        </is>
      </c>
      <c r="D300" s="4" t="inlineStr">
        <is>
          <t>application form</t>
        </is>
      </c>
      <c r="E300" s="5" t="inlineStr">
        <is>
          <t>Open source</t>
        </is>
      </c>
      <c r="F300" s="4" t="inlineStr">
        <is>
          <t>.scheme.applicationProcess[0].process[0].children[2]</t>
        </is>
      </c>
      <c r="G300" s="4" t="inlineStr">
        <is>
          <t>Listed by myScheme; destination not independently opened</t>
        </is>
      </c>
      <c r="H300" s="4" t="inlineStr">
        <is>
          <t>As published</t>
        </is>
      </c>
      <c r="I300" s="4" t="inlineStr">
        <is>
          <t>Not established</t>
        </is>
      </c>
      <c r="J300" s="6" t="n">
        <v>46323</v>
      </c>
      <c r="K300" s="7" t="inlineStr">
        <is>
          <t>Review status: Approved</t>
        </is>
      </c>
      <c r="L300" s="4" t="inlineStr">
        <is>
          <t>https://mahabocw.in/wp-content/uploads/2019/06/SCHEME_HEALTH_FORM-1.pdf</t>
        </is>
      </c>
      <c r="M300" s="4" t="inlineStr"/>
    </row>
    <row r="301" ht="45" customHeight="1">
      <c r="A301" s="4" t="inlineStr">
        <is>
          <t>M16-L02</t>
        </is>
      </c>
      <c r="B301" s="4" t="inlineStr">
        <is>
          <t>M16</t>
        </is>
      </c>
      <c r="C301" s="4" t="inlineStr">
        <is>
          <t>Sources and References</t>
        </is>
      </c>
      <c r="D301" s="4" t="inlineStr">
        <is>
          <t>Guidelines</t>
        </is>
      </c>
      <c r="E301" s="5" t="inlineStr">
        <is>
          <t>Open source</t>
        </is>
      </c>
      <c r="F301" s="4" t="inlineStr">
        <is>
          <t>.scheme.schemeContent.references[0]</t>
        </is>
      </c>
      <c r="G301" s="4" t="inlineStr">
        <is>
          <t>Listed by myScheme; destination not independently opened</t>
        </is>
      </c>
      <c r="H301" s="4" t="inlineStr">
        <is>
          <t>As published</t>
        </is>
      </c>
      <c r="I301" s="4" t="inlineStr">
        <is>
          <t>Not established</t>
        </is>
      </c>
      <c r="J301" s="6" t="n">
        <v>46323</v>
      </c>
      <c r="K301" s="7" t="inlineStr">
        <is>
          <t>Review status: Approved</t>
        </is>
      </c>
      <c r="L301" s="4" t="inlineStr">
        <is>
          <t>https://mahakamgar.maharashtra.gov.in/welfare-scheme-for-building-other-construction-workers.htm</t>
        </is>
      </c>
      <c r="M301" s="4" t="inlineStr"/>
    </row>
    <row r="302" ht="45" customHeight="1">
      <c r="A302" s="4" t="inlineStr">
        <is>
          <t>M16-L03</t>
        </is>
      </c>
      <c r="B302" s="4" t="inlineStr">
        <is>
          <t>M16</t>
        </is>
      </c>
      <c r="C302" s="4" t="inlineStr">
        <is>
          <t>Sources and References</t>
        </is>
      </c>
      <c r="D302" s="4" t="inlineStr">
        <is>
          <t>Official Website</t>
        </is>
      </c>
      <c r="E302" s="5" t="inlineStr">
        <is>
          <t>Open source</t>
        </is>
      </c>
      <c r="F302" s="4" t="inlineStr">
        <is>
          <t>.scheme.schemeContent.references[1]</t>
        </is>
      </c>
      <c r="G302" s="4" t="inlineStr">
        <is>
          <t>Listed by myScheme; destination not independently opened</t>
        </is>
      </c>
      <c r="H302" s="4" t="inlineStr">
        <is>
          <t>As published</t>
        </is>
      </c>
      <c r="I302" s="4" t="inlineStr">
        <is>
          <t>Not established</t>
        </is>
      </c>
      <c r="J302" s="6" t="n">
        <v>46323</v>
      </c>
      <c r="K302" s="7" t="inlineStr">
        <is>
          <t>Review status: Approved</t>
        </is>
      </c>
      <c r="L302" s="4" t="inlineStr">
        <is>
          <t>https://mahabocw.in/</t>
        </is>
      </c>
      <c r="M302" s="4" t="inlineStr"/>
    </row>
    <row r="303" ht="45" customHeight="1">
      <c r="A303" s="4" t="inlineStr">
        <is>
          <t>MS-M17</t>
        </is>
      </c>
      <c r="B303" s="4" t="inlineStr">
        <is>
          <t>M17</t>
        </is>
      </c>
      <c r="C303" s="4" t="inlineStr">
        <is>
          <t>Official scheme page</t>
        </is>
      </c>
      <c r="D303" s="4" t="inlineStr">
        <is>
          <t>Grant In Aid To Old Age Home</t>
        </is>
      </c>
      <c r="E303" s="5" t="inlineStr">
        <is>
          <t>Open source</t>
        </is>
      </c>
      <c r="F303" s="4" t="inlineStr">
        <is>
          <t>myScheme scheme page</t>
        </is>
      </c>
      <c r="G303" s="4" t="inlineStr">
        <is>
          <t>Retrieved public myScheme content; policy currency not independently verified</t>
        </is>
      </c>
      <c r="H303" s="4" t="inlineStr">
        <is>
          <t>English</t>
        </is>
      </c>
      <c r="I303" s="4" t="inlineStr">
        <is>
          <t>Effective date not established</t>
        </is>
      </c>
      <c r="J303" s="6" t="n">
        <v>46323</v>
      </c>
      <c r="K303" s="7" t="inlineStr">
        <is>
          <t>Review status: Approved</t>
        </is>
      </c>
      <c r="L303" s="4" t="inlineStr">
        <is>
          <t>https://www.myscheme.gov.in/schemes/gaoah</t>
        </is>
      </c>
      <c r="M303" s="4" t="inlineStr">
        <is>
          <t>cc52e2adfa345f72b805fcc5aeaafc4feaf4238f1757575c96bdca994701825c</t>
        </is>
      </c>
    </row>
    <row r="304" ht="45" customHeight="1">
      <c r="A304" s="4" t="inlineStr">
        <is>
          <t>M17-L01</t>
        </is>
      </c>
      <c r="B304" s="4" t="inlineStr">
        <is>
          <t>M17</t>
        </is>
      </c>
      <c r="C304" s="4" t="inlineStr">
        <is>
          <t>Application / document link</t>
        </is>
      </c>
      <c r="D304" s="4" t="inlineStr">
        <is>
          <t>District Social Welfare Office</t>
        </is>
      </c>
      <c r="E304" s="5" t="inlineStr">
        <is>
          <t>Open source</t>
        </is>
      </c>
      <c r="F304" s="4" t="inlineStr">
        <is>
          <t>.scheme.applicationProcess[0].process[0].children[2]</t>
        </is>
      </c>
      <c r="G304" s="4" t="inlineStr">
        <is>
          <t>Listed by myScheme; destination not independently opened</t>
        </is>
      </c>
      <c r="H304" s="4" t="inlineStr">
        <is>
          <t>As published</t>
        </is>
      </c>
      <c r="I304" s="4" t="inlineStr">
        <is>
          <t>Not established</t>
        </is>
      </c>
      <c r="J304" s="6" t="n">
        <v>46323</v>
      </c>
      <c r="K304" s="7" t="inlineStr">
        <is>
          <t>Review status: Approved</t>
        </is>
      </c>
      <c r="L304" s="4" t="inlineStr">
        <is>
          <t>https://sjsa.maharashtra.gov.in/en/contacts</t>
        </is>
      </c>
      <c r="M304" s="4" t="inlineStr"/>
    </row>
    <row r="305" ht="45" customHeight="1">
      <c r="A305" s="4" t="inlineStr">
        <is>
          <t>M17-L02</t>
        </is>
      </c>
      <c r="B305" s="4" t="inlineStr">
        <is>
          <t>M17</t>
        </is>
      </c>
      <c r="C305" s="4" t="inlineStr">
        <is>
          <t>Sources and References</t>
        </is>
      </c>
      <c r="D305" s="4" t="inlineStr">
        <is>
          <t>Guidelines</t>
        </is>
      </c>
      <c r="E305" s="5" t="inlineStr">
        <is>
          <t>Open source</t>
        </is>
      </c>
      <c r="F305" s="4" t="inlineStr">
        <is>
          <t>.scheme.schemeContent.references[0]</t>
        </is>
      </c>
      <c r="G305" s="4" t="inlineStr">
        <is>
          <t>Listed by myScheme; destination not independently opened</t>
        </is>
      </c>
      <c r="H305" s="4" t="inlineStr">
        <is>
          <t>As published</t>
        </is>
      </c>
      <c r="I305" s="4" t="inlineStr">
        <is>
          <t>Not established</t>
        </is>
      </c>
      <c r="J305" s="6" t="n">
        <v>46323</v>
      </c>
      <c r="K305" s="7" t="inlineStr">
        <is>
          <t>Review status: Approved</t>
        </is>
      </c>
      <c r="L305" s="4" t="inlineStr">
        <is>
          <t>https://sjsa.maharashtra.gov.in/en/scheme-category/disability-welfare</t>
        </is>
      </c>
      <c r="M305" s="4" t="inlineStr"/>
    </row>
    <row r="306" ht="45" customHeight="1">
      <c r="A306" s="4" t="inlineStr">
        <is>
          <t>MS-M18</t>
        </is>
      </c>
      <c r="B306" s="4" t="inlineStr">
        <is>
          <t>M18</t>
        </is>
      </c>
      <c r="C306" s="4" t="inlineStr">
        <is>
          <t>Official scheme page</t>
        </is>
      </c>
      <c r="D306" s="4" t="inlineStr">
        <is>
          <t>Training Of Motor Driving To VJNT, SBS &amp; OBC</t>
        </is>
      </c>
      <c r="E306" s="5" t="inlineStr">
        <is>
          <t>Open source</t>
        </is>
      </c>
      <c r="F306" s="4" t="inlineStr">
        <is>
          <t>myScheme scheme page</t>
        </is>
      </c>
      <c r="G306" s="4" t="inlineStr">
        <is>
          <t>Retrieved public myScheme content; policy currency not independently verified</t>
        </is>
      </c>
      <c r="H306" s="4" t="inlineStr">
        <is>
          <t>English</t>
        </is>
      </c>
      <c r="I306" s="4" t="inlineStr">
        <is>
          <t>Effective date not established</t>
        </is>
      </c>
      <c r="J306" s="6" t="n">
        <v>46323</v>
      </c>
      <c r="K306" s="7" t="inlineStr">
        <is>
          <t>Review status: Approved</t>
        </is>
      </c>
      <c r="L306" s="4" t="inlineStr">
        <is>
          <t>https://www.myscheme.gov.in/schemes/tmdvso</t>
        </is>
      </c>
      <c r="M306" s="4" t="inlineStr">
        <is>
          <t>ef817fa63e3ef56f93f17743381c1cd43ef482659e7469a256ace99f5762a609</t>
        </is>
      </c>
    </row>
    <row r="307" ht="45" customHeight="1">
      <c r="A307" s="4" t="inlineStr">
        <is>
          <t>M18-L01</t>
        </is>
      </c>
      <c r="B307" s="4" t="inlineStr">
        <is>
          <t>M18</t>
        </is>
      </c>
      <c r="C307" s="4" t="inlineStr">
        <is>
          <t>Application / document link</t>
        </is>
      </c>
      <c r="D307" s="4" t="inlineStr">
        <is>
          <t>Mahadbt Portal.</t>
        </is>
      </c>
      <c r="E307" s="5" t="inlineStr">
        <is>
          <t>Open source</t>
        </is>
      </c>
      <c r="F307" s="4" t="inlineStr">
        <is>
          <t>.scheme.applicationProcess[0].process[0].children[1]</t>
        </is>
      </c>
      <c r="G307" s="4" t="inlineStr">
        <is>
          <t>Listed by myScheme; destination not independently opened</t>
        </is>
      </c>
      <c r="H307" s="4" t="inlineStr">
        <is>
          <t>As published</t>
        </is>
      </c>
      <c r="I307" s="4" t="inlineStr">
        <is>
          <t>Not established</t>
        </is>
      </c>
      <c r="J307" s="6" t="n">
        <v>46323</v>
      </c>
      <c r="K307" s="7" t="inlineStr">
        <is>
          <t>Review status: Approved</t>
        </is>
      </c>
      <c r="L307" s="4" t="inlineStr">
        <is>
          <t>https://mahadbt.maharashtra.gov.in/</t>
        </is>
      </c>
      <c r="M307" s="4" t="inlineStr"/>
    </row>
    <row r="308" ht="45" customHeight="1">
      <c r="A308" s="4" t="inlineStr">
        <is>
          <t>M18-L02</t>
        </is>
      </c>
      <c r="B308" s="4" t="inlineStr">
        <is>
          <t>M18</t>
        </is>
      </c>
      <c r="C308" s="4" t="inlineStr">
        <is>
          <t>Application / document link</t>
        </is>
      </c>
      <c r="D308" s="4" t="inlineStr">
        <is>
          <t>New Applicant Registration</t>
        </is>
      </c>
      <c r="E308" s="5" t="inlineStr">
        <is>
          <t>Open source</t>
        </is>
      </c>
      <c r="F308" s="4" t="inlineStr">
        <is>
          <t>.scheme.applicationProcess[0].process[2].children[1]</t>
        </is>
      </c>
      <c r="G308" s="4" t="inlineStr">
        <is>
          <t>Listed by myScheme; destination not independently opened</t>
        </is>
      </c>
      <c r="H308" s="4" t="inlineStr">
        <is>
          <t>As published</t>
        </is>
      </c>
      <c r="I308" s="4" t="inlineStr">
        <is>
          <t>Not established</t>
        </is>
      </c>
      <c r="J308" s="6" t="n">
        <v>46323</v>
      </c>
      <c r="K308" s="7" t="inlineStr">
        <is>
          <t>Review status: Approved</t>
        </is>
      </c>
      <c r="L308" s="4" t="inlineStr">
        <is>
          <t>https://mahadbt.maharashtra.gov.in/RegistrationLogin/RegistrationLogin</t>
        </is>
      </c>
      <c r="M308" s="4" t="inlineStr"/>
    </row>
    <row r="309" ht="45" customHeight="1">
      <c r="A309" s="4" t="inlineStr">
        <is>
          <t>M18-L03</t>
        </is>
      </c>
      <c r="B309" s="4" t="inlineStr">
        <is>
          <t>M18</t>
        </is>
      </c>
      <c r="C309" s="4" t="inlineStr">
        <is>
          <t>Application / document link</t>
        </is>
      </c>
      <c r="D309" s="4" t="inlineStr">
        <is>
          <t>Source link</t>
        </is>
      </c>
      <c r="E309" s="5" t="inlineStr">
        <is>
          <t>Open source</t>
        </is>
      </c>
      <c r="F309" s="4" t="inlineStr">
        <is>
          <t>.scheme.applicationProcess[0]</t>
        </is>
      </c>
      <c r="G309" s="4" t="inlineStr">
        <is>
          <t>Listed by myScheme; destination not independently opened</t>
        </is>
      </c>
      <c r="H309" s="4" t="inlineStr">
        <is>
          <t>As published</t>
        </is>
      </c>
      <c r="I309" s="4" t="inlineStr">
        <is>
          <t>Not established</t>
        </is>
      </c>
      <c r="J309" s="6" t="n">
        <v>46323</v>
      </c>
      <c r="K309" s="7" t="inlineStr">
        <is>
          <t>Review status: Approved</t>
        </is>
      </c>
      <c r="L309" s="4" t="inlineStr">
        <is>
          <t>https://mahadbt.maharashtra.gov.in/</t>
        </is>
      </c>
      <c r="M309" s="4" t="inlineStr"/>
    </row>
    <row r="310" ht="45" customHeight="1">
      <c r="A310" s="4" t="inlineStr">
        <is>
          <t>M18-L04</t>
        </is>
      </c>
      <c r="B310" s="4" t="inlineStr">
        <is>
          <t>M18</t>
        </is>
      </c>
      <c r="C310" s="4" t="inlineStr">
        <is>
          <t>Sources and References</t>
        </is>
      </c>
      <c r="D310" s="4" t="inlineStr">
        <is>
          <t>Guideline</t>
        </is>
      </c>
      <c r="E310" s="5" t="inlineStr">
        <is>
          <t>Open source</t>
        </is>
      </c>
      <c r="F310" s="4" t="inlineStr">
        <is>
          <t>.scheme.schemeContent.references[0]</t>
        </is>
      </c>
      <c r="G310" s="4" t="inlineStr">
        <is>
          <t>Listed by myScheme; destination not independently opened</t>
        </is>
      </c>
      <c r="H310" s="4" t="inlineStr">
        <is>
          <t>As published</t>
        </is>
      </c>
      <c r="I310" s="4" t="inlineStr">
        <is>
          <t>Not established</t>
        </is>
      </c>
      <c r="J310" s="6" t="n">
        <v>46323</v>
      </c>
      <c r="K310" s="7" t="inlineStr">
        <is>
          <t>Review status: Approved</t>
        </is>
      </c>
      <c r="L310" s="4" t="inlineStr">
        <is>
          <t>https://sjsa.maharashtra.gov.in/sites/default/files/vjntscheme/eng/2-20.pdf</t>
        </is>
      </c>
      <c r="M310" s="4" t="inlineStr"/>
    </row>
    <row r="311" ht="45" customHeight="1">
      <c r="A311" s="4" t="inlineStr">
        <is>
          <t>MS-M19</t>
        </is>
      </c>
      <c r="B311" s="4" t="inlineStr">
        <is>
          <t>M19</t>
        </is>
      </c>
      <c r="C311" s="4" t="inlineStr">
        <is>
          <t>Official scheme page</t>
        </is>
      </c>
      <c r="D311" s="4" t="inlineStr">
        <is>
          <t>Mukhyamantri - Majhi Ladki Bahin Yojana</t>
        </is>
      </c>
      <c r="E311" s="5" t="inlineStr">
        <is>
          <t>Open source</t>
        </is>
      </c>
      <c r="F311" s="4" t="inlineStr">
        <is>
          <t>myScheme scheme page</t>
        </is>
      </c>
      <c r="G311" s="4" t="inlineStr">
        <is>
          <t>Retrieved public myScheme content; policy currency not independently verified</t>
        </is>
      </c>
      <c r="H311" s="4" t="inlineStr">
        <is>
          <t>English</t>
        </is>
      </c>
      <c r="I311" s="4" t="inlineStr">
        <is>
          <t>Effective date not established</t>
        </is>
      </c>
      <c r="J311" s="6" t="n">
        <v>46323</v>
      </c>
      <c r="K311" s="7" t="inlineStr">
        <is>
          <t>Review status: Approved</t>
        </is>
      </c>
      <c r="L311" s="4" t="inlineStr">
        <is>
          <t>https://www.myscheme.gov.in/schemes/mmlby</t>
        </is>
      </c>
      <c r="M311" s="4" t="inlineStr">
        <is>
          <t>8107d50158637d0592b95712f2d97275ff1447dfd399f775dc04c9284732a8d4</t>
        </is>
      </c>
    </row>
    <row r="312" ht="45" customHeight="1">
      <c r="A312" s="4" t="inlineStr">
        <is>
          <t>M19-L01</t>
        </is>
      </c>
      <c r="B312" s="4" t="inlineStr">
        <is>
          <t>M19</t>
        </is>
      </c>
      <c r="C312" s="4" t="inlineStr">
        <is>
          <t>Application / document link</t>
        </is>
      </c>
      <c r="D312" s="4" t="inlineStr">
        <is>
          <t>official website</t>
        </is>
      </c>
      <c r="E312" s="5" t="inlineStr">
        <is>
          <t>Open source</t>
        </is>
      </c>
      <c r="F312" s="4" t="inlineStr">
        <is>
          <t>.scheme.applicationProcess[0].process[1].children[2]</t>
        </is>
      </c>
      <c r="G312" s="4" t="inlineStr">
        <is>
          <t>Listed by myScheme; destination not independently opened</t>
        </is>
      </c>
      <c r="H312" s="4" t="inlineStr">
        <is>
          <t>As published</t>
        </is>
      </c>
      <c r="I312" s="4" t="inlineStr">
        <is>
          <t>Not established</t>
        </is>
      </c>
      <c r="J312" s="6" t="n">
        <v>46323</v>
      </c>
      <c r="K312" s="7" t="inlineStr">
        <is>
          <t>Review status: Approved</t>
        </is>
      </c>
      <c r="L312" s="4" t="inlineStr">
        <is>
          <t>https://ladakibahin.maharashtra.gov.in/</t>
        </is>
      </c>
      <c r="M312" s="4" t="inlineStr"/>
    </row>
    <row r="313" ht="92.48" customHeight="1">
      <c r="A313" s="4" t="inlineStr">
        <is>
          <t>M19-L02</t>
        </is>
      </c>
      <c r="B313" s="4" t="inlineStr">
        <is>
          <t>M19</t>
        </is>
      </c>
      <c r="C313" s="4" t="inlineStr">
        <is>
          <t>Sources and References</t>
        </is>
      </c>
      <c r="D313" s="4" t="inlineStr">
        <is>
          <t>Guidelines</t>
        </is>
      </c>
      <c r="E313" s="5" t="inlineStr">
        <is>
          <t>Open source</t>
        </is>
      </c>
      <c r="F313" s="4" t="inlineStr">
        <is>
          <t>.scheme.schemeContent.references[0]</t>
        </is>
      </c>
      <c r="G313" s="4" t="inlineStr">
        <is>
          <t>Listed by myScheme; destination not independently opened</t>
        </is>
      </c>
      <c r="H313" s="4" t="inlineStr">
        <is>
          <t>As published</t>
        </is>
      </c>
      <c r="I313" s="4" t="inlineStr">
        <is>
          <t>Not established</t>
        </is>
      </c>
      <c r="J313" s="6" t="n">
        <v>46323</v>
      </c>
      <c r="K313" s="7" t="inlineStr">
        <is>
          <t>Review status: Approved</t>
        </is>
      </c>
      <c r="L313" s="4" t="inlineStr">
        <is>
          <t>https://ladlibahinstorage.s3.ap-south-1.amazonaws.com/site-pdf/%E0%A4%AE%E0%A4%BE%E0%A4%B0%E0%A5%8D%E0%A4%97%E0%A4%A6%E0%A4%B0%E0%A5%8D%E0%A4%B6%E0%A4%95+%E0%A4%B8%E0%A5%82%E0%A4%9A%E0%A4%A8%E0%A4%BE+%E0%A4%A6%E0%A4%BF.%E0%A5%A8%E0%A5%AD.%E0%A5%A6%E0%A5%AD.%E0%A5%A8%E0%A5%AA.pdf#toolbar=0</t>
        </is>
      </c>
      <c r="M313" s="4" t="inlineStr"/>
    </row>
    <row r="314" ht="45" customHeight="1">
      <c r="A314" s="4" t="inlineStr">
        <is>
          <t>MS-M20</t>
        </is>
      </c>
      <c r="B314" s="4" t="inlineStr">
        <is>
          <t>M20</t>
        </is>
      </c>
      <c r="C314" s="4" t="inlineStr">
        <is>
          <t>Official scheme page</t>
        </is>
      </c>
      <c r="D314" s="4" t="inlineStr">
        <is>
          <t>Mahatma Jyotirao Phule Jan Arogya Yojana</t>
        </is>
      </c>
      <c r="E314" s="5" t="inlineStr">
        <is>
          <t>Open source</t>
        </is>
      </c>
      <c r="F314" s="4" t="inlineStr">
        <is>
          <t>myScheme scheme page</t>
        </is>
      </c>
      <c r="G314" s="4" t="inlineStr">
        <is>
          <t>Retrieved public myScheme content; policy currency not independently verified</t>
        </is>
      </c>
      <c r="H314" s="4" t="inlineStr">
        <is>
          <t>English</t>
        </is>
      </c>
      <c r="I314" s="4" t="inlineStr">
        <is>
          <t>Effective date not established</t>
        </is>
      </c>
      <c r="J314" s="6" t="n">
        <v>46323</v>
      </c>
      <c r="K314" s="7" t="inlineStr">
        <is>
          <t>Review status: Approved</t>
        </is>
      </c>
      <c r="L314" s="4" t="inlineStr">
        <is>
          <t>https://www.myscheme.gov.in/schemes/mjpjay</t>
        </is>
      </c>
      <c r="M314" s="4" t="inlineStr">
        <is>
          <t>dcae286f015dee340752ab8469bf1077279be9c348618004fc824be976d9d00e</t>
        </is>
      </c>
    </row>
    <row r="315" ht="66.23999999999999" customHeight="1">
      <c r="A315" s="4" t="inlineStr">
        <is>
          <t>M20-L01</t>
        </is>
      </c>
      <c r="B315" s="4" t="inlineStr">
        <is>
          <t>M20</t>
        </is>
      </c>
      <c r="C315" s="4" t="inlineStr">
        <is>
          <t>Application / document link</t>
        </is>
      </c>
      <c r="D315" s="4" t="inlineStr">
        <is>
          <t>login.</t>
        </is>
      </c>
      <c r="E315" s="5" t="inlineStr">
        <is>
          <t>Open source</t>
        </is>
      </c>
      <c r="F315" s="4" t="inlineStr">
        <is>
          <t>.scheme.applicationProcess[0].process[0].children[5].children[1].children[2]</t>
        </is>
      </c>
      <c r="G315" s="4" t="inlineStr">
        <is>
          <t>Listed by myScheme; destination not independently opened</t>
        </is>
      </c>
      <c r="H315" s="4" t="inlineStr">
        <is>
          <t>As published</t>
        </is>
      </c>
      <c r="I315" s="4" t="inlineStr">
        <is>
          <t>Not established</t>
        </is>
      </c>
      <c r="J315" s="6" t="n">
        <v>46323</v>
      </c>
      <c r="K315" s="7" t="inlineStr">
        <is>
          <t>Review status: Approved</t>
        </is>
      </c>
      <c r="L315" s="4" t="inlineStr">
        <is>
          <t>https://www.jeevandayee.gov.in/MJPJAY/FrontServlet?requestType=CommonRH&amp;actionVal=RightFrame&amp;page=undefined%3E%3E%3Cb%3EMJPJAY%20Login%3C/b%3E&amp;pageName=MJPJAY_Login&amp;mainMenu=MJPJAY_Login&amp;subMenu=MJPJAY_Login</t>
        </is>
      </c>
      <c r="M315" s="4" t="inlineStr"/>
    </row>
    <row r="316" ht="57.6" customHeight="1">
      <c r="A316" s="4" t="inlineStr">
        <is>
          <t>M20-L02</t>
        </is>
      </c>
      <c r="B316" s="4" t="inlineStr">
        <is>
          <t>M20</t>
        </is>
      </c>
      <c r="C316" s="4" t="inlineStr">
        <is>
          <t>Sources and References</t>
        </is>
      </c>
      <c r="D316" s="4" t="inlineStr">
        <is>
          <t>Official Website</t>
        </is>
      </c>
      <c r="E316" s="5" t="inlineStr">
        <is>
          <t>Open source</t>
        </is>
      </c>
      <c r="F316" s="4" t="inlineStr">
        <is>
          <t>.scheme.schemeContent.references[0]</t>
        </is>
      </c>
      <c r="G316" s="4" t="inlineStr">
        <is>
          <t>Listed by myScheme; destination not independently opened</t>
        </is>
      </c>
      <c r="H316" s="4" t="inlineStr">
        <is>
          <t>As published</t>
        </is>
      </c>
      <c r="I316" s="4" t="inlineStr">
        <is>
          <t>Not established</t>
        </is>
      </c>
      <c r="J316" s="6" t="n">
        <v>46323</v>
      </c>
      <c r="K316" s="7" t="inlineStr">
        <is>
          <t>Review status: Approved</t>
        </is>
      </c>
      <c r="L316" s="4" t="inlineStr">
        <is>
          <t>https://www.jeevandayee.gov.in/MJPJAY/FrontServlet?requestType=CommonRH&amp;actionVal=RightFrame&amp;page=undefined%3E%3E%3Cb%3EMJPJAY%3C/b%3E&amp;pageName=MJPJAY&amp;mainMenu=About&amp;subMenu=MJPJAY</t>
        </is>
      </c>
      <c r="M316" s="4" t="inlineStr"/>
    </row>
    <row r="317" ht="65.28" customHeight="1">
      <c r="A317" s="4" t="inlineStr">
        <is>
          <t>M20-L03</t>
        </is>
      </c>
      <c r="B317" s="4" t="inlineStr">
        <is>
          <t>M20</t>
        </is>
      </c>
      <c r="C317" s="4" t="inlineStr">
        <is>
          <t>Sources and References</t>
        </is>
      </c>
      <c r="D317" s="4" t="inlineStr">
        <is>
          <t>FAQs</t>
        </is>
      </c>
      <c r="E317" s="5" t="inlineStr">
        <is>
          <t>Open source</t>
        </is>
      </c>
      <c r="F317" s="4" t="inlineStr">
        <is>
          <t>.scheme.schemeContent.references[1]</t>
        </is>
      </c>
      <c r="G317" s="4" t="inlineStr">
        <is>
          <t>Listed by myScheme; destination not independently opened</t>
        </is>
      </c>
      <c r="H317" s="4" t="inlineStr">
        <is>
          <t>As published</t>
        </is>
      </c>
      <c r="I317" s="4" t="inlineStr">
        <is>
          <t>Not established</t>
        </is>
      </c>
      <c r="J317" s="6" t="n">
        <v>46323</v>
      </c>
      <c r="K317" s="7" t="inlineStr">
        <is>
          <t>Review status: Approved</t>
        </is>
      </c>
      <c r="L317" s="4" t="inlineStr">
        <is>
          <t>https://www.jeevandayee.gov.in/MJPJAY/FrontServlet?requestType=CommonRH&amp;actionVal=RightFrame&amp;page=undefined%3E%3E%3Cb%3EMJPJAY%20FAQs%3C/b%3E&amp;pageName=MJPJAY_FAQs&amp;mainMenu=MJPJAY_FAQs&amp;subMenu=MJPJAY_FAQs#</t>
        </is>
      </c>
      <c r="M317" s="4" t="inlineStr"/>
    </row>
    <row r="318" ht="45" customHeight="1">
      <c r="A318" s="4" t="inlineStr">
        <is>
          <t>MS-M21</t>
        </is>
      </c>
      <c r="B318" s="4" t="inlineStr">
        <is>
          <t>M21</t>
        </is>
      </c>
      <c r="C318" s="4" t="inlineStr">
        <is>
          <t>Official scheme page</t>
        </is>
      </c>
      <c r="D318" s="4" t="inlineStr">
        <is>
          <t>Mukhyamantri Yuva Karya Prashikshan Yojana</t>
        </is>
      </c>
      <c r="E318" s="5" t="inlineStr">
        <is>
          <t>Open source</t>
        </is>
      </c>
      <c r="F318" s="4" t="inlineStr">
        <is>
          <t>myScheme scheme page</t>
        </is>
      </c>
      <c r="G318" s="4" t="inlineStr">
        <is>
          <t>Retrieved public myScheme content; policy currency not independently verified</t>
        </is>
      </c>
      <c r="H318" s="4" t="inlineStr">
        <is>
          <t>English</t>
        </is>
      </c>
      <c r="I318" s="4" t="inlineStr">
        <is>
          <t>Effective date not established</t>
        </is>
      </c>
      <c r="J318" s="6" t="n">
        <v>46323</v>
      </c>
      <c r="K318" s="7" t="inlineStr">
        <is>
          <t>Review status: Approved</t>
        </is>
      </c>
      <c r="L318" s="4" t="inlineStr">
        <is>
          <t>https://www.myscheme.gov.in/schemes/mmykpy</t>
        </is>
      </c>
      <c r="M318" s="4" t="inlineStr">
        <is>
          <t>91a37a49997b382218b5d9f034e4a59455dfd7977fd77f17e1a7a67659bc76c9</t>
        </is>
      </c>
    </row>
    <row r="319" ht="45" customHeight="1">
      <c r="A319" s="4" t="inlineStr">
        <is>
          <t>M21-L01</t>
        </is>
      </c>
      <c r="B319" s="4" t="inlineStr">
        <is>
          <t>M21</t>
        </is>
      </c>
      <c r="C319" s="4" t="inlineStr">
        <is>
          <t>Application / document link</t>
        </is>
      </c>
      <c r="D319" s="4" t="inlineStr">
        <is>
          <t>CMYKPY website</t>
        </is>
      </c>
      <c r="E319" s="5" t="inlineStr">
        <is>
          <t>Open source</t>
        </is>
      </c>
      <c r="F319" s="4" t="inlineStr">
        <is>
          <t>.scheme.applicationProcess[0].process[1].children[0].children[1]</t>
        </is>
      </c>
      <c r="G319" s="4" t="inlineStr">
        <is>
          <t>Listed by myScheme; destination not independently opened</t>
        </is>
      </c>
      <c r="H319" s="4" t="inlineStr">
        <is>
          <t>As published</t>
        </is>
      </c>
      <c r="I319" s="4" t="inlineStr">
        <is>
          <t>Not established</t>
        </is>
      </c>
      <c r="J319" s="6" t="n">
        <v>46323</v>
      </c>
      <c r="K319" s="7" t="inlineStr">
        <is>
          <t>Review status: Approved</t>
        </is>
      </c>
      <c r="L319" s="4" t="inlineStr">
        <is>
          <t>https://cmykpy.mahaswayam.gov.in/Index.aspx</t>
        </is>
      </c>
      <c r="M319" s="4" t="inlineStr"/>
    </row>
    <row r="320" ht="45" customHeight="1">
      <c r="A320" s="4" t="inlineStr">
        <is>
          <t>M21-L02</t>
        </is>
      </c>
      <c r="B320" s="4" t="inlineStr">
        <is>
          <t>M21</t>
        </is>
      </c>
      <c r="C320" s="4" t="inlineStr">
        <is>
          <t>Sources and References</t>
        </is>
      </c>
      <c r="D320" s="4" t="inlineStr">
        <is>
          <t>Guidelines</t>
        </is>
      </c>
      <c r="E320" s="5" t="inlineStr">
        <is>
          <t>Open source</t>
        </is>
      </c>
      <c r="F320" s="4" t="inlineStr">
        <is>
          <t>.scheme.schemeContent.references[0]</t>
        </is>
      </c>
      <c r="G320" s="4" t="inlineStr">
        <is>
          <t>Listed by myScheme; destination not independently opened</t>
        </is>
      </c>
      <c r="H320" s="4" t="inlineStr">
        <is>
          <t>As published</t>
        </is>
      </c>
      <c r="I320" s="4" t="inlineStr">
        <is>
          <t>Not established</t>
        </is>
      </c>
      <c r="J320" s="6" t="n">
        <v>46323</v>
      </c>
      <c r="K320" s="7" t="inlineStr">
        <is>
          <t>Review status: Approved</t>
        </is>
      </c>
      <c r="L320" s="4" t="inlineStr">
        <is>
          <t>https://cmykpy.mahaswayam.gov.in/DocMasters/PublicityDocuments/CMYKPY_Note.pdf</t>
        </is>
      </c>
      <c r="M320" s="4" t="inlineStr"/>
    </row>
    <row r="321" ht="45" customHeight="1">
      <c r="A321" s="4" t="inlineStr">
        <is>
          <t>M21-L03</t>
        </is>
      </c>
      <c r="B321" s="4" t="inlineStr">
        <is>
          <t>M21</t>
        </is>
      </c>
      <c r="C321" s="4" t="inlineStr">
        <is>
          <t>Sources and References</t>
        </is>
      </c>
      <c r="D321" s="4" t="inlineStr">
        <is>
          <t>Official Website</t>
        </is>
      </c>
      <c r="E321" s="5" t="inlineStr">
        <is>
          <t>Open source</t>
        </is>
      </c>
      <c r="F321" s="4" t="inlineStr">
        <is>
          <t>.scheme.schemeContent.references[1]</t>
        </is>
      </c>
      <c r="G321" s="4" t="inlineStr">
        <is>
          <t>Listed by myScheme; destination not independently opened</t>
        </is>
      </c>
      <c r="H321" s="4" t="inlineStr">
        <is>
          <t>As published</t>
        </is>
      </c>
      <c r="I321" s="4" t="inlineStr">
        <is>
          <t>Not established</t>
        </is>
      </c>
      <c r="J321" s="6" t="n">
        <v>46323</v>
      </c>
      <c r="K321" s="7" t="inlineStr">
        <is>
          <t>Review status: Approved</t>
        </is>
      </c>
      <c r="L321" s="4" t="inlineStr">
        <is>
          <t>https://cmykpy.mahaswayam.gov.in/Index.aspx</t>
        </is>
      </c>
      <c r="M321" s="4" t="inlineStr"/>
    </row>
    <row r="322" ht="40" customHeight="1"/>
    <row r="323" ht="40" customHeight="1"/>
    <row r="324" ht="40" customHeight="1"/>
    <row r="325" ht="40" customHeight="1"/>
    <row r="326" ht="40" customHeight="1"/>
    <row r="327" ht="40" customHeight="1"/>
    <row r="328" ht="40" customHeight="1"/>
    <row r="329" ht="40" customHeight="1"/>
    <row r="330" ht="40" customHeight="1"/>
    <row r="331" ht="40" customHeight="1"/>
    <row r="332" ht="40" customHeight="1"/>
    <row r="333" ht="40" customHeight="1"/>
    <row r="334" ht="40" customHeight="1"/>
    <row r="335" ht="40" customHeight="1"/>
    <row r="336" ht="40" customHeight="1"/>
    <row r="337" ht="40" customHeight="1"/>
    <row r="338" ht="40" customHeight="1"/>
    <row r="339" ht="40" customHeight="1"/>
    <row r="340" ht="40" customHeight="1"/>
    <row r="341" ht="40" customHeight="1"/>
    <row r="342" ht="40" customHeight="1"/>
    <row r="343" ht="40" customHeight="1"/>
    <row r="344" ht="40" customHeight="1"/>
    <row r="345" ht="40" customHeight="1"/>
    <row r="346" ht="40" customHeight="1"/>
    <row r="347" ht="40" customHeight="1"/>
    <row r="348" ht="40" customHeight="1"/>
    <row r="349" ht="40" customHeight="1"/>
    <row r="350" ht="40" customHeight="1"/>
    <row r="351" ht="40" customHeight="1"/>
    <row r="352" ht="40" customHeight="1"/>
    <row r="353" ht="40" customHeight="1"/>
    <row r="354" ht="40" customHeight="1"/>
    <row r="355" ht="40" customHeight="1"/>
    <row r="356" ht="40" customHeight="1"/>
    <row r="357" ht="40" customHeight="1"/>
    <row r="358" ht="40" customHeight="1"/>
    <row r="359" ht="40" customHeight="1"/>
    <row r="360" ht="40" customHeight="1"/>
    <row r="361" ht="40" customHeight="1"/>
    <row r="362" ht="40" customHeight="1"/>
    <row r="363" ht="40" customHeight="1"/>
    <row r="364" ht="40" customHeight="1"/>
    <row r="365" ht="40" customHeight="1"/>
    <row r="366" ht="40" customHeight="1"/>
    <row r="367" ht="40" customHeight="1"/>
    <row r="368" ht="40" customHeight="1"/>
    <row r="369" ht="40" customHeight="1"/>
    <row r="370" ht="40" customHeight="1"/>
    <row r="371" ht="40" customHeight="1"/>
    <row r="372" ht="40" customHeight="1"/>
    <row r="373" ht="40" customHeight="1"/>
    <row r="374" ht="40" customHeight="1"/>
    <row r="375" ht="40" customHeight="1"/>
    <row r="376" ht="40" customHeight="1"/>
    <row r="377" ht="40" customHeight="1"/>
    <row r="378" ht="40" customHeight="1"/>
    <row r="379" ht="40" customHeight="1"/>
    <row r="380" ht="40" customHeight="1"/>
    <row r="381" ht="40" customHeight="1"/>
    <row r="382" ht="40" customHeight="1"/>
    <row r="383" ht="40" customHeight="1"/>
    <row r="384" ht="40" customHeight="1"/>
    <row r="385" ht="40" customHeight="1"/>
    <row r="386" ht="40" customHeight="1"/>
    <row r="387" ht="40" customHeight="1"/>
    <row r="388" ht="40" customHeight="1"/>
    <row r="389" ht="40" customHeight="1"/>
    <row r="390" ht="68" customHeight="1"/>
    <row r="391" ht="40" customHeight="1"/>
    <row r="392" ht="40" customHeight="1"/>
    <row r="393" ht="40" customHeight="1"/>
    <row r="394" ht="54" customHeight="1"/>
    <row r="395" ht="54" customHeight="1"/>
    <row r="396" ht="54" customHeight="1"/>
    <row r="397" ht="40" customHeight="1"/>
    <row r="398" ht="40" customHeight="1"/>
    <row r="399" ht="40" customHeight="1"/>
    <row r="400" ht="40" customHeight="1"/>
    <row r="401" ht="40" customHeight="1"/>
  </sheetData>
  <autoFilter ref="A5:M321"/>
  <hyperlinks>
    <hyperlink xmlns:r="http://schemas.openxmlformats.org/officeDocument/2006/relationships" ref="E6"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 xmlns:r="http://schemas.openxmlformats.org/officeDocument/2006/relationships" ref="E22" r:id="rId17"/>
    <hyperlink xmlns:r="http://schemas.openxmlformats.org/officeDocument/2006/relationships" ref="E23" r:id="rId18"/>
    <hyperlink xmlns:r="http://schemas.openxmlformats.org/officeDocument/2006/relationships" ref="E24" r:id="rId19"/>
    <hyperlink xmlns:r="http://schemas.openxmlformats.org/officeDocument/2006/relationships" ref="E25" r:id="rId20"/>
    <hyperlink xmlns:r="http://schemas.openxmlformats.org/officeDocument/2006/relationships" ref="E26" r:id="rId21"/>
    <hyperlink xmlns:r="http://schemas.openxmlformats.org/officeDocument/2006/relationships" ref="E27" r:id="rId22"/>
    <hyperlink xmlns:r="http://schemas.openxmlformats.org/officeDocument/2006/relationships" ref="E28" r:id="rId23"/>
    <hyperlink xmlns:r="http://schemas.openxmlformats.org/officeDocument/2006/relationships" ref="E29" r:id="rId24"/>
    <hyperlink xmlns:r="http://schemas.openxmlformats.org/officeDocument/2006/relationships" ref="E30" r:id="rId25"/>
    <hyperlink xmlns:r="http://schemas.openxmlformats.org/officeDocument/2006/relationships" ref="E31" r:id="rId26"/>
    <hyperlink xmlns:r="http://schemas.openxmlformats.org/officeDocument/2006/relationships" ref="E32" r:id="rId27"/>
    <hyperlink xmlns:r="http://schemas.openxmlformats.org/officeDocument/2006/relationships" ref="E33" r:id="rId28"/>
    <hyperlink xmlns:r="http://schemas.openxmlformats.org/officeDocument/2006/relationships" ref="E34" r:id="rId29"/>
    <hyperlink xmlns:r="http://schemas.openxmlformats.org/officeDocument/2006/relationships" ref="E35" r:id="rId30"/>
    <hyperlink xmlns:r="http://schemas.openxmlformats.org/officeDocument/2006/relationships" ref="E36" r:id="rId31"/>
    <hyperlink xmlns:r="http://schemas.openxmlformats.org/officeDocument/2006/relationships" ref="E37" r:id="rId32"/>
    <hyperlink xmlns:r="http://schemas.openxmlformats.org/officeDocument/2006/relationships" ref="E38" r:id="rId33"/>
    <hyperlink xmlns:r="http://schemas.openxmlformats.org/officeDocument/2006/relationships" ref="E39" r:id="rId34"/>
    <hyperlink xmlns:r="http://schemas.openxmlformats.org/officeDocument/2006/relationships" ref="E40" r:id="rId35"/>
    <hyperlink xmlns:r="http://schemas.openxmlformats.org/officeDocument/2006/relationships" ref="E41" r:id="rId36"/>
    <hyperlink xmlns:r="http://schemas.openxmlformats.org/officeDocument/2006/relationships" ref="E42" r:id="rId37"/>
    <hyperlink xmlns:r="http://schemas.openxmlformats.org/officeDocument/2006/relationships" ref="E43" r:id="rId38"/>
    <hyperlink xmlns:r="http://schemas.openxmlformats.org/officeDocument/2006/relationships" ref="E44" r:id="rId39"/>
    <hyperlink xmlns:r="http://schemas.openxmlformats.org/officeDocument/2006/relationships" ref="E45" r:id="rId40"/>
    <hyperlink xmlns:r="http://schemas.openxmlformats.org/officeDocument/2006/relationships" ref="E46" r:id="rId41"/>
    <hyperlink xmlns:r="http://schemas.openxmlformats.org/officeDocument/2006/relationships" ref="E47" r:id="rId42"/>
    <hyperlink xmlns:r="http://schemas.openxmlformats.org/officeDocument/2006/relationships" ref="E48" r:id="rId43"/>
    <hyperlink xmlns:r="http://schemas.openxmlformats.org/officeDocument/2006/relationships" ref="E49" r:id="rId44"/>
    <hyperlink xmlns:r="http://schemas.openxmlformats.org/officeDocument/2006/relationships" ref="E50" r:id="rId45"/>
    <hyperlink xmlns:r="http://schemas.openxmlformats.org/officeDocument/2006/relationships" ref="E51" r:id="rId46"/>
    <hyperlink xmlns:r="http://schemas.openxmlformats.org/officeDocument/2006/relationships" ref="E52" r:id="rId47"/>
    <hyperlink xmlns:r="http://schemas.openxmlformats.org/officeDocument/2006/relationships" ref="E53" r:id="rId48"/>
    <hyperlink xmlns:r="http://schemas.openxmlformats.org/officeDocument/2006/relationships" ref="E54" r:id="rId49"/>
    <hyperlink xmlns:r="http://schemas.openxmlformats.org/officeDocument/2006/relationships" ref="E55" r:id="rId50"/>
    <hyperlink xmlns:r="http://schemas.openxmlformats.org/officeDocument/2006/relationships" ref="E56" r:id="rId51"/>
    <hyperlink xmlns:r="http://schemas.openxmlformats.org/officeDocument/2006/relationships" ref="E57" r:id="rId52"/>
    <hyperlink xmlns:r="http://schemas.openxmlformats.org/officeDocument/2006/relationships" ref="E58" r:id="rId53"/>
    <hyperlink xmlns:r="http://schemas.openxmlformats.org/officeDocument/2006/relationships" ref="E59" r:id="rId54"/>
    <hyperlink xmlns:r="http://schemas.openxmlformats.org/officeDocument/2006/relationships" ref="E60" r:id="rId55"/>
    <hyperlink xmlns:r="http://schemas.openxmlformats.org/officeDocument/2006/relationships" ref="E61" r:id="rId56"/>
    <hyperlink xmlns:r="http://schemas.openxmlformats.org/officeDocument/2006/relationships" ref="E62" r:id="rId57"/>
    <hyperlink xmlns:r="http://schemas.openxmlformats.org/officeDocument/2006/relationships" ref="E63" r:id="rId58"/>
    <hyperlink xmlns:r="http://schemas.openxmlformats.org/officeDocument/2006/relationships" ref="E64" r:id="rId59"/>
    <hyperlink xmlns:r="http://schemas.openxmlformats.org/officeDocument/2006/relationships" ref="E65" r:id="rId60"/>
    <hyperlink xmlns:r="http://schemas.openxmlformats.org/officeDocument/2006/relationships" ref="E66" r:id="rId61"/>
    <hyperlink xmlns:r="http://schemas.openxmlformats.org/officeDocument/2006/relationships" ref="E67" r:id="rId62"/>
    <hyperlink xmlns:r="http://schemas.openxmlformats.org/officeDocument/2006/relationships" ref="E68" r:id="rId63"/>
    <hyperlink xmlns:r="http://schemas.openxmlformats.org/officeDocument/2006/relationships" ref="E69" r:id="rId64"/>
    <hyperlink xmlns:r="http://schemas.openxmlformats.org/officeDocument/2006/relationships" ref="E70" r:id="rId65"/>
    <hyperlink xmlns:r="http://schemas.openxmlformats.org/officeDocument/2006/relationships" ref="E71" r:id="rId66"/>
    <hyperlink xmlns:r="http://schemas.openxmlformats.org/officeDocument/2006/relationships" ref="E72" r:id="rId67"/>
    <hyperlink xmlns:r="http://schemas.openxmlformats.org/officeDocument/2006/relationships" ref="E73" r:id="rId68"/>
    <hyperlink xmlns:r="http://schemas.openxmlformats.org/officeDocument/2006/relationships" ref="E74" r:id="rId69"/>
    <hyperlink xmlns:r="http://schemas.openxmlformats.org/officeDocument/2006/relationships" ref="E75" r:id="rId70"/>
    <hyperlink xmlns:r="http://schemas.openxmlformats.org/officeDocument/2006/relationships" ref="E85" r:id="rId71"/>
    <hyperlink xmlns:r="http://schemas.openxmlformats.org/officeDocument/2006/relationships" ref="E86" r:id="rId72"/>
    <hyperlink xmlns:r="http://schemas.openxmlformats.org/officeDocument/2006/relationships" ref="E87" r:id="rId73"/>
    <hyperlink xmlns:r="http://schemas.openxmlformats.org/officeDocument/2006/relationships" ref="E88" r:id="rId74"/>
    <hyperlink xmlns:r="http://schemas.openxmlformats.org/officeDocument/2006/relationships" ref="E89" r:id="rId75"/>
    <hyperlink xmlns:r="http://schemas.openxmlformats.org/officeDocument/2006/relationships" ref="E90" r:id="rId76"/>
    <hyperlink xmlns:r="http://schemas.openxmlformats.org/officeDocument/2006/relationships" ref="E91" r:id="rId77"/>
    <hyperlink xmlns:r="http://schemas.openxmlformats.org/officeDocument/2006/relationships" ref="E92" r:id="rId78"/>
    <hyperlink xmlns:r="http://schemas.openxmlformats.org/officeDocument/2006/relationships" ref="E93" r:id="rId79"/>
    <hyperlink xmlns:r="http://schemas.openxmlformats.org/officeDocument/2006/relationships" ref="E94" r:id="rId80"/>
    <hyperlink xmlns:r="http://schemas.openxmlformats.org/officeDocument/2006/relationships" ref="E95" r:id="rId81"/>
    <hyperlink xmlns:r="http://schemas.openxmlformats.org/officeDocument/2006/relationships" ref="E96" r:id="rId82"/>
    <hyperlink xmlns:r="http://schemas.openxmlformats.org/officeDocument/2006/relationships" ref="E97" r:id="rId83"/>
    <hyperlink xmlns:r="http://schemas.openxmlformats.org/officeDocument/2006/relationships" ref="E98" r:id="rId84"/>
    <hyperlink xmlns:r="http://schemas.openxmlformats.org/officeDocument/2006/relationships" ref="E99" r:id="rId85"/>
    <hyperlink xmlns:r="http://schemas.openxmlformats.org/officeDocument/2006/relationships" ref="E100" r:id="rId86"/>
    <hyperlink xmlns:r="http://schemas.openxmlformats.org/officeDocument/2006/relationships" ref="E101" r:id="rId87"/>
    <hyperlink xmlns:r="http://schemas.openxmlformats.org/officeDocument/2006/relationships" ref="E102" r:id="rId88"/>
    <hyperlink xmlns:r="http://schemas.openxmlformats.org/officeDocument/2006/relationships" ref="E103" r:id="rId89"/>
    <hyperlink xmlns:r="http://schemas.openxmlformats.org/officeDocument/2006/relationships" ref="E104" r:id="rId90"/>
    <hyperlink xmlns:r="http://schemas.openxmlformats.org/officeDocument/2006/relationships" ref="E105" r:id="rId91"/>
    <hyperlink xmlns:r="http://schemas.openxmlformats.org/officeDocument/2006/relationships" ref="E106" r:id="rId92"/>
    <hyperlink xmlns:r="http://schemas.openxmlformats.org/officeDocument/2006/relationships" ref="E107" r:id="rId93"/>
    <hyperlink xmlns:r="http://schemas.openxmlformats.org/officeDocument/2006/relationships" ref="E108" r:id="rId94"/>
    <hyperlink xmlns:r="http://schemas.openxmlformats.org/officeDocument/2006/relationships" ref="E109" r:id="rId95"/>
    <hyperlink xmlns:r="http://schemas.openxmlformats.org/officeDocument/2006/relationships" ref="E110" r:id="rId96"/>
    <hyperlink xmlns:r="http://schemas.openxmlformats.org/officeDocument/2006/relationships" ref="E111" r:id="rId97"/>
    <hyperlink xmlns:r="http://schemas.openxmlformats.org/officeDocument/2006/relationships" ref="E112" r:id="rId98"/>
    <hyperlink xmlns:r="http://schemas.openxmlformats.org/officeDocument/2006/relationships" ref="E113" r:id="rId99"/>
    <hyperlink xmlns:r="http://schemas.openxmlformats.org/officeDocument/2006/relationships" ref="E114" r:id="rId100"/>
    <hyperlink xmlns:r="http://schemas.openxmlformats.org/officeDocument/2006/relationships" ref="E115" r:id="rId101"/>
    <hyperlink xmlns:r="http://schemas.openxmlformats.org/officeDocument/2006/relationships" ref="E116" r:id="rId102"/>
    <hyperlink xmlns:r="http://schemas.openxmlformats.org/officeDocument/2006/relationships" ref="E117" r:id="rId103"/>
    <hyperlink xmlns:r="http://schemas.openxmlformats.org/officeDocument/2006/relationships" ref="E118" r:id="rId104"/>
    <hyperlink xmlns:r="http://schemas.openxmlformats.org/officeDocument/2006/relationships" ref="E119" r:id="rId105"/>
    <hyperlink xmlns:r="http://schemas.openxmlformats.org/officeDocument/2006/relationships" ref="E120" r:id="rId106"/>
    <hyperlink xmlns:r="http://schemas.openxmlformats.org/officeDocument/2006/relationships" ref="E121" r:id="rId107"/>
    <hyperlink xmlns:r="http://schemas.openxmlformats.org/officeDocument/2006/relationships" ref="E122" r:id="rId108"/>
    <hyperlink xmlns:r="http://schemas.openxmlformats.org/officeDocument/2006/relationships" ref="E123" r:id="rId109"/>
    <hyperlink xmlns:r="http://schemas.openxmlformats.org/officeDocument/2006/relationships" ref="E124" r:id="rId110"/>
    <hyperlink xmlns:r="http://schemas.openxmlformats.org/officeDocument/2006/relationships" ref="E125" r:id="rId111"/>
    <hyperlink xmlns:r="http://schemas.openxmlformats.org/officeDocument/2006/relationships" ref="E126" r:id="rId112"/>
    <hyperlink xmlns:r="http://schemas.openxmlformats.org/officeDocument/2006/relationships" ref="E127" r:id="rId113"/>
    <hyperlink xmlns:r="http://schemas.openxmlformats.org/officeDocument/2006/relationships" ref="E128" r:id="rId114"/>
    <hyperlink xmlns:r="http://schemas.openxmlformats.org/officeDocument/2006/relationships" ref="E129" r:id="rId115"/>
    <hyperlink xmlns:r="http://schemas.openxmlformats.org/officeDocument/2006/relationships" ref="E130" r:id="rId116"/>
    <hyperlink xmlns:r="http://schemas.openxmlformats.org/officeDocument/2006/relationships" ref="E131" r:id="rId117"/>
    <hyperlink xmlns:r="http://schemas.openxmlformats.org/officeDocument/2006/relationships" ref="E132" r:id="rId118"/>
    <hyperlink xmlns:r="http://schemas.openxmlformats.org/officeDocument/2006/relationships" ref="E133" r:id="rId119"/>
    <hyperlink xmlns:r="http://schemas.openxmlformats.org/officeDocument/2006/relationships" ref="E134" r:id="rId120"/>
    <hyperlink xmlns:r="http://schemas.openxmlformats.org/officeDocument/2006/relationships" ref="E135" r:id="rId121"/>
    <hyperlink xmlns:r="http://schemas.openxmlformats.org/officeDocument/2006/relationships" ref="E136" r:id="rId122"/>
    <hyperlink xmlns:r="http://schemas.openxmlformats.org/officeDocument/2006/relationships" ref="E137" r:id="rId123"/>
    <hyperlink xmlns:r="http://schemas.openxmlformats.org/officeDocument/2006/relationships" ref="E138" r:id="rId124"/>
    <hyperlink xmlns:r="http://schemas.openxmlformats.org/officeDocument/2006/relationships" ref="E139" r:id="rId125"/>
    <hyperlink xmlns:r="http://schemas.openxmlformats.org/officeDocument/2006/relationships" ref="E140" r:id="rId126"/>
    <hyperlink xmlns:r="http://schemas.openxmlformats.org/officeDocument/2006/relationships" ref="E141" r:id="rId127"/>
    <hyperlink xmlns:r="http://schemas.openxmlformats.org/officeDocument/2006/relationships" ref="E142" r:id="rId128"/>
    <hyperlink xmlns:r="http://schemas.openxmlformats.org/officeDocument/2006/relationships" ref="E143" r:id="rId129"/>
    <hyperlink xmlns:r="http://schemas.openxmlformats.org/officeDocument/2006/relationships" ref="E144" r:id="rId130"/>
    <hyperlink xmlns:r="http://schemas.openxmlformats.org/officeDocument/2006/relationships" ref="E145" r:id="rId131"/>
    <hyperlink xmlns:r="http://schemas.openxmlformats.org/officeDocument/2006/relationships" ref="E146" r:id="rId132"/>
    <hyperlink xmlns:r="http://schemas.openxmlformats.org/officeDocument/2006/relationships" ref="E147" r:id="rId133"/>
    <hyperlink xmlns:r="http://schemas.openxmlformats.org/officeDocument/2006/relationships" ref="E148" r:id="rId134"/>
    <hyperlink xmlns:r="http://schemas.openxmlformats.org/officeDocument/2006/relationships" ref="E149" r:id="rId135"/>
    <hyperlink xmlns:r="http://schemas.openxmlformats.org/officeDocument/2006/relationships" ref="E150" r:id="rId136"/>
    <hyperlink xmlns:r="http://schemas.openxmlformats.org/officeDocument/2006/relationships" ref="E151" r:id="rId137"/>
    <hyperlink xmlns:r="http://schemas.openxmlformats.org/officeDocument/2006/relationships" ref="E152" r:id="rId138"/>
    <hyperlink xmlns:r="http://schemas.openxmlformats.org/officeDocument/2006/relationships" ref="E153" r:id="rId139"/>
    <hyperlink xmlns:r="http://schemas.openxmlformats.org/officeDocument/2006/relationships" ref="E154" r:id="rId140"/>
    <hyperlink xmlns:r="http://schemas.openxmlformats.org/officeDocument/2006/relationships" ref="E155" r:id="rId141"/>
    <hyperlink xmlns:r="http://schemas.openxmlformats.org/officeDocument/2006/relationships" ref="E156" r:id="rId142"/>
    <hyperlink xmlns:r="http://schemas.openxmlformats.org/officeDocument/2006/relationships" ref="E157" r:id="rId143"/>
    <hyperlink xmlns:r="http://schemas.openxmlformats.org/officeDocument/2006/relationships" ref="E158" r:id="rId144"/>
    <hyperlink xmlns:r="http://schemas.openxmlformats.org/officeDocument/2006/relationships" ref="E159" r:id="rId145"/>
    <hyperlink xmlns:r="http://schemas.openxmlformats.org/officeDocument/2006/relationships" ref="E160" r:id="rId146"/>
    <hyperlink xmlns:r="http://schemas.openxmlformats.org/officeDocument/2006/relationships" ref="E161" r:id="rId147"/>
    <hyperlink xmlns:r="http://schemas.openxmlformats.org/officeDocument/2006/relationships" ref="E162" r:id="rId148"/>
    <hyperlink xmlns:r="http://schemas.openxmlformats.org/officeDocument/2006/relationships" ref="E163" r:id="rId149"/>
    <hyperlink xmlns:r="http://schemas.openxmlformats.org/officeDocument/2006/relationships" ref="E164" r:id="rId150"/>
    <hyperlink xmlns:r="http://schemas.openxmlformats.org/officeDocument/2006/relationships" ref="E165" r:id="rId151"/>
    <hyperlink xmlns:r="http://schemas.openxmlformats.org/officeDocument/2006/relationships" ref="E166" r:id="rId152"/>
    <hyperlink xmlns:r="http://schemas.openxmlformats.org/officeDocument/2006/relationships" ref="E167" r:id="rId153"/>
    <hyperlink xmlns:r="http://schemas.openxmlformats.org/officeDocument/2006/relationships" ref="E168" r:id="rId154"/>
    <hyperlink xmlns:r="http://schemas.openxmlformats.org/officeDocument/2006/relationships" ref="E169" r:id="rId155"/>
    <hyperlink xmlns:r="http://schemas.openxmlformats.org/officeDocument/2006/relationships" ref="E170" r:id="rId156"/>
    <hyperlink xmlns:r="http://schemas.openxmlformats.org/officeDocument/2006/relationships" ref="E171" r:id="rId157"/>
    <hyperlink xmlns:r="http://schemas.openxmlformats.org/officeDocument/2006/relationships" ref="E172" r:id="rId158"/>
    <hyperlink xmlns:r="http://schemas.openxmlformats.org/officeDocument/2006/relationships" ref="E173" r:id="rId159"/>
    <hyperlink xmlns:r="http://schemas.openxmlformats.org/officeDocument/2006/relationships" ref="E174" r:id="rId160"/>
    <hyperlink xmlns:r="http://schemas.openxmlformats.org/officeDocument/2006/relationships" ref="E175" r:id="rId161"/>
    <hyperlink xmlns:r="http://schemas.openxmlformats.org/officeDocument/2006/relationships" ref="E176" r:id="rId162"/>
    <hyperlink xmlns:r="http://schemas.openxmlformats.org/officeDocument/2006/relationships" ref="E177" r:id="rId163"/>
    <hyperlink xmlns:r="http://schemas.openxmlformats.org/officeDocument/2006/relationships" ref="E178" r:id="rId164"/>
    <hyperlink xmlns:r="http://schemas.openxmlformats.org/officeDocument/2006/relationships" ref="E179" r:id="rId165"/>
    <hyperlink xmlns:r="http://schemas.openxmlformats.org/officeDocument/2006/relationships" ref="E180" r:id="rId166"/>
    <hyperlink xmlns:r="http://schemas.openxmlformats.org/officeDocument/2006/relationships" ref="E181" r:id="rId167"/>
    <hyperlink xmlns:r="http://schemas.openxmlformats.org/officeDocument/2006/relationships" ref="E182" r:id="rId168"/>
    <hyperlink xmlns:r="http://schemas.openxmlformats.org/officeDocument/2006/relationships" ref="E183" r:id="rId169"/>
    <hyperlink xmlns:r="http://schemas.openxmlformats.org/officeDocument/2006/relationships" ref="E184" r:id="rId170"/>
    <hyperlink xmlns:r="http://schemas.openxmlformats.org/officeDocument/2006/relationships" ref="E185" r:id="rId171"/>
    <hyperlink xmlns:r="http://schemas.openxmlformats.org/officeDocument/2006/relationships" ref="E186" r:id="rId172"/>
    <hyperlink xmlns:r="http://schemas.openxmlformats.org/officeDocument/2006/relationships" ref="E187" r:id="rId173"/>
    <hyperlink xmlns:r="http://schemas.openxmlformats.org/officeDocument/2006/relationships" ref="E188" r:id="rId174"/>
    <hyperlink xmlns:r="http://schemas.openxmlformats.org/officeDocument/2006/relationships" ref="E189" r:id="rId175"/>
    <hyperlink xmlns:r="http://schemas.openxmlformats.org/officeDocument/2006/relationships" ref="E190" r:id="rId176"/>
    <hyperlink xmlns:r="http://schemas.openxmlformats.org/officeDocument/2006/relationships" ref="E191" r:id="rId177"/>
    <hyperlink xmlns:r="http://schemas.openxmlformats.org/officeDocument/2006/relationships" ref="E192" r:id="rId178"/>
    <hyperlink xmlns:r="http://schemas.openxmlformats.org/officeDocument/2006/relationships" ref="E193" r:id="rId179"/>
    <hyperlink xmlns:r="http://schemas.openxmlformats.org/officeDocument/2006/relationships" ref="E194" r:id="rId180"/>
    <hyperlink xmlns:r="http://schemas.openxmlformats.org/officeDocument/2006/relationships" ref="E195" r:id="rId181"/>
    <hyperlink xmlns:r="http://schemas.openxmlformats.org/officeDocument/2006/relationships" ref="E196" r:id="rId182"/>
    <hyperlink xmlns:r="http://schemas.openxmlformats.org/officeDocument/2006/relationships" ref="E197" r:id="rId183"/>
    <hyperlink xmlns:r="http://schemas.openxmlformats.org/officeDocument/2006/relationships" ref="E198" r:id="rId184"/>
    <hyperlink xmlns:r="http://schemas.openxmlformats.org/officeDocument/2006/relationships" ref="E199" r:id="rId185"/>
    <hyperlink xmlns:r="http://schemas.openxmlformats.org/officeDocument/2006/relationships" ref="E200" r:id="rId186"/>
    <hyperlink xmlns:r="http://schemas.openxmlformats.org/officeDocument/2006/relationships" ref="E201" r:id="rId187"/>
    <hyperlink xmlns:r="http://schemas.openxmlformats.org/officeDocument/2006/relationships" ref="E202" r:id="rId188"/>
    <hyperlink xmlns:r="http://schemas.openxmlformats.org/officeDocument/2006/relationships" ref="E203" r:id="rId189"/>
    <hyperlink xmlns:r="http://schemas.openxmlformats.org/officeDocument/2006/relationships" ref="E204" r:id="rId190"/>
    <hyperlink xmlns:r="http://schemas.openxmlformats.org/officeDocument/2006/relationships" ref="E205" r:id="rId191"/>
    <hyperlink xmlns:r="http://schemas.openxmlformats.org/officeDocument/2006/relationships" ref="E206" r:id="rId192"/>
    <hyperlink xmlns:r="http://schemas.openxmlformats.org/officeDocument/2006/relationships" ref="E207" r:id="rId193"/>
    <hyperlink xmlns:r="http://schemas.openxmlformats.org/officeDocument/2006/relationships" ref="E208" r:id="rId194"/>
    <hyperlink xmlns:r="http://schemas.openxmlformats.org/officeDocument/2006/relationships" ref="E209" r:id="rId195"/>
    <hyperlink xmlns:r="http://schemas.openxmlformats.org/officeDocument/2006/relationships" ref="E210" r:id="rId196"/>
    <hyperlink xmlns:r="http://schemas.openxmlformats.org/officeDocument/2006/relationships" ref="E211" r:id="rId197"/>
    <hyperlink xmlns:r="http://schemas.openxmlformats.org/officeDocument/2006/relationships" ref="E212" r:id="rId198"/>
    <hyperlink xmlns:r="http://schemas.openxmlformats.org/officeDocument/2006/relationships" ref="E213" r:id="rId199"/>
    <hyperlink xmlns:r="http://schemas.openxmlformats.org/officeDocument/2006/relationships" ref="E214" r:id="rId200"/>
    <hyperlink xmlns:r="http://schemas.openxmlformats.org/officeDocument/2006/relationships" ref="E215" r:id="rId201"/>
    <hyperlink xmlns:r="http://schemas.openxmlformats.org/officeDocument/2006/relationships" ref="E216" r:id="rId202"/>
    <hyperlink xmlns:r="http://schemas.openxmlformats.org/officeDocument/2006/relationships" ref="E217" r:id="rId203"/>
    <hyperlink xmlns:r="http://schemas.openxmlformats.org/officeDocument/2006/relationships" ref="E218" r:id="rId204"/>
    <hyperlink xmlns:r="http://schemas.openxmlformats.org/officeDocument/2006/relationships" ref="E219" r:id="rId205"/>
    <hyperlink xmlns:r="http://schemas.openxmlformats.org/officeDocument/2006/relationships" ref="E220" r:id="rId206"/>
    <hyperlink xmlns:r="http://schemas.openxmlformats.org/officeDocument/2006/relationships" ref="E221" r:id="rId207"/>
    <hyperlink xmlns:r="http://schemas.openxmlformats.org/officeDocument/2006/relationships" ref="E222" r:id="rId208"/>
    <hyperlink xmlns:r="http://schemas.openxmlformats.org/officeDocument/2006/relationships" ref="E223" r:id="rId209"/>
    <hyperlink xmlns:r="http://schemas.openxmlformats.org/officeDocument/2006/relationships" ref="E224" r:id="rId210"/>
    <hyperlink xmlns:r="http://schemas.openxmlformats.org/officeDocument/2006/relationships" ref="E225" r:id="rId211"/>
    <hyperlink xmlns:r="http://schemas.openxmlformats.org/officeDocument/2006/relationships" ref="E226" r:id="rId212"/>
    <hyperlink xmlns:r="http://schemas.openxmlformats.org/officeDocument/2006/relationships" ref="E227" r:id="rId213"/>
    <hyperlink xmlns:r="http://schemas.openxmlformats.org/officeDocument/2006/relationships" ref="E228" r:id="rId214"/>
    <hyperlink xmlns:r="http://schemas.openxmlformats.org/officeDocument/2006/relationships" ref="E229" r:id="rId215"/>
    <hyperlink xmlns:r="http://schemas.openxmlformats.org/officeDocument/2006/relationships" ref="E230" r:id="rId216"/>
    <hyperlink xmlns:r="http://schemas.openxmlformats.org/officeDocument/2006/relationships" ref="E231" r:id="rId217"/>
    <hyperlink xmlns:r="http://schemas.openxmlformats.org/officeDocument/2006/relationships" ref="E232" r:id="rId218"/>
    <hyperlink xmlns:r="http://schemas.openxmlformats.org/officeDocument/2006/relationships" ref="E233" r:id="rId219"/>
    <hyperlink xmlns:r="http://schemas.openxmlformats.org/officeDocument/2006/relationships" ref="E234" r:id="rId220"/>
    <hyperlink xmlns:r="http://schemas.openxmlformats.org/officeDocument/2006/relationships" ref="E235" r:id="rId221"/>
    <hyperlink xmlns:r="http://schemas.openxmlformats.org/officeDocument/2006/relationships" ref="E236" r:id="rId222"/>
    <hyperlink xmlns:r="http://schemas.openxmlformats.org/officeDocument/2006/relationships" ref="E237" r:id="rId223"/>
    <hyperlink xmlns:r="http://schemas.openxmlformats.org/officeDocument/2006/relationships" ref="E238" r:id="rId224"/>
    <hyperlink xmlns:r="http://schemas.openxmlformats.org/officeDocument/2006/relationships" ref="E239" r:id="rId225"/>
    <hyperlink xmlns:r="http://schemas.openxmlformats.org/officeDocument/2006/relationships" ref="E240" r:id="rId226"/>
    <hyperlink xmlns:r="http://schemas.openxmlformats.org/officeDocument/2006/relationships" ref="E241" r:id="rId227"/>
    <hyperlink xmlns:r="http://schemas.openxmlformats.org/officeDocument/2006/relationships" ref="E242" r:id="rId228"/>
    <hyperlink xmlns:r="http://schemas.openxmlformats.org/officeDocument/2006/relationships" ref="E243" r:id="rId229"/>
    <hyperlink xmlns:r="http://schemas.openxmlformats.org/officeDocument/2006/relationships" ref="E244" r:id="rId230"/>
    <hyperlink xmlns:r="http://schemas.openxmlformats.org/officeDocument/2006/relationships" ref="E245" r:id="rId231"/>
    <hyperlink xmlns:r="http://schemas.openxmlformats.org/officeDocument/2006/relationships" ref="E246" r:id="rId232"/>
    <hyperlink xmlns:r="http://schemas.openxmlformats.org/officeDocument/2006/relationships" ref="E247" r:id="rId233"/>
    <hyperlink xmlns:r="http://schemas.openxmlformats.org/officeDocument/2006/relationships" ref="E248" r:id="rId234"/>
    <hyperlink xmlns:r="http://schemas.openxmlformats.org/officeDocument/2006/relationships" ref="E249" r:id="rId235"/>
    <hyperlink xmlns:r="http://schemas.openxmlformats.org/officeDocument/2006/relationships" ref="E250" r:id="rId236"/>
    <hyperlink xmlns:r="http://schemas.openxmlformats.org/officeDocument/2006/relationships" ref="E251" r:id="rId237"/>
    <hyperlink xmlns:r="http://schemas.openxmlformats.org/officeDocument/2006/relationships" ref="E252" r:id="rId238"/>
    <hyperlink xmlns:r="http://schemas.openxmlformats.org/officeDocument/2006/relationships" ref="E253" r:id="rId239"/>
    <hyperlink xmlns:r="http://schemas.openxmlformats.org/officeDocument/2006/relationships" ref="E254" r:id="rId240"/>
    <hyperlink xmlns:r="http://schemas.openxmlformats.org/officeDocument/2006/relationships" ref="E255" r:id="rId241"/>
    <hyperlink xmlns:r="http://schemas.openxmlformats.org/officeDocument/2006/relationships" ref="E256" r:id="rId242"/>
    <hyperlink xmlns:r="http://schemas.openxmlformats.org/officeDocument/2006/relationships" ref="E257" r:id="rId243"/>
    <hyperlink xmlns:r="http://schemas.openxmlformats.org/officeDocument/2006/relationships" ref="E258" r:id="rId244"/>
    <hyperlink xmlns:r="http://schemas.openxmlformats.org/officeDocument/2006/relationships" ref="E259" r:id="rId245"/>
    <hyperlink xmlns:r="http://schemas.openxmlformats.org/officeDocument/2006/relationships" ref="E260" r:id="rId246"/>
    <hyperlink xmlns:r="http://schemas.openxmlformats.org/officeDocument/2006/relationships" ref="E261" r:id="rId247"/>
    <hyperlink xmlns:r="http://schemas.openxmlformats.org/officeDocument/2006/relationships" ref="E262" r:id="rId248"/>
    <hyperlink xmlns:r="http://schemas.openxmlformats.org/officeDocument/2006/relationships" ref="E263" r:id="rId249"/>
    <hyperlink xmlns:r="http://schemas.openxmlformats.org/officeDocument/2006/relationships" ref="E264" r:id="rId250"/>
    <hyperlink xmlns:r="http://schemas.openxmlformats.org/officeDocument/2006/relationships" ref="E265" r:id="rId251"/>
    <hyperlink xmlns:r="http://schemas.openxmlformats.org/officeDocument/2006/relationships" ref="E266" r:id="rId252"/>
    <hyperlink xmlns:r="http://schemas.openxmlformats.org/officeDocument/2006/relationships" ref="E267" r:id="rId253"/>
    <hyperlink xmlns:r="http://schemas.openxmlformats.org/officeDocument/2006/relationships" ref="E268" r:id="rId254"/>
    <hyperlink xmlns:r="http://schemas.openxmlformats.org/officeDocument/2006/relationships" ref="E269" r:id="rId255"/>
    <hyperlink xmlns:r="http://schemas.openxmlformats.org/officeDocument/2006/relationships" ref="E270" r:id="rId256"/>
    <hyperlink xmlns:r="http://schemas.openxmlformats.org/officeDocument/2006/relationships" ref="E271" r:id="rId257"/>
    <hyperlink xmlns:r="http://schemas.openxmlformats.org/officeDocument/2006/relationships" ref="E272" r:id="rId258"/>
    <hyperlink xmlns:r="http://schemas.openxmlformats.org/officeDocument/2006/relationships" ref="E273" r:id="rId259"/>
    <hyperlink xmlns:r="http://schemas.openxmlformats.org/officeDocument/2006/relationships" ref="E274" r:id="rId260"/>
    <hyperlink xmlns:r="http://schemas.openxmlformats.org/officeDocument/2006/relationships" ref="E275" r:id="rId261"/>
    <hyperlink xmlns:r="http://schemas.openxmlformats.org/officeDocument/2006/relationships" ref="E276" r:id="rId262"/>
    <hyperlink xmlns:r="http://schemas.openxmlformats.org/officeDocument/2006/relationships" ref="E277" r:id="rId263"/>
    <hyperlink xmlns:r="http://schemas.openxmlformats.org/officeDocument/2006/relationships" ref="E278" r:id="rId264"/>
    <hyperlink xmlns:r="http://schemas.openxmlformats.org/officeDocument/2006/relationships" ref="E279" r:id="rId265"/>
    <hyperlink xmlns:r="http://schemas.openxmlformats.org/officeDocument/2006/relationships" ref="E280" r:id="rId266"/>
    <hyperlink xmlns:r="http://schemas.openxmlformats.org/officeDocument/2006/relationships" ref="E281" r:id="rId267"/>
    <hyperlink xmlns:r="http://schemas.openxmlformats.org/officeDocument/2006/relationships" ref="E282" r:id="rId268"/>
    <hyperlink xmlns:r="http://schemas.openxmlformats.org/officeDocument/2006/relationships" ref="E283" r:id="rId269"/>
    <hyperlink xmlns:r="http://schemas.openxmlformats.org/officeDocument/2006/relationships" ref="E284" r:id="rId270"/>
    <hyperlink xmlns:r="http://schemas.openxmlformats.org/officeDocument/2006/relationships" ref="E285" r:id="rId271"/>
    <hyperlink xmlns:r="http://schemas.openxmlformats.org/officeDocument/2006/relationships" ref="E286" r:id="rId272"/>
    <hyperlink xmlns:r="http://schemas.openxmlformats.org/officeDocument/2006/relationships" ref="E287" r:id="rId273"/>
    <hyperlink xmlns:r="http://schemas.openxmlformats.org/officeDocument/2006/relationships" ref="E288" r:id="rId274"/>
    <hyperlink xmlns:r="http://schemas.openxmlformats.org/officeDocument/2006/relationships" ref="E289" r:id="rId275"/>
    <hyperlink xmlns:r="http://schemas.openxmlformats.org/officeDocument/2006/relationships" ref="E290" r:id="rId276"/>
    <hyperlink xmlns:r="http://schemas.openxmlformats.org/officeDocument/2006/relationships" ref="E291" r:id="rId277"/>
    <hyperlink xmlns:r="http://schemas.openxmlformats.org/officeDocument/2006/relationships" ref="E292" r:id="rId278"/>
    <hyperlink xmlns:r="http://schemas.openxmlformats.org/officeDocument/2006/relationships" ref="E293" r:id="rId279"/>
    <hyperlink xmlns:r="http://schemas.openxmlformats.org/officeDocument/2006/relationships" ref="E294" r:id="rId280"/>
    <hyperlink xmlns:r="http://schemas.openxmlformats.org/officeDocument/2006/relationships" ref="E295" r:id="rId281"/>
    <hyperlink xmlns:r="http://schemas.openxmlformats.org/officeDocument/2006/relationships" ref="E296" r:id="rId282"/>
    <hyperlink xmlns:r="http://schemas.openxmlformats.org/officeDocument/2006/relationships" ref="E297" r:id="rId283"/>
    <hyperlink xmlns:r="http://schemas.openxmlformats.org/officeDocument/2006/relationships" ref="E298" r:id="rId284"/>
    <hyperlink xmlns:r="http://schemas.openxmlformats.org/officeDocument/2006/relationships" ref="E299" r:id="rId285"/>
    <hyperlink xmlns:r="http://schemas.openxmlformats.org/officeDocument/2006/relationships" ref="E300" r:id="rId286"/>
    <hyperlink xmlns:r="http://schemas.openxmlformats.org/officeDocument/2006/relationships" ref="E301" r:id="rId287"/>
    <hyperlink xmlns:r="http://schemas.openxmlformats.org/officeDocument/2006/relationships" ref="E302" r:id="rId288"/>
    <hyperlink xmlns:r="http://schemas.openxmlformats.org/officeDocument/2006/relationships" ref="E303" r:id="rId289"/>
    <hyperlink xmlns:r="http://schemas.openxmlformats.org/officeDocument/2006/relationships" ref="E304" r:id="rId290"/>
    <hyperlink xmlns:r="http://schemas.openxmlformats.org/officeDocument/2006/relationships" ref="E305" r:id="rId291"/>
    <hyperlink xmlns:r="http://schemas.openxmlformats.org/officeDocument/2006/relationships" ref="E306" r:id="rId292"/>
    <hyperlink xmlns:r="http://schemas.openxmlformats.org/officeDocument/2006/relationships" ref="E307" r:id="rId293"/>
    <hyperlink xmlns:r="http://schemas.openxmlformats.org/officeDocument/2006/relationships" ref="E308" r:id="rId294"/>
    <hyperlink xmlns:r="http://schemas.openxmlformats.org/officeDocument/2006/relationships" ref="E309" r:id="rId295"/>
    <hyperlink xmlns:r="http://schemas.openxmlformats.org/officeDocument/2006/relationships" ref="E310" r:id="rId296"/>
    <hyperlink xmlns:r="http://schemas.openxmlformats.org/officeDocument/2006/relationships" ref="E311" r:id="rId297"/>
    <hyperlink xmlns:r="http://schemas.openxmlformats.org/officeDocument/2006/relationships" ref="E312" r:id="rId298"/>
    <hyperlink xmlns:r="http://schemas.openxmlformats.org/officeDocument/2006/relationships" ref="E313" r:id="rId299"/>
    <hyperlink xmlns:r="http://schemas.openxmlformats.org/officeDocument/2006/relationships" ref="E314" r:id="rId300"/>
    <hyperlink xmlns:r="http://schemas.openxmlformats.org/officeDocument/2006/relationships" ref="E315" r:id="rId301"/>
    <hyperlink xmlns:r="http://schemas.openxmlformats.org/officeDocument/2006/relationships" ref="E316" r:id="rId302"/>
    <hyperlink xmlns:r="http://schemas.openxmlformats.org/officeDocument/2006/relationships" ref="E317" r:id="rId303"/>
    <hyperlink xmlns:r="http://schemas.openxmlformats.org/officeDocument/2006/relationships" ref="E318" r:id="rId304"/>
    <hyperlink xmlns:r="http://schemas.openxmlformats.org/officeDocument/2006/relationships" ref="E319" r:id="rId305"/>
    <hyperlink xmlns:r="http://schemas.openxmlformats.org/officeDocument/2006/relationships" ref="E320" r:id="rId306"/>
    <hyperlink xmlns:r="http://schemas.openxmlformats.org/officeDocument/2006/relationships" ref="E321" r:id="rId307"/>
  </hyperlinks>
  <pageMargins left="0.7" right="0.7" top="0.75" bottom="0.75" header="0.3" footer="0.3"/>
  <pageSetup orientation="landscape" paperSize="9" fitToHeight="0"/>
  <tableParts count="1">
    <tablePart xmlns:r="http://schemas.openxmlformats.org/officeDocument/2006/relationships" r:id="rId308"/>
  </tableParts>
</worksheet>
</file>

<file path=xl/worksheets/sheet4.xml><?xml version="1.0" encoding="utf-8"?>
<worksheet xmlns="http://schemas.openxmlformats.org/spreadsheetml/2006/main">
  <sheetPr>
    <outlinePr summaryBelow="1" summaryRight="1"/>
    <pageSetUpPr fitToPage="1"/>
  </sheetPr>
  <dimension ref="A2:N684"/>
  <sheetViews>
    <sheetView showGridLines="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3.7109375" customWidth="1" min="1" max="1"/>
    <col width="48.7109375" customWidth="1" min="2" max="2"/>
    <col width="23.7109375" customWidth="1" min="3" max="3"/>
    <col width="27.7109375" customWidth="1" min="4" max="4"/>
    <col width="60.7109375" customWidth="1" min="5" max="5"/>
    <col width="25.7109375" customWidth="1" min="6" max="6"/>
    <col width="100.7109375" customWidth="1" min="7" max="7"/>
    <col width="72.7109375" customWidth="1" min="8" max="8"/>
    <col width="50.7109375" customWidth="1" min="9" max="9"/>
    <col width="20.7109375" customWidth="1" min="10" max="11"/>
    <col width="22.7109375" customWidth="1" min="12" max="12"/>
    <col width="70.7109375" customWidth="1" min="13" max="13"/>
    <col width="65.7109375" customWidth="1" min="14" max="14"/>
  </cols>
  <sheetData>
    <row r="2" ht="28" customHeight="1">
      <c r="A2" s="1" t="inlineStr">
        <is>
          <t>Application routes and steps</t>
        </is>
      </c>
    </row>
    <row r="3" ht="22" customHeight="1">
      <c r="A3" s="2" t="inlineStr">
        <is>
          <t>Source order, application mode and phase labels retained. Do not treat every line as an applicant action.</t>
        </is>
      </c>
    </row>
    <row r="5" ht="45" customHeight="1">
      <c r="A5" s="3" t="inlineStr">
        <is>
          <t>Scheme ID</t>
        </is>
      </c>
      <c r="B5" s="3" t="inlineStr">
        <is>
          <t>Scheme</t>
        </is>
      </c>
      <c r="C5" s="3" t="inlineStr">
        <is>
          <t>Passage ID</t>
        </is>
      </c>
      <c r="D5" s="3" t="inlineStr">
        <is>
          <t>Source mode</t>
        </is>
      </c>
      <c r="E5" s="3" t="inlineStr">
        <is>
          <t>Source phase / heading</t>
        </is>
      </c>
      <c r="F5" s="3" t="inlineStr">
        <is>
          <t>Row type</t>
        </is>
      </c>
      <c r="G5" s="3" t="inlineStr">
        <is>
          <t>Step / process text</t>
        </is>
      </c>
      <c r="H5" s="3" t="inlineStr">
        <is>
          <t>Original source path</t>
        </is>
      </c>
      <c r="I5" s="3" t="inlineStr">
        <is>
          <t>Version ID</t>
        </is>
      </c>
      <c r="J5" s="3" t="inlineStr">
        <is>
          <t>Source ID</t>
        </is>
      </c>
      <c r="K5" s="3" t="inlineStr">
        <is>
          <t>Continuation part</t>
        </is>
      </c>
      <c r="L5" s="3" t="inlineStr">
        <is>
          <t>Review status</t>
        </is>
      </c>
      <c r="M5" s="3" t="inlineStr">
        <is>
          <t>Reviewer corrections</t>
        </is>
      </c>
      <c r="N5" s="3" t="inlineStr">
        <is>
          <t>Workflow modelling note</t>
        </is>
      </c>
    </row>
    <row r="6" ht="40" customHeight="1">
      <c r="A6" s="4" t="inlineStr">
        <is>
          <t>C01</t>
        </is>
      </c>
      <c r="B6" s="4" t="inlineStr">
        <is>
          <t>Pradhan Mantri Jeevan Jyoti Bima Yojana</t>
        </is>
      </c>
      <c r="C6" s="4" t="inlineStr">
        <is>
          <t>C01-P0007</t>
        </is>
      </c>
      <c r="D6" s="4" t="inlineStr">
        <is>
          <t>Offline</t>
        </is>
      </c>
      <c r="E6" s="4" t="inlineStr">
        <is>
          <t>Offline</t>
        </is>
      </c>
      <c r="F6" s="4" t="inlineStr">
        <is>
          <t>Heading / phase</t>
        </is>
      </c>
      <c r="G6" s="4" t="inlineStr">
        <is>
          <t>Offline</t>
        </is>
      </c>
      <c r="H6" s="4" t="inlineStr">
        <is>
          <t>en.applicationProcess[0].process[0]</t>
        </is>
      </c>
      <c r="I6" s="4" t="inlineStr">
        <is>
          <t>C01@20261028-6a583ea3</t>
        </is>
      </c>
      <c r="J6" s="4" t="inlineStr">
        <is>
          <t>MS-C01</t>
        </is>
      </c>
      <c r="K6" s="4" t="inlineStr">
        <is>
          <t>1/1</t>
        </is>
      </c>
      <c r="L6" s="7" t="inlineStr">
        <is>
          <t>Approved</t>
        </is>
      </c>
      <c r="M6" s="7" t="n"/>
      <c r="N6" s="4" t="inlineStr">
        <is>
          <t>Actor, branch and dependency need review.</t>
        </is>
      </c>
    </row>
    <row r="7" ht="54" customHeight="1">
      <c r="A7" s="8" t="inlineStr">
        <is>
          <t>C01</t>
        </is>
      </c>
      <c r="B7" s="8" t="inlineStr">
        <is>
          <t>Pradhan Mantri Jeevan Jyoti Bima Yojana</t>
        </is>
      </c>
      <c r="C7" s="8" t="inlineStr">
        <is>
          <t>C01-P0008</t>
        </is>
      </c>
      <c r="D7" s="8" t="inlineStr">
        <is>
          <t>Offline</t>
        </is>
      </c>
      <c r="E7" s="8" t="inlineStr">
        <is>
          <t>Offline</t>
        </is>
      </c>
      <c r="F7" s="8" t="inlineStr">
        <is>
          <t>Source step text</t>
        </is>
      </c>
      <c r="G7" s="8" t="inlineStr">
        <is>
          <t>Step 01: Download and take print of the “CONSENT-CUM-DECLARATION FORM” given in the link below: https://www.jansuraksha.gov.in/Files/PMJJBY/English/ApplicationForm.pdf#zoom=250</t>
        </is>
      </c>
      <c r="H7" s="8" t="inlineStr">
        <is>
          <t>en.applicationProcess[0].process[1].children[0]</t>
        </is>
      </c>
      <c r="I7" s="8" t="inlineStr">
        <is>
          <t>C01@20261028-6a583ea3</t>
        </is>
      </c>
      <c r="J7" s="8" t="inlineStr">
        <is>
          <t>MS-C01</t>
        </is>
      </c>
      <c r="K7" s="8" t="inlineStr">
        <is>
          <t>1/1</t>
        </is>
      </c>
      <c r="L7" s="7" t="inlineStr">
        <is>
          <t>Approved</t>
        </is>
      </c>
      <c r="M7" s="7" t="n"/>
      <c r="N7" s="8" t="inlineStr">
        <is>
          <t>Actor, branch and dependency need review.</t>
        </is>
      </c>
    </row>
    <row r="8" ht="68" customHeight="1">
      <c r="A8" s="4" t="inlineStr">
        <is>
          <t>C01</t>
        </is>
      </c>
      <c r="B8" s="4" t="inlineStr">
        <is>
          <t>Pradhan Mantri Jeevan Jyoti Bima Yojana</t>
        </is>
      </c>
      <c r="C8" s="4" t="inlineStr">
        <is>
          <t>C01-P0009</t>
        </is>
      </c>
      <c r="D8" s="4" t="inlineStr">
        <is>
          <t>Offline</t>
        </is>
      </c>
      <c r="E8" s="4" t="inlineStr">
        <is>
          <t>Offline</t>
        </is>
      </c>
      <c r="F8" s="4" t="inlineStr">
        <is>
          <t>Source step text</t>
        </is>
      </c>
      <c r="G8" s="4" t="inlineStr">
        <is>
          <t>Step 02: Duly fill and sign the application form, attach the self-attested copies of the required documents, and submit the case to the authorised official of Bank / Post Office. The official will return you the “ACKNOWLEDGEMENT SLIP CUM CERTIFICATE OF INSURANCE”.</t>
        </is>
      </c>
      <c r="H8" s="4" t="inlineStr">
        <is>
          <t>en.applicationProcess[0].process[2].children[0]</t>
        </is>
      </c>
      <c r="I8" s="4" t="inlineStr">
        <is>
          <t>C01@20261028-6a583ea3</t>
        </is>
      </c>
      <c r="J8" s="4" t="inlineStr">
        <is>
          <t>MS-C01</t>
        </is>
      </c>
      <c r="K8" s="4" t="inlineStr">
        <is>
          <t>1/1</t>
        </is>
      </c>
      <c r="L8" s="7" t="inlineStr">
        <is>
          <t>Approved</t>
        </is>
      </c>
      <c r="M8" s="7" t="n"/>
      <c r="N8" s="4" t="inlineStr">
        <is>
          <t>Actor, branch and dependency need review.</t>
        </is>
      </c>
    </row>
    <row r="9" ht="40" customHeight="1">
      <c r="A9" s="8" t="inlineStr">
        <is>
          <t>C01</t>
        </is>
      </c>
      <c r="B9" s="8" t="inlineStr">
        <is>
          <t>Pradhan Mantri Jeevan Jyoti Bima Yojana</t>
        </is>
      </c>
      <c r="C9" s="8" t="inlineStr">
        <is>
          <t>C01-P0010</t>
        </is>
      </c>
      <c r="D9" s="8" t="inlineStr">
        <is>
          <t>Online</t>
        </is>
      </c>
      <c r="E9" s="8" t="inlineStr"/>
      <c r="F9" s="8" t="inlineStr">
        <is>
          <t>Source step text</t>
        </is>
      </c>
      <c r="G9" s="8" t="inlineStr">
        <is>
          <t>One can also avail cover under PMJJBY online using their bank's Net banking facility.</t>
        </is>
      </c>
      <c r="H9" s="8" t="inlineStr">
        <is>
          <t>en.applicationProcess[1].process[0]</t>
        </is>
      </c>
      <c r="I9" s="8" t="inlineStr">
        <is>
          <t>C01@20261028-6a583ea3</t>
        </is>
      </c>
      <c r="J9" s="8" t="inlineStr">
        <is>
          <t>MS-C01</t>
        </is>
      </c>
      <c r="K9" s="8" t="inlineStr">
        <is>
          <t>1/1</t>
        </is>
      </c>
      <c r="L9" s="7" t="inlineStr">
        <is>
          <t>Approved</t>
        </is>
      </c>
      <c r="M9" s="7" t="n"/>
      <c r="N9" s="8" t="inlineStr">
        <is>
          <t>Actor, branch and dependency need review.</t>
        </is>
      </c>
    </row>
    <row r="10" ht="54" customHeight="1">
      <c r="A10" s="4" t="inlineStr">
        <is>
          <t>C02</t>
        </is>
      </c>
      <c r="B10" s="4" t="inlineStr">
        <is>
          <t>Pradhan Mantri Suraksha Bima Yojana</t>
        </is>
      </c>
      <c r="C10" s="4" t="inlineStr">
        <is>
          <t>C02-P0015</t>
        </is>
      </c>
      <c r="D10" s="4" t="inlineStr">
        <is>
          <t>Offline</t>
        </is>
      </c>
      <c r="E10" s="4" t="inlineStr"/>
      <c r="F10" s="4" t="inlineStr">
        <is>
          <t>Source step text</t>
        </is>
      </c>
      <c r="G10" s="4" t="inlineStr">
        <is>
          <t>Step 01: In order to enrol in PMSBY offline, one can visit the bank branch where one has a savings account or the candidate can visit the official site: https://jansuraksha.gov.in/Forms-PMSBY.aspx to download the form.</t>
        </is>
      </c>
      <c r="H10" s="4" t="inlineStr">
        <is>
          <t>en.applicationProcess[0].process[0].children[0]</t>
        </is>
      </c>
      <c r="I10" s="4" t="inlineStr">
        <is>
          <t>C02@20261028-35fcf7ad</t>
        </is>
      </c>
      <c r="J10" s="4" t="inlineStr">
        <is>
          <t>MS-C02</t>
        </is>
      </c>
      <c r="K10" s="4" t="inlineStr">
        <is>
          <t>1/1</t>
        </is>
      </c>
      <c r="L10" s="7" t="inlineStr">
        <is>
          <t>Approved</t>
        </is>
      </c>
      <c r="M10" s="7" t="n"/>
      <c r="N10" s="4" t="inlineStr">
        <is>
          <t>Actor, branch and dependency need review.</t>
        </is>
      </c>
    </row>
    <row r="11" ht="40" customHeight="1">
      <c r="A11" s="8" t="inlineStr">
        <is>
          <t>C02</t>
        </is>
      </c>
      <c r="B11" s="8" t="inlineStr">
        <is>
          <t>Pradhan Mantri Suraksha Bima Yojana</t>
        </is>
      </c>
      <c r="C11" s="8" t="inlineStr">
        <is>
          <t>C02-P0016</t>
        </is>
      </c>
      <c r="D11" s="8" t="inlineStr">
        <is>
          <t>Offline</t>
        </is>
      </c>
      <c r="E11" s="8" t="inlineStr"/>
      <c r="F11" s="8" t="inlineStr">
        <is>
          <t>Source step text</t>
        </is>
      </c>
      <c r="G11" s="8" t="inlineStr">
        <is>
          <t>Step 02: After downloading the application form , candidate can fill in all the details and submit  them to the bank along with the  required documents.</t>
        </is>
      </c>
      <c r="H11" s="8" t="inlineStr">
        <is>
          <t>en.applicationProcess[0].process[1]</t>
        </is>
      </c>
      <c r="I11" s="8" t="inlineStr">
        <is>
          <t>C02@20261028-35fcf7ad</t>
        </is>
      </c>
      <c r="J11" s="8" t="inlineStr">
        <is>
          <t>MS-C02</t>
        </is>
      </c>
      <c r="K11" s="8" t="inlineStr">
        <is>
          <t>1/1</t>
        </is>
      </c>
      <c r="L11" s="7" t="inlineStr">
        <is>
          <t>Approved</t>
        </is>
      </c>
      <c r="M11" s="7" t="n"/>
      <c r="N11" s="8" t="inlineStr">
        <is>
          <t>Actor, branch and dependency need review.</t>
        </is>
      </c>
    </row>
    <row r="12" ht="40" customHeight="1">
      <c r="A12" s="4" t="inlineStr">
        <is>
          <t>C02</t>
        </is>
      </c>
      <c r="B12" s="4" t="inlineStr">
        <is>
          <t>Pradhan Mantri Suraksha Bima Yojana</t>
        </is>
      </c>
      <c r="C12" s="4" t="inlineStr">
        <is>
          <t>C02-P0017</t>
        </is>
      </c>
      <c r="D12" s="4" t="inlineStr">
        <is>
          <t>Offline</t>
        </is>
      </c>
      <c r="E12" s="4" t="inlineStr"/>
      <c r="F12" s="4" t="inlineStr">
        <is>
          <t>Source step text</t>
        </is>
      </c>
      <c r="G12" s="4" t="inlineStr">
        <is>
          <t>Step 03: Once it is successfully submitted , subscriber will get an Acknowledgement Slip Cum Certificate of Insurance.</t>
        </is>
      </c>
      <c r="H12" s="4" t="inlineStr">
        <is>
          <t>en.applicationProcess[0].process[2]</t>
        </is>
      </c>
      <c r="I12" s="4" t="inlineStr">
        <is>
          <t>C02@20261028-35fcf7ad</t>
        </is>
      </c>
      <c r="J12" s="4" t="inlineStr">
        <is>
          <t>MS-C02</t>
        </is>
      </c>
      <c r="K12" s="4" t="inlineStr">
        <is>
          <t>1/1</t>
        </is>
      </c>
      <c r="L12" s="7" t="inlineStr">
        <is>
          <t>Approved</t>
        </is>
      </c>
      <c r="M12" s="7" t="n"/>
      <c r="N12" s="4" t="inlineStr">
        <is>
          <t>Actor, branch and dependency need review.</t>
        </is>
      </c>
    </row>
    <row r="13" ht="40" customHeight="1">
      <c r="A13" s="8" t="inlineStr">
        <is>
          <t>C02</t>
        </is>
      </c>
      <c r="B13" s="8" t="inlineStr">
        <is>
          <t>Pradhan Mantri Suraksha Bima Yojana</t>
        </is>
      </c>
      <c r="C13" s="8" t="inlineStr">
        <is>
          <t>C02-P0018</t>
        </is>
      </c>
      <c r="D13" s="8" t="inlineStr">
        <is>
          <t>Offline</t>
        </is>
      </c>
      <c r="E13" s="8" t="inlineStr"/>
      <c r="F13" s="8" t="inlineStr">
        <is>
          <t>Source step text</t>
        </is>
      </c>
      <c r="G13" s="8" t="inlineStr">
        <is>
          <t>Contact:</t>
        </is>
      </c>
      <c r="H13" s="8" t="inlineStr">
        <is>
          <t>en.applicationProcess[0].process[3]</t>
        </is>
      </c>
      <c r="I13" s="8" t="inlineStr">
        <is>
          <t>C02@20261028-35fcf7ad</t>
        </is>
      </c>
      <c r="J13" s="8" t="inlineStr">
        <is>
          <t>MS-C02</t>
        </is>
      </c>
      <c r="K13" s="8" t="inlineStr">
        <is>
          <t>1/1</t>
        </is>
      </c>
      <c r="L13" s="7" t="inlineStr">
        <is>
          <t>Approved</t>
        </is>
      </c>
      <c r="M13" s="7" t="n"/>
      <c r="N13" s="8" t="inlineStr">
        <is>
          <t>Actor, branch and dependency need review.</t>
        </is>
      </c>
    </row>
    <row r="14" ht="40" customHeight="1">
      <c r="A14" s="4" t="inlineStr">
        <is>
          <t>C02</t>
        </is>
      </c>
      <c r="B14" s="4" t="inlineStr">
        <is>
          <t>Pradhan Mantri Suraksha Bima Yojana</t>
        </is>
      </c>
      <c r="C14" s="4" t="inlineStr">
        <is>
          <t>C02-P0019</t>
        </is>
      </c>
      <c r="D14" s="4" t="inlineStr">
        <is>
          <t>Offline</t>
        </is>
      </c>
      <c r="E14" s="4" t="inlineStr"/>
      <c r="F14" s="4" t="inlineStr">
        <is>
          <t>Source step text</t>
        </is>
      </c>
      <c r="G14" s="4" t="inlineStr">
        <is>
          <t>State wise tollfree number - https://jansuraksha.gov.in/files/STATEWISETOLLFREE.pdf</t>
        </is>
      </c>
      <c r="H14" s="4" t="inlineStr">
        <is>
          <t>en.applicationProcess[0].process[4]</t>
        </is>
      </c>
      <c r="I14" s="4" t="inlineStr">
        <is>
          <t>C02@20261028-35fcf7ad</t>
        </is>
      </c>
      <c r="J14" s="4" t="inlineStr">
        <is>
          <t>MS-C02</t>
        </is>
      </c>
      <c r="K14" s="4" t="inlineStr">
        <is>
          <t>1/1</t>
        </is>
      </c>
      <c r="L14" s="7" t="inlineStr">
        <is>
          <t>Approved</t>
        </is>
      </c>
      <c r="M14" s="7" t="n"/>
      <c r="N14" s="4" t="inlineStr">
        <is>
          <t>Actor, branch and dependency need review.</t>
        </is>
      </c>
    </row>
    <row r="15" ht="40" customHeight="1">
      <c r="A15" s="8" t="inlineStr">
        <is>
          <t>C02</t>
        </is>
      </c>
      <c r="B15" s="8" t="inlineStr">
        <is>
          <t>Pradhan Mantri Suraksha Bima Yojana</t>
        </is>
      </c>
      <c r="C15" s="8" t="inlineStr">
        <is>
          <t>C02-P0020</t>
        </is>
      </c>
      <c r="D15" s="8" t="inlineStr">
        <is>
          <t>Offline</t>
        </is>
      </c>
      <c r="E15" s="8" t="inlineStr"/>
      <c r="F15" s="8" t="inlineStr">
        <is>
          <t>Source step text</t>
        </is>
      </c>
      <c r="G15" s="8" t="inlineStr">
        <is>
          <t>National Toll Free Number - 1800-180-1111 / 1800-110-001</t>
        </is>
      </c>
      <c r="H15" s="8" t="inlineStr">
        <is>
          <t>en.applicationProcess[0].process[5]</t>
        </is>
      </c>
      <c r="I15" s="8" t="inlineStr">
        <is>
          <t>C02@20261028-35fcf7ad</t>
        </is>
      </c>
      <c r="J15" s="8" t="inlineStr">
        <is>
          <t>MS-C02</t>
        </is>
      </c>
      <c r="K15" s="8" t="inlineStr">
        <is>
          <t>1/1</t>
        </is>
      </c>
      <c r="L15" s="7" t="inlineStr">
        <is>
          <t>Approved</t>
        </is>
      </c>
      <c r="M15" s="7" t="n"/>
      <c r="N15" s="8" t="inlineStr">
        <is>
          <t>Actor, branch and dependency need review.</t>
        </is>
      </c>
    </row>
    <row r="16" ht="40" customHeight="1">
      <c r="A16" s="4" t="inlineStr">
        <is>
          <t>C02</t>
        </is>
      </c>
      <c r="B16" s="4" t="inlineStr">
        <is>
          <t>Pradhan Mantri Suraksha Bima Yojana</t>
        </is>
      </c>
      <c r="C16" s="4" t="inlineStr">
        <is>
          <t>C02-P0021</t>
        </is>
      </c>
      <c r="D16" s="4" t="inlineStr">
        <is>
          <t>Online</t>
        </is>
      </c>
      <c r="E16" s="4" t="inlineStr"/>
      <c r="F16" s="4" t="inlineStr">
        <is>
          <t>Source step text</t>
        </is>
      </c>
      <c r="G16" s="4" t="inlineStr">
        <is>
          <t>One can also avail cover under PMSBY online using their bank's Net banking facility.</t>
        </is>
      </c>
      <c r="H16" s="4" t="inlineStr">
        <is>
          <t>en.applicationProcess[1].process[0]</t>
        </is>
      </c>
      <c r="I16" s="4" t="inlineStr">
        <is>
          <t>C02@20261028-35fcf7ad</t>
        </is>
      </c>
      <c r="J16" s="4" t="inlineStr">
        <is>
          <t>MS-C02</t>
        </is>
      </c>
      <c r="K16" s="4" t="inlineStr">
        <is>
          <t>1/1</t>
        </is>
      </c>
      <c r="L16" s="7" t="inlineStr">
        <is>
          <t>Approved</t>
        </is>
      </c>
      <c r="M16" s="7" t="n"/>
      <c r="N16" s="4" t="inlineStr">
        <is>
          <t>Actor, branch and dependency need review.</t>
        </is>
      </c>
    </row>
    <row r="17" ht="40" customHeight="1">
      <c r="A17" s="8" t="inlineStr">
        <is>
          <t>C03</t>
        </is>
      </c>
      <c r="B17" s="8" t="inlineStr">
        <is>
          <t>Pradhan Mantri Kisan Maandhan Yojana</t>
        </is>
      </c>
      <c r="C17" s="8" t="inlineStr">
        <is>
          <t>C03-P0033</t>
        </is>
      </c>
      <c r="D17" s="8" t="inlineStr">
        <is>
          <t>Online - via CSC</t>
        </is>
      </c>
      <c r="E17" s="8" t="inlineStr"/>
      <c r="F17" s="8" t="inlineStr">
        <is>
          <t>Source step text</t>
        </is>
      </c>
      <c r="G17" s="8" t="inlineStr">
        <is>
          <t>Step 1: The Eligible SMFs desirous of joining the scheme shall visit the nearest Common Service Centre (CSC).</t>
        </is>
      </c>
      <c r="H17" s="8" t="inlineStr">
        <is>
          <t>en.applicationProcess[0].process[0].children[0]</t>
        </is>
      </c>
      <c r="I17" s="8" t="inlineStr">
        <is>
          <t>C03@20261028-b25487a7</t>
        </is>
      </c>
      <c r="J17" s="8" t="inlineStr">
        <is>
          <t>MS-C03</t>
        </is>
      </c>
      <c r="K17" s="8" t="inlineStr">
        <is>
          <t>1/1</t>
        </is>
      </c>
      <c r="L17" s="7" t="inlineStr">
        <is>
          <t>Approved</t>
        </is>
      </c>
      <c r="M17" s="7" t="n"/>
      <c r="N17" s="8" t="inlineStr">
        <is>
          <t>Actor, branch and dependency need review.</t>
        </is>
      </c>
    </row>
    <row r="18" ht="40" customHeight="1">
      <c r="A18" s="4" t="inlineStr">
        <is>
          <t>C03</t>
        </is>
      </c>
      <c r="B18" s="4" t="inlineStr">
        <is>
          <t>Pradhan Mantri Kisan Maandhan Yojana</t>
        </is>
      </c>
      <c r="C18" s="4" t="inlineStr">
        <is>
          <t>C03-P0034</t>
        </is>
      </c>
      <c r="D18" s="4" t="inlineStr">
        <is>
          <t>Online - via CSC</t>
        </is>
      </c>
      <c r="E18" s="4" t="inlineStr"/>
      <c r="F18" s="4" t="inlineStr">
        <is>
          <t>Source step text</t>
        </is>
      </c>
      <c r="G18" s="4" t="inlineStr">
        <is>
          <t>Step 2: Following are the prerequisites for the enrolment process:</t>
        </is>
      </c>
      <c r="H18" s="4" t="inlineStr">
        <is>
          <t>en.applicationProcess[0].process[0].children[1]</t>
        </is>
      </c>
      <c r="I18" s="4" t="inlineStr">
        <is>
          <t>C03@20261028-b25487a7</t>
        </is>
      </c>
      <c r="J18" s="4" t="inlineStr">
        <is>
          <t>MS-C03</t>
        </is>
      </c>
      <c r="K18" s="4" t="inlineStr">
        <is>
          <t>1/1</t>
        </is>
      </c>
      <c r="L18" s="7" t="inlineStr">
        <is>
          <t>Approved</t>
        </is>
      </c>
      <c r="M18" s="7" t="n"/>
      <c r="N18" s="4" t="inlineStr">
        <is>
          <t>Actor, branch and dependency need review.</t>
        </is>
      </c>
    </row>
    <row r="19" ht="40" customHeight="1">
      <c r="A19" s="8" t="inlineStr">
        <is>
          <t>C03</t>
        </is>
      </c>
      <c r="B19" s="8" t="inlineStr">
        <is>
          <t>Pradhan Mantri Kisan Maandhan Yojana</t>
        </is>
      </c>
      <c r="C19" s="8" t="inlineStr">
        <is>
          <t>C03-P0035</t>
        </is>
      </c>
      <c r="D19" s="8" t="inlineStr">
        <is>
          <t>Online - via CSC</t>
        </is>
      </c>
      <c r="E19" s="8" t="inlineStr"/>
      <c r="F19" s="8" t="inlineStr">
        <is>
          <t>Source step text</t>
        </is>
      </c>
      <c r="G19" s="8" t="inlineStr">
        <is>
          <t>Aadhaar Card</t>
        </is>
      </c>
      <c r="H19" s="8" t="inlineStr">
        <is>
          <t>en.applicationProcess[0].process[0].children[2].children[0].children[0].children[0].children[0].children[0]</t>
        </is>
      </c>
      <c r="I19" s="8" t="inlineStr">
        <is>
          <t>C03@20261028-b25487a7</t>
        </is>
      </c>
      <c r="J19" s="8" t="inlineStr">
        <is>
          <t>MS-C03</t>
        </is>
      </c>
      <c r="K19" s="8" t="inlineStr">
        <is>
          <t>1/1</t>
        </is>
      </c>
      <c r="L19" s="7" t="inlineStr">
        <is>
          <t>Approved</t>
        </is>
      </c>
      <c r="M19" s="7" t="n"/>
      <c r="N19" s="8" t="inlineStr">
        <is>
          <t>Actor, branch and dependency need review.</t>
        </is>
      </c>
    </row>
    <row r="20" ht="40" customHeight="1">
      <c r="A20" s="4" t="inlineStr">
        <is>
          <t>C03</t>
        </is>
      </c>
      <c r="B20" s="4" t="inlineStr">
        <is>
          <t>Pradhan Mantri Kisan Maandhan Yojana</t>
        </is>
      </c>
      <c r="C20" s="4" t="inlineStr">
        <is>
          <t>C03-P0036</t>
        </is>
      </c>
      <c r="D20" s="4" t="inlineStr">
        <is>
          <t>Online - via CSC</t>
        </is>
      </c>
      <c r="E20" s="4" t="inlineStr"/>
      <c r="F20" s="4" t="inlineStr">
        <is>
          <t>Source step text</t>
        </is>
      </c>
      <c r="G20" s="4" t="inlineStr">
        <is>
          <t>Savings Bank Account Number along with IFSC Code ( Bank Passbook or Cheque Leave/book or copy of bank statement as evidence of bank account ).</t>
        </is>
      </c>
      <c r="H20" s="4" t="inlineStr">
        <is>
          <t>en.applicationProcess[0].process[0].children[2].children[0].children[0].children[0].children[0].children[1]</t>
        </is>
      </c>
      <c r="I20" s="4" t="inlineStr">
        <is>
          <t>C03@20261028-b25487a7</t>
        </is>
      </c>
      <c r="J20" s="4" t="inlineStr">
        <is>
          <t>MS-C03</t>
        </is>
      </c>
      <c r="K20" s="4" t="inlineStr">
        <is>
          <t>1/1</t>
        </is>
      </c>
      <c r="L20" s="7" t="inlineStr">
        <is>
          <t>Approved</t>
        </is>
      </c>
      <c r="M20" s="7" t="n"/>
      <c r="N20" s="4" t="inlineStr">
        <is>
          <t>Actor, branch and dependency need review.</t>
        </is>
      </c>
    </row>
    <row r="21" ht="40" customHeight="1">
      <c r="A21" s="8" t="inlineStr">
        <is>
          <t>C03</t>
        </is>
      </c>
      <c r="B21" s="8" t="inlineStr">
        <is>
          <t>Pradhan Mantri Kisan Maandhan Yojana</t>
        </is>
      </c>
      <c r="C21" s="8" t="inlineStr">
        <is>
          <t>C03-P0037</t>
        </is>
      </c>
      <c r="D21" s="8" t="inlineStr">
        <is>
          <t>Online - via CSC</t>
        </is>
      </c>
      <c r="E21" s="8" t="inlineStr"/>
      <c r="F21" s="8" t="inlineStr">
        <is>
          <t>Source step text</t>
        </is>
      </c>
      <c r="G21" s="8" t="inlineStr">
        <is>
          <t>Step 3: Initial contribution amount in cash will be made to the Village Level Entrepreneur (VLE).</t>
        </is>
      </c>
      <c r="H21" s="8" t="inlineStr">
        <is>
          <t>en.applicationProcess[0].process[0].children[3]</t>
        </is>
      </c>
      <c r="I21" s="8" t="inlineStr">
        <is>
          <t>C03@20261028-b25487a7</t>
        </is>
      </c>
      <c r="J21" s="8" t="inlineStr">
        <is>
          <t>MS-C03</t>
        </is>
      </c>
      <c r="K21" s="8" t="inlineStr">
        <is>
          <t>1/1</t>
        </is>
      </c>
      <c r="L21" s="7" t="inlineStr">
        <is>
          <t>Approved</t>
        </is>
      </c>
      <c r="M21" s="7" t="n"/>
      <c r="N21" s="8" t="inlineStr">
        <is>
          <t>Actor, branch and dependency need review.</t>
        </is>
      </c>
    </row>
    <row r="22" ht="40" customHeight="1">
      <c r="A22" s="4" t="inlineStr">
        <is>
          <t>C03</t>
        </is>
      </c>
      <c r="B22" s="4" t="inlineStr">
        <is>
          <t>Pradhan Mantri Kisan Maandhan Yojana</t>
        </is>
      </c>
      <c r="C22" s="4" t="inlineStr">
        <is>
          <t>C03-P0038</t>
        </is>
      </c>
      <c r="D22" s="4" t="inlineStr">
        <is>
          <t>Online - via CSC</t>
        </is>
      </c>
      <c r="E22" s="4" t="inlineStr"/>
      <c r="F22" s="4" t="inlineStr">
        <is>
          <t>Source step text</t>
        </is>
      </c>
      <c r="G22" s="4" t="inlineStr">
        <is>
          <t>Step 4: The VLE will key-in the Aadhaar number, Name of subscriber and Date of birth as printed on aadhaar card for authentication.</t>
        </is>
      </c>
      <c r="H22" s="4" t="inlineStr">
        <is>
          <t>en.applicationProcess[0].process[0].children[4]</t>
        </is>
      </c>
      <c r="I22" s="4" t="inlineStr">
        <is>
          <t>C03@20261028-b25487a7</t>
        </is>
      </c>
      <c r="J22" s="4" t="inlineStr">
        <is>
          <t>MS-C03</t>
        </is>
      </c>
      <c r="K22" s="4" t="inlineStr">
        <is>
          <t>1/1</t>
        </is>
      </c>
      <c r="L22" s="7" t="inlineStr">
        <is>
          <t>Approved</t>
        </is>
      </c>
      <c r="M22" s="7" t="n"/>
      <c r="N22" s="4" t="inlineStr">
        <is>
          <t>Actor, branch and dependency need review.</t>
        </is>
      </c>
    </row>
    <row r="23" ht="54" customHeight="1">
      <c r="A23" s="8" t="inlineStr">
        <is>
          <t>C03</t>
        </is>
      </c>
      <c r="B23" s="8" t="inlineStr">
        <is>
          <t>Pradhan Mantri Kisan Maandhan Yojana</t>
        </is>
      </c>
      <c r="C23" s="8" t="inlineStr">
        <is>
          <t>C03-P0039</t>
        </is>
      </c>
      <c r="D23" s="8" t="inlineStr">
        <is>
          <t>Online - via CSC</t>
        </is>
      </c>
      <c r="E23" s="8" t="inlineStr"/>
      <c r="F23" s="8" t="inlineStr">
        <is>
          <t>Source step text</t>
        </is>
      </c>
      <c r="G23" s="8" t="inlineStr">
        <is>
          <t>Step 5: The VLE will complete the online registration by filling up the details like Bank Account details, Mobile Number, Email Address, Spouse (if any) and Nominee details will be captured.</t>
        </is>
      </c>
      <c r="H23" s="8" t="inlineStr">
        <is>
          <t>en.applicationProcess[0].process[0].children[5]</t>
        </is>
      </c>
      <c r="I23" s="8" t="inlineStr">
        <is>
          <t>C03@20261028-b25487a7</t>
        </is>
      </c>
      <c r="J23" s="8" t="inlineStr">
        <is>
          <t>MS-C03</t>
        </is>
      </c>
      <c r="K23" s="8" t="inlineStr">
        <is>
          <t>1/1</t>
        </is>
      </c>
      <c r="L23" s="7" t="inlineStr">
        <is>
          <t>Approved</t>
        </is>
      </c>
      <c r="M23" s="7" t="n"/>
      <c r="N23" s="8" t="inlineStr">
        <is>
          <t>Actor, branch and dependency need review.</t>
        </is>
      </c>
    </row>
    <row r="24" ht="40" customHeight="1">
      <c r="A24" s="4" t="inlineStr">
        <is>
          <t>C03</t>
        </is>
      </c>
      <c r="B24" s="4" t="inlineStr">
        <is>
          <t>Pradhan Mantri Kisan Maandhan Yojana</t>
        </is>
      </c>
      <c r="C24" s="4" t="inlineStr">
        <is>
          <t>C03-P0040</t>
        </is>
      </c>
      <c r="D24" s="4" t="inlineStr">
        <is>
          <t>Online - via CSC</t>
        </is>
      </c>
      <c r="E24" s="4" t="inlineStr"/>
      <c r="F24" s="4" t="inlineStr">
        <is>
          <t>Source step text</t>
        </is>
      </c>
      <c r="G24" s="4" t="inlineStr">
        <is>
          <t>Step 6: System will auto calculate monthly contribution payable according to age of the Subscriber.</t>
        </is>
      </c>
      <c r="H24" s="4" t="inlineStr">
        <is>
          <t>en.applicationProcess[0].process[0].children[6]</t>
        </is>
      </c>
      <c r="I24" s="4" t="inlineStr">
        <is>
          <t>C03@20261028-b25487a7</t>
        </is>
      </c>
      <c r="J24" s="4" t="inlineStr">
        <is>
          <t>MS-C03</t>
        </is>
      </c>
      <c r="K24" s="4" t="inlineStr">
        <is>
          <t>1/1</t>
        </is>
      </c>
      <c r="L24" s="7" t="inlineStr">
        <is>
          <t>Approved</t>
        </is>
      </c>
      <c r="M24" s="7" t="n"/>
      <c r="N24" s="4" t="inlineStr">
        <is>
          <t>Actor, branch and dependency need review.</t>
        </is>
      </c>
    </row>
    <row r="25" ht="40" customHeight="1">
      <c r="A25" s="8" t="inlineStr">
        <is>
          <t>C03</t>
        </is>
      </c>
      <c r="B25" s="8" t="inlineStr">
        <is>
          <t>Pradhan Mantri Kisan Maandhan Yojana</t>
        </is>
      </c>
      <c r="C25" s="8" t="inlineStr">
        <is>
          <t>C03-P0041</t>
        </is>
      </c>
      <c r="D25" s="8" t="inlineStr">
        <is>
          <t>Online - via CSC</t>
        </is>
      </c>
      <c r="E25" s="8" t="inlineStr"/>
      <c r="F25" s="8" t="inlineStr">
        <is>
          <t>Source step text</t>
        </is>
      </c>
      <c r="G25" s="8" t="inlineStr">
        <is>
          <t>Step 7: Subscriber will pay the 1st subscription amount in cash to the VLE.</t>
        </is>
      </c>
      <c r="H25" s="8" t="inlineStr">
        <is>
          <t>en.applicationProcess[0].process[0].children[7]</t>
        </is>
      </c>
      <c r="I25" s="8" t="inlineStr">
        <is>
          <t>C03@20261028-b25487a7</t>
        </is>
      </c>
      <c r="J25" s="8" t="inlineStr">
        <is>
          <t>MS-C03</t>
        </is>
      </c>
      <c r="K25" s="8" t="inlineStr">
        <is>
          <t>1/1</t>
        </is>
      </c>
      <c r="L25" s="7" t="inlineStr">
        <is>
          <t>Approved</t>
        </is>
      </c>
      <c r="M25" s="7" t="n"/>
      <c r="N25" s="8" t="inlineStr">
        <is>
          <t>Actor, branch and dependency need review.</t>
        </is>
      </c>
    </row>
    <row r="26" ht="40" customHeight="1">
      <c r="A26" s="4" t="inlineStr">
        <is>
          <t>C03</t>
        </is>
      </c>
      <c r="B26" s="4" t="inlineStr">
        <is>
          <t>Pradhan Mantri Kisan Maandhan Yojana</t>
        </is>
      </c>
      <c r="C26" s="4" t="inlineStr">
        <is>
          <t>C03-P0042</t>
        </is>
      </c>
      <c r="D26" s="4" t="inlineStr">
        <is>
          <t>Online - via CSC</t>
        </is>
      </c>
      <c r="E26" s="4" t="inlineStr"/>
      <c r="F26" s="4" t="inlineStr">
        <is>
          <t>Source step text</t>
        </is>
      </c>
      <c r="G26" s="4" t="inlineStr">
        <is>
          <t>Step 8: Enrolment cum Auto Debit mandate form will be printed and will be further signed by the subscriber. VLE will scan the same and upload it into the system.</t>
        </is>
      </c>
      <c r="H26" s="4" t="inlineStr">
        <is>
          <t>en.applicationProcess[0].process[0].children[8]</t>
        </is>
      </c>
      <c r="I26" s="4" t="inlineStr">
        <is>
          <t>C03@20261028-b25487a7</t>
        </is>
      </c>
      <c r="J26" s="4" t="inlineStr">
        <is>
          <t>MS-C03</t>
        </is>
      </c>
      <c r="K26" s="4" t="inlineStr">
        <is>
          <t>1/1</t>
        </is>
      </c>
      <c r="L26" s="7" t="inlineStr">
        <is>
          <t>Approved</t>
        </is>
      </c>
      <c r="M26" s="7" t="n"/>
      <c r="N26" s="4" t="inlineStr">
        <is>
          <t>Actor, branch and dependency need review.</t>
        </is>
      </c>
    </row>
    <row r="27" ht="40" customHeight="1">
      <c r="A27" s="8" t="inlineStr">
        <is>
          <t>C03</t>
        </is>
      </c>
      <c r="B27" s="8" t="inlineStr">
        <is>
          <t>Pradhan Mantri Kisan Maandhan Yojana</t>
        </is>
      </c>
      <c r="C27" s="8" t="inlineStr">
        <is>
          <t>C03-P0043</t>
        </is>
      </c>
      <c r="D27" s="8" t="inlineStr">
        <is>
          <t>Online - via CSC</t>
        </is>
      </c>
      <c r="E27" s="8" t="inlineStr"/>
      <c r="F27" s="8" t="inlineStr">
        <is>
          <t>Source step text</t>
        </is>
      </c>
      <c r="G27" s="8" t="inlineStr">
        <is>
          <t>Step 9: A unique Kisan Pension Account Number (KPAN) will be generated and Kisan Card will be printed.</t>
        </is>
      </c>
      <c r="H27" s="8" t="inlineStr">
        <is>
          <t>en.applicationProcess[0].process[0].children[9]</t>
        </is>
      </c>
      <c r="I27" s="8" t="inlineStr">
        <is>
          <t>C03@20261028-b25487a7</t>
        </is>
      </c>
      <c r="J27" s="8" t="inlineStr">
        <is>
          <t>MS-C03</t>
        </is>
      </c>
      <c r="K27" s="8" t="inlineStr">
        <is>
          <t>1/1</t>
        </is>
      </c>
      <c r="L27" s="7" t="inlineStr">
        <is>
          <t>Approved</t>
        </is>
      </c>
      <c r="M27" s="7" t="n"/>
      <c r="N27" s="8" t="inlineStr">
        <is>
          <t>Actor, branch and dependency need review.</t>
        </is>
      </c>
    </row>
    <row r="28" ht="40" customHeight="1">
      <c r="A28" s="4" t="inlineStr">
        <is>
          <t>C04</t>
        </is>
      </c>
      <c r="B28" s="4" t="inlineStr">
        <is>
          <t>Atal Pension Yojana</t>
        </is>
      </c>
      <c r="C28" s="4" t="inlineStr">
        <is>
          <t>C04-P0031</t>
        </is>
      </c>
      <c r="D28" s="4" t="inlineStr">
        <is>
          <t>Online</t>
        </is>
      </c>
      <c r="E28" s="4" t="inlineStr"/>
      <c r="F28" s="4" t="inlineStr">
        <is>
          <t>Source step text</t>
        </is>
      </c>
      <c r="G28" s="4" t="inlineStr">
        <is>
          <t>Process 1:</t>
        </is>
      </c>
      <c r="H28" s="4" t="inlineStr">
        <is>
          <t>en.applicationProcess[0].process[0].children[0]</t>
        </is>
      </c>
      <c r="I28" s="4" t="inlineStr">
        <is>
          <t>C04@20261028-8f3b40d0</t>
        </is>
      </c>
      <c r="J28" s="4" t="inlineStr">
        <is>
          <t>MS-C04</t>
        </is>
      </c>
      <c r="K28" s="4" t="inlineStr">
        <is>
          <t>1/1</t>
        </is>
      </c>
      <c r="L28" s="7" t="inlineStr">
        <is>
          <t>Approved</t>
        </is>
      </c>
      <c r="M28" s="7" t="n"/>
      <c r="N28" s="4" t="inlineStr">
        <is>
          <t>Actor, branch and dependency need review.</t>
        </is>
      </c>
    </row>
    <row r="29" ht="40" customHeight="1">
      <c r="A29" s="8" t="inlineStr">
        <is>
          <t>C04</t>
        </is>
      </c>
      <c r="B29" s="8" t="inlineStr">
        <is>
          <t>Atal Pension Yojana</t>
        </is>
      </c>
      <c r="C29" s="8" t="inlineStr">
        <is>
          <t>C04-P0032</t>
        </is>
      </c>
      <c r="D29" s="8" t="inlineStr">
        <is>
          <t>Online</t>
        </is>
      </c>
      <c r="E29" s="8" t="inlineStr"/>
      <c r="F29" s="8" t="inlineStr">
        <is>
          <t>Source step text</t>
        </is>
      </c>
      <c r="G29" s="8" t="inlineStr">
        <is>
          <t>One can also open an APY account online using one's Net banking facility.</t>
        </is>
      </c>
      <c r="H29" s="8" t="inlineStr">
        <is>
          <t>en.applicationProcess[0].process[1].children[0]</t>
        </is>
      </c>
      <c r="I29" s="8" t="inlineStr">
        <is>
          <t>C04@20261028-8f3b40d0</t>
        </is>
      </c>
      <c r="J29" s="8" t="inlineStr">
        <is>
          <t>MS-C04</t>
        </is>
      </c>
      <c r="K29" s="8" t="inlineStr">
        <is>
          <t>1/1</t>
        </is>
      </c>
      <c r="L29" s="7" t="inlineStr">
        <is>
          <t>Approved</t>
        </is>
      </c>
      <c r="M29" s="7" t="n"/>
      <c r="N29" s="8" t="inlineStr">
        <is>
          <t>Actor, branch and dependency need review.</t>
        </is>
      </c>
    </row>
    <row r="30" ht="40" customHeight="1">
      <c r="A30" s="4" t="inlineStr">
        <is>
          <t>C04</t>
        </is>
      </c>
      <c r="B30" s="4" t="inlineStr">
        <is>
          <t>Atal Pension Yojana</t>
        </is>
      </c>
      <c r="C30" s="4" t="inlineStr">
        <is>
          <t>C04-P0033</t>
        </is>
      </c>
      <c r="D30" s="4" t="inlineStr">
        <is>
          <t>Online</t>
        </is>
      </c>
      <c r="E30" s="4" t="inlineStr"/>
      <c r="F30" s="4" t="inlineStr">
        <is>
          <t>Source step text</t>
        </is>
      </c>
      <c r="G30" s="4" t="inlineStr">
        <is>
          <t>The applicant can login into his/her internet banking account and search for APY on dashboard.</t>
        </is>
      </c>
      <c r="H30" s="4" t="inlineStr">
        <is>
          <t>en.applicationProcess[0].process[1].children[1]</t>
        </is>
      </c>
      <c r="I30" s="4" t="inlineStr">
        <is>
          <t>C04@20261028-8f3b40d0</t>
        </is>
      </c>
      <c r="J30" s="4" t="inlineStr">
        <is>
          <t>MS-C04</t>
        </is>
      </c>
      <c r="K30" s="4" t="inlineStr">
        <is>
          <t>1/1</t>
        </is>
      </c>
      <c r="L30" s="7" t="inlineStr">
        <is>
          <t>Approved</t>
        </is>
      </c>
      <c r="M30" s="7" t="n"/>
      <c r="N30" s="4" t="inlineStr">
        <is>
          <t>Actor, branch and dependency need review.</t>
        </is>
      </c>
    </row>
    <row r="31" ht="40" customHeight="1">
      <c r="A31" s="8" t="inlineStr">
        <is>
          <t>C04</t>
        </is>
      </c>
      <c r="B31" s="8" t="inlineStr">
        <is>
          <t>Atal Pension Yojana</t>
        </is>
      </c>
      <c r="C31" s="8" t="inlineStr">
        <is>
          <t>C04-P0034</t>
        </is>
      </c>
      <c r="D31" s="8" t="inlineStr">
        <is>
          <t>Online</t>
        </is>
      </c>
      <c r="E31" s="8" t="inlineStr"/>
      <c r="F31" s="8" t="inlineStr">
        <is>
          <t>Source step text</t>
        </is>
      </c>
      <c r="G31" s="8" t="inlineStr">
        <is>
          <t>Customer has to fill basic and Nominee details.</t>
        </is>
      </c>
      <c r="H31" s="8" t="inlineStr">
        <is>
          <t>en.applicationProcess[0].process[1].children[2]</t>
        </is>
      </c>
      <c r="I31" s="8" t="inlineStr">
        <is>
          <t>C04@20261028-8f3b40d0</t>
        </is>
      </c>
      <c r="J31" s="8" t="inlineStr">
        <is>
          <t>MS-C04</t>
        </is>
      </c>
      <c r="K31" s="8" t="inlineStr">
        <is>
          <t>1/1</t>
        </is>
      </c>
      <c r="L31" s="7" t="inlineStr">
        <is>
          <t>Approved</t>
        </is>
      </c>
      <c r="M31" s="7" t="n"/>
      <c r="N31" s="8" t="inlineStr">
        <is>
          <t>Actor, branch and dependency need review.</t>
        </is>
      </c>
    </row>
    <row r="32" ht="40" customHeight="1">
      <c r="A32" s="4" t="inlineStr">
        <is>
          <t>C04</t>
        </is>
      </c>
      <c r="B32" s="4" t="inlineStr">
        <is>
          <t>Atal Pension Yojana</t>
        </is>
      </c>
      <c r="C32" s="4" t="inlineStr">
        <is>
          <t>C04-P0035</t>
        </is>
      </c>
      <c r="D32" s="4" t="inlineStr">
        <is>
          <t>Online</t>
        </is>
      </c>
      <c r="E32" s="4" t="inlineStr"/>
      <c r="F32" s="4" t="inlineStr">
        <is>
          <t>Source step text</t>
        </is>
      </c>
      <c r="G32" s="4" t="inlineStr">
        <is>
          <t>Customer has to give consent for  auto debit of premium from the account and submit the form.</t>
        </is>
      </c>
      <c r="H32" s="4" t="inlineStr">
        <is>
          <t>en.applicationProcess[0].process[1].children[3]</t>
        </is>
      </c>
      <c r="I32" s="4" t="inlineStr">
        <is>
          <t>C04@20261028-8f3b40d0</t>
        </is>
      </c>
      <c r="J32" s="4" t="inlineStr">
        <is>
          <t>MS-C04</t>
        </is>
      </c>
      <c r="K32" s="4" t="inlineStr">
        <is>
          <t>1/1</t>
        </is>
      </c>
      <c r="L32" s="7" t="inlineStr">
        <is>
          <t>Approved</t>
        </is>
      </c>
      <c r="M32" s="7" t="n"/>
      <c r="N32" s="4" t="inlineStr">
        <is>
          <t>Actor, branch and dependency need review.</t>
        </is>
      </c>
    </row>
    <row r="33" ht="40" customHeight="1">
      <c r="A33" s="8" t="inlineStr">
        <is>
          <t>C04</t>
        </is>
      </c>
      <c r="B33" s="8" t="inlineStr">
        <is>
          <t>Atal Pension Yojana</t>
        </is>
      </c>
      <c r="C33" s="8" t="inlineStr">
        <is>
          <t>C04-P0036</t>
        </is>
      </c>
      <c r="D33" s="8" t="inlineStr">
        <is>
          <t>Online</t>
        </is>
      </c>
      <c r="E33" s="8" t="inlineStr"/>
      <c r="F33" s="8" t="inlineStr">
        <is>
          <t>Source step text</t>
        </is>
      </c>
      <c r="G33" s="8" t="inlineStr">
        <is>
          <t>Process 2:</t>
        </is>
      </c>
      <c r="H33" s="8" t="inlineStr">
        <is>
          <t>en.applicationProcess[0].process[2].children[0]</t>
        </is>
      </c>
      <c r="I33" s="8" t="inlineStr">
        <is>
          <t>C04@20261028-8f3b40d0</t>
        </is>
      </c>
      <c r="J33" s="8" t="inlineStr">
        <is>
          <t>MS-C04</t>
        </is>
      </c>
      <c r="K33" s="8" t="inlineStr">
        <is>
          <t>1/1</t>
        </is>
      </c>
      <c r="L33" s="7" t="inlineStr">
        <is>
          <t>Approved</t>
        </is>
      </c>
      <c r="M33" s="7" t="n"/>
      <c r="N33" s="8" t="inlineStr">
        <is>
          <t>Actor, branch and dependency need review.</t>
        </is>
      </c>
    </row>
    <row r="34" ht="40" customHeight="1">
      <c r="A34" s="4" t="inlineStr">
        <is>
          <t>C04</t>
        </is>
      </c>
      <c r="B34" s="4" t="inlineStr">
        <is>
          <t>Atal Pension Yojana</t>
        </is>
      </c>
      <c r="C34" s="4" t="inlineStr">
        <is>
          <t>C04-P0037</t>
        </is>
      </c>
      <c r="D34" s="4" t="inlineStr">
        <is>
          <t>Online</t>
        </is>
      </c>
      <c r="E34" s="4" t="inlineStr"/>
      <c r="F34" s="4" t="inlineStr">
        <is>
          <t>Source step text</t>
        </is>
      </c>
      <c r="G34" s="4" t="inlineStr">
        <is>
          <t>Visit website “</t>
        </is>
      </c>
      <c r="H34" s="4" t="inlineStr">
        <is>
          <t>en.applicationProcess[0].process[3].children[0]</t>
        </is>
      </c>
      <c r="I34" s="4" t="inlineStr">
        <is>
          <t>C04@20261028-8f3b40d0</t>
        </is>
      </c>
      <c r="J34" s="4" t="inlineStr">
        <is>
          <t>MS-C04</t>
        </is>
      </c>
      <c r="K34" s="4" t="inlineStr">
        <is>
          <t>1/1</t>
        </is>
      </c>
      <c r="L34" s="7" t="inlineStr">
        <is>
          <t>Approved</t>
        </is>
      </c>
      <c r="M34" s="7" t="n"/>
      <c r="N34" s="4" t="inlineStr">
        <is>
          <t>Actor, branch and dependency need review.</t>
        </is>
      </c>
    </row>
    <row r="35" ht="40" customHeight="1">
      <c r="A35" s="8" t="inlineStr">
        <is>
          <t>C04</t>
        </is>
      </c>
      <c r="B35" s="8" t="inlineStr">
        <is>
          <t>Atal Pension Yojana</t>
        </is>
      </c>
      <c r="C35" s="8" t="inlineStr">
        <is>
          <t>C04-P0038</t>
        </is>
      </c>
      <c r="D35" s="8" t="inlineStr">
        <is>
          <t>Online</t>
        </is>
      </c>
      <c r="E35" s="8" t="inlineStr"/>
      <c r="F35" s="8" t="inlineStr">
        <is>
          <t>Source step text</t>
        </is>
      </c>
      <c r="G35" s="8" t="inlineStr">
        <is>
          <t>https://enps.nsdl.com/eNPS/NationalPensionSystem.html</t>
        </is>
      </c>
      <c r="H35" s="8" t="inlineStr">
        <is>
          <t>en.applicationProcess[0].process[3].children[1].children[0]</t>
        </is>
      </c>
      <c r="I35" s="8" t="inlineStr">
        <is>
          <t>C04@20261028-8f3b40d0</t>
        </is>
      </c>
      <c r="J35" s="8" t="inlineStr">
        <is>
          <t>MS-C04</t>
        </is>
      </c>
      <c r="K35" s="8" t="inlineStr">
        <is>
          <t>1/1</t>
        </is>
      </c>
      <c r="L35" s="7" t="inlineStr">
        <is>
          <t>Approved</t>
        </is>
      </c>
      <c r="M35" s="7" t="n"/>
      <c r="N35" s="8" t="inlineStr">
        <is>
          <t>Actor, branch and dependency need review.</t>
        </is>
      </c>
    </row>
    <row r="36" ht="40" customHeight="1">
      <c r="A36" s="4" t="inlineStr">
        <is>
          <t>C04</t>
        </is>
      </c>
      <c r="B36" s="4" t="inlineStr">
        <is>
          <t>Atal Pension Yojana</t>
        </is>
      </c>
      <c r="C36" s="4" t="inlineStr">
        <is>
          <t>C04-P0039</t>
        </is>
      </c>
      <c r="D36" s="4" t="inlineStr">
        <is>
          <t>Online</t>
        </is>
      </c>
      <c r="E36" s="4" t="inlineStr"/>
      <c r="F36" s="4" t="inlineStr">
        <is>
          <t>Source step text</t>
        </is>
      </c>
      <c r="G36" s="4" t="inlineStr">
        <is>
          <t xml:space="preserve"> “ and select “Atal Pension Yojana”.</t>
        </is>
      </c>
      <c r="H36" s="4" t="inlineStr">
        <is>
          <t>en.applicationProcess[0].process[3].children[2]</t>
        </is>
      </c>
      <c r="I36" s="4" t="inlineStr">
        <is>
          <t>C04@20261028-8f3b40d0</t>
        </is>
      </c>
      <c r="J36" s="4" t="inlineStr">
        <is>
          <t>MS-C04</t>
        </is>
      </c>
      <c r="K36" s="4" t="inlineStr">
        <is>
          <t>1/1</t>
        </is>
      </c>
      <c r="L36" s="7" t="inlineStr">
        <is>
          <t>Approved</t>
        </is>
      </c>
      <c r="M36" s="7" t="n"/>
      <c r="N36" s="4" t="inlineStr">
        <is>
          <t>Actor, branch and dependency need review.</t>
        </is>
      </c>
    </row>
    <row r="37" ht="40" customHeight="1">
      <c r="A37" s="8" t="inlineStr">
        <is>
          <t>C04</t>
        </is>
      </c>
      <c r="B37" s="8" t="inlineStr">
        <is>
          <t>Atal Pension Yojana</t>
        </is>
      </c>
      <c r="C37" s="8" t="inlineStr">
        <is>
          <t>C04-P0040</t>
        </is>
      </c>
      <c r="D37" s="8" t="inlineStr">
        <is>
          <t>Online</t>
        </is>
      </c>
      <c r="E37" s="8" t="inlineStr"/>
      <c r="F37" s="8" t="inlineStr">
        <is>
          <t>Source step text</t>
        </is>
      </c>
      <c r="G37" s="8" t="inlineStr">
        <is>
          <t>Select “APY Registration”</t>
        </is>
      </c>
      <c r="H37" s="8" t="inlineStr">
        <is>
          <t>en.applicationProcess[0].process[4].children[0]</t>
        </is>
      </c>
      <c r="I37" s="8" t="inlineStr">
        <is>
          <t>C04@20261028-8f3b40d0</t>
        </is>
      </c>
      <c r="J37" s="8" t="inlineStr">
        <is>
          <t>MS-C04</t>
        </is>
      </c>
      <c r="K37" s="8" t="inlineStr">
        <is>
          <t>1/1</t>
        </is>
      </c>
      <c r="L37" s="7" t="inlineStr">
        <is>
          <t>Approved</t>
        </is>
      </c>
      <c r="M37" s="7" t="n"/>
      <c r="N37" s="8" t="inlineStr">
        <is>
          <t>Actor, branch and dependency need review.</t>
        </is>
      </c>
    </row>
    <row r="38" ht="40" customHeight="1">
      <c r="A38" s="4" t="inlineStr">
        <is>
          <t>C04</t>
        </is>
      </c>
      <c r="B38" s="4" t="inlineStr">
        <is>
          <t>Atal Pension Yojana</t>
        </is>
      </c>
      <c r="C38" s="4" t="inlineStr">
        <is>
          <t>C04-P0041</t>
        </is>
      </c>
      <c r="D38" s="4" t="inlineStr">
        <is>
          <t>Online</t>
        </is>
      </c>
      <c r="E38" s="4" t="inlineStr"/>
      <c r="F38" s="4" t="inlineStr">
        <is>
          <t>Source step text</t>
        </is>
      </c>
      <c r="G38" s="4" t="inlineStr">
        <is>
          <t xml:space="preserve">Fill the basic details in the form. One can complete KYC through 3 options – </t>
        </is>
      </c>
      <c r="H38" s="4" t="inlineStr">
        <is>
          <t>en.applicationProcess[0].process[5].children[0]</t>
        </is>
      </c>
      <c r="I38" s="4" t="inlineStr">
        <is>
          <t>C04@20261028-8f3b40d0</t>
        </is>
      </c>
      <c r="J38" s="4" t="inlineStr">
        <is>
          <t>MS-C04</t>
        </is>
      </c>
      <c r="K38" s="4" t="inlineStr">
        <is>
          <t>1/1</t>
        </is>
      </c>
      <c r="L38" s="7" t="inlineStr">
        <is>
          <t>Approved</t>
        </is>
      </c>
      <c r="M38" s="7" t="n"/>
      <c r="N38" s="4" t="inlineStr">
        <is>
          <t>Actor, branch and dependency need review.</t>
        </is>
      </c>
    </row>
    <row r="39" ht="40" customHeight="1">
      <c r="A39" s="8" t="inlineStr">
        <is>
          <t>C04</t>
        </is>
      </c>
      <c r="B39" s="8" t="inlineStr">
        <is>
          <t>Atal Pension Yojana</t>
        </is>
      </c>
      <c r="C39" s="8" t="inlineStr">
        <is>
          <t>C04-P0042</t>
        </is>
      </c>
      <c r="D39" s="8" t="inlineStr">
        <is>
          <t>Online</t>
        </is>
      </c>
      <c r="E39" s="8" t="inlineStr"/>
      <c r="F39" s="8" t="inlineStr">
        <is>
          <t>Source step text</t>
        </is>
      </c>
      <c r="G39" s="8" t="inlineStr">
        <is>
          <t>Offline KYC – Where one has to upload XML file of Aadhaar</t>
        </is>
      </c>
      <c r="H39" s="8" t="inlineStr">
        <is>
          <t>en.applicationProcess[0].process[6].children[0].children[0]</t>
        </is>
      </c>
      <c r="I39" s="8" t="inlineStr">
        <is>
          <t>C04@20261028-8f3b40d0</t>
        </is>
      </c>
      <c r="J39" s="8" t="inlineStr">
        <is>
          <t>MS-C04</t>
        </is>
      </c>
      <c r="K39" s="8" t="inlineStr">
        <is>
          <t>1/1</t>
        </is>
      </c>
      <c r="L39" s="7" t="inlineStr">
        <is>
          <t>Approved</t>
        </is>
      </c>
      <c r="M39" s="7" t="n"/>
      <c r="N39" s="8" t="inlineStr">
        <is>
          <t>Actor, branch and dependency need review.</t>
        </is>
      </c>
    </row>
    <row r="40" ht="40" customHeight="1">
      <c r="A40" s="4" t="inlineStr">
        <is>
          <t>C04</t>
        </is>
      </c>
      <c r="B40" s="4" t="inlineStr">
        <is>
          <t>Atal Pension Yojana</t>
        </is>
      </c>
      <c r="C40" s="4" t="inlineStr">
        <is>
          <t>C04-P0043</t>
        </is>
      </c>
      <c r="D40" s="4" t="inlineStr">
        <is>
          <t>Online</t>
        </is>
      </c>
      <c r="E40" s="4" t="inlineStr"/>
      <c r="F40" s="4" t="inlineStr">
        <is>
          <t>Source step text</t>
        </is>
      </c>
      <c r="G40" s="4" t="inlineStr">
        <is>
          <t>Aadhaar – Where KYC is done through OTP verification on Mobile Number register with Aadhaar</t>
        </is>
      </c>
      <c r="H40" s="4" t="inlineStr">
        <is>
          <t>en.applicationProcess[0].process[6].children[0].children[1]</t>
        </is>
      </c>
      <c r="I40" s="4" t="inlineStr">
        <is>
          <t>C04@20261028-8f3b40d0</t>
        </is>
      </c>
      <c r="J40" s="4" t="inlineStr">
        <is>
          <t>MS-C04</t>
        </is>
      </c>
      <c r="K40" s="4" t="inlineStr">
        <is>
          <t>1/1</t>
        </is>
      </c>
      <c r="L40" s="7" t="inlineStr">
        <is>
          <t>Approved</t>
        </is>
      </c>
      <c r="M40" s="7" t="n"/>
      <c r="N40" s="4" t="inlineStr">
        <is>
          <t>Actor, branch and dependency need review.</t>
        </is>
      </c>
    </row>
    <row r="41" ht="40" customHeight="1">
      <c r="A41" s="8" t="inlineStr">
        <is>
          <t>C04</t>
        </is>
      </c>
      <c r="B41" s="8" t="inlineStr">
        <is>
          <t>Atal Pension Yojana</t>
        </is>
      </c>
      <c r="C41" s="8" t="inlineStr">
        <is>
          <t>C04-P0044</t>
        </is>
      </c>
      <c r="D41" s="8" t="inlineStr">
        <is>
          <t>Online</t>
        </is>
      </c>
      <c r="E41" s="8" t="inlineStr"/>
      <c r="F41" s="8" t="inlineStr">
        <is>
          <t>Source step text</t>
        </is>
      </c>
      <c r="G41" s="8" t="inlineStr">
        <is>
          <t>Virtual ID – Where Aadhaar virtual ID is created for KYC</t>
        </is>
      </c>
      <c r="H41" s="8" t="inlineStr">
        <is>
          <t>en.applicationProcess[0].process[6].children[0].children[2]</t>
        </is>
      </c>
      <c r="I41" s="8" t="inlineStr">
        <is>
          <t>C04@20261028-8f3b40d0</t>
        </is>
      </c>
      <c r="J41" s="8" t="inlineStr">
        <is>
          <t>MS-C04</t>
        </is>
      </c>
      <c r="K41" s="8" t="inlineStr">
        <is>
          <t>1/1</t>
        </is>
      </c>
      <c r="L41" s="7" t="inlineStr">
        <is>
          <t>Approved</t>
        </is>
      </c>
      <c r="M41" s="7" t="n"/>
      <c r="N41" s="8" t="inlineStr">
        <is>
          <t>Actor, branch and dependency need review.</t>
        </is>
      </c>
    </row>
    <row r="42" ht="40" customHeight="1">
      <c r="A42" s="4" t="inlineStr">
        <is>
          <t>C04</t>
        </is>
      </c>
      <c r="B42" s="4" t="inlineStr">
        <is>
          <t>Atal Pension Yojana</t>
        </is>
      </c>
      <c r="C42" s="4" t="inlineStr">
        <is>
          <t>C04-P0045</t>
        </is>
      </c>
      <c r="D42" s="4" t="inlineStr">
        <is>
          <t>Online</t>
        </is>
      </c>
      <c r="E42" s="4" t="inlineStr">
        <is>
          <t>Citizen can select either one of three options.</t>
        </is>
      </c>
      <c r="F42" s="4" t="inlineStr">
        <is>
          <t>Heading / phase</t>
        </is>
      </c>
      <c r="G42" s="4" t="inlineStr">
        <is>
          <t>Citizen can select either one of three options.</t>
        </is>
      </c>
      <c r="H42" s="4" t="inlineStr">
        <is>
          <t>en.applicationProcess[0].process[6].children[1]</t>
        </is>
      </c>
      <c r="I42" s="4" t="inlineStr">
        <is>
          <t>C04@20261028-8f3b40d0</t>
        </is>
      </c>
      <c r="J42" s="4" t="inlineStr">
        <is>
          <t>MS-C04</t>
        </is>
      </c>
      <c r="K42" s="4" t="inlineStr">
        <is>
          <t>1/1</t>
        </is>
      </c>
      <c r="L42" s="7" t="inlineStr">
        <is>
          <t>Approved</t>
        </is>
      </c>
      <c r="M42" s="7" t="n"/>
      <c r="N42" s="4" t="inlineStr">
        <is>
          <t>Actor, branch and dependency need review.</t>
        </is>
      </c>
    </row>
    <row r="43" ht="40" customHeight="1">
      <c r="A43" s="8" t="inlineStr">
        <is>
          <t>C04</t>
        </is>
      </c>
      <c r="B43" s="8" t="inlineStr">
        <is>
          <t>Atal Pension Yojana</t>
        </is>
      </c>
      <c r="C43" s="8" t="inlineStr">
        <is>
          <t>C04-P0046</t>
        </is>
      </c>
      <c r="D43" s="8" t="inlineStr">
        <is>
          <t>Online</t>
        </is>
      </c>
      <c r="E43" s="8" t="inlineStr">
        <is>
          <t>Citizen can select either one of three options.</t>
        </is>
      </c>
      <c r="F43" s="8" t="inlineStr">
        <is>
          <t>Source step text</t>
        </is>
      </c>
      <c r="G43" s="8" t="inlineStr">
        <is>
          <t>Once the basic details are filled, an acknowledgement number is generated.</t>
        </is>
      </c>
      <c r="H43" s="8" t="inlineStr">
        <is>
          <t>en.applicationProcess[0].process[6].children[2].children[0]</t>
        </is>
      </c>
      <c r="I43" s="8" t="inlineStr">
        <is>
          <t>C04@20261028-8f3b40d0</t>
        </is>
      </c>
      <c r="J43" s="8" t="inlineStr">
        <is>
          <t>MS-C04</t>
        </is>
      </c>
      <c r="K43" s="8" t="inlineStr">
        <is>
          <t>1/1</t>
        </is>
      </c>
      <c r="L43" s="7" t="inlineStr">
        <is>
          <t>Approved</t>
        </is>
      </c>
      <c r="M43" s="7" t="n"/>
      <c r="N43" s="8" t="inlineStr">
        <is>
          <t>Actor, branch and dependency need review.</t>
        </is>
      </c>
    </row>
    <row r="44" ht="40" customHeight="1">
      <c r="A44" s="4" t="inlineStr">
        <is>
          <t>C04</t>
        </is>
      </c>
      <c r="B44" s="4" t="inlineStr">
        <is>
          <t>Atal Pension Yojana</t>
        </is>
      </c>
      <c r="C44" s="4" t="inlineStr">
        <is>
          <t>C04-P0047</t>
        </is>
      </c>
      <c r="D44" s="4" t="inlineStr">
        <is>
          <t>Online</t>
        </is>
      </c>
      <c r="E44" s="4" t="inlineStr">
        <is>
          <t>Citizen can select either one of three options.</t>
        </is>
      </c>
      <c r="F44" s="4" t="inlineStr">
        <is>
          <t>Source step text</t>
        </is>
      </c>
      <c r="G44" s="4" t="inlineStr">
        <is>
          <t>Citizen then has to fill personal details and decide the pension amount he/she wants after 60 years.</t>
        </is>
      </c>
      <c r="H44" s="4" t="inlineStr">
        <is>
          <t>en.applicationProcess[0].process[6].children[3].children[0]</t>
        </is>
      </c>
      <c r="I44" s="4" t="inlineStr">
        <is>
          <t>C04@20261028-8f3b40d0</t>
        </is>
      </c>
      <c r="J44" s="4" t="inlineStr">
        <is>
          <t>MS-C04</t>
        </is>
      </c>
      <c r="K44" s="4" t="inlineStr">
        <is>
          <t>1/1</t>
        </is>
      </c>
      <c r="L44" s="7" t="inlineStr">
        <is>
          <t>Approved</t>
        </is>
      </c>
      <c r="M44" s="7" t="n"/>
      <c r="N44" s="4" t="inlineStr">
        <is>
          <t>Actor, branch and dependency need review.</t>
        </is>
      </c>
    </row>
    <row r="45" ht="40" customHeight="1">
      <c r="A45" s="8" t="inlineStr">
        <is>
          <t>C04</t>
        </is>
      </c>
      <c r="B45" s="8" t="inlineStr">
        <is>
          <t>Atal Pension Yojana</t>
        </is>
      </c>
      <c r="C45" s="8" t="inlineStr">
        <is>
          <t>C04-P0048</t>
        </is>
      </c>
      <c r="D45" s="8" t="inlineStr">
        <is>
          <t>Online</t>
        </is>
      </c>
      <c r="E45" s="8" t="inlineStr">
        <is>
          <t>Citizen can select either one of three options.</t>
        </is>
      </c>
      <c r="F45" s="8" t="inlineStr">
        <is>
          <t>Source step text</t>
        </is>
      </c>
      <c r="G45" s="8" t="inlineStr">
        <is>
          <t>The Citizen also has to decide the frequency of contribution for the scheme.</t>
        </is>
      </c>
      <c r="H45" s="8" t="inlineStr">
        <is>
          <t>en.applicationProcess[0].process[6].children[3].children[1]</t>
        </is>
      </c>
      <c r="I45" s="8" t="inlineStr">
        <is>
          <t>C04@20261028-8f3b40d0</t>
        </is>
      </c>
      <c r="J45" s="8" t="inlineStr">
        <is>
          <t>MS-C04</t>
        </is>
      </c>
      <c r="K45" s="8" t="inlineStr">
        <is>
          <t>1/1</t>
        </is>
      </c>
      <c r="L45" s="7" t="inlineStr">
        <is>
          <t>Approved</t>
        </is>
      </c>
      <c r="M45" s="7" t="n"/>
      <c r="N45" s="8" t="inlineStr">
        <is>
          <t>Actor, branch and dependency need review.</t>
        </is>
      </c>
    </row>
    <row r="46" ht="40" customHeight="1">
      <c r="A46" s="4" t="inlineStr">
        <is>
          <t>C04</t>
        </is>
      </c>
      <c r="B46" s="4" t="inlineStr">
        <is>
          <t>Atal Pension Yojana</t>
        </is>
      </c>
      <c r="C46" s="4" t="inlineStr">
        <is>
          <t>C04-P0049</t>
        </is>
      </c>
      <c r="D46" s="4" t="inlineStr">
        <is>
          <t>Online</t>
        </is>
      </c>
      <c r="E46" s="4" t="inlineStr">
        <is>
          <t>Citizen can select either one of three options.</t>
        </is>
      </c>
      <c r="F46" s="4" t="inlineStr">
        <is>
          <t>Source step text</t>
        </is>
      </c>
      <c r="G46" s="4" t="inlineStr">
        <is>
          <t>Once the citizen “confirms” for personal details, he/she  has to then fill nominee details.</t>
        </is>
      </c>
      <c r="H46" s="4" t="inlineStr">
        <is>
          <t>en.applicationProcess[0].process[6].children[3].children[2]</t>
        </is>
      </c>
      <c r="I46" s="4" t="inlineStr">
        <is>
          <t>C04@20261028-8f3b40d0</t>
        </is>
      </c>
      <c r="J46" s="4" t="inlineStr">
        <is>
          <t>MS-C04</t>
        </is>
      </c>
      <c r="K46" s="4" t="inlineStr">
        <is>
          <t>1/1</t>
        </is>
      </c>
      <c r="L46" s="7" t="inlineStr">
        <is>
          <t>Approved</t>
        </is>
      </c>
      <c r="M46" s="7" t="n"/>
      <c r="N46" s="4" t="inlineStr">
        <is>
          <t>Actor, branch and dependency need review.</t>
        </is>
      </c>
    </row>
    <row r="47" ht="40" customHeight="1">
      <c r="A47" s="8" t="inlineStr">
        <is>
          <t>C04</t>
        </is>
      </c>
      <c r="B47" s="8" t="inlineStr">
        <is>
          <t>Atal Pension Yojana</t>
        </is>
      </c>
      <c r="C47" s="8" t="inlineStr">
        <is>
          <t>C04-P0050</t>
        </is>
      </c>
      <c r="D47" s="8" t="inlineStr">
        <is>
          <t>Online</t>
        </is>
      </c>
      <c r="E47" s="8" t="inlineStr">
        <is>
          <t>Citizen can select either one of three options.</t>
        </is>
      </c>
      <c r="F47" s="8" t="inlineStr">
        <is>
          <t>Source step text</t>
        </is>
      </c>
      <c r="G47" s="8" t="inlineStr">
        <is>
          <t>After submitting the personal and Nominee details, Citizen is redirected to NSDL website for eSign.</t>
        </is>
      </c>
      <c r="H47" s="8" t="inlineStr">
        <is>
          <t>en.applicationProcess[0].process[6].children[3].children[3]</t>
        </is>
      </c>
      <c r="I47" s="8" t="inlineStr">
        <is>
          <t>C04@20261028-8f3b40d0</t>
        </is>
      </c>
      <c r="J47" s="8" t="inlineStr">
        <is>
          <t>MS-C04</t>
        </is>
      </c>
      <c r="K47" s="8" t="inlineStr">
        <is>
          <t>1/1</t>
        </is>
      </c>
      <c r="L47" s="7" t="inlineStr">
        <is>
          <t>Approved</t>
        </is>
      </c>
      <c r="M47" s="7" t="n"/>
      <c r="N47" s="8" t="inlineStr">
        <is>
          <t>Actor, branch and dependency need review.</t>
        </is>
      </c>
    </row>
    <row r="48" ht="40" customHeight="1">
      <c r="A48" s="4" t="inlineStr">
        <is>
          <t>C04</t>
        </is>
      </c>
      <c r="B48" s="4" t="inlineStr">
        <is>
          <t>Atal Pension Yojana</t>
        </is>
      </c>
      <c r="C48" s="4" t="inlineStr">
        <is>
          <t>C04-P0051</t>
        </is>
      </c>
      <c r="D48" s="4" t="inlineStr">
        <is>
          <t>Online</t>
        </is>
      </c>
      <c r="E48" s="4" t="inlineStr">
        <is>
          <t>Citizen can select either one of three options.</t>
        </is>
      </c>
      <c r="F48" s="4" t="inlineStr">
        <is>
          <t>Source step text</t>
        </is>
      </c>
      <c r="G48" s="4" t="inlineStr">
        <is>
          <t>Once Aadhaar is OTP verified,  Citizen gets successfully registered in APY.</t>
        </is>
      </c>
      <c r="H48" s="4" t="inlineStr">
        <is>
          <t>en.applicationProcess[0].process[6].children[3].children[4]</t>
        </is>
      </c>
      <c r="I48" s="4" t="inlineStr">
        <is>
          <t>C04@20261028-8f3b40d0</t>
        </is>
      </c>
      <c r="J48" s="4" t="inlineStr">
        <is>
          <t>MS-C04</t>
        </is>
      </c>
      <c r="K48" s="4" t="inlineStr">
        <is>
          <t>1/1</t>
        </is>
      </c>
      <c r="L48" s="7" t="inlineStr">
        <is>
          <t>Approved</t>
        </is>
      </c>
      <c r="M48" s="7" t="n"/>
      <c r="N48" s="4" t="inlineStr">
        <is>
          <t>Actor, branch and dependency need review.</t>
        </is>
      </c>
    </row>
    <row r="49" ht="40" customHeight="1">
      <c r="A49" s="8" t="inlineStr">
        <is>
          <t>C04</t>
        </is>
      </c>
      <c r="B49" s="8" t="inlineStr">
        <is>
          <t>Atal Pension Yojana</t>
        </is>
      </c>
      <c r="C49" s="8" t="inlineStr">
        <is>
          <t>C04-P0052</t>
        </is>
      </c>
      <c r="D49" s="8" t="inlineStr">
        <is>
          <t>Online</t>
        </is>
      </c>
      <c r="E49" s="8" t="inlineStr">
        <is>
          <t>Citizen can select either one of three options.</t>
        </is>
      </c>
      <c r="F49" s="8" t="inlineStr">
        <is>
          <t>Source step text</t>
        </is>
      </c>
      <c r="G49" s="8" t="inlineStr">
        <is>
          <t>One can also join digitally through e-APY portal or through web portal of banks providing such facility.</t>
        </is>
      </c>
      <c r="H49" s="8" t="inlineStr">
        <is>
          <t>en.applicationProcess[0].process[6].children[3].children[5]</t>
        </is>
      </c>
      <c r="I49" s="8" t="inlineStr">
        <is>
          <t>C04@20261028-8f3b40d0</t>
        </is>
      </c>
      <c r="J49" s="8" t="inlineStr">
        <is>
          <t>MS-C04</t>
        </is>
      </c>
      <c r="K49" s="8" t="inlineStr">
        <is>
          <t>1/1</t>
        </is>
      </c>
      <c r="L49" s="7" t="inlineStr">
        <is>
          <t>Approved</t>
        </is>
      </c>
      <c r="M49" s="7" t="n"/>
      <c r="N49" s="8" t="inlineStr">
        <is>
          <t>Actor, branch and dependency need review.</t>
        </is>
      </c>
    </row>
    <row r="50" ht="40" customHeight="1">
      <c r="A50" s="4" t="inlineStr">
        <is>
          <t>C04</t>
        </is>
      </c>
      <c r="B50" s="4" t="inlineStr">
        <is>
          <t>Atal Pension Yojana</t>
        </is>
      </c>
      <c r="C50" s="4" t="inlineStr">
        <is>
          <t>C04-P0053</t>
        </is>
      </c>
      <c r="D50" s="4" t="inlineStr">
        <is>
          <t>Online</t>
        </is>
      </c>
      <c r="E50" s="4" t="inlineStr">
        <is>
          <t>Citizen can select either one of three options.</t>
        </is>
      </c>
      <c r="F50" s="4" t="inlineStr">
        <is>
          <t>Source step text</t>
        </is>
      </c>
      <c r="G50" s="4" t="inlineStr">
        <is>
          <t>Visit website “</t>
        </is>
      </c>
      <c r="H50" s="4" t="inlineStr">
        <is>
          <t>en.applicationProcess[0].process[7].children[0]</t>
        </is>
      </c>
      <c r="I50" s="4" t="inlineStr">
        <is>
          <t>C04@20261028-8f3b40d0</t>
        </is>
      </c>
      <c r="J50" s="4" t="inlineStr">
        <is>
          <t>MS-C04</t>
        </is>
      </c>
      <c r="K50" s="4" t="inlineStr">
        <is>
          <t>1/1</t>
        </is>
      </c>
      <c r="L50" s="7" t="inlineStr">
        <is>
          <t>Approved</t>
        </is>
      </c>
      <c r="M50" s="7" t="n"/>
      <c r="N50" s="4" t="inlineStr">
        <is>
          <t>Actor, branch and dependency need review.</t>
        </is>
      </c>
    </row>
    <row r="51" ht="40" customHeight="1">
      <c r="A51" s="8" t="inlineStr">
        <is>
          <t>C04</t>
        </is>
      </c>
      <c r="B51" s="8" t="inlineStr">
        <is>
          <t>Atal Pension Yojana</t>
        </is>
      </c>
      <c r="C51" s="8" t="inlineStr">
        <is>
          <t>C04-P0054</t>
        </is>
      </c>
      <c r="D51" s="8" t="inlineStr">
        <is>
          <t>Online</t>
        </is>
      </c>
      <c r="E51" s="8" t="inlineStr">
        <is>
          <t>Citizen can select either one of three options.</t>
        </is>
      </c>
      <c r="F51" s="8" t="inlineStr">
        <is>
          <t>Source step text</t>
        </is>
      </c>
      <c r="G51" s="8" t="inlineStr">
        <is>
          <t xml:space="preserve">https://enps.nsdl.com/eNPS/NationalPensionSystem.html </t>
        </is>
      </c>
      <c r="H51" s="8" t="inlineStr">
        <is>
          <t>en.applicationProcess[0].process[7].children[1].children[0]</t>
        </is>
      </c>
      <c r="I51" s="8" t="inlineStr">
        <is>
          <t>C04@20261028-8f3b40d0</t>
        </is>
      </c>
      <c r="J51" s="8" t="inlineStr">
        <is>
          <t>MS-C04</t>
        </is>
      </c>
      <c r="K51" s="8" t="inlineStr">
        <is>
          <t>1/1</t>
        </is>
      </c>
      <c r="L51" s="7" t="inlineStr">
        <is>
          <t>Approved</t>
        </is>
      </c>
      <c r="M51" s="7" t="n"/>
      <c r="N51" s="8" t="inlineStr">
        <is>
          <t>Actor, branch and dependency need review.</t>
        </is>
      </c>
    </row>
    <row r="52" ht="40" customHeight="1">
      <c r="A52" s="4" t="inlineStr">
        <is>
          <t>C04</t>
        </is>
      </c>
      <c r="B52" s="4" t="inlineStr">
        <is>
          <t>Atal Pension Yojana</t>
        </is>
      </c>
      <c r="C52" s="4" t="inlineStr">
        <is>
          <t>C04-P0055</t>
        </is>
      </c>
      <c r="D52" s="4" t="inlineStr">
        <is>
          <t>Online</t>
        </is>
      </c>
      <c r="E52" s="4" t="inlineStr">
        <is>
          <t>Citizen can select either one of three options.</t>
        </is>
      </c>
      <c r="F52" s="4" t="inlineStr">
        <is>
          <t>Source step text</t>
        </is>
      </c>
      <c r="G52" s="4" t="inlineStr">
        <is>
          <t>“ and select “Atal Pension Yojana”.</t>
        </is>
      </c>
      <c r="H52" s="4" t="inlineStr">
        <is>
          <t>en.applicationProcess[0].process[7].children[2]</t>
        </is>
      </c>
      <c r="I52" s="4" t="inlineStr">
        <is>
          <t>C04@20261028-8f3b40d0</t>
        </is>
      </c>
      <c r="J52" s="4" t="inlineStr">
        <is>
          <t>MS-C04</t>
        </is>
      </c>
      <c r="K52" s="4" t="inlineStr">
        <is>
          <t>1/1</t>
        </is>
      </c>
      <c r="L52" s="7" t="inlineStr">
        <is>
          <t>Approved</t>
        </is>
      </c>
      <c r="M52" s="7" t="n"/>
      <c r="N52" s="4" t="inlineStr">
        <is>
          <t>Actor, branch and dependency need review.</t>
        </is>
      </c>
    </row>
    <row r="53" ht="40" customHeight="1">
      <c r="A53" s="8" t="inlineStr">
        <is>
          <t>C04</t>
        </is>
      </c>
      <c r="B53" s="8" t="inlineStr">
        <is>
          <t>Atal Pension Yojana</t>
        </is>
      </c>
      <c r="C53" s="8" t="inlineStr">
        <is>
          <t>C04-P0056</t>
        </is>
      </c>
      <c r="D53" s="8" t="inlineStr">
        <is>
          <t>Online</t>
        </is>
      </c>
      <c r="E53" s="8" t="inlineStr">
        <is>
          <t>Citizen can select either one of three options.</t>
        </is>
      </c>
      <c r="F53" s="8" t="inlineStr">
        <is>
          <t>Source step text</t>
        </is>
      </c>
      <c r="G53" s="8" t="inlineStr">
        <is>
          <t>Helpline Number - - Toll Free Helpline number for APY Scheme is 1800-110-069</t>
        </is>
      </c>
      <c r="H53" s="8" t="inlineStr">
        <is>
          <t>en.applicationProcess[0].process[8].children[0]</t>
        </is>
      </c>
      <c r="I53" s="8" t="inlineStr">
        <is>
          <t>C04@20261028-8f3b40d0</t>
        </is>
      </c>
      <c r="J53" s="8" t="inlineStr">
        <is>
          <t>MS-C04</t>
        </is>
      </c>
      <c r="K53" s="8" t="inlineStr">
        <is>
          <t>1/1</t>
        </is>
      </c>
      <c r="L53" s="7" t="inlineStr">
        <is>
          <t>Approved</t>
        </is>
      </c>
      <c r="M53" s="7" t="n"/>
      <c r="N53" s="8" t="inlineStr">
        <is>
          <t>Actor, branch and dependency need review.</t>
        </is>
      </c>
    </row>
    <row r="54" ht="40" customHeight="1">
      <c r="A54" s="4" t="inlineStr">
        <is>
          <t>C04</t>
        </is>
      </c>
      <c r="B54" s="4" t="inlineStr">
        <is>
          <t>Atal Pension Yojana</t>
        </is>
      </c>
      <c r="C54" s="4" t="inlineStr">
        <is>
          <t>C04-P0057</t>
        </is>
      </c>
      <c r="D54" s="4" t="inlineStr">
        <is>
          <t>Offline</t>
        </is>
      </c>
      <c r="E54" s="4" t="inlineStr"/>
      <c r="F54" s="4" t="inlineStr">
        <is>
          <t>Source step text</t>
        </is>
      </c>
      <c r="G54" s="4" t="inlineStr">
        <is>
          <t>One can visit the nearest Bank branch or Post Office where he/ she is having a saving bank account and submit the APY registration form for opening the APY account.</t>
        </is>
      </c>
      <c r="H54" s="4" t="inlineStr">
        <is>
          <t>en.applicationProcess[1].process[0].children[0]</t>
        </is>
      </c>
      <c r="I54" s="4" t="inlineStr">
        <is>
          <t>C04@20261028-8f3b40d0</t>
        </is>
      </c>
      <c r="J54" s="4" t="inlineStr">
        <is>
          <t>MS-C04</t>
        </is>
      </c>
      <c r="K54" s="4" t="inlineStr">
        <is>
          <t>1/1</t>
        </is>
      </c>
      <c r="L54" s="7" t="inlineStr">
        <is>
          <t>Approved</t>
        </is>
      </c>
      <c r="M54" s="7" t="n"/>
      <c r="N54" s="4" t="inlineStr">
        <is>
          <t>Actor, branch and dependency need review.</t>
        </is>
      </c>
    </row>
    <row r="55" ht="40" customHeight="1">
      <c r="A55" s="8" t="inlineStr">
        <is>
          <t>C05</t>
        </is>
      </c>
      <c r="B55" s="8" t="inlineStr">
        <is>
          <t>Pradhan Mantri Shram Yogi Maan-dhan</t>
        </is>
      </c>
      <c r="C55" s="8" t="inlineStr">
        <is>
          <t>C05-P0028</t>
        </is>
      </c>
      <c r="D55" s="8" t="inlineStr">
        <is>
          <t>Online - via CSC</t>
        </is>
      </c>
      <c r="E55" s="8" t="inlineStr"/>
      <c r="F55" s="8" t="inlineStr">
        <is>
          <t>Source step text</t>
        </is>
      </c>
      <c r="G55" s="8" t="inlineStr">
        <is>
          <t>Application Process:</t>
        </is>
      </c>
      <c r="H55" s="8" t="inlineStr">
        <is>
          <t>en.applicationProcess[0].process[0].children[0]</t>
        </is>
      </c>
      <c r="I55" s="8" t="inlineStr">
        <is>
          <t>C05@20261028-fc4e9a2d</t>
        </is>
      </c>
      <c r="J55" s="8" t="inlineStr">
        <is>
          <t>MS-C05</t>
        </is>
      </c>
      <c r="K55" s="8" t="inlineStr">
        <is>
          <t>1/1</t>
        </is>
      </c>
      <c r="L55" s="7" t="inlineStr">
        <is>
          <t>Approved</t>
        </is>
      </c>
      <c r="M55" s="7" t="n"/>
      <c r="N55" s="8" t="inlineStr">
        <is>
          <t>Actor, branch and dependency need review.</t>
        </is>
      </c>
    </row>
    <row r="56" ht="40" customHeight="1">
      <c r="A56" s="4" t="inlineStr">
        <is>
          <t>C05</t>
        </is>
      </c>
      <c r="B56" s="4" t="inlineStr">
        <is>
          <t>Pradhan Mantri Shram Yogi Maan-dhan</t>
        </is>
      </c>
      <c r="C56" s="4" t="inlineStr">
        <is>
          <t>C05-P0029</t>
        </is>
      </c>
      <c r="D56" s="4" t="inlineStr">
        <is>
          <t>Online - via CSC</t>
        </is>
      </c>
      <c r="E56" s="4" t="inlineStr"/>
      <c r="F56" s="4" t="inlineStr">
        <is>
          <t>Source step text</t>
        </is>
      </c>
      <c r="G56" s="4" t="inlineStr">
        <is>
          <t>Step 1: The interested eligible person must visit the nearest Common Services Centre (CSC) to initiate the registration and enrollment process.</t>
        </is>
      </c>
      <c r="H56" s="4" t="inlineStr">
        <is>
          <t>en.applicationProcess[0].process[1]</t>
        </is>
      </c>
      <c r="I56" s="4" t="inlineStr">
        <is>
          <t>C05@20261028-fc4e9a2d</t>
        </is>
      </c>
      <c r="J56" s="4" t="inlineStr">
        <is>
          <t>MS-C05</t>
        </is>
      </c>
      <c r="K56" s="4" t="inlineStr">
        <is>
          <t>1/1</t>
        </is>
      </c>
      <c r="L56" s="7" t="inlineStr">
        <is>
          <t>Approved</t>
        </is>
      </c>
      <c r="M56" s="7" t="n"/>
      <c r="N56" s="4" t="inlineStr">
        <is>
          <t>Actor, branch and dependency need review.</t>
        </is>
      </c>
    </row>
    <row r="57" ht="68" customHeight="1">
      <c r="A57" s="8" t="inlineStr">
        <is>
          <t>C05</t>
        </is>
      </c>
      <c r="B57" s="8" t="inlineStr">
        <is>
          <t>Pradhan Mantri Shram Yogi Maan-dhan</t>
        </is>
      </c>
      <c r="C57" s="8" t="inlineStr">
        <is>
          <t>C05-P0030</t>
        </is>
      </c>
      <c r="D57" s="8" t="inlineStr">
        <is>
          <t>Online - via CSC</t>
        </is>
      </c>
      <c r="E57" s="8" t="inlineStr"/>
      <c r="F57" s="8" t="inlineStr">
        <is>
          <t>Source step text</t>
        </is>
      </c>
      <c r="G57" s="8" t="inlineStr">
        <is>
          <t>Step 2: The Village Level Entrepreneur (VLE) present at the CSC will key in the Aadhaar number, the exact name of the subscriber as printed on the Aadhaar card, and the date of birth into the system. These details will subsequently be instantly verified with the UIDAI database.</t>
        </is>
      </c>
      <c r="H57" s="8" t="inlineStr">
        <is>
          <t>en.applicationProcess[0].process[2]</t>
        </is>
      </c>
      <c r="I57" s="8" t="inlineStr">
        <is>
          <t>C05@20261028-fc4e9a2d</t>
        </is>
      </c>
      <c r="J57" s="8" t="inlineStr">
        <is>
          <t>MS-C05</t>
        </is>
      </c>
      <c r="K57" s="8" t="inlineStr">
        <is>
          <t>1/1</t>
        </is>
      </c>
      <c r="L57" s="7" t="inlineStr">
        <is>
          <t>Approved</t>
        </is>
      </c>
      <c r="M57" s="7" t="n"/>
      <c r="N57" s="8" t="inlineStr">
        <is>
          <t>Actor, branch and dependency need review.</t>
        </is>
      </c>
    </row>
    <row r="58" ht="68" customHeight="1">
      <c r="A58" s="4" t="inlineStr">
        <is>
          <t>C05</t>
        </is>
      </c>
      <c r="B58" s="4" t="inlineStr">
        <is>
          <t>Pradhan Mantri Shram Yogi Maan-dhan</t>
        </is>
      </c>
      <c r="C58" s="4" t="inlineStr">
        <is>
          <t>C05-P0031</t>
        </is>
      </c>
      <c r="D58" s="4" t="inlineStr">
        <is>
          <t>Online - via CSC</t>
        </is>
      </c>
      <c r="E58" s="4" t="inlineStr"/>
      <c r="F58" s="4" t="inlineStr">
        <is>
          <t>Source step text</t>
        </is>
      </c>
      <c r="G58" s="4" t="inlineStr">
        <is>
          <t>Step 3: The VLE will capture further details of the applicant, including Bank Account details, Mobile Number, Email-id, spouse, and nominee details into the registration portal. A self-certification verifying the required eligibility conditions will also be successfully completed in the system during this step.</t>
        </is>
      </c>
      <c r="H58" s="4" t="inlineStr">
        <is>
          <t>en.applicationProcess[0].process[3]</t>
        </is>
      </c>
      <c r="I58" s="4" t="inlineStr">
        <is>
          <t>C05@20261028-fc4e9a2d</t>
        </is>
      </c>
      <c r="J58" s="4" t="inlineStr">
        <is>
          <t>MS-C05</t>
        </is>
      </c>
      <c r="K58" s="4" t="inlineStr">
        <is>
          <t>1/1</t>
        </is>
      </c>
      <c r="L58" s="7" t="inlineStr">
        <is>
          <t>Approved</t>
        </is>
      </c>
      <c r="M58" s="7" t="n"/>
      <c r="N58" s="4" t="inlineStr">
        <is>
          <t>Actor, branch and dependency need review.</t>
        </is>
      </c>
    </row>
    <row r="59" ht="68" customHeight="1">
      <c r="A59" s="8" t="inlineStr">
        <is>
          <t>C05</t>
        </is>
      </c>
      <c r="B59" s="8" t="inlineStr">
        <is>
          <t>Pradhan Mantri Shram Yogi Maan-dhan</t>
        </is>
      </c>
      <c r="C59" s="8" t="inlineStr">
        <is>
          <t>C05-P0032</t>
        </is>
      </c>
      <c r="D59" s="8" t="inlineStr">
        <is>
          <t>Online - via CSC</t>
        </is>
      </c>
      <c r="E59" s="8" t="inlineStr"/>
      <c r="F59" s="8" t="inlineStr">
        <is>
          <t>Source step text</t>
        </is>
      </c>
      <c r="G59" s="8" t="inlineStr">
        <is>
          <t>Step 4: The system will automatically calculate the exact monthly contribution payable according to the entry age of the subscriber. The subscriber must then pay the full amount of the first subscription in cash to the VLE, who will generate a receipt and hand it over to the subscriber.</t>
        </is>
      </c>
      <c r="H59" s="8" t="inlineStr">
        <is>
          <t>en.applicationProcess[0].process[4]</t>
        </is>
      </c>
      <c r="I59" s="8" t="inlineStr">
        <is>
          <t>C05@20261028-fc4e9a2d</t>
        </is>
      </c>
      <c r="J59" s="8" t="inlineStr">
        <is>
          <t>MS-C05</t>
        </is>
      </c>
      <c r="K59" s="8" t="inlineStr">
        <is>
          <t>1/1</t>
        </is>
      </c>
      <c r="L59" s="7" t="inlineStr">
        <is>
          <t>Approved</t>
        </is>
      </c>
      <c r="M59" s="7" t="n"/>
      <c r="N59" s="8" t="inlineStr">
        <is>
          <t>Actor, branch and dependency need review.</t>
        </is>
      </c>
    </row>
    <row r="60" ht="54" customHeight="1">
      <c r="A60" s="4" t="inlineStr">
        <is>
          <t>C05</t>
        </is>
      </c>
      <c r="B60" s="4" t="inlineStr">
        <is>
          <t>Pradhan Mantri Shram Yogi Maan-dhan</t>
        </is>
      </c>
      <c r="C60" s="4" t="inlineStr">
        <is>
          <t>C05-P0033</t>
        </is>
      </c>
      <c r="D60" s="4" t="inlineStr">
        <is>
          <t>Online - via CSC</t>
        </is>
      </c>
      <c r="E60" s="4" t="inlineStr"/>
      <c r="F60" s="4" t="inlineStr">
        <is>
          <t>Source step text</t>
        </is>
      </c>
      <c r="G60" s="4" t="inlineStr">
        <is>
          <t>Step 5: An Enrolment Form cum Auto Debit mandate will be printed and must be physically signed by the subscriber. The VLE must then scan the signed enrolment cum auto debit mandate and safely upload it into the system.</t>
        </is>
      </c>
      <c r="H60" s="4" t="inlineStr">
        <is>
          <t>en.applicationProcess[0].process[5]</t>
        </is>
      </c>
      <c r="I60" s="4" t="inlineStr">
        <is>
          <t>C05@20261028-fc4e9a2d</t>
        </is>
      </c>
      <c r="J60" s="4" t="inlineStr">
        <is>
          <t>MS-C05</t>
        </is>
      </c>
      <c r="K60" s="4" t="inlineStr">
        <is>
          <t>1/1</t>
        </is>
      </c>
      <c r="L60" s="7" t="inlineStr">
        <is>
          <t>Approved</t>
        </is>
      </c>
      <c r="M60" s="7" t="n"/>
      <c r="N60" s="4" t="inlineStr">
        <is>
          <t>Actor, branch and dependency need review.</t>
        </is>
      </c>
    </row>
    <row r="61" ht="68" customHeight="1">
      <c r="A61" s="8" t="inlineStr">
        <is>
          <t>C05</t>
        </is>
      </c>
      <c r="B61" s="8" t="inlineStr">
        <is>
          <t>Pradhan Mantri Shram Yogi Maan-dhan</t>
        </is>
      </c>
      <c r="C61" s="8" t="inlineStr">
        <is>
          <t>C05-P0034</t>
        </is>
      </c>
      <c r="D61" s="8" t="inlineStr">
        <is>
          <t>Online - via CSC</t>
        </is>
      </c>
      <c r="E61" s="8" t="inlineStr"/>
      <c r="F61" s="8" t="inlineStr">
        <is>
          <t>Source step text</t>
        </is>
      </c>
      <c r="G61" s="8" t="inlineStr">
        <is>
          <t>Step 6: A unique Shram Yogi Pension Account Number will be instantly generated, and a Shram Yogi Card will be printed directly at the CSC. The subscriber will leave the center with the printed Shram Yogi Card and a signed copy of the enrolment form for their personal records.</t>
        </is>
      </c>
      <c r="H61" s="8" t="inlineStr">
        <is>
          <t>en.applicationProcess[0].process[6]</t>
        </is>
      </c>
      <c r="I61" s="8" t="inlineStr">
        <is>
          <t>C05@20261028-fc4e9a2d</t>
        </is>
      </c>
      <c r="J61" s="8" t="inlineStr">
        <is>
          <t>MS-C05</t>
        </is>
      </c>
      <c r="K61" s="8" t="inlineStr">
        <is>
          <t>1/1</t>
        </is>
      </c>
      <c r="L61" s="7" t="inlineStr">
        <is>
          <t>Approved</t>
        </is>
      </c>
      <c r="M61" s="7" t="n"/>
      <c r="N61" s="8" t="inlineStr">
        <is>
          <t>Actor, branch and dependency need review.</t>
        </is>
      </c>
    </row>
    <row r="62" ht="40" customHeight="1">
      <c r="A62" s="4" t="inlineStr">
        <is>
          <t>C05</t>
        </is>
      </c>
      <c r="B62" s="4" t="inlineStr">
        <is>
          <t>Pradhan Mantri Shram Yogi Maan-dhan</t>
        </is>
      </c>
      <c r="C62" s="4" t="inlineStr">
        <is>
          <t>C05-P0035</t>
        </is>
      </c>
      <c r="D62" s="4" t="inlineStr">
        <is>
          <t>Online - via CSC</t>
        </is>
      </c>
      <c r="E62" s="4" t="inlineStr"/>
      <c r="F62" s="4" t="inlineStr">
        <is>
          <t>Source step text</t>
        </is>
      </c>
      <c r="G62" s="4" t="inlineStr">
        <is>
          <t>Post-Application Process:</t>
        </is>
      </c>
      <c r="H62" s="4" t="inlineStr">
        <is>
          <t>en.applicationProcess[0].process[7].children[0]</t>
        </is>
      </c>
      <c r="I62" s="4" t="inlineStr">
        <is>
          <t>C05@20261028-fc4e9a2d</t>
        </is>
      </c>
      <c r="J62" s="4" t="inlineStr">
        <is>
          <t>MS-C05</t>
        </is>
      </c>
      <c r="K62" s="4" t="inlineStr">
        <is>
          <t>1/1</t>
        </is>
      </c>
      <c r="L62" s="7" t="inlineStr">
        <is>
          <t>Approved</t>
        </is>
      </c>
      <c r="M62" s="7" t="n"/>
      <c r="N62" s="4" t="inlineStr">
        <is>
          <t>Actor, branch and dependency need review.</t>
        </is>
      </c>
    </row>
    <row r="63" ht="68" customHeight="1">
      <c r="A63" s="8" t="inlineStr">
        <is>
          <t>C05</t>
        </is>
      </c>
      <c r="B63" s="8" t="inlineStr">
        <is>
          <t>Pradhan Mantri Shram Yogi Maan-dhan</t>
        </is>
      </c>
      <c r="C63" s="8" t="inlineStr">
        <is>
          <t>C05-P0036</t>
        </is>
      </c>
      <c r="D63" s="8" t="inlineStr">
        <is>
          <t>Online - via CSC</t>
        </is>
      </c>
      <c r="E63" s="8" t="inlineStr"/>
      <c r="F63" s="8" t="inlineStr">
        <is>
          <t>Source step text</t>
        </is>
      </c>
      <c r="G63" s="8" t="inlineStr">
        <is>
          <t>Step 1: The subscriber will regularly receive SMS notifications on their registered mobile phone regarding the activation of the auto-debit facility. An additional mini-statement message will be automatically sent to the mobile device upon every successful monthly deduction of the contribution.</t>
        </is>
      </c>
      <c r="H63" s="8" t="inlineStr">
        <is>
          <t>en.applicationProcess[0].process[8]</t>
        </is>
      </c>
      <c r="I63" s="8" t="inlineStr">
        <is>
          <t>C05@20261028-fc4e9a2d</t>
        </is>
      </c>
      <c r="J63" s="8" t="inlineStr">
        <is>
          <t>MS-C05</t>
        </is>
      </c>
      <c r="K63" s="8" t="inlineStr">
        <is>
          <t>1/1</t>
        </is>
      </c>
      <c r="L63" s="7" t="inlineStr">
        <is>
          <t>Approved</t>
        </is>
      </c>
      <c r="M63" s="7" t="n"/>
      <c r="N63" s="8" t="inlineStr">
        <is>
          <t>Actor, branch and dependency need review.</t>
        </is>
      </c>
    </row>
    <row r="64" ht="82" customHeight="1">
      <c r="A64" s="4" t="inlineStr">
        <is>
          <t>C05</t>
        </is>
      </c>
      <c r="B64" s="4" t="inlineStr">
        <is>
          <t>Pradhan Mantri Shram Yogi Maan-dhan</t>
        </is>
      </c>
      <c r="C64" s="4" t="inlineStr">
        <is>
          <t>C05-P0037</t>
        </is>
      </c>
      <c r="D64" s="4" t="inlineStr">
        <is>
          <t>Online - via CSC</t>
        </is>
      </c>
      <c r="E64" s="4" t="inlineStr"/>
      <c r="F64" s="4" t="inlineStr">
        <is>
          <t>Source step text</t>
        </is>
      </c>
      <c r="G64" s="4" t="inlineStr">
        <is>
          <t>Step 2: The mandatory monthly subscription shall be automatically debited on a fixed date every single month from the subscriber's linked saving account or Jan-Dhan account. The subscriber must proactively maintain sufficient funds in their account to ensure the contribution, along with any applicable penalty or interest, is successfully processed.</t>
        </is>
      </c>
      <c r="H64" s="4" t="inlineStr">
        <is>
          <t>en.applicationProcess[0].process[9]</t>
        </is>
      </c>
      <c r="I64" s="4" t="inlineStr">
        <is>
          <t>C05@20261028-fc4e9a2d</t>
        </is>
      </c>
      <c r="J64" s="4" t="inlineStr">
        <is>
          <t>MS-C05</t>
        </is>
      </c>
      <c r="K64" s="4" t="inlineStr">
        <is>
          <t>1/1</t>
        </is>
      </c>
      <c r="L64" s="7" t="inlineStr">
        <is>
          <t>Approved</t>
        </is>
      </c>
      <c r="M64" s="7" t="n"/>
      <c r="N64" s="4" t="inlineStr">
        <is>
          <t>Actor, branch and dependency need review.</t>
        </is>
      </c>
    </row>
    <row r="65" ht="40" customHeight="1">
      <c r="A65" s="8" t="inlineStr">
        <is>
          <t>C05</t>
        </is>
      </c>
      <c r="B65" s="8" t="inlineStr">
        <is>
          <t>Pradhan Mantri Shram Yogi Maan-dhan</t>
        </is>
      </c>
      <c r="C65" s="8" t="inlineStr">
        <is>
          <t>C05-P0038</t>
        </is>
      </c>
      <c r="D65" s="8" t="inlineStr">
        <is>
          <t>Online - via CSC</t>
        </is>
      </c>
      <c r="E65" s="8" t="inlineStr"/>
      <c r="F65" s="8" t="inlineStr">
        <is>
          <t>Source step text</t>
        </is>
      </c>
      <c r="G65" s="8" t="inlineStr">
        <is>
          <t>Grievance Redressal and Help Support</t>
        </is>
      </c>
      <c r="H65" s="8" t="inlineStr">
        <is>
          <t>en.applicationProcess[0].process[10].children[0]</t>
        </is>
      </c>
      <c r="I65" s="8" t="inlineStr">
        <is>
          <t>C05@20261028-fc4e9a2d</t>
        </is>
      </c>
      <c r="J65" s="8" t="inlineStr">
        <is>
          <t>MS-C05</t>
        </is>
      </c>
      <c r="K65" s="8" t="inlineStr">
        <is>
          <t>1/1</t>
        </is>
      </c>
      <c r="L65" s="7" t="inlineStr">
        <is>
          <t>Approved</t>
        </is>
      </c>
      <c r="M65" s="7" t="n"/>
      <c r="N65" s="8" t="inlineStr">
        <is>
          <t>Actor, branch and dependency need review.</t>
        </is>
      </c>
    </row>
    <row r="66" ht="68" customHeight="1">
      <c r="A66" s="4" t="inlineStr">
        <is>
          <t>C05</t>
        </is>
      </c>
      <c r="B66" s="4" t="inlineStr">
        <is>
          <t>Pradhan Mantri Shram Yogi Maan-dhan</t>
        </is>
      </c>
      <c r="C66" s="4" t="inlineStr">
        <is>
          <t>C05-P0039</t>
        </is>
      </c>
      <c r="D66" s="4" t="inlineStr">
        <is>
          <t>Online - via CSC</t>
        </is>
      </c>
      <c r="E66" s="4" t="inlineStr"/>
      <c r="F66" s="4" t="inlineStr">
        <is>
          <t>Source step text</t>
        </is>
      </c>
      <c r="G66" s="4" t="inlineStr">
        <is>
          <t>A dedicated Call Centre and Project Management Unit actively administer the scheme, supervised tightly by the National Social Security Board. To address any grievances related to the scheme, subscribers can directly contact the official customer care number 1800 267 6888 on a 24*7 basis.</t>
        </is>
      </c>
      <c r="H66" s="4" t="inlineStr">
        <is>
          <t>en.applicationProcess[0].process[11].children[0]</t>
        </is>
      </c>
      <c r="I66" s="4" t="inlineStr">
        <is>
          <t>C05@20261028-fc4e9a2d</t>
        </is>
      </c>
      <c r="J66" s="4" t="inlineStr">
        <is>
          <t>MS-C05</t>
        </is>
      </c>
      <c r="K66" s="4" t="inlineStr">
        <is>
          <t>1/1</t>
        </is>
      </c>
      <c r="L66" s="7" t="inlineStr">
        <is>
          <t>Approved</t>
        </is>
      </c>
      <c r="M66" s="7" t="n"/>
      <c r="N66" s="4" t="inlineStr">
        <is>
          <t>Actor, branch and dependency need review.</t>
        </is>
      </c>
    </row>
    <row r="67" ht="40" customHeight="1">
      <c r="A67" s="8" t="inlineStr">
        <is>
          <t>C05</t>
        </is>
      </c>
      <c r="B67" s="8" t="inlineStr">
        <is>
          <t>Pradhan Mantri Shram Yogi Maan-dhan</t>
        </is>
      </c>
      <c r="C67" s="8" t="inlineStr">
        <is>
          <t>C05-P0040</t>
        </is>
      </c>
      <c r="D67" s="8" t="inlineStr">
        <is>
          <t>Online - via CSC</t>
        </is>
      </c>
      <c r="E67" s="8" t="inlineStr"/>
      <c r="F67" s="8" t="inlineStr">
        <is>
          <t>Source step text</t>
        </is>
      </c>
      <c r="G67" s="8" t="inlineStr">
        <is>
          <t>The dedicated web portal and mobile application will also have a specific built-in facility specifically for registering complaints and raising issues digitally.</t>
        </is>
      </c>
      <c r="H67" s="8" t="inlineStr">
        <is>
          <t>en.applicationProcess[0].process[11].children[1]</t>
        </is>
      </c>
      <c r="I67" s="8" t="inlineStr">
        <is>
          <t>C05@20261028-fc4e9a2d</t>
        </is>
      </c>
      <c r="J67" s="8" t="inlineStr">
        <is>
          <t>MS-C05</t>
        </is>
      </c>
      <c r="K67" s="8" t="inlineStr">
        <is>
          <t>1/1</t>
        </is>
      </c>
      <c r="L67" s="7" t="inlineStr">
        <is>
          <t>Approved</t>
        </is>
      </c>
      <c r="M67" s="7" t="n"/>
      <c r="N67" s="8" t="inlineStr">
        <is>
          <t>Actor, branch and dependency need review.</t>
        </is>
      </c>
    </row>
    <row r="68" ht="40" customHeight="1">
      <c r="A68" s="4" t="inlineStr">
        <is>
          <t>C05</t>
        </is>
      </c>
      <c r="B68" s="4" t="inlineStr">
        <is>
          <t>Pradhan Mantri Shram Yogi Maan-dhan</t>
        </is>
      </c>
      <c r="C68" s="4" t="inlineStr">
        <is>
          <t>C05-P0041</t>
        </is>
      </c>
      <c r="D68" s="4" t="inlineStr">
        <is>
          <t>Online</t>
        </is>
      </c>
      <c r="E68" s="4" t="inlineStr">
        <is>
          <t>Self-Enrollment Login Process:</t>
        </is>
      </c>
      <c r="F68" s="4" t="inlineStr">
        <is>
          <t>Heading / phase</t>
        </is>
      </c>
      <c r="G68" s="4" t="inlineStr">
        <is>
          <t>Self-Enrollment Login Process:</t>
        </is>
      </c>
      <c r="H68" s="4" t="inlineStr">
        <is>
          <t>en.applicationProcess[1].process[0]</t>
        </is>
      </c>
      <c r="I68" s="4" t="inlineStr">
        <is>
          <t>C05@20261028-fc4e9a2d</t>
        </is>
      </c>
      <c r="J68" s="4" t="inlineStr">
        <is>
          <t>MS-C05</t>
        </is>
      </c>
      <c r="K68" s="4" t="inlineStr">
        <is>
          <t>1/1</t>
        </is>
      </c>
      <c r="L68" s="7" t="inlineStr">
        <is>
          <t>Approved</t>
        </is>
      </c>
      <c r="M68" s="7" t="n"/>
      <c r="N68" s="4" t="inlineStr">
        <is>
          <t>Actor, branch and dependency need review.</t>
        </is>
      </c>
    </row>
    <row r="69" ht="40" customHeight="1">
      <c r="A69" s="8" t="inlineStr">
        <is>
          <t>C05</t>
        </is>
      </c>
      <c r="B69" s="8" t="inlineStr">
        <is>
          <t>Pradhan Mantri Shram Yogi Maan-dhan</t>
        </is>
      </c>
      <c r="C69" s="8" t="inlineStr">
        <is>
          <t>C05-P0042</t>
        </is>
      </c>
      <c r="D69" s="8" t="inlineStr">
        <is>
          <t>Online</t>
        </is>
      </c>
      <c r="E69" s="8" t="inlineStr">
        <is>
          <t>Self-Enrollment Login Process:</t>
        </is>
      </c>
      <c r="F69" s="8" t="inlineStr">
        <is>
          <t>Source step text</t>
        </is>
      </c>
      <c r="G69" s="8" t="inlineStr">
        <is>
          <t>Visit the Maandhan Homepage</t>
        </is>
      </c>
      <c r="H69" s="8" t="inlineStr">
        <is>
          <t>en.applicationProcess[1].process[1].children[0]</t>
        </is>
      </c>
      <c r="I69" s="8" t="inlineStr">
        <is>
          <t>C05@20261028-fc4e9a2d</t>
        </is>
      </c>
      <c r="J69" s="8" t="inlineStr">
        <is>
          <t>MS-C05</t>
        </is>
      </c>
      <c r="K69" s="8" t="inlineStr">
        <is>
          <t>1/1</t>
        </is>
      </c>
      <c r="L69" s="7" t="inlineStr">
        <is>
          <t>Approved</t>
        </is>
      </c>
      <c r="M69" s="7" t="n"/>
      <c r="N69" s="8" t="inlineStr">
        <is>
          <t>Actor, branch and dependency need review.</t>
        </is>
      </c>
    </row>
    <row r="70" ht="40" customHeight="1">
      <c r="A70" s="4" t="inlineStr">
        <is>
          <t>C05</t>
        </is>
      </c>
      <c r="B70" s="4" t="inlineStr">
        <is>
          <t>Pradhan Mantri Shram Yogi Maan-dhan</t>
        </is>
      </c>
      <c r="C70" s="4" t="inlineStr">
        <is>
          <t>C05-P0043</t>
        </is>
      </c>
      <c r="D70" s="4" t="inlineStr">
        <is>
          <t>Online</t>
        </is>
      </c>
      <c r="E70" s="4" t="inlineStr">
        <is>
          <t>Self-Enrollment Login Process:</t>
        </is>
      </c>
      <c r="F70" s="4" t="inlineStr">
        <is>
          <t>Source step text</t>
        </is>
      </c>
      <c r="G70" s="4" t="inlineStr">
        <is>
          <t>Click on Login. The Maandhan Login screen will appear.</t>
        </is>
      </c>
      <c r="H70" s="4" t="inlineStr">
        <is>
          <t>en.applicationProcess[1].process[1].children[1]</t>
        </is>
      </c>
      <c r="I70" s="4" t="inlineStr">
        <is>
          <t>C05@20261028-fc4e9a2d</t>
        </is>
      </c>
      <c r="J70" s="4" t="inlineStr">
        <is>
          <t>MS-C05</t>
        </is>
      </c>
      <c r="K70" s="4" t="inlineStr">
        <is>
          <t>1/1</t>
        </is>
      </c>
      <c r="L70" s="7" t="inlineStr">
        <is>
          <t>Approved</t>
        </is>
      </c>
      <c r="M70" s="7" t="n"/>
      <c r="N70" s="4" t="inlineStr">
        <is>
          <t>Actor, branch and dependency need review.</t>
        </is>
      </c>
    </row>
    <row r="71" ht="40" customHeight="1">
      <c r="A71" s="8" t="inlineStr">
        <is>
          <t>C05</t>
        </is>
      </c>
      <c r="B71" s="8" t="inlineStr">
        <is>
          <t>Pradhan Mantri Shram Yogi Maan-dhan</t>
        </is>
      </c>
      <c r="C71" s="8" t="inlineStr">
        <is>
          <t>C05-P0044</t>
        </is>
      </c>
      <c r="D71" s="8" t="inlineStr">
        <is>
          <t>Online</t>
        </is>
      </c>
      <c r="E71" s="8" t="inlineStr">
        <is>
          <t>Self-Enrollment Login Process:</t>
        </is>
      </c>
      <c r="F71" s="8" t="inlineStr">
        <is>
          <t>Source step text</t>
        </is>
      </c>
      <c r="G71" s="8" t="inlineStr">
        <is>
          <t>Click on Self Enrollment.</t>
        </is>
      </c>
      <c r="H71" s="8" t="inlineStr">
        <is>
          <t>en.applicationProcess[1].process[1].children[2]</t>
        </is>
      </c>
      <c r="I71" s="8" t="inlineStr">
        <is>
          <t>C05@20261028-fc4e9a2d</t>
        </is>
      </c>
      <c r="J71" s="8" t="inlineStr">
        <is>
          <t>MS-C05</t>
        </is>
      </c>
      <c r="K71" s="8" t="inlineStr">
        <is>
          <t>1/1</t>
        </is>
      </c>
      <c r="L71" s="7" t="inlineStr">
        <is>
          <t>Approved</t>
        </is>
      </c>
      <c r="M71" s="7" t="n"/>
      <c r="N71" s="8" t="inlineStr">
        <is>
          <t>Actor, branch and dependency need review.</t>
        </is>
      </c>
    </row>
    <row r="72" ht="40" customHeight="1">
      <c r="A72" s="4" t="inlineStr">
        <is>
          <t>C05</t>
        </is>
      </c>
      <c r="B72" s="4" t="inlineStr">
        <is>
          <t>Pradhan Mantri Shram Yogi Maan-dhan</t>
        </is>
      </c>
      <c r="C72" s="4" t="inlineStr">
        <is>
          <t>C05-P0045</t>
        </is>
      </c>
      <c r="D72" s="4" t="inlineStr">
        <is>
          <t>Online</t>
        </is>
      </c>
      <c r="E72" s="4" t="inlineStr">
        <is>
          <t>Self-Enrollment Login Process:</t>
        </is>
      </c>
      <c r="F72" s="4" t="inlineStr">
        <is>
          <t>Source step text</t>
        </is>
      </c>
      <c r="G72" s="4" t="inlineStr">
        <is>
          <t>Enter your Mobile Number.</t>
        </is>
      </c>
      <c r="H72" s="4" t="inlineStr">
        <is>
          <t>en.applicationProcess[1].process[1].children[3]</t>
        </is>
      </c>
      <c r="I72" s="4" t="inlineStr">
        <is>
          <t>C05@20261028-fc4e9a2d</t>
        </is>
      </c>
      <c r="J72" s="4" t="inlineStr">
        <is>
          <t>MS-C05</t>
        </is>
      </c>
      <c r="K72" s="4" t="inlineStr">
        <is>
          <t>1/1</t>
        </is>
      </c>
      <c r="L72" s="7" t="inlineStr">
        <is>
          <t>Approved</t>
        </is>
      </c>
      <c r="M72" s="7" t="n"/>
      <c r="N72" s="4" t="inlineStr">
        <is>
          <t>Actor, branch and dependency need review.</t>
        </is>
      </c>
    </row>
    <row r="73" ht="40" customHeight="1">
      <c r="A73" s="8" t="inlineStr">
        <is>
          <t>C05</t>
        </is>
      </c>
      <c r="B73" s="8" t="inlineStr">
        <is>
          <t>Pradhan Mantri Shram Yogi Maan-dhan</t>
        </is>
      </c>
      <c r="C73" s="8" t="inlineStr">
        <is>
          <t>C05-P0046</t>
        </is>
      </c>
      <c r="D73" s="8" t="inlineStr">
        <is>
          <t>Online</t>
        </is>
      </c>
      <c r="E73" s="8" t="inlineStr">
        <is>
          <t>Self-Enrollment Login Process:</t>
        </is>
      </c>
      <c r="F73" s="8" t="inlineStr">
        <is>
          <t>Source step text</t>
        </is>
      </c>
      <c r="G73" s="8" t="inlineStr">
        <is>
          <t>Enter the OTP received on your registered mobile number.</t>
        </is>
      </c>
      <c r="H73" s="8" t="inlineStr">
        <is>
          <t>en.applicationProcess[1].process[1].children[4]</t>
        </is>
      </c>
      <c r="I73" s="8" t="inlineStr">
        <is>
          <t>C05@20261028-fc4e9a2d</t>
        </is>
      </c>
      <c r="J73" s="8" t="inlineStr">
        <is>
          <t>MS-C05</t>
        </is>
      </c>
      <c r="K73" s="8" t="inlineStr">
        <is>
          <t>1/1</t>
        </is>
      </c>
      <c r="L73" s="7" t="inlineStr">
        <is>
          <t>Approved</t>
        </is>
      </c>
      <c r="M73" s="7" t="n"/>
      <c r="N73" s="8" t="inlineStr">
        <is>
          <t>Actor, branch and dependency need review.</t>
        </is>
      </c>
    </row>
    <row r="74" ht="40" customHeight="1">
      <c r="A74" s="4" t="inlineStr">
        <is>
          <t>C05</t>
        </is>
      </c>
      <c r="B74" s="4" t="inlineStr">
        <is>
          <t>Pradhan Mantri Shram Yogi Maan-dhan</t>
        </is>
      </c>
      <c r="C74" s="4" t="inlineStr">
        <is>
          <t>C05-P0047</t>
        </is>
      </c>
      <c r="D74" s="4" t="inlineStr">
        <is>
          <t>Online</t>
        </is>
      </c>
      <c r="E74" s="4" t="inlineStr">
        <is>
          <t>Self-Enrollment Login Process:</t>
        </is>
      </c>
      <c r="F74" s="4" t="inlineStr">
        <is>
          <t>Source step text</t>
        </is>
      </c>
      <c r="G74" s="4" t="inlineStr">
        <is>
          <t>Click on Proceed.</t>
        </is>
      </c>
      <c r="H74" s="4" t="inlineStr">
        <is>
          <t>en.applicationProcess[1].process[1].children[5]</t>
        </is>
      </c>
      <c r="I74" s="4" t="inlineStr">
        <is>
          <t>C05@20261028-fc4e9a2d</t>
        </is>
      </c>
      <c r="J74" s="4" t="inlineStr">
        <is>
          <t>MS-C05</t>
        </is>
      </c>
      <c r="K74" s="4" t="inlineStr">
        <is>
          <t>1/1</t>
        </is>
      </c>
      <c r="L74" s="7" t="inlineStr">
        <is>
          <t>Approved</t>
        </is>
      </c>
      <c r="M74" s="7" t="n"/>
      <c r="N74" s="4" t="inlineStr">
        <is>
          <t>Actor, branch and dependency need review.</t>
        </is>
      </c>
    </row>
    <row r="75" ht="40" customHeight="1">
      <c r="A75" s="8" t="inlineStr">
        <is>
          <t>C05</t>
        </is>
      </c>
      <c r="B75" s="8" t="inlineStr">
        <is>
          <t>Pradhan Mantri Shram Yogi Maan-dhan</t>
        </is>
      </c>
      <c r="C75" s="8" t="inlineStr">
        <is>
          <t>C05-P0048</t>
        </is>
      </c>
      <c r="D75" s="8" t="inlineStr">
        <is>
          <t>Online</t>
        </is>
      </c>
      <c r="E75" s="8" t="inlineStr">
        <is>
          <t>Self-Enrollment Login Process:</t>
        </is>
      </c>
      <c r="F75" s="8" t="inlineStr">
        <is>
          <t>Source step text</t>
        </is>
      </c>
      <c r="G75" s="8" t="inlineStr">
        <is>
          <t>Complete Self Enrollment</t>
        </is>
      </c>
      <c r="H75" s="8" t="inlineStr">
        <is>
          <t>en.applicationProcess[1].process[1].children[6]</t>
        </is>
      </c>
      <c r="I75" s="8" t="inlineStr">
        <is>
          <t>C05@20261028-fc4e9a2d</t>
        </is>
      </c>
      <c r="J75" s="8" t="inlineStr">
        <is>
          <t>MS-C05</t>
        </is>
      </c>
      <c r="K75" s="8" t="inlineStr">
        <is>
          <t>1/1</t>
        </is>
      </c>
      <c r="L75" s="7" t="inlineStr">
        <is>
          <t>Approved</t>
        </is>
      </c>
      <c r="M75" s="7" t="n"/>
      <c r="N75" s="8" t="inlineStr">
        <is>
          <t>Actor, branch and dependency need review.</t>
        </is>
      </c>
    </row>
    <row r="76" ht="40" customHeight="1">
      <c r="A76" s="4" t="inlineStr">
        <is>
          <t>C05</t>
        </is>
      </c>
      <c r="B76" s="4" t="inlineStr">
        <is>
          <t>Pradhan Mantri Shram Yogi Maan-dhan</t>
        </is>
      </c>
      <c r="C76" s="4" t="inlineStr">
        <is>
          <t>C05-P0049</t>
        </is>
      </c>
      <c r="D76" s="4" t="inlineStr">
        <is>
          <t>Online</t>
        </is>
      </c>
      <c r="E76" s="4" t="inlineStr">
        <is>
          <t>Self-Enrollment Login Process:</t>
        </is>
      </c>
      <c r="F76" s="4" t="inlineStr">
        <is>
          <t>Source step text</t>
        </is>
      </c>
      <c r="G76" s="4" t="inlineStr">
        <is>
          <t>Note:</t>
        </is>
      </c>
      <c r="H76" s="4" t="inlineStr">
        <is>
          <t>en.applicationProcess[1].process[2].children[0]</t>
        </is>
      </c>
      <c r="I76" s="4" t="inlineStr">
        <is>
          <t>C05@20261028-fc4e9a2d</t>
        </is>
      </c>
      <c r="J76" s="4" t="inlineStr">
        <is>
          <t>MS-C05</t>
        </is>
      </c>
      <c r="K76" s="4" t="inlineStr">
        <is>
          <t>1/1</t>
        </is>
      </c>
      <c r="L76" s="7" t="inlineStr">
        <is>
          <t>Approved</t>
        </is>
      </c>
      <c r="M76" s="7" t="n"/>
      <c r="N76" s="4" t="inlineStr">
        <is>
          <t>Actor, branch and dependency need review.</t>
        </is>
      </c>
    </row>
    <row r="77" ht="40" customHeight="1">
      <c r="A77" s="8" t="inlineStr">
        <is>
          <t>C05</t>
        </is>
      </c>
      <c r="B77" s="8" t="inlineStr">
        <is>
          <t>Pradhan Mantri Shram Yogi Maan-dhan</t>
        </is>
      </c>
      <c r="C77" s="8" t="inlineStr">
        <is>
          <t>C05-P0051</t>
        </is>
      </c>
      <c r="D77" s="8" t="inlineStr">
        <is>
          <t>Online</t>
        </is>
      </c>
      <c r="E77" s="8" t="inlineStr">
        <is>
          <t>Self-Enrollment Login Process:</t>
        </is>
      </c>
      <c r="F77" s="8" t="inlineStr">
        <is>
          <t>Source step text</t>
        </is>
      </c>
      <c r="G77" s="8" t="inlineStr">
        <is>
          <t>Maandhan User Manual</t>
        </is>
      </c>
      <c r="H77" s="8" t="inlineStr">
        <is>
          <t>en.applicationProcess[1].process[2].children[2].children[0]</t>
        </is>
      </c>
      <c r="I77" s="8" t="inlineStr">
        <is>
          <t>C05@20261028-fc4e9a2d</t>
        </is>
      </c>
      <c r="J77" s="8" t="inlineStr">
        <is>
          <t>MS-C05</t>
        </is>
      </c>
      <c r="K77" s="8" t="inlineStr">
        <is>
          <t>1/1</t>
        </is>
      </c>
      <c r="L77" s="7" t="inlineStr">
        <is>
          <t>Approved</t>
        </is>
      </c>
      <c r="M77" s="7" t="n"/>
      <c r="N77" s="8" t="inlineStr">
        <is>
          <t>Actor, branch and dependency need review.</t>
        </is>
      </c>
    </row>
    <row r="78" ht="40" customHeight="1">
      <c r="A78" s="4" t="inlineStr">
        <is>
          <t>C06</t>
        </is>
      </c>
      <c r="B78" s="4" t="inlineStr">
        <is>
          <t>Indira Gandhi National Widow Pension Scheme</t>
        </is>
      </c>
      <c r="C78" s="4" t="inlineStr">
        <is>
          <t>C06-P0012</t>
        </is>
      </c>
      <c r="D78" s="4" t="inlineStr">
        <is>
          <t>Online</t>
        </is>
      </c>
      <c r="E78" s="4" t="inlineStr"/>
      <c r="F78" s="4" t="inlineStr">
        <is>
          <t>Source step text</t>
        </is>
      </c>
      <c r="G78" s="4" t="inlineStr">
        <is>
          <t>One can download UMANG App or visit website https://web.umang.gov.in/web_new/home</t>
        </is>
      </c>
      <c r="H78" s="4" t="inlineStr">
        <is>
          <t>en.applicationProcess[0].process[0].children[0]</t>
        </is>
      </c>
      <c r="I78" s="4" t="inlineStr">
        <is>
          <t>C06@20261028-7c399dda</t>
        </is>
      </c>
      <c r="J78" s="4" t="inlineStr">
        <is>
          <t>MS-C06</t>
        </is>
      </c>
      <c r="K78" s="4" t="inlineStr">
        <is>
          <t>1/1</t>
        </is>
      </c>
      <c r="L78" s="7" t="inlineStr">
        <is>
          <t>Approved</t>
        </is>
      </c>
      <c r="M78" s="7" t="n"/>
      <c r="N78" s="4" t="inlineStr">
        <is>
          <t>Actor, branch and dependency need review.</t>
        </is>
      </c>
    </row>
    <row r="79" ht="40" customHeight="1">
      <c r="A79" s="8" t="inlineStr">
        <is>
          <t>C06</t>
        </is>
      </c>
      <c r="B79" s="8" t="inlineStr">
        <is>
          <t>Indira Gandhi National Widow Pension Scheme</t>
        </is>
      </c>
      <c r="C79" s="8" t="inlineStr">
        <is>
          <t>C06-P0013</t>
        </is>
      </c>
      <c r="D79" s="8" t="inlineStr">
        <is>
          <t>Online</t>
        </is>
      </c>
      <c r="E79" s="8" t="inlineStr"/>
      <c r="F79" s="8" t="inlineStr">
        <is>
          <t>Source step text</t>
        </is>
      </c>
      <c r="G79" s="8" t="inlineStr">
        <is>
          <t>The citizen can login using mobile number and OTP.</t>
        </is>
      </c>
      <c r="H79" s="8" t="inlineStr">
        <is>
          <t>en.applicationProcess[0].process[0].children[1]</t>
        </is>
      </c>
      <c r="I79" s="8" t="inlineStr">
        <is>
          <t>C06@20261028-7c399dda</t>
        </is>
      </c>
      <c r="J79" s="8" t="inlineStr">
        <is>
          <t>MS-C06</t>
        </is>
      </c>
      <c r="K79" s="8" t="inlineStr">
        <is>
          <t>1/1</t>
        </is>
      </c>
      <c r="L79" s="7" t="inlineStr">
        <is>
          <t>Approved</t>
        </is>
      </c>
      <c r="M79" s="7" t="n"/>
      <c r="N79" s="8" t="inlineStr">
        <is>
          <t>Actor, branch and dependency need review.</t>
        </is>
      </c>
    </row>
    <row r="80" ht="40" customHeight="1">
      <c r="A80" s="4" t="inlineStr">
        <is>
          <t>C06</t>
        </is>
      </c>
      <c r="B80" s="4" t="inlineStr">
        <is>
          <t>Indira Gandhi National Widow Pension Scheme</t>
        </is>
      </c>
      <c r="C80" s="4" t="inlineStr">
        <is>
          <t>C06-P0014</t>
        </is>
      </c>
      <c r="D80" s="4" t="inlineStr">
        <is>
          <t>Online</t>
        </is>
      </c>
      <c r="E80" s="4" t="inlineStr"/>
      <c r="F80" s="4" t="inlineStr">
        <is>
          <t>Source step text</t>
        </is>
      </c>
      <c r="G80" s="4" t="inlineStr">
        <is>
          <t>Once logged In, citizen can search for NSAP.</t>
        </is>
      </c>
      <c r="H80" s="4" t="inlineStr">
        <is>
          <t>en.applicationProcess[0].process[0].children[2]</t>
        </is>
      </c>
      <c r="I80" s="4" t="inlineStr">
        <is>
          <t>C06@20261028-7c399dda</t>
        </is>
      </c>
      <c r="J80" s="4" t="inlineStr">
        <is>
          <t>MS-C06</t>
        </is>
      </c>
      <c r="K80" s="4" t="inlineStr">
        <is>
          <t>1/1</t>
        </is>
      </c>
      <c r="L80" s="7" t="inlineStr">
        <is>
          <t>Approved</t>
        </is>
      </c>
      <c r="M80" s="7" t="n"/>
      <c r="N80" s="4" t="inlineStr">
        <is>
          <t>Actor, branch and dependency need review.</t>
        </is>
      </c>
    </row>
    <row r="81" ht="40" customHeight="1">
      <c r="A81" s="8" t="inlineStr">
        <is>
          <t>C06</t>
        </is>
      </c>
      <c r="B81" s="8" t="inlineStr">
        <is>
          <t>Indira Gandhi National Widow Pension Scheme</t>
        </is>
      </c>
      <c r="C81" s="8" t="inlineStr">
        <is>
          <t>C06-P0015</t>
        </is>
      </c>
      <c r="D81" s="8" t="inlineStr">
        <is>
          <t>Online</t>
        </is>
      </c>
      <c r="E81" s="8" t="inlineStr"/>
      <c r="F81" s="8" t="inlineStr">
        <is>
          <t>Source step text</t>
        </is>
      </c>
      <c r="G81" s="8" t="inlineStr">
        <is>
          <t>Click on “Apply Online”</t>
        </is>
      </c>
      <c r="H81" s="8" t="inlineStr">
        <is>
          <t>en.applicationProcess[0].process[0].children[3]</t>
        </is>
      </c>
      <c r="I81" s="8" t="inlineStr">
        <is>
          <t>C06@20261028-7c399dda</t>
        </is>
      </c>
      <c r="J81" s="8" t="inlineStr">
        <is>
          <t>MS-C06</t>
        </is>
      </c>
      <c r="K81" s="8" t="inlineStr">
        <is>
          <t>1/1</t>
        </is>
      </c>
      <c r="L81" s="7" t="inlineStr">
        <is>
          <t>Approved</t>
        </is>
      </c>
      <c r="M81" s="7" t="n"/>
      <c r="N81" s="8" t="inlineStr">
        <is>
          <t>Actor, branch and dependency need review.</t>
        </is>
      </c>
    </row>
    <row r="82" ht="40" customHeight="1">
      <c r="A82" s="4" t="inlineStr">
        <is>
          <t>C06</t>
        </is>
      </c>
      <c r="B82" s="4" t="inlineStr">
        <is>
          <t>Indira Gandhi National Widow Pension Scheme</t>
        </is>
      </c>
      <c r="C82" s="4" t="inlineStr">
        <is>
          <t>C06-P0016</t>
        </is>
      </c>
      <c r="D82" s="4" t="inlineStr">
        <is>
          <t>Online</t>
        </is>
      </c>
      <c r="E82" s="4" t="inlineStr"/>
      <c r="F82" s="4" t="inlineStr">
        <is>
          <t>Source step text</t>
        </is>
      </c>
      <c r="G82" s="4" t="inlineStr">
        <is>
          <t>Fill the basic details, choose the mode of payment of pension, upload photo and click on “Submit”.</t>
        </is>
      </c>
      <c r="H82" s="4" t="inlineStr">
        <is>
          <t>en.applicationProcess[0].process[0].children[4]</t>
        </is>
      </c>
      <c r="I82" s="4" t="inlineStr">
        <is>
          <t>C06@20261028-7c399dda</t>
        </is>
      </c>
      <c r="J82" s="4" t="inlineStr">
        <is>
          <t>MS-C06</t>
        </is>
      </c>
      <c r="K82" s="4" t="inlineStr">
        <is>
          <t>1/1</t>
        </is>
      </c>
      <c r="L82" s="7" t="inlineStr">
        <is>
          <t>Approved</t>
        </is>
      </c>
      <c r="M82" s="7" t="n"/>
      <c r="N82" s="4" t="inlineStr">
        <is>
          <t>Actor, branch and dependency need review.</t>
        </is>
      </c>
    </row>
    <row r="83" ht="54" customHeight="1">
      <c r="A83" s="8" t="inlineStr">
        <is>
          <t>C06</t>
        </is>
      </c>
      <c r="B83" s="8" t="inlineStr">
        <is>
          <t>Indira Gandhi National Widow Pension Scheme</t>
        </is>
      </c>
      <c r="C83" s="8" t="inlineStr">
        <is>
          <t>C06-P0017</t>
        </is>
      </c>
      <c r="D83" s="8" t="inlineStr">
        <is>
          <t>Offline</t>
        </is>
      </c>
      <c r="E83" s="8" t="inlineStr"/>
      <c r="F83" s="8" t="inlineStr">
        <is>
          <t>Source step text</t>
        </is>
      </c>
      <c r="G83" s="8" t="inlineStr">
        <is>
          <t>Individuals can submit completely filled applications to the Gram Panchayat / Block Office in the rural area and the Municipality / Municipal Council in the urban area, as per eligibility.</t>
        </is>
      </c>
      <c r="H83" s="8" t="inlineStr">
        <is>
          <t>en.applicationProcess[1].process[0].children[0]</t>
        </is>
      </c>
      <c r="I83" s="8" t="inlineStr">
        <is>
          <t>C06@20261028-7c399dda</t>
        </is>
      </c>
      <c r="J83" s="8" t="inlineStr">
        <is>
          <t>MS-C06</t>
        </is>
      </c>
      <c r="K83" s="8" t="inlineStr">
        <is>
          <t>1/1</t>
        </is>
      </c>
      <c r="L83" s="7" t="inlineStr">
        <is>
          <t>Approved</t>
        </is>
      </c>
      <c r="M83" s="7" t="n"/>
      <c r="N83" s="8" t="inlineStr">
        <is>
          <t>Actor, branch and dependency need review.</t>
        </is>
      </c>
    </row>
    <row r="84" ht="40" customHeight="1">
      <c r="A84" s="4" t="inlineStr">
        <is>
          <t>C06</t>
        </is>
      </c>
      <c r="B84" s="4" t="inlineStr">
        <is>
          <t>Indira Gandhi National Widow Pension Scheme</t>
        </is>
      </c>
      <c r="C84" s="4" t="inlineStr">
        <is>
          <t>C06-P0018</t>
        </is>
      </c>
      <c r="D84" s="4" t="inlineStr">
        <is>
          <t>Offline</t>
        </is>
      </c>
      <c r="E84" s="4" t="inlineStr"/>
      <c r="F84" s="4" t="inlineStr">
        <is>
          <t>Source step text</t>
        </is>
      </c>
      <c r="G84" s="4" t="inlineStr">
        <is>
          <t>A Verification Officer or Verification Team under an authorized officer verifies the applications with reference to facts related to eligibility</t>
        </is>
      </c>
      <c r="H84" s="4" t="inlineStr">
        <is>
          <t>en.applicationProcess[1].process[0].children[1]</t>
        </is>
      </c>
      <c r="I84" s="4" t="inlineStr">
        <is>
          <t>C06@20261028-7c399dda</t>
        </is>
      </c>
      <c r="J84" s="4" t="inlineStr">
        <is>
          <t>MS-C06</t>
        </is>
      </c>
      <c r="K84" s="4" t="inlineStr">
        <is>
          <t>1/1</t>
        </is>
      </c>
      <c r="L84" s="7" t="inlineStr">
        <is>
          <t>Approved</t>
        </is>
      </c>
      <c r="M84" s="7" t="n"/>
      <c r="N84" s="4" t="inlineStr">
        <is>
          <t>Actor, branch and dependency need review.</t>
        </is>
      </c>
    </row>
    <row r="85" ht="40" customHeight="1">
      <c r="A85" s="8" t="inlineStr">
        <is>
          <t>C06</t>
        </is>
      </c>
      <c r="B85" s="8" t="inlineStr">
        <is>
          <t>Indira Gandhi National Widow Pension Scheme</t>
        </is>
      </c>
      <c r="C85" s="8" t="inlineStr">
        <is>
          <t>C06-P0019</t>
        </is>
      </c>
      <c r="D85" s="8" t="inlineStr">
        <is>
          <t>Offline</t>
        </is>
      </c>
      <c r="E85" s="8" t="inlineStr"/>
      <c r="F85" s="8" t="inlineStr">
        <is>
          <t>Source step text</t>
        </is>
      </c>
      <c r="G85" s="8" t="inlineStr">
        <is>
          <t>The Verification Officer make the necessary recommendation for sanction or rejection with reasons.</t>
        </is>
      </c>
      <c r="H85" s="8" t="inlineStr">
        <is>
          <t>en.applicationProcess[1].process[0].children[2]</t>
        </is>
      </c>
      <c r="I85" s="8" t="inlineStr">
        <is>
          <t>C06@20261028-7c399dda</t>
        </is>
      </c>
      <c r="J85" s="8" t="inlineStr">
        <is>
          <t>MS-C06</t>
        </is>
      </c>
      <c r="K85" s="8" t="inlineStr">
        <is>
          <t>1/1</t>
        </is>
      </c>
      <c r="L85" s="7" t="inlineStr">
        <is>
          <t>Approved</t>
        </is>
      </c>
      <c r="M85" s="7" t="n"/>
      <c r="N85" s="8" t="inlineStr">
        <is>
          <t>Actor, branch and dependency need review.</t>
        </is>
      </c>
    </row>
    <row r="86" ht="54" customHeight="1">
      <c r="A86" s="4" t="inlineStr">
        <is>
          <t>C06</t>
        </is>
      </c>
      <c r="B86" s="4" t="inlineStr">
        <is>
          <t>Indira Gandhi National Widow Pension Scheme</t>
        </is>
      </c>
      <c r="C86" s="4" t="inlineStr">
        <is>
          <t>C06-P0020</t>
        </is>
      </c>
      <c r="D86" s="4" t="inlineStr">
        <is>
          <t>Offline</t>
        </is>
      </c>
      <c r="E86" s="4" t="inlineStr"/>
      <c r="F86" s="4" t="inlineStr">
        <is>
          <t>Source step text</t>
        </is>
      </c>
      <c r="G86" s="4" t="inlineStr">
        <is>
          <t>The list of applicants with the recommendations of the Verifying Authority is discussed in the Gram Sabha in rural areas or Ward Sabha / Area Sabha as designated by the State Government in urban areas and thereafter in the Gram Panchayats and Municipalities.</t>
        </is>
      </c>
      <c r="H86" s="4" t="inlineStr">
        <is>
          <t>en.applicationProcess[1].process[0].children[3]</t>
        </is>
      </c>
      <c r="I86" s="4" t="inlineStr">
        <is>
          <t>C06@20261028-7c399dda</t>
        </is>
      </c>
      <c r="J86" s="4" t="inlineStr">
        <is>
          <t>MS-C06</t>
        </is>
      </c>
      <c r="K86" s="4" t="inlineStr">
        <is>
          <t>1/1</t>
        </is>
      </c>
      <c r="L86" s="7" t="inlineStr">
        <is>
          <t>Approved</t>
        </is>
      </c>
      <c r="M86" s="7" t="n"/>
      <c r="N86" s="4" t="inlineStr">
        <is>
          <t>Actor, branch and dependency need review.</t>
        </is>
      </c>
    </row>
    <row r="87" ht="54" customHeight="1">
      <c r="A87" s="8" t="inlineStr">
        <is>
          <t>C06</t>
        </is>
      </c>
      <c r="B87" s="8" t="inlineStr">
        <is>
          <t>Indira Gandhi National Widow Pension Scheme</t>
        </is>
      </c>
      <c r="C87" s="8" t="inlineStr">
        <is>
          <t>C06-P0021</t>
        </is>
      </c>
      <c r="D87" s="8" t="inlineStr">
        <is>
          <t>Offline</t>
        </is>
      </c>
      <c r="E87" s="8" t="inlineStr"/>
      <c r="F87" s="8" t="inlineStr">
        <is>
          <t>Source step text</t>
        </is>
      </c>
      <c r="G87" s="8" t="inlineStr">
        <is>
          <t>If the time limits are not adhered to by Gram Sabha / Ward Sabhas, Gram Panchayats / Municipalities the Verification Officer directly submits his recommendations to the Sanctioning Authority under intimation to the Gram Panchayat / Municipality.</t>
        </is>
      </c>
      <c r="H87" s="8" t="inlineStr">
        <is>
          <t>en.applicationProcess[1].process[0].children[4]</t>
        </is>
      </c>
      <c r="I87" s="8" t="inlineStr">
        <is>
          <t>C06@20261028-7c399dda</t>
        </is>
      </c>
      <c r="J87" s="8" t="inlineStr">
        <is>
          <t>MS-C06</t>
        </is>
      </c>
      <c r="K87" s="8" t="inlineStr">
        <is>
          <t>1/1</t>
        </is>
      </c>
      <c r="L87" s="7" t="inlineStr">
        <is>
          <t>Approved</t>
        </is>
      </c>
      <c r="M87" s="7" t="n"/>
      <c r="N87" s="8" t="inlineStr">
        <is>
          <t>Actor, branch and dependency need review.</t>
        </is>
      </c>
    </row>
    <row r="88" ht="68" customHeight="1">
      <c r="A88" s="4" t="inlineStr">
        <is>
          <t>C06</t>
        </is>
      </c>
      <c r="B88" s="4" t="inlineStr">
        <is>
          <t>Indira Gandhi National Widow Pension Scheme</t>
        </is>
      </c>
      <c r="C88" s="4" t="inlineStr">
        <is>
          <t>C06-P0022</t>
        </is>
      </c>
      <c r="D88" s="4" t="inlineStr">
        <is>
          <t>Offline</t>
        </is>
      </c>
      <c r="E88" s="4" t="inlineStr"/>
      <c r="F88" s="4" t="inlineStr">
        <is>
          <t>Source step text</t>
        </is>
      </c>
      <c r="G88" s="4" t="inlineStr">
        <is>
          <t>After receipt of applications which are verified and recommended by the Gram Sabha / Ward Committee / Area Sabha, the Sanctioning Authority convey approval to the applicant in the form of a Sanction Order with a copy to Gram Panchayat / Municipality concerned.</t>
        </is>
      </c>
      <c r="H88" s="4" t="inlineStr">
        <is>
          <t>en.applicationProcess[1].process[0].children[5]</t>
        </is>
      </c>
      <c r="I88" s="4" t="inlineStr">
        <is>
          <t>C06@20261028-7c399dda</t>
        </is>
      </c>
      <c r="J88" s="4" t="inlineStr">
        <is>
          <t>MS-C06</t>
        </is>
      </c>
      <c r="K88" s="4" t="inlineStr">
        <is>
          <t>1/1</t>
        </is>
      </c>
      <c r="L88" s="7" t="inlineStr">
        <is>
          <t>Approved</t>
        </is>
      </c>
      <c r="M88" s="7" t="n"/>
      <c r="N88" s="4" t="inlineStr">
        <is>
          <t>Actor, branch and dependency need review.</t>
        </is>
      </c>
    </row>
    <row r="89" ht="40" customHeight="1">
      <c r="A89" s="8" t="inlineStr">
        <is>
          <t>C06</t>
        </is>
      </c>
      <c r="B89" s="8" t="inlineStr">
        <is>
          <t>Indira Gandhi National Widow Pension Scheme</t>
        </is>
      </c>
      <c r="C89" s="8" t="inlineStr">
        <is>
          <t>C06-P0023</t>
        </is>
      </c>
      <c r="D89" s="8" t="inlineStr">
        <is>
          <t>Offline</t>
        </is>
      </c>
      <c r="E89" s="8" t="inlineStr"/>
      <c r="F89" s="8" t="inlineStr">
        <is>
          <t>Source step text</t>
        </is>
      </c>
      <c r="G89" s="8" t="inlineStr">
        <is>
          <t>The Sanctioning Authority issues Sanction Order under his seal</t>
        </is>
      </c>
      <c r="H89" s="8" t="inlineStr">
        <is>
          <t>en.applicationProcess[1].process[0].children[6]</t>
        </is>
      </c>
      <c r="I89" s="8" t="inlineStr">
        <is>
          <t>C06@20261028-7c399dda</t>
        </is>
      </c>
      <c r="J89" s="8" t="inlineStr">
        <is>
          <t>MS-C06</t>
        </is>
      </c>
      <c r="K89" s="8" t="inlineStr">
        <is>
          <t>1/1</t>
        </is>
      </c>
      <c r="L89" s="7" t="inlineStr">
        <is>
          <t>Approved</t>
        </is>
      </c>
      <c r="M89" s="7" t="n"/>
      <c r="N89" s="8" t="inlineStr">
        <is>
          <t>Actor, branch and dependency need review.</t>
        </is>
      </c>
    </row>
    <row r="90" ht="54" customHeight="1">
      <c r="A90" s="4" t="inlineStr">
        <is>
          <t>C06</t>
        </is>
      </c>
      <c r="B90" s="4" t="inlineStr">
        <is>
          <t>Indira Gandhi National Widow Pension Scheme</t>
        </is>
      </c>
      <c r="C90" s="4" t="inlineStr">
        <is>
          <t>C06-P0024</t>
        </is>
      </c>
      <c r="D90" s="4" t="inlineStr">
        <is>
          <t>Offline</t>
        </is>
      </c>
      <c r="E90" s="4" t="inlineStr"/>
      <c r="F90" s="4" t="inlineStr">
        <is>
          <t>Source step text</t>
        </is>
      </c>
      <c r="G90" s="4" t="inlineStr">
        <is>
          <t>Every beneficiary who has been sanctioned pension under schemes of NSAP are issued a Pension Passbook. The Passbook contain details of the Sanction Order, particulars of the pensioner and disbursement details</t>
        </is>
      </c>
      <c r="H90" s="4" t="inlineStr">
        <is>
          <t>en.applicationProcess[1].process[0].children[7]</t>
        </is>
      </c>
      <c r="I90" s="4" t="inlineStr">
        <is>
          <t>C06@20261028-7c399dda</t>
        </is>
      </c>
      <c r="J90" s="4" t="inlineStr">
        <is>
          <t>MS-C06</t>
        </is>
      </c>
      <c r="K90" s="4" t="inlineStr">
        <is>
          <t>1/1</t>
        </is>
      </c>
      <c r="L90" s="7" t="inlineStr">
        <is>
          <t>Approved</t>
        </is>
      </c>
      <c r="M90" s="7" t="n"/>
      <c r="N90" s="4" t="inlineStr">
        <is>
          <t>Actor, branch and dependency need review.</t>
        </is>
      </c>
    </row>
    <row r="91" ht="40" customHeight="1">
      <c r="A91" s="8" t="inlineStr">
        <is>
          <t>C06</t>
        </is>
      </c>
      <c r="B91" s="8" t="inlineStr">
        <is>
          <t>Indira Gandhi National Widow Pension Scheme</t>
        </is>
      </c>
      <c r="C91" s="8" t="inlineStr">
        <is>
          <t>C06-P0025</t>
        </is>
      </c>
      <c r="D91" s="8" t="inlineStr">
        <is>
          <t>Offline</t>
        </is>
      </c>
      <c r="E91" s="8" t="inlineStr"/>
      <c r="F91" s="8" t="inlineStr">
        <is>
          <t>Source step text</t>
        </is>
      </c>
      <c r="G91" s="8" t="inlineStr">
        <is>
          <t>The list of beneficiaries to whom sanctions are issued is displayed at the Gram Panchayat / Ward / Municipal Office and updated every three months.</t>
        </is>
      </c>
      <c r="H91" s="8" t="inlineStr">
        <is>
          <t>en.applicationProcess[1].process[0].children[8]</t>
        </is>
      </c>
      <c r="I91" s="8" t="inlineStr">
        <is>
          <t>C06@20261028-7c399dda</t>
        </is>
      </c>
      <c r="J91" s="8" t="inlineStr">
        <is>
          <t>MS-C06</t>
        </is>
      </c>
      <c r="K91" s="8" t="inlineStr">
        <is>
          <t>1/1</t>
        </is>
      </c>
      <c r="L91" s="7" t="inlineStr">
        <is>
          <t>Approved</t>
        </is>
      </c>
      <c r="M91" s="7" t="n"/>
      <c r="N91" s="8" t="inlineStr">
        <is>
          <t>Actor, branch and dependency need review.</t>
        </is>
      </c>
    </row>
    <row r="92" ht="40" customHeight="1">
      <c r="A92" s="4" t="inlineStr">
        <is>
          <t>C06</t>
        </is>
      </c>
      <c r="B92" s="4" t="inlineStr">
        <is>
          <t>Indira Gandhi National Widow Pension Scheme</t>
        </is>
      </c>
      <c r="C92" s="4" t="inlineStr">
        <is>
          <t>C06-P0026</t>
        </is>
      </c>
      <c r="D92" s="4" t="inlineStr">
        <is>
          <t>Offline</t>
        </is>
      </c>
      <c r="E92" s="4" t="inlineStr"/>
      <c r="F92" s="4" t="inlineStr">
        <is>
          <t>Source step text</t>
        </is>
      </c>
      <c r="G92" s="4" t="inlineStr">
        <is>
          <t>The Pension amount is directly paid to the beneficiaries through the Direct Benefit Transfer (DBT) process to their post office or bank account.</t>
        </is>
      </c>
      <c r="H92" s="4" t="inlineStr">
        <is>
          <t>en.applicationProcess[1].process[0].children[9]</t>
        </is>
      </c>
      <c r="I92" s="4" t="inlineStr">
        <is>
          <t>C06@20261028-7c399dda</t>
        </is>
      </c>
      <c r="J92" s="4" t="inlineStr">
        <is>
          <t>MS-C06</t>
        </is>
      </c>
      <c r="K92" s="4" t="inlineStr">
        <is>
          <t>1/1</t>
        </is>
      </c>
      <c r="L92" s="7" t="inlineStr">
        <is>
          <t>Approved</t>
        </is>
      </c>
      <c r="M92" s="7" t="n"/>
      <c r="N92" s="4" t="inlineStr">
        <is>
          <t>Actor, branch and dependency need review.</t>
        </is>
      </c>
    </row>
    <row r="93" ht="54" customHeight="1">
      <c r="A93" s="8" t="inlineStr">
        <is>
          <t>M01</t>
        </is>
      </c>
      <c r="B93" s="8" t="inlineStr">
        <is>
          <t>Sanjay Gandhi Niradhar Grant Scheme</t>
        </is>
      </c>
      <c r="C93" s="8" t="inlineStr">
        <is>
          <t>M01-P0031</t>
        </is>
      </c>
      <c r="D93" s="8" t="inlineStr">
        <is>
          <t>Offline</t>
        </is>
      </c>
      <c r="E93" s="8" t="inlineStr"/>
      <c r="F93" s="8" t="inlineStr">
        <is>
          <t>Source step text</t>
        </is>
      </c>
      <c r="G93" s="8" t="inlineStr">
        <is>
          <t>Step 1: Visit the Collector's Office / Tahsildar Sanjay Gandhi Yojana / Talathi Office, and request a hard copy of the format of the application form for the scheme from the concerned authority.</t>
        </is>
      </c>
      <c r="H93" s="8" t="inlineStr">
        <is>
          <t>en.applicationProcess[0].process[0]</t>
        </is>
      </c>
      <c r="I93" s="8" t="inlineStr">
        <is>
          <t>M01@20261028-4614b9c2</t>
        </is>
      </c>
      <c r="J93" s="8" t="inlineStr">
        <is>
          <t>MS-M01</t>
        </is>
      </c>
      <c r="K93" s="8" t="inlineStr">
        <is>
          <t>1/1</t>
        </is>
      </c>
      <c r="L93" s="7" t="inlineStr">
        <is>
          <t>Approved</t>
        </is>
      </c>
      <c r="M93" s="7" t="n"/>
      <c r="N93" s="8" t="inlineStr">
        <is>
          <t>Actor, branch and dependency need review.</t>
        </is>
      </c>
    </row>
    <row r="94" ht="54" customHeight="1">
      <c r="A94" s="4" t="inlineStr">
        <is>
          <t>M01</t>
        </is>
      </c>
      <c r="B94" s="4" t="inlineStr">
        <is>
          <t>Sanjay Gandhi Niradhar Grant Scheme</t>
        </is>
      </c>
      <c r="C94" s="4" t="inlineStr">
        <is>
          <t>M01-P0032</t>
        </is>
      </c>
      <c r="D94" s="4" t="inlineStr">
        <is>
          <t>Offline</t>
        </is>
      </c>
      <c r="E94" s="4" t="inlineStr"/>
      <c r="F94" s="4" t="inlineStr">
        <is>
          <t>Source step text</t>
        </is>
      </c>
      <c r="G94" s="4" t="inlineStr">
        <is>
          <t>Step 2: In the application form, fill in all the mandatory fields, paste the passport-sized photograph (signed across), and attach all the (self-attested) mandatory documents.</t>
        </is>
      </c>
      <c r="H94" s="4" t="inlineStr">
        <is>
          <t>en.applicationProcess[0].process[1]</t>
        </is>
      </c>
      <c r="I94" s="4" t="inlineStr">
        <is>
          <t>M01@20261028-4614b9c2</t>
        </is>
      </c>
      <c r="J94" s="4" t="inlineStr">
        <is>
          <t>MS-M01</t>
        </is>
      </c>
      <c r="K94" s="4" t="inlineStr">
        <is>
          <t>1/1</t>
        </is>
      </c>
      <c r="L94" s="7" t="inlineStr">
        <is>
          <t>Approved</t>
        </is>
      </c>
      <c r="M94" s="7" t="n"/>
      <c r="N94" s="4" t="inlineStr">
        <is>
          <t>Actor, branch and dependency need review.</t>
        </is>
      </c>
    </row>
    <row r="95" ht="40" customHeight="1">
      <c r="A95" s="8" t="inlineStr">
        <is>
          <t>M01</t>
        </is>
      </c>
      <c r="B95" s="8" t="inlineStr">
        <is>
          <t>Sanjay Gandhi Niradhar Grant Scheme</t>
        </is>
      </c>
      <c r="C95" s="8" t="inlineStr">
        <is>
          <t>M01-P0033</t>
        </is>
      </c>
      <c r="D95" s="8" t="inlineStr">
        <is>
          <t>Offline</t>
        </is>
      </c>
      <c r="E95" s="8" t="inlineStr"/>
      <c r="F95" s="8" t="inlineStr">
        <is>
          <t>Source step text</t>
        </is>
      </c>
      <c r="G95" s="8" t="inlineStr">
        <is>
          <t>Step 3: Submit the duly filled and signed application form along with the documents to the Collector's Office / Tahsildar Sanjay Gandhi Yojana / Talathi Office.</t>
        </is>
      </c>
      <c r="H95" s="8" t="inlineStr">
        <is>
          <t>en.applicationProcess[0].process[2]</t>
        </is>
      </c>
      <c r="I95" s="8" t="inlineStr">
        <is>
          <t>M01@20261028-4614b9c2</t>
        </is>
      </c>
      <c r="J95" s="8" t="inlineStr">
        <is>
          <t>MS-M01</t>
        </is>
      </c>
      <c r="K95" s="8" t="inlineStr">
        <is>
          <t>1/1</t>
        </is>
      </c>
      <c r="L95" s="7" t="inlineStr">
        <is>
          <t>Approved</t>
        </is>
      </c>
      <c r="M95" s="7" t="n"/>
      <c r="N95" s="8" t="inlineStr">
        <is>
          <t>Actor, branch and dependency need review.</t>
        </is>
      </c>
    </row>
    <row r="96" ht="40" customHeight="1">
      <c r="A96" s="4" t="inlineStr">
        <is>
          <t>M01</t>
        </is>
      </c>
      <c r="B96" s="4" t="inlineStr">
        <is>
          <t>Sanjay Gandhi Niradhar Grant Scheme</t>
        </is>
      </c>
      <c r="C96" s="4" t="inlineStr">
        <is>
          <t>M01-P0034</t>
        </is>
      </c>
      <c r="D96" s="4" t="inlineStr">
        <is>
          <t>Offline</t>
        </is>
      </c>
      <c r="E96" s="4" t="inlineStr"/>
      <c r="F96" s="4" t="inlineStr">
        <is>
          <t>Source step text</t>
        </is>
      </c>
      <c r="G96" s="4" t="inlineStr">
        <is>
          <t>Step 4: Acquire the receipt/acknowledgment of the successful submission of the application form.</t>
        </is>
      </c>
      <c r="H96" s="4" t="inlineStr">
        <is>
          <t>en.applicationProcess[0].process[3]</t>
        </is>
      </c>
      <c r="I96" s="4" t="inlineStr">
        <is>
          <t>M01@20261028-4614b9c2</t>
        </is>
      </c>
      <c r="J96" s="4" t="inlineStr">
        <is>
          <t>MS-M01</t>
        </is>
      </c>
      <c r="K96" s="4" t="inlineStr">
        <is>
          <t>1/1</t>
        </is>
      </c>
      <c r="L96" s="7" t="inlineStr">
        <is>
          <t>Approved</t>
        </is>
      </c>
      <c r="M96" s="7" t="n"/>
      <c r="N96" s="4" t="inlineStr">
        <is>
          <t>Actor, branch and dependency need review.</t>
        </is>
      </c>
    </row>
    <row r="97" ht="40" customHeight="1">
      <c r="A97" s="8" t="inlineStr">
        <is>
          <t>M01</t>
        </is>
      </c>
      <c r="B97" s="8" t="inlineStr">
        <is>
          <t>Sanjay Gandhi Niradhar Grant Scheme</t>
        </is>
      </c>
      <c r="C97" s="8" t="inlineStr">
        <is>
          <t>M01-P0035</t>
        </is>
      </c>
      <c r="D97" s="8" t="inlineStr">
        <is>
          <t>Online</t>
        </is>
      </c>
      <c r="E97" s="8" t="inlineStr"/>
      <c r="F97" s="8" t="inlineStr">
        <is>
          <t>Source step text</t>
        </is>
      </c>
      <c r="G97" s="8" t="inlineStr">
        <is>
          <t>Registration:</t>
        </is>
      </c>
      <c r="H97" s="8" t="inlineStr">
        <is>
          <t>en.applicationProcess[1].process[0].children[1].children[0]</t>
        </is>
      </c>
      <c r="I97" s="8" t="inlineStr">
        <is>
          <t>M01@20261028-4614b9c2</t>
        </is>
      </c>
      <c r="J97" s="8" t="inlineStr">
        <is>
          <t>MS-M01</t>
        </is>
      </c>
      <c r="K97" s="8" t="inlineStr">
        <is>
          <t>1/1</t>
        </is>
      </c>
      <c r="L97" s="7" t="inlineStr">
        <is>
          <t>Approved</t>
        </is>
      </c>
      <c r="M97" s="7" t="n"/>
      <c r="N97" s="8" t="inlineStr">
        <is>
          <t>Actor, branch and dependency need review.</t>
        </is>
      </c>
    </row>
    <row r="98" ht="40" customHeight="1">
      <c r="A98" s="4" t="inlineStr">
        <is>
          <t>M01</t>
        </is>
      </c>
      <c r="B98" s="4" t="inlineStr">
        <is>
          <t>Sanjay Gandhi Niradhar Grant Scheme</t>
        </is>
      </c>
      <c r="C98" s="4" t="inlineStr">
        <is>
          <t>M01-P0036</t>
        </is>
      </c>
      <c r="D98" s="4" t="inlineStr">
        <is>
          <t>Online</t>
        </is>
      </c>
      <c r="E98" s="4" t="inlineStr"/>
      <c r="F98" s="4" t="inlineStr">
        <is>
          <t>Source step text</t>
        </is>
      </c>
      <c r="G98" s="4" t="inlineStr">
        <is>
          <t>Step 1: Visit the Official Portal of Aaple Sarkar (Maha DBT). On the right pane (green), click "New User? Register Here". You will be directed to the Registration Page.</t>
        </is>
      </c>
      <c r="H98" s="4" t="inlineStr">
        <is>
          <t>en.applicationProcess[1].process[2]</t>
        </is>
      </c>
      <c r="I98" s="4" t="inlineStr">
        <is>
          <t>M01@20261028-4614b9c2</t>
        </is>
      </c>
      <c r="J98" s="4" t="inlineStr">
        <is>
          <t>MS-M01</t>
        </is>
      </c>
      <c r="K98" s="4" t="inlineStr">
        <is>
          <t>1/1</t>
        </is>
      </c>
      <c r="L98" s="7" t="inlineStr">
        <is>
          <t>Approved</t>
        </is>
      </c>
      <c r="M98" s="7" t="n"/>
      <c r="N98" s="4" t="inlineStr">
        <is>
          <t>Actor, branch and dependency need review.</t>
        </is>
      </c>
    </row>
    <row r="99" ht="54" customHeight="1">
      <c r="A99" s="8" t="inlineStr">
        <is>
          <t>M01</t>
        </is>
      </c>
      <c r="B99" s="8" t="inlineStr">
        <is>
          <t>Sanjay Gandhi Niradhar Grant Scheme</t>
        </is>
      </c>
      <c r="C99" s="8" t="inlineStr">
        <is>
          <t>M01-P0037</t>
        </is>
      </c>
      <c r="D99" s="8" t="inlineStr">
        <is>
          <t>Online</t>
        </is>
      </c>
      <c r="E99" s="8" t="inlineStr"/>
      <c r="F99" s="8" t="inlineStr">
        <is>
          <t>Source step text</t>
        </is>
      </c>
      <c r="G99" s="8" t="inlineStr">
        <is>
          <t>Step 2: Verify your Email ID and Mobile Number using OTP and then create a Unique Username and Password. (You will also find the link to the Registration Manual on the top right of the page.)</t>
        </is>
      </c>
      <c r="H99" s="8" t="inlineStr">
        <is>
          <t>en.applicationProcess[1].process[4]</t>
        </is>
      </c>
      <c r="I99" s="8" t="inlineStr">
        <is>
          <t>M01@20261028-4614b9c2</t>
        </is>
      </c>
      <c r="J99" s="8" t="inlineStr">
        <is>
          <t>MS-M01</t>
        </is>
      </c>
      <c r="K99" s="8" t="inlineStr">
        <is>
          <t>1/1</t>
        </is>
      </c>
      <c r="L99" s="7" t="inlineStr">
        <is>
          <t>Approved</t>
        </is>
      </c>
      <c r="M99" s="7" t="n"/>
      <c r="N99" s="8" t="inlineStr">
        <is>
          <t>Actor, branch and dependency need review.</t>
        </is>
      </c>
    </row>
    <row r="100" ht="54" customHeight="1">
      <c r="A100" s="4" t="inlineStr">
        <is>
          <t>M01</t>
        </is>
      </c>
      <c r="B100" s="4" t="inlineStr">
        <is>
          <t>Sanjay Gandhi Niradhar Grant Scheme</t>
        </is>
      </c>
      <c r="C100" s="4" t="inlineStr">
        <is>
          <t>M01-P0038</t>
        </is>
      </c>
      <c r="D100" s="4" t="inlineStr">
        <is>
          <t>Online</t>
        </is>
      </c>
      <c r="E100" s="4" t="inlineStr"/>
      <c r="F100" s="4" t="inlineStr">
        <is>
          <t>Source step text</t>
        </is>
      </c>
      <c r="G100" s="4" t="inlineStr">
        <is>
          <t>In the "Applicant Detail" section, fill in the following mandatory fields: Salutation, Full Name(English), Full Name(Marathi), Father's Salutation, Father's Name (English), Father's Name(Marathi), Date of Birth, Age, Gender, Occupation.</t>
        </is>
      </c>
      <c r="H100" s="4" t="inlineStr">
        <is>
          <t>en.applicationProcess[1].process[6]</t>
        </is>
      </c>
      <c r="I100" s="4" t="inlineStr">
        <is>
          <t>M01@20261028-4614b9c2</t>
        </is>
      </c>
      <c r="J100" s="4" t="inlineStr">
        <is>
          <t>MS-M01</t>
        </is>
      </c>
      <c r="K100" s="4" t="inlineStr">
        <is>
          <t>1/1</t>
        </is>
      </c>
      <c r="L100" s="7" t="inlineStr">
        <is>
          <t>Approved</t>
        </is>
      </c>
      <c r="M100" s="7" t="n"/>
      <c r="N100" s="4" t="inlineStr">
        <is>
          <t>Actor, branch and dependency need review.</t>
        </is>
      </c>
    </row>
    <row r="101" ht="68" customHeight="1">
      <c r="A101" s="8" t="inlineStr">
        <is>
          <t>M01</t>
        </is>
      </c>
      <c r="B101" s="8" t="inlineStr">
        <is>
          <t>Sanjay Gandhi Niradhar Grant Scheme</t>
        </is>
      </c>
      <c r="C101" s="8" t="inlineStr">
        <is>
          <t>M01-P0039</t>
        </is>
      </c>
      <c r="D101" s="8" t="inlineStr">
        <is>
          <t>Online</t>
        </is>
      </c>
      <c r="E101" s="8" t="inlineStr"/>
      <c r="F101" s="8" t="inlineStr">
        <is>
          <t>Source step text</t>
        </is>
      </c>
      <c r="G101" s="8" t="inlineStr">
        <is>
          <t>In the "Applicant's Address" section, fill in the following mandatory fields: Address (English), Address (Marathi), Street (English), Street (Marathi), Section (English), Section (Marathi), Building (English), Building (Marathi), Landmark (English), Landmark (Marathi), District, Taluka, Village, Pincode</t>
        </is>
      </c>
      <c r="H101" s="8" t="inlineStr">
        <is>
          <t>en.applicationProcess[1].process[8]</t>
        </is>
      </c>
      <c r="I101" s="8" t="inlineStr">
        <is>
          <t>M01@20261028-4614b9c2</t>
        </is>
      </c>
      <c r="J101" s="8" t="inlineStr">
        <is>
          <t>MS-M01</t>
        </is>
      </c>
      <c r="K101" s="8" t="inlineStr">
        <is>
          <t>1/1</t>
        </is>
      </c>
      <c r="L101" s="7" t="inlineStr">
        <is>
          <t>Approved</t>
        </is>
      </c>
      <c r="M101" s="7" t="n"/>
      <c r="N101" s="8" t="inlineStr">
        <is>
          <t>Actor, branch and dependency need review.</t>
        </is>
      </c>
    </row>
    <row r="102" ht="54" customHeight="1">
      <c r="A102" s="4" t="inlineStr">
        <is>
          <t>M01</t>
        </is>
      </c>
      <c r="B102" s="4" t="inlineStr">
        <is>
          <t>Sanjay Gandhi Niradhar Grant Scheme</t>
        </is>
      </c>
      <c r="C102" s="4" t="inlineStr">
        <is>
          <t>M01-P0040</t>
        </is>
      </c>
      <c r="D102" s="4" t="inlineStr">
        <is>
          <t>Online</t>
        </is>
      </c>
      <c r="E102" s="4" t="inlineStr"/>
      <c r="F102" s="4" t="inlineStr">
        <is>
          <t>Source step text</t>
        </is>
      </c>
      <c r="G102" s="4" t="inlineStr">
        <is>
          <t>In the "Mobile No. &amp; Username Verification" section, fill in the following mandatory fields: 10-digit Mobile Number (to be verified via OTP), PAN No, User Name, Email ID (to be verified via OTP), Password, and Confirm Password.</t>
        </is>
      </c>
      <c r="H102" s="4" t="inlineStr">
        <is>
          <t>en.applicationProcess[1].process[10]</t>
        </is>
      </c>
      <c r="I102" s="4" t="inlineStr">
        <is>
          <t>M01@20261028-4614b9c2</t>
        </is>
      </c>
      <c r="J102" s="4" t="inlineStr">
        <is>
          <t>MS-M01</t>
        </is>
      </c>
      <c r="K102" s="4" t="inlineStr">
        <is>
          <t>1/1</t>
        </is>
      </c>
      <c r="L102" s="7" t="inlineStr">
        <is>
          <t>Approved</t>
        </is>
      </c>
      <c r="M102" s="7" t="n"/>
      <c r="N102" s="4" t="inlineStr">
        <is>
          <t>Actor, branch and dependency need review.</t>
        </is>
      </c>
    </row>
    <row r="103" ht="40" customHeight="1">
      <c r="A103" s="8" t="inlineStr">
        <is>
          <t>M01</t>
        </is>
      </c>
      <c r="B103" s="8" t="inlineStr">
        <is>
          <t>Sanjay Gandhi Niradhar Grant Scheme</t>
        </is>
      </c>
      <c r="C103" s="8" t="inlineStr">
        <is>
          <t>M01-P0041</t>
        </is>
      </c>
      <c r="D103" s="8" t="inlineStr">
        <is>
          <t>Online</t>
        </is>
      </c>
      <c r="E103" s="8" t="inlineStr"/>
      <c r="F103" s="8" t="inlineStr">
        <is>
          <t>Source step text</t>
        </is>
      </c>
      <c r="G103" s="8" t="inlineStr">
        <is>
          <t>In the "Upload your Photograph" section, upload your passport-sized photograph following the instructions given below:</t>
        </is>
      </c>
      <c r="H103" s="8" t="inlineStr">
        <is>
          <t>en.applicationProcess[1].process[12]</t>
        </is>
      </c>
      <c r="I103" s="8" t="inlineStr">
        <is>
          <t>M01@20261028-4614b9c2</t>
        </is>
      </c>
      <c r="J103" s="8" t="inlineStr">
        <is>
          <t>MS-M01</t>
        </is>
      </c>
      <c r="K103" s="8" t="inlineStr">
        <is>
          <t>1/1</t>
        </is>
      </c>
      <c r="L103" s="7" t="inlineStr">
        <is>
          <t>Approved</t>
        </is>
      </c>
      <c r="M103" s="7" t="n"/>
      <c r="N103" s="8" t="inlineStr">
        <is>
          <t>Actor, branch and dependency need review.</t>
        </is>
      </c>
    </row>
    <row r="104" ht="40" customHeight="1">
      <c r="A104" s="4" t="inlineStr">
        <is>
          <t>M01</t>
        </is>
      </c>
      <c r="B104" s="4" t="inlineStr">
        <is>
          <t>Sanjay Gandhi Niradhar Grant Scheme</t>
        </is>
      </c>
      <c r="C104" s="4" t="inlineStr">
        <is>
          <t>M01-P0042</t>
        </is>
      </c>
      <c r="D104" s="4" t="inlineStr">
        <is>
          <t>Online</t>
        </is>
      </c>
      <c r="E104" s="4" t="inlineStr"/>
      <c r="F104" s="4" t="inlineStr">
        <is>
          <t>Source step text</t>
        </is>
      </c>
      <c r="G104" s="4" t="inlineStr">
        <is>
          <t>1. The file size should fall between 5 KB to 20 KB.</t>
        </is>
      </c>
      <c r="H104" s="4" t="inlineStr">
        <is>
          <t>en.applicationProcess[1].process[13]</t>
        </is>
      </c>
      <c r="I104" s="4" t="inlineStr">
        <is>
          <t>M01@20261028-4614b9c2</t>
        </is>
      </c>
      <c r="J104" s="4" t="inlineStr">
        <is>
          <t>MS-M01</t>
        </is>
      </c>
      <c r="K104" s="4" t="inlineStr">
        <is>
          <t>1/1</t>
        </is>
      </c>
      <c r="L104" s="7" t="inlineStr">
        <is>
          <t>Approved</t>
        </is>
      </c>
      <c r="M104" s="7" t="n"/>
      <c r="N104" s="4" t="inlineStr">
        <is>
          <t>Actor, branch and dependency need review.</t>
        </is>
      </c>
    </row>
    <row r="105" ht="40" customHeight="1">
      <c r="A105" s="8" t="inlineStr">
        <is>
          <t>M01</t>
        </is>
      </c>
      <c r="B105" s="8" t="inlineStr">
        <is>
          <t>Sanjay Gandhi Niradhar Grant Scheme</t>
        </is>
      </c>
      <c r="C105" s="8" t="inlineStr">
        <is>
          <t>M01-P0043</t>
        </is>
      </c>
      <c r="D105" s="8" t="inlineStr">
        <is>
          <t>Online</t>
        </is>
      </c>
      <c r="E105" s="8" t="inlineStr"/>
      <c r="F105" s="8" t="inlineStr">
        <is>
          <t>Source step text</t>
        </is>
      </c>
      <c r="G105" s="8" t="inlineStr">
        <is>
          <t>2. The format should be JPEG.</t>
        </is>
      </c>
      <c r="H105" s="8" t="inlineStr">
        <is>
          <t>en.applicationProcess[1].process[14]</t>
        </is>
      </c>
      <c r="I105" s="8" t="inlineStr">
        <is>
          <t>M01@20261028-4614b9c2</t>
        </is>
      </c>
      <c r="J105" s="8" t="inlineStr">
        <is>
          <t>MS-M01</t>
        </is>
      </c>
      <c r="K105" s="8" t="inlineStr">
        <is>
          <t>1/1</t>
        </is>
      </c>
      <c r="L105" s="7" t="inlineStr">
        <is>
          <t>Approved</t>
        </is>
      </c>
      <c r="M105" s="7" t="n"/>
      <c r="N105" s="8" t="inlineStr">
        <is>
          <t>Actor, branch and dependency need review.</t>
        </is>
      </c>
    </row>
    <row r="106" ht="40" customHeight="1">
      <c r="A106" s="4" t="inlineStr">
        <is>
          <t>M01</t>
        </is>
      </c>
      <c r="B106" s="4" t="inlineStr">
        <is>
          <t>Sanjay Gandhi Niradhar Grant Scheme</t>
        </is>
      </c>
      <c r="C106" s="4" t="inlineStr">
        <is>
          <t>M01-P0044</t>
        </is>
      </c>
      <c r="D106" s="4" t="inlineStr">
        <is>
          <t>Online</t>
        </is>
      </c>
      <c r="E106" s="4" t="inlineStr"/>
      <c r="F106" s="4" t="inlineStr">
        <is>
          <t>Source step text</t>
        </is>
      </c>
      <c r="G106" s="4" t="inlineStr">
        <is>
          <t>3. The width should be 160 pixels.</t>
        </is>
      </c>
      <c r="H106" s="4" t="inlineStr">
        <is>
          <t>en.applicationProcess[1].process[15]</t>
        </is>
      </c>
      <c r="I106" s="4" t="inlineStr">
        <is>
          <t>M01@20261028-4614b9c2</t>
        </is>
      </c>
      <c r="J106" s="4" t="inlineStr">
        <is>
          <t>MS-M01</t>
        </is>
      </c>
      <c r="K106" s="4" t="inlineStr">
        <is>
          <t>1/1</t>
        </is>
      </c>
      <c r="L106" s="7" t="inlineStr">
        <is>
          <t>Approved</t>
        </is>
      </c>
      <c r="M106" s="7" t="n"/>
      <c r="N106" s="4" t="inlineStr">
        <is>
          <t>Actor, branch and dependency need review.</t>
        </is>
      </c>
    </row>
    <row r="107" ht="40" customHeight="1">
      <c r="A107" s="8" t="inlineStr">
        <is>
          <t>M01</t>
        </is>
      </c>
      <c r="B107" s="8" t="inlineStr">
        <is>
          <t>Sanjay Gandhi Niradhar Grant Scheme</t>
        </is>
      </c>
      <c r="C107" s="8" t="inlineStr">
        <is>
          <t>M01-P0045</t>
        </is>
      </c>
      <c r="D107" s="8" t="inlineStr">
        <is>
          <t>Online</t>
        </is>
      </c>
      <c r="E107" s="8" t="inlineStr"/>
      <c r="F107" s="8" t="inlineStr">
        <is>
          <t>Source step text</t>
        </is>
      </c>
      <c r="G107" s="8" t="inlineStr">
        <is>
          <t>4. The height should fall between 200 to 212 pixels.</t>
        </is>
      </c>
      <c r="H107" s="8" t="inlineStr">
        <is>
          <t>en.applicationProcess[1].process[16]</t>
        </is>
      </c>
      <c r="I107" s="8" t="inlineStr">
        <is>
          <t>M01@20261028-4614b9c2</t>
        </is>
      </c>
      <c r="J107" s="8" t="inlineStr">
        <is>
          <t>MS-M01</t>
        </is>
      </c>
      <c r="K107" s="8" t="inlineStr">
        <is>
          <t>1/1</t>
        </is>
      </c>
      <c r="L107" s="7" t="inlineStr">
        <is>
          <t>Approved</t>
        </is>
      </c>
      <c r="M107" s="7" t="n"/>
      <c r="N107" s="8" t="inlineStr">
        <is>
          <t>Actor, branch and dependency need review.</t>
        </is>
      </c>
    </row>
    <row r="108" ht="54" customHeight="1">
      <c r="A108" s="4" t="inlineStr">
        <is>
          <t>M01</t>
        </is>
      </c>
      <c r="B108" s="4" t="inlineStr">
        <is>
          <t>Sanjay Gandhi Niradhar Grant Scheme</t>
        </is>
      </c>
      <c r="C108" s="4" t="inlineStr">
        <is>
          <t>M01-P0046</t>
        </is>
      </c>
      <c r="D108" s="4" t="inlineStr">
        <is>
          <t>Online</t>
        </is>
      </c>
      <c r="E108" s="4" t="inlineStr"/>
      <c r="F108" s="4" t="inlineStr">
        <is>
          <t>Source step text</t>
        </is>
      </c>
      <c r="G108" s="4" t="inlineStr">
        <is>
          <t>In the "Proof Of Identity" section, upload ANY ONE of the following documents: PAN Card, Voter ID Card (POI), Passport (POI), Aadhaar Card (POI), Driving License (POI), Government / Semi-Government ID, Proof MNREGA Job Card, RSBY Card.</t>
        </is>
      </c>
      <c r="H108" s="4" t="inlineStr">
        <is>
          <t>en.applicationProcess[1].process[18]</t>
        </is>
      </c>
      <c r="I108" s="4" t="inlineStr">
        <is>
          <t>M01@20261028-4614b9c2</t>
        </is>
      </c>
      <c r="J108" s="4" t="inlineStr">
        <is>
          <t>MS-M01</t>
        </is>
      </c>
      <c r="K108" s="4" t="inlineStr">
        <is>
          <t>1/1</t>
        </is>
      </c>
      <c r="L108" s="7" t="inlineStr">
        <is>
          <t>Approved</t>
        </is>
      </c>
      <c r="M108" s="7" t="n"/>
      <c r="N108" s="4" t="inlineStr">
        <is>
          <t>Actor, branch and dependency need review.</t>
        </is>
      </c>
    </row>
    <row r="109" ht="40" customHeight="1">
      <c r="A109" s="8" t="inlineStr">
        <is>
          <t>M01</t>
        </is>
      </c>
      <c r="B109" s="8" t="inlineStr">
        <is>
          <t>Sanjay Gandhi Niradhar Grant Scheme</t>
        </is>
      </c>
      <c r="C109" s="8" t="inlineStr">
        <is>
          <t>M01-P0047</t>
        </is>
      </c>
      <c r="D109" s="8" t="inlineStr">
        <is>
          <t>Online</t>
        </is>
      </c>
      <c r="E109" s="8" t="inlineStr"/>
      <c r="F109" s="8" t="inlineStr">
        <is>
          <t>Source step text</t>
        </is>
      </c>
      <c r="G109" s="8" t="inlineStr">
        <is>
          <t>The format should be JPEG/ PDF, and the file size should be between 75 KB to 256 KB.</t>
        </is>
      </c>
      <c r="H109" s="8" t="inlineStr">
        <is>
          <t>en.applicationProcess[1].process[19]</t>
        </is>
      </c>
      <c r="I109" s="8" t="inlineStr">
        <is>
          <t>M01@20261028-4614b9c2</t>
        </is>
      </c>
      <c r="J109" s="8" t="inlineStr">
        <is>
          <t>MS-M01</t>
        </is>
      </c>
      <c r="K109" s="8" t="inlineStr">
        <is>
          <t>1/1</t>
        </is>
      </c>
      <c r="L109" s="7" t="inlineStr">
        <is>
          <t>Approved</t>
        </is>
      </c>
      <c r="M109" s="7" t="n"/>
      <c r="N109" s="8" t="inlineStr">
        <is>
          <t>Actor, branch and dependency need review.</t>
        </is>
      </c>
    </row>
    <row r="110" ht="68" customHeight="1">
      <c r="A110" s="4" t="inlineStr">
        <is>
          <t>M01</t>
        </is>
      </c>
      <c r="B110" s="4" t="inlineStr">
        <is>
          <t>Sanjay Gandhi Niradhar Grant Scheme</t>
        </is>
      </c>
      <c r="C110" s="4" t="inlineStr">
        <is>
          <t>M01-P0048</t>
        </is>
      </c>
      <c r="D110" s="4" t="inlineStr">
        <is>
          <t>Online</t>
        </is>
      </c>
      <c r="E110" s="4" t="inlineStr"/>
      <c r="F110" s="4" t="inlineStr">
        <is>
          <t>Source step text</t>
        </is>
      </c>
      <c r="G110" s="4" t="inlineStr">
        <is>
          <t>In the "Proof Of Address" section, upload ANY ONE of the following documents: Ration Card Passport (POA), Aadhaar Card (POA), Driving License (POA), Voter ID Card (POA), Extracts of 7/12 and 8 A, Property Tax Receipt, Property Agreement Copy, Water Bill, Electricity Bill, Telephone Bill, Rent Receipt.</t>
        </is>
      </c>
      <c r="H110" s="4" t="inlineStr">
        <is>
          <t>en.applicationProcess[1].process[21]</t>
        </is>
      </c>
      <c r="I110" s="4" t="inlineStr">
        <is>
          <t>M01@20261028-4614b9c2</t>
        </is>
      </c>
      <c r="J110" s="4" t="inlineStr">
        <is>
          <t>MS-M01</t>
        </is>
      </c>
      <c r="K110" s="4" t="inlineStr">
        <is>
          <t>1/1</t>
        </is>
      </c>
      <c r="L110" s="7" t="inlineStr">
        <is>
          <t>Approved</t>
        </is>
      </c>
      <c r="M110" s="7" t="n"/>
      <c r="N110" s="4" t="inlineStr">
        <is>
          <t>Actor, branch and dependency need review.</t>
        </is>
      </c>
    </row>
    <row r="111" ht="40" customHeight="1">
      <c r="A111" s="8" t="inlineStr">
        <is>
          <t>M01</t>
        </is>
      </c>
      <c r="B111" s="8" t="inlineStr">
        <is>
          <t>Sanjay Gandhi Niradhar Grant Scheme</t>
        </is>
      </c>
      <c r="C111" s="8" t="inlineStr">
        <is>
          <t>M01-P0049</t>
        </is>
      </c>
      <c r="D111" s="8" t="inlineStr">
        <is>
          <t>Online</t>
        </is>
      </c>
      <c r="E111" s="8" t="inlineStr"/>
      <c r="F111" s="8" t="inlineStr">
        <is>
          <t>Source step text</t>
        </is>
      </c>
      <c r="G111" s="8" t="inlineStr">
        <is>
          <t>Step 3: At the bottom of the Registration Page, read the following declaration carefully:</t>
        </is>
      </c>
      <c r="H111" s="8" t="inlineStr">
        <is>
          <t>en.applicationProcess[1].process[23]</t>
        </is>
      </c>
      <c r="I111" s="8" t="inlineStr">
        <is>
          <t>M01@20261028-4614b9c2</t>
        </is>
      </c>
      <c r="J111" s="8" t="inlineStr">
        <is>
          <t>MS-M01</t>
        </is>
      </c>
      <c r="K111" s="8" t="inlineStr">
        <is>
          <t>1/1</t>
        </is>
      </c>
      <c r="L111" s="7" t="inlineStr">
        <is>
          <t>Approved</t>
        </is>
      </c>
      <c r="M111" s="7" t="n"/>
      <c r="N111" s="8" t="inlineStr">
        <is>
          <t>Actor, branch and dependency need review.</t>
        </is>
      </c>
    </row>
    <row r="112" ht="54" customHeight="1">
      <c r="A112" s="4" t="inlineStr">
        <is>
          <t>M01</t>
        </is>
      </c>
      <c r="B112" s="4" t="inlineStr">
        <is>
          <t>Sanjay Gandhi Niradhar Grant Scheme</t>
        </is>
      </c>
      <c r="C112" s="4" t="inlineStr">
        <is>
          <t>M01-P0050</t>
        </is>
      </c>
      <c r="D112" s="4" t="inlineStr">
        <is>
          <t>Online</t>
        </is>
      </c>
      <c r="E112" s="4" t="inlineStr"/>
      <c r="F112" s="4" t="inlineStr">
        <is>
          <t>Source step text</t>
        </is>
      </c>
      <c r="G112" s="4" t="inlineStr">
        <is>
          <t>"I declare that the above-mentioned information submitted by me is true and correct to my knowledge and belief. I hereby agree to be liable for legal consequences for any information found incorrect or false under section 200 of the Indian penal code 1960."</t>
        </is>
      </c>
      <c r="H112" s="4" t="inlineStr">
        <is>
          <t>en.applicationProcess[1].process[24]</t>
        </is>
      </c>
      <c r="I112" s="4" t="inlineStr">
        <is>
          <t>M01@20261028-4614b9c2</t>
        </is>
      </c>
      <c r="J112" s="4" t="inlineStr">
        <is>
          <t>MS-M01</t>
        </is>
      </c>
      <c r="K112" s="4" t="inlineStr">
        <is>
          <t>1/1</t>
        </is>
      </c>
      <c r="L112" s="7" t="inlineStr">
        <is>
          <t>Approved</t>
        </is>
      </c>
      <c r="M112" s="7" t="n"/>
      <c r="N112" s="4" t="inlineStr">
        <is>
          <t>Actor, branch and dependency need review.</t>
        </is>
      </c>
    </row>
    <row r="113" ht="40" customHeight="1">
      <c r="A113" s="8" t="inlineStr">
        <is>
          <t>M01</t>
        </is>
      </c>
      <c r="B113" s="8" t="inlineStr">
        <is>
          <t>Sanjay Gandhi Niradhar Grant Scheme</t>
        </is>
      </c>
      <c r="C113" s="8" t="inlineStr">
        <is>
          <t>M01-P0051</t>
        </is>
      </c>
      <c r="D113" s="8" t="inlineStr">
        <is>
          <t>Online</t>
        </is>
      </c>
      <c r="E113" s="8" t="inlineStr"/>
      <c r="F113" s="8" t="inlineStr">
        <is>
          <t>Source step text</t>
        </is>
      </c>
      <c r="G113" s="8" t="inlineStr">
        <is>
          <t>Select the "I accept" checkbox, and click "Register". Your Login Credentials will be shared over your registered Email ID and Mobile Number.</t>
        </is>
      </c>
      <c r="H113" s="8" t="inlineStr">
        <is>
          <t>en.applicationProcess[1].process[26]</t>
        </is>
      </c>
      <c r="I113" s="8" t="inlineStr">
        <is>
          <t>M01@20261028-4614b9c2</t>
        </is>
      </c>
      <c r="J113" s="8" t="inlineStr">
        <is>
          <t>MS-M01</t>
        </is>
      </c>
      <c r="K113" s="8" t="inlineStr">
        <is>
          <t>1/1</t>
        </is>
      </c>
      <c r="L113" s="7" t="inlineStr">
        <is>
          <t>Approved</t>
        </is>
      </c>
      <c r="M113" s="7" t="n"/>
      <c r="N113" s="8" t="inlineStr">
        <is>
          <t>Actor, branch and dependency need review.</t>
        </is>
      </c>
    </row>
    <row r="114" ht="40" customHeight="1">
      <c r="A114" s="4" t="inlineStr">
        <is>
          <t>M01</t>
        </is>
      </c>
      <c r="B114" s="4" t="inlineStr">
        <is>
          <t>Sanjay Gandhi Niradhar Grant Scheme</t>
        </is>
      </c>
      <c r="C114" s="4" t="inlineStr">
        <is>
          <t>M01-P0052</t>
        </is>
      </c>
      <c r="D114" s="4" t="inlineStr">
        <is>
          <t>Online</t>
        </is>
      </c>
      <c r="E114" s="4" t="inlineStr"/>
      <c r="F114" s="4" t="inlineStr">
        <is>
          <t>Source step text</t>
        </is>
      </c>
      <c r="G114" s="4" t="inlineStr">
        <is>
          <t>Application:</t>
        </is>
      </c>
      <c r="H114" s="4" t="inlineStr">
        <is>
          <t>en.applicationProcess[1].process[28].children[0]</t>
        </is>
      </c>
      <c r="I114" s="4" t="inlineStr">
        <is>
          <t>M01@20261028-4614b9c2</t>
        </is>
      </c>
      <c r="J114" s="4" t="inlineStr">
        <is>
          <t>MS-M01</t>
        </is>
      </c>
      <c r="K114" s="4" t="inlineStr">
        <is>
          <t>1/1</t>
        </is>
      </c>
      <c r="L114" s="7" t="inlineStr">
        <is>
          <t>Approved</t>
        </is>
      </c>
      <c r="M114" s="7" t="n"/>
      <c r="N114" s="4" t="inlineStr">
        <is>
          <t>Actor, branch and dependency need review.</t>
        </is>
      </c>
    </row>
    <row r="115" ht="54" customHeight="1">
      <c r="A115" s="8" t="inlineStr">
        <is>
          <t>M01</t>
        </is>
      </c>
      <c r="B115" s="8" t="inlineStr">
        <is>
          <t>Sanjay Gandhi Niradhar Grant Scheme</t>
        </is>
      </c>
      <c r="C115" s="8" t="inlineStr">
        <is>
          <t>M01-P0053</t>
        </is>
      </c>
      <c r="D115" s="8" t="inlineStr">
        <is>
          <t>Online</t>
        </is>
      </c>
      <c r="E115" s="8" t="inlineStr"/>
      <c r="F115" s="8" t="inlineStr">
        <is>
          <t>Source step text</t>
        </is>
      </c>
      <c r="G115" s="8" t="inlineStr">
        <is>
          <t>Step 1: Visit the Official Portal of Aaple Sarkar (Maha DBT). On the right pane (green), click "Already Registered? Login Here". Provide your Username and Password. Fill in the Captcha Code, Select your District from the dropdown menu, and click "Login".</t>
        </is>
      </c>
      <c r="H115" s="8" t="inlineStr">
        <is>
          <t>en.applicationProcess[1].process[30]</t>
        </is>
      </c>
      <c r="I115" s="8" t="inlineStr">
        <is>
          <t>M01@20261028-4614b9c2</t>
        </is>
      </c>
      <c r="J115" s="8" t="inlineStr">
        <is>
          <t>MS-M01</t>
        </is>
      </c>
      <c r="K115" s="8" t="inlineStr">
        <is>
          <t>1/1</t>
        </is>
      </c>
      <c r="L115" s="7" t="inlineStr">
        <is>
          <t>Approved</t>
        </is>
      </c>
      <c r="M115" s="7" t="n"/>
      <c r="N115" s="8" t="inlineStr">
        <is>
          <t>Actor, branch and dependency need review.</t>
        </is>
      </c>
    </row>
    <row r="116" ht="54" customHeight="1">
      <c r="A116" s="4" t="inlineStr">
        <is>
          <t>M01</t>
        </is>
      </c>
      <c r="B116" s="4" t="inlineStr">
        <is>
          <t>Sanjay Gandhi Niradhar Grant Scheme</t>
        </is>
      </c>
      <c r="C116" s="4" t="inlineStr">
        <is>
          <t>M01-P0054</t>
        </is>
      </c>
      <c r="D116" s="4" t="inlineStr">
        <is>
          <t>Online</t>
        </is>
      </c>
      <c r="E116" s="4" t="inlineStr"/>
      <c r="F116" s="4" t="inlineStr">
        <is>
          <t>Source step text</t>
        </is>
      </c>
      <c r="G116" s="4" t="inlineStr">
        <is>
          <t>Step 2: On the next page, in the left pane, click "All Schemes". From the dropdown menu, select the Department Name, and the name of the scheme that you seek to apply for. Click "Apply" against the concerned scheme.</t>
        </is>
      </c>
      <c r="H116" s="4" t="inlineStr">
        <is>
          <t>en.applicationProcess[1].process[32]</t>
        </is>
      </c>
      <c r="I116" s="4" t="inlineStr">
        <is>
          <t>M01@20261028-4614b9c2</t>
        </is>
      </c>
      <c r="J116" s="4" t="inlineStr">
        <is>
          <t>MS-M01</t>
        </is>
      </c>
      <c r="K116" s="4" t="inlineStr">
        <is>
          <t>1/1</t>
        </is>
      </c>
      <c r="L116" s="7" t="inlineStr">
        <is>
          <t>Approved</t>
        </is>
      </c>
      <c r="M116" s="7" t="n"/>
      <c r="N116" s="4" t="inlineStr">
        <is>
          <t>Actor, branch and dependency need review.</t>
        </is>
      </c>
    </row>
    <row r="117" ht="54" customHeight="1">
      <c r="A117" s="8" t="inlineStr">
        <is>
          <t>M01</t>
        </is>
      </c>
      <c r="B117" s="8" t="inlineStr">
        <is>
          <t>Sanjay Gandhi Niradhar Grant Scheme</t>
        </is>
      </c>
      <c r="C117" s="8" t="inlineStr">
        <is>
          <t>M01-P0055</t>
        </is>
      </c>
      <c r="D117" s="8" t="inlineStr">
        <is>
          <t>Online</t>
        </is>
      </c>
      <c r="E117" s="8" t="inlineStr"/>
      <c r="F117" s="8" t="inlineStr">
        <is>
          <t>Source step text</t>
        </is>
      </c>
      <c r="G117" s="8" t="inlineStr">
        <is>
          <t>Step 3: Fill in all the mandatory fields and upload the mandatory documents, and click "Apply". A popup message acknowledging the successful submission of the application will be displayed, along with the Application ID:</t>
        </is>
      </c>
      <c r="H117" s="8" t="inlineStr">
        <is>
          <t>en.applicationProcess[1].process[34]</t>
        </is>
      </c>
      <c r="I117" s="8" t="inlineStr">
        <is>
          <t>M01@20261028-4614b9c2</t>
        </is>
      </c>
      <c r="J117" s="8" t="inlineStr">
        <is>
          <t>MS-M01</t>
        </is>
      </c>
      <c r="K117" s="8" t="inlineStr">
        <is>
          <t>1/1</t>
        </is>
      </c>
      <c r="L117" s="7" t="inlineStr">
        <is>
          <t>Approved</t>
        </is>
      </c>
      <c r="M117" s="7" t="n"/>
      <c r="N117" s="8" t="inlineStr">
        <is>
          <t>Actor, branch and dependency need review.</t>
        </is>
      </c>
    </row>
    <row r="118" ht="40" customHeight="1">
      <c r="A118" s="4" t="inlineStr">
        <is>
          <t>M01</t>
        </is>
      </c>
      <c r="B118" s="4" t="inlineStr">
        <is>
          <t>Sanjay Gandhi Niradhar Grant Scheme</t>
        </is>
      </c>
      <c r="C118" s="4" t="inlineStr">
        <is>
          <t>M01-P0056</t>
        </is>
      </c>
      <c r="D118" s="4" t="inlineStr">
        <is>
          <t>Online</t>
        </is>
      </c>
      <c r="E118" s="4" t="inlineStr"/>
      <c r="F118" s="4" t="inlineStr">
        <is>
          <t>Source step text</t>
        </is>
      </c>
      <c r="G118" s="4" t="inlineStr">
        <is>
          <t>"Dear [Username], you have successfully applied for [Scheme Name]. Your Application ID is [Application ID here]."</t>
        </is>
      </c>
      <c r="H118" s="4" t="inlineStr">
        <is>
          <t>en.applicationProcess[1].process[35]</t>
        </is>
      </c>
      <c r="I118" s="4" t="inlineStr">
        <is>
          <t>M01@20261028-4614b9c2</t>
        </is>
      </c>
      <c r="J118" s="4" t="inlineStr">
        <is>
          <t>MS-M01</t>
        </is>
      </c>
      <c r="K118" s="4" t="inlineStr">
        <is>
          <t>1/1</t>
        </is>
      </c>
      <c r="L118" s="7" t="inlineStr">
        <is>
          <t>Approved</t>
        </is>
      </c>
      <c r="M118" s="7" t="n"/>
      <c r="N118" s="4" t="inlineStr">
        <is>
          <t>Actor, branch and dependency need review.</t>
        </is>
      </c>
    </row>
    <row r="119" ht="54" customHeight="1">
      <c r="A119" s="8" t="inlineStr">
        <is>
          <t>M01</t>
        </is>
      </c>
      <c r="B119" s="8" t="inlineStr">
        <is>
          <t>Sanjay Gandhi Niradhar Grant Scheme</t>
        </is>
      </c>
      <c r="C119" s="8" t="inlineStr">
        <is>
          <t>M01-P0057</t>
        </is>
      </c>
      <c r="D119" s="8" t="inlineStr">
        <is>
          <t>Online</t>
        </is>
      </c>
      <c r="E119" s="8" t="inlineStr"/>
      <c r="F119" s="8" t="inlineStr">
        <is>
          <t>Source step text</t>
        </is>
      </c>
      <c r="G119" s="8" t="inlineStr">
        <is>
          <t>The Application ID will also be shared over your registered Email ID and Mobile Number. Save this Application ID for future reference and for checking the application status.</t>
        </is>
      </c>
      <c r="H119" s="8" t="inlineStr">
        <is>
          <t>en.applicationProcess[1].process[37]</t>
        </is>
      </c>
      <c r="I119" s="8" t="inlineStr">
        <is>
          <t>M01@20261028-4614b9c2</t>
        </is>
      </c>
      <c r="J119" s="8" t="inlineStr">
        <is>
          <t>MS-M01</t>
        </is>
      </c>
      <c r="K119" s="8" t="inlineStr">
        <is>
          <t>1/1</t>
        </is>
      </c>
      <c r="L119" s="7" t="inlineStr">
        <is>
          <t>Approved</t>
        </is>
      </c>
      <c r="M119" s="7" t="n"/>
      <c r="N119" s="8" t="inlineStr">
        <is>
          <t>Actor, branch and dependency need review.</t>
        </is>
      </c>
    </row>
    <row r="120" ht="40" customHeight="1">
      <c r="A120" s="4" t="inlineStr">
        <is>
          <t>M01</t>
        </is>
      </c>
      <c r="B120" s="4" t="inlineStr">
        <is>
          <t>Sanjay Gandhi Niradhar Grant Scheme</t>
        </is>
      </c>
      <c r="C120" s="4" t="inlineStr">
        <is>
          <t>M01-P0058</t>
        </is>
      </c>
      <c r="D120" s="4" t="inlineStr">
        <is>
          <t>Online</t>
        </is>
      </c>
      <c r="E120" s="4" t="inlineStr"/>
      <c r="F120" s="4" t="inlineStr">
        <is>
          <t>Source step text</t>
        </is>
      </c>
      <c r="G120" s="4" t="inlineStr">
        <is>
          <t>Step 4: You can also view the status of your applications (Under Scrutiny / Approved / Rejected / Fund Disbursed) using the "My Applied Scheme History" in the left pane.</t>
        </is>
      </c>
      <c r="H120" s="4" t="inlineStr">
        <is>
          <t>en.applicationProcess[1].process[39]</t>
        </is>
      </c>
      <c r="I120" s="4" t="inlineStr">
        <is>
          <t>M01@20261028-4614b9c2</t>
        </is>
      </c>
      <c r="J120" s="4" t="inlineStr">
        <is>
          <t>MS-M01</t>
        </is>
      </c>
      <c r="K120" s="4" t="inlineStr">
        <is>
          <t>1/1</t>
        </is>
      </c>
      <c r="L120" s="7" t="inlineStr">
        <is>
          <t>Approved</t>
        </is>
      </c>
      <c r="M120" s="7" t="n"/>
      <c r="N120" s="4" t="inlineStr">
        <is>
          <t>Actor, branch and dependency need review.</t>
        </is>
      </c>
    </row>
    <row r="121" ht="40" customHeight="1">
      <c r="A121" s="8" t="inlineStr">
        <is>
          <t>M02</t>
        </is>
      </c>
      <c r="B121" s="8" t="inlineStr">
        <is>
          <t>Shravanbal Seva State Pension Scheme</t>
        </is>
      </c>
      <c r="C121" s="8" t="inlineStr">
        <is>
          <t>M02-P0017</t>
        </is>
      </c>
      <c r="D121" s="8" t="inlineStr">
        <is>
          <t>Online</t>
        </is>
      </c>
      <c r="E121" s="8" t="inlineStr"/>
      <c r="F121" s="8" t="inlineStr">
        <is>
          <t>Source step text</t>
        </is>
      </c>
      <c r="G121" s="8" t="inlineStr">
        <is>
          <t>Registration:</t>
        </is>
      </c>
      <c r="H121" s="8" t="inlineStr">
        <is>
          <t>en.applicationProcess[0].process[0].children[1].children[0]</t>
        </is>
      </c>
      <c r="I121" s="8" t="inlineStr">
        <is>
          <t>M02@20261028-0e33c069</t>
        </is>
      </c>
      <c r="J121" s="8" t="inlineStr">
        <is>
          <t>MS-M02</t>
        </is>
      </c>
      <c r="K121" s="8" t="inlineStr">
        <is>
          <t>1/1</t>
        </is>
      </c>
      <c r="L121" s="7" t="inlineStr">
        <is>
          <t>Approved</t>
        </is>
      </c>
      <c r="M121" s="7" t="n"/>
      <c r="N121" s="8" t="inlineStr">
        <is>
          <t>Actor, branch and dependency need review.</t>
        </is>
      </c>
    </row>
    <row r="122" ht="40" customHeight="1">
      <c r="A122" s="4" t="inlineStr">
        <is>
          <t>M02</t>
        </is>
      </c>
      <c r="B122" s="4" t="inlineStr">
        <is>
          <t>Shravanbal Seva State Pension Scheme</t>
        </is>
      </c>
      <c r="C122" s="4" t="inlineStr">
        <is>
          <t>M02-P0018</t>
        </is>
      </c>
      <c r="D122" s="4" t="inlineStr">
        <is>
          <t>Online</t>
        </is>
      </c>
      <c r="E122" s="4" t="inlineStr"/>
      <c r="F122" s="4" t="inlineStr">
        <is>
          <t>Source step text</t>
        </is>
      </c>
      <c r="G122" s="4" t="inlineStr">
        <is>
          <t>Step 1: Visit the Official Portal of Aaple Sarkar (Maha DBT). On the right pane (green), click "New User? Register Here". You will be directed to the Registration Page.</t>
        </is>
      </c>
      <c r="H122" s="4" t="inlineStr">
        <is>
          <t>en.applicationProcess[0].process[2]</t>
        </is>
      </c>
      <c r="I122" s="4" t="inlineStr">
        <is>
          <t>M02@20261028-0e33c069</t>
        </is>
      </c>
      <c r="J122" s="4" t="inlineStr">
        <is>
          <t>MS-M02</t>
        </is>
      </c>
      <c r="K122" s="4" t="inlineStr">
        <is>
          <t>1/1</t>
        </is>
      </c>
      <c r="L122" s="7" t="inlineStr">
        <is>
          <t>Approved</t>
        </is>
      </c>
      <c r="M122" s="7" t="n"/>
      <c r="N122" s="4" t="inlineStr">
        <is>
          <t>Actor, branch and dependency need review.</t>
        </is>
      </c>
    </row>
    <row r="123" ht="54" customHeight="1">
      <c r="A123" s="8" t="inlineStr">
        <is>
          <t>M02</t>
        </is>
      </c>
      <c r="B123" s="8" t="inlineStr">
        <is>
          <t>Shravanbal Seva State Pension Scheme</t>
        </is>
      </c>
      <c r="C123" s="8" t="inlineStr">
        <is>
          <t>M02-P0019</t>
        </is>
      </c>
      <c r="D123" s="8" t="inlineStr">
        <is>
          <t>Online</t>
        </is>
      </c>
      <c r="E123" s="8" t="inlineStr"/>
      <c r="F123" s="8" t="inlineStr">
        <is>
          <t>Source step text</t>
        </is>
      </c>
      <c r="G123" s="8" t="inlineStr">
        <is>
          <t>Step 2: Verify your Email ID and Mobile Number using OTP and then create a Unique Username and Password. (You will also find the link to the Registration Manual on the top right of the page.)</t>
        </is>
      </c>
      <c r="H123" s="8" t="inlineStr">
        <is>
          <t>en.applicationProcess[0].process[4]</t>
        </is>
      </c>
      <c r="I123" s="8" t="inlineStr">
        <is>
          <t>M02@20261028-0e33c069</t>
        </is>
      </c>
      <c r="J123" s="8" t="inlineStr">
        <is>
          <t>MS-M02</t>
        </is>
      </c>
      <c r="K123" s="8" t="inlineStr">
        <is>
          <t>1/1</t>
        </is>
      </c>
      <c r="L123" s="7" t="inlineStr">
        <is>
          <t>Approved</t>
        </is>
      </c>
      <c r="M123" s="7" t="n"/>
      <c r="N123" s="8" t="inlineStr">
        <is>
          <t>Actor, branch and dependency need review.</t>
        </is>
      </c>
    </row>
    <row r="124" ht="54" customHeight="1">
      <c r="A124" s="4" t="inlineStr">
        <is>
          <t>M02</t>
        </is>
      </c>
      <c r="B124" s="4" t="inlineStr">
        <is>
          <t>Shravanbal Seva State Pension Scheme</t>
        </is>
      </c>
      <c r="C124" s="4" t="inlineStr">
        <is>
          <t>M02-P0020</t>
        </is>
      </c>
      <c r="D124" s="4" t="inlineStr">
        <is>
          <t>Online</t>
        </is>
      </c>
      <c r="E124" s="4" t="inlineStr"/>
      <c r="F124" s="4" t="inlineStr">
        <is>
          <t>Source step text</t>
        </is>
      </c>
      <c r="G124" s="4" t="inlineStr">
        <is>
          <t>In the "Applicant Detail" section, fill in the following mandatory fields: Salutation, Full Name(English), Full Name(Marathi), Father's Salutation, Father's Name (English), Father's Name(Marathi), Date of Birth, Age, Gender, Occupation.</t>
        </is>
      </c>
      <c r="H124" s="4" t="inlineStr">
        <is>
          <t>en.applicationProcess[0].process[6]</t>
        </is>
      </c>
      <c r="I124" s="4" t="inlineStr">
        <is>
          <t>M02@20261028-0e33c069</t>
        </is>
      </c>
      <c r="J124" s="4" t="inlineStr">
        <is>
          <t>MS-M02</t>
        </is>
      </c>
      <c r="K124" s="4" t="inlineStr">
        <is>
          <t>1/1</t>
        </is>
      </c>
      <c r="L124" s="7" t="inlineStr">
        <is>
          <t>Approved</t>
        </is>
      </c>
      <c r="M124" s="7" t="n"/>
      <c r="N124" s="4" t="inlineStr">
        <is>
          <t>Actor, branch and dependency need review.</t>
        </is>
      </c>
    </row>
    <row r="125" ht="68" customHeight="1">
      <c r="A125" s="8" t="inlineStr">
        <is>
          <t>M02</t>
        </is>
      </c>
      <c r="B125" s="8" t="inlineStr">
        <is>
          <t>Shravanbal Seva State Pension Scheme</t>
        </is>
      </c>
      <c r="C125" s="8" t="inlineStr">
        <is>
          <t>M02-P0021</t>
        </is>
      </c>
      <c r="D125" s="8" t="inlineStr">
        <is>
          <t>Online</t>
        </is>
      </c>
      <c r="E125" s="8" t="inlineStr"/>
      <c r="F125" s="8" t="inlineStr">
        <is>
          <t>Source step text</t>
        </is>
      </c>
      <c r="G125" s="8" t="inlineStr">
        <is>
          <t>In the "Applicant's Address" section, fill in the following mandatory fields: Address (English), Address (Marathi), Street (English), Street (Marathi), Section (English), Section (Marathi), Building (English), Building (Marathi), Landmark (English), Landmark (Marathi), District, Taluka, Village, Pincode</t>
        </is>
      </c>
      <c r="H125" s="8" t="inlineStr">
        <is>
          <t>en.applicationProcess[0].process[8]</t>
        </is>
      </c>
      <c r="I125" s="8" t="inlineStr">
        <is>
          <t>M02@20261028-0e33c069</t>
        </is>
      </c>
      <c r="J125" s="8" t="inlineStr">
        <is>
          <t>MS-M02</t>
        </is>
      </c>
      <c r="K125" s="8" t="inlineStr">
        <is>
          <t>1/1</t>
        </is>
      </c>
      <c r="L125" s="7" t="inlineStr">
        <is>
          <t>Approved</t>
        </is>
      </c>
      <c r="M125" s="7" t="n"/>
      <c r="N125" s="8" t="inlineStr">
        <is>
          <t>Actor, branch and dependency need review.</t>
        </is>
      </c>
    </row>
    <row r="126" ht="54" customHeight="1">
      <c r="A126" s="4" t="inlineStr">
        <is>
          <t>M02</t>
        </is>
      </c>
      <c r="B126" s="4" t="inlineStr">
        <is>
          <t>Shravanbal Seva State Pension Scheme</t>
        </is>
      </c>
      <c r="C126" s="4" t="inlineStr">
        <is>
          <t>M02-P0022</t>
        </is>
      </c>
      <c r="D126" s="4" t="inlineStr">
        <is>
          <t>Online</t>
        </is>
      </c>
      <c r="E126" s="4" t="inlineStr"/>
      <c r="F126" s="4" t="inlineStr">
        <is>
          <t>Source step text</t>
        </is>
      </c>
      <c r="G126" s="4" t="inlineStr">
        <is>
          <t>In the "Mobile No. &amp; Username Verification" section, fill in the following mandatory fields: 10-digit Mobile Number (to be verified via OTP), PAN No, User Name, Email ID (to be verified via OTP), Password, and Confirm Password.</t>
        </is>
      </c>
      <c r="H126" s="4" t="inlineStr">
        <is>
          <t>en.applicationProcess[0].process[10]</t>
        </is>
      </c>
      <c r="I126" s="4" t="inlineStr">
        <is>
          <t>M02@20261028-0e33c069</t>
        </is>
      </c>
      <c r="J126" s="4" t="inlineStr">
        <is>
          <t>MS-M02</t>
        </is>
      </c>
      <c r="K126" s="4" t="inlineStr">
        <is>
          <t>1/1</t>
        </is>
      </c>
      <c r="L126" s="7" t="inlineStr">
        <is>
          <t>Approved</t>
        </is>
      </c>
      <c r="M126" s="7" t="n"/>
      <c r="N126" s="4" t="inlineStr">
        <is>
          <t>Actor, branch and dependency need review.</t>
        </is>
      </c>
    </row>
    <row r="127" ht="40" customHeight="1">
      <c r="A127" s="8" t="inlineStr">
        <is>
          <t>M02</t>
        </is>
      </c>
      <c r="B127" s="8" t="inlineStr">
        <is>
          <t>Shravanbal Seva State Pension Scheme</t>
        </is>
      </c>
      <c r="C127" s="8" t="inlineStr">
        <is>
          <t>M02-P0023</t>
        </is>
      </c>
      <c r="D127" s="8" t="inlineStr">
        <is>
          <t>Online</t>
        </is>
      </c>
      <c r="E127" s="8" t="inlineStr"/>
      <c r="F127" s="8" t="inlineStr">
        <is>
          <t>Source step text</t>
        </is>
      </c>
      <c r="G127" s="8" t="inlineStr">
        <is>
          <t>In the "Upload your Photograph" section, upload your passport-sized photograph following the instructions given below:</t>
        </is>
      </c>
      <c r="H127" s="8" t="inlineStr">
        <is>
          <t>en.applicationProcess[0].process[12]</t>
        </is>
      </c>
      <c r="I127" s="8" t="inlineStr">
        <is>
          <t>M02@20261028-0e33c069</t>
        </is>
      </c>
      <c r="J127" s="8" t="inlineStr">
        <is>
          <t>MS-M02</t>
        </is>
      </c>
      <c r="K127" s="8" t="inlineStr">
        <is>
          <t>1/1</t>
        </is>
      </c>
      <c r="L127" s="7" t="inlineStr">
        <is>
          <t>Approved</t>
        </is>
      </c>
      <c r="M127" s="7" t="n"/>
      <c r="N127" s="8" t="inlineStr">
        <is>
          <t>Actor, branch and dependency need review.</t>
        </is>
      </c>
    </row>
    <row r="128" ht="40" customHeight="1">
      <c r="A128" s="4" t="inlineStr">
        <is>
          <t>M02</t>
        </is>
      </c>
      <c r="B128" s="4" t="inlineStr">
        <is>
          <t>Shravanbal Seva State Pension Scheme</t>
        </is>
      </c>
      <c r="C128" s="4" t="inlineStr">
        <is>
          <t>M02-P0024</t>
        </is>
      </c>
      <c r="D128" s="4" t="inlineStr">
        <is>
          <t>Online</t>
        </is>
      </c>
      <c r="E128" s="4" t="inlineStr"/>
      <c r="F128" s="4" t="inlineStr">
        <is>
          <t>Source step text</t>
        </is>
      </c>
      <c r="G128" s="4" t="inlineStr">
        <is>
          <t>1. The file size should fall between 5 KB to 20 KB.</t>
        </is>
      </c>
      <c r="H128" s="4" t="inlineStr">
        <is>
          <t>en.applicationProcess[0].process[13]</t>
        </is>
      </c>
      <c r="I128" s="4" t="inlineStr">
        <is>
          <t>M02@20261028-0e33c069</t>
        </is>
      </c>
      <c r="J128" s="4" t="inlineStr">
        <is>
          <t>MS-M02</t>
        </is>
      </c>
      <c r="K128" s="4" t="inlineStr">
        <is>
          <t>1/1</t>
        </is>
      </c>
      <c r="L128" s="7" t="inlineStr">
        <is>
          <t>Approved</t>
        </is>
      </c>
      <c r="M128" s="7" t="n"/>
      <c r="N128" s="4" t="inlineStr">
        <is>
          <t>Actor, branch and dependency need review.</t>
        </is>
      </c>
    </row>
    <row r="129" ht="40" customHeight="1">
      <c r="A129" s="8" t="inlineStr">
        <is>
          <t>M02</t>
        </is>
      </c>
      <c r="B129" s="8" t="inlineStr">
        <is>
          <t>Shravanbal Seva State Pension Scheme</t>
        </is>
      </c>
      <c r="C129" s="8" t="inlineStr">
        <is>
          <t>M02-P0025</t>
        </is>
      </c>
      <c r="D129" s="8" t="inlineStr">
        <is>
          <t>Online</t>
        </is>
      </c>
      <c r="E129" s="8" t="inlineStr"/>
      <c r="F129" s="8" t="inlineStr">
        <is>
          <t>Source step text</t>
        </is>
      </c>
      <c r="G129" s="8" t="inlineStr">
        <is>
          <t>2. The format should be JPEG.</t>
        </is>
      </c>
      <c r="H129" s="8" t="inlineStr">
        <is>
          <t>en.applicationProcess[0].process[14]</t>
        </is>
      </c>
      <c r="I129" s="8" t="inlineStr">
        <is>
          <t>M02@20261028-0e33c069</t>
        </is>
      </c>
      <c r="J129" s="8" t="inlineStr">
        <is>
          <t>MS-M02</t>
        </is>
      </c>
      <c r="K129" s="8" t="inlineStr">
        <is>
          <t>1/1</t>
        </is>
      </c>
      <c r="L129" s="7" t="inlineStr">
        <is>
          <t>Approved</t>
        </is>
      </c>
      <c r="M129" s="7" t="n"/>
      <c r="N129" s="8" t="inlineStr">
        <is>
          <t>Actor, branch and dependency need review.</t>
        </is>
      </c>
    </row>
    <row r="130" ht="40" customHeight="1">
      <c r="A130" s="4" t="inlineStr">
        <is>
          <t>M02</t>
        </is>
      </c>
      <c r="B130" s="4" t="inlineStr">
        <is>
          <t>Shravanbal Seva State Pension Scheme</t>
        </is>
      </c>
      <c r="C130" s="4" t="inlineStr">
        <is>
          <t>M02-P0026</t>
        </is>
      </c>
      <c r="D130" s="4" t="inlineStr">
        <is>
          <t>Online</t>
        </is>
      </c>
      <c r="E130" s="4" t="inlineStr"/>
      <c r="F130" s="4" t="inlineStr">
        <is>
          <t>Source step text</t>
        </is>
      </c>
      <c r="G130" s="4" t="inlineStr">
        <is>
          <t>3. The width should be 160 pixels.</t>
        </is>
      </c>
      <c r="H130" s="4" t="inlineStr">
        <is>
          <t>en.applicationProcess[0].process[15]</t>
        </is>
      </c>
      <c r="I130" s="4" t="inlineStr">
        <is>
          <t>M02@20261028-0e33c069</t>
        </is>
      </c>
      <c r="J130" s="4" t="inlineStr">
        <is>
          <t>MS-M02</t>
        </is>
      </c>
      <c r="K130" s="4" t="inlineStr">
        <is>
          <t>1/1</t>
        </is>
      </c>
      <c r="L130" s="7" t="inlineStr">
        <is>
          <t>Approved</t>
        </is>
      </c>
      <c r="M130" s="7" t="n"/>
      <c r="N130" s="4" t="inlineStr">
        <is>
          <t>Actor, branch and dependency need review.</t>
        </is>
      </c>
    </row>
    <row r="131" ht="40" customHeight="1">
      <c r="A131" s="8" t="inlineStr">
        <is>
          <t>M02</t>
        </is>
      </c>
      <c r="B131" s="8" t="inlineStr">
        <is>
          <t>Shravanbal Seva State Pension Scheme</t>
        </is>
      </c>
      <c r="C131" s="8" t="inlineStr">
        <is>
          <t>M02-P0027</t>
        </is>
      </c>
      <c r="D131" s="8" t="inlineStr">
        <is>
          <t>Online</t>
        </is>
      </c>
      <c r="E131" s="8" t="inlineStr"/>
      <c r="F131" s="8" t="inlineStr">
        <is>
          <t>Source step text</t>
        </is>
      </c>
      <c r="G131" s="8" t="inlineStr">
        <is>
          <t>4. The height should fall between 200 to 212 pixels.</t>
        </is>
      </c>
      <c r="H131" s="8" t="inlineStr">
        <is>
          <t>en.applicationProcess[0].process[16]</t>
        </is>
      </c>
      <c r="I131" s="8" t="inlineStr">
        <is>
          <t>M02@20261028-0e33c069</t>
        </is>
      </c>
      <c r="J131" s="8" t="inlineStr">
        <is>
          <t>MS-M02</t>
        </is>
      </c>
      <c r="K131" s="8" t="inlineStr">
        <is>
          <t>1/1</t>
        </is>
      </c>
      <c r="L131" s="7" t="inlineStr">
        <is>
          <t>Approved</t>
        </is>
      </c>
      <c r="M131" s="7" t="n"/>
      <c r="N131" s="8" t="inlineStr">
        <is>
          <t>Actor, branch and dependency need review.</t>
        </is>
      </c>
    </row>
    <row r="132" ht="54" customHeight="1">
      <c r="A132" s="4" t="inlineStr">
        <is>
          <t>M02</t>
        </is>
      </c>
      <c r="B132" s="4" t="inlineStr">
        <is>
          <t>Shravanbal Seva State Pension Scheme</t>
        </is>
      </c>
      <c r="C132" s="4" t="inlineStr">
        <is>
          <t>M02-P0028</t>
        </is>
      </c>
      <c r="D132" s="4" t="inlineStr">
        <is>
          <t>Online</t>
        </is>
      </c>
      <c r="E132" s="4" t="inlineStr"/>
      <c r="F132" s="4" t="inlineStr">
        <is>
          <t>Source step text</t>
        </is>
      </c>
      <c r="G132" s="4" t="inlineStr">
        <is>
          <t>In the "Proof Of Identity" section, upload ANY ONE of the following documents: PAN Card, Voter ID Card (POI), Passport (POI), Aadhaar Card (POI), Driving License (POI), Government / Semi-Government ID, Proof MNREGA Job Card, RSBY Card.</t>
        </is>
      </c>
      <c r="H132" s="4" t="inlineStr">
        <is>
          <t>en.applicationProcess[0].process[18]</t>
        </is>
      </c>
      <c r="I132" s="4" t="inlineStr">
        <is>
          <t>M02@20261028-0e33c069</t>
        </is>
      </c>
      <c r="J132" s="4" t="inlineStr">
        <is>
          <t>MS-M02</t>
        </is>
      </c>
      <c r="K132" s="4" t="inlineStr">
        <is>
          <t>1/1</t>
        </is>
      </c>
      <c r="L132" s="7" t="inlineStr">
        <is>
          <t>Approved</t>
        </is>
      </c>
      <c r="M132" s="7" t="n"/>
      <c r="N132" s="4" t="inlineStr">
        <is>
          <t>Actor, branch and dependency need review.</t>
        </is>
      </c>
    </row>
    <row r="133" ht="40" customHeight="1">
      <c r="A133" s="8" t="inlineStr">
        <is>
          <t>M02</t>
        </is>
      </c>
      <c r="B133" s="8" t="inlineStr">
        <is>
          <t>Shravanbal Seva State Pension Scheme</t>
        </is>
      </c>
      <c r="C133" s="8" t="inlineStr">
        <is>
          <t>M02-P0029</t>
        </is>
      </c>
      <c r="D133" s="8" t="inlineStr">
        <is>
          <t>Online</t>
        </is>
      </c>
      <c r="E133" s="8" t="inlineStr"/>
      <c r="F133" s="8" t="inlineStr">
        <is>
          <t>Source step text</t>
        </is>
      </c>
      <c r="G133" s="8" t="inlineStr">
        <is>
          <t>The format should be JPEG/ PDF, and the file size should be between 75 KB to 256 KB.</t>
        </is>
      </c>
      <c r="H133" s="8" t="inlineStr">
        <is>
          <t>en.applicationProcess[0].process[19]</t>
        </is>
      </c>
      <c r="I133" s="8" t="inlineStr">
        <is>
          <t>M02@20261028-0e33c069</t>
        </is>
      </c>
      <c r="J133" s="8" t="inlineStr">
        <is>
          <t>MS-M02</t>
        </is>
      </c>
      <c r="K133" s="8" t="inlineStr">
        <is>
          <t>1/1</t>
        </is>
      </c>
      <c r="L133" s="7" t="inlineStr">
        <is>
          <t>Approved</t>
        </is>
      </c>
      <c r="M133" s="7" t="n"/>
      <c r="N133" s="8" t="inlineStr">
        <is>
          <t>Actor, branch and dependency need review.</t>
        </is>
      </c>
    </row>
    <row r="134" ht="68" customHeight="1">
      <c r="A134" s="4" t="inlineStr">
        <is>
          <t>M02</t>
        </is>
      </c>
      <c r="B134" s="4" t="inlineStr">
        <is>
          <t>Shravanbal Seva State Pension Scheme</t>
        </is>
      </c>
      <c r="C134" s="4" t="inlineStr">
        <is>
          <t>M02-P0030</t>
        </is>
      </c>
      <c r="D134" s="4" t="inlineStr">
        <is>
          <t>Online</t>
        </is>
      </c>
      <c r="E134" s="4" t="inlineStr"/>
      <c r="F134" s="4" t="inlineStr">
        <is>
          <t>Source step text</t>
        </is>
      </c>
      <c r="G134" s="4" t="inlineStr">
        <is>
          <t>In the "Proof Of Address" section, upload ANY ONE of the following documents: Ration Card Passport (POA), Aadhaar Card (POA), Driving License (POA), Voter ID Card (POA), Extracts of 7/12 and 8 A, Property Tax Receipt, Property Agreement Copy, Water Bill, Electricity Bill, Telephone Bill, Rent Receipt.</t>
        </is>
      </c>
      <c r="H134" s="4" t="inlineStr">
        <is>
          <t>en.applicationProcess[0].process[21]</t>
        </is>
      </c>
      <c r="I134" s="4" t="inlineStr">
        <is>
          <t>M02@20261028-0e33c069</t>
        </is>
      </c>
      <c r="J134" s="4" t="inlineStr">
        <is>
          <t>MS-M02</t>
        </is>
      </c>
      <c r="K134" s="4" t="inlineStr">
        <is>
          <t>1/1</t>
        </is>
      </c>
      <c r="L134" s="7" t="inlineStr">
        <is>
          <t>Approved</t>
        </is>
      </c>
      <c r="M134" s="7" t="n"/>
      <c r="N134" s="4" t="inlineStr">
        <is>
          <t>Actor, branch and dependency need review.</t>
        </is>
      </c>
    </row>
    <row r="135" ht="40" customHeight="1">
      <c r="A135" s="8" t="inlineStr">
        <is>
          <t>M02</t>
        </is>
      </c>
      <c r="B135" s="8" t="inlineStr">
        <is>
          <t>Shravanbal Seva State Pension Scheme</t>
        </is>
      </c>
      <c r="C135" s="8" t="inlineStr">
        <is>
          <t>M02-P0031</t>
        </is>
      </c>
      <c r="D135" s="8" t="inlineStr">
        <is>
          <t>Online</t>
        </is>
      </c>
      <c r="E135" s="8" t="inlineStr"/>
      <c r="F135" s="8" t="inlineStr">
        <is>
          <t>Source step text</t>
        </is>
      </c>
      <c r="G135" s="8" t="inlineStr">
        <is>
          <t>Step 3: At the bottom of the Registration Page, read the following declaration carefully:</t>
        </is>
      </c>
      <c r="H135" s="8" t="inlineStr">
        <is>
          <t>en.applicationProcess[0].process[23]</t>
        </is>
      </c>
      <c r="I135" s="8" t="inlineStr">
        <is>
          <t>M02@20261028-0e33c069</t>
        </is>
      </c>
      <c r="J135" s="8" t="inlineStr">
        <is>
          <t>MS-M02</t>
        </is>
      </c>
      <c r="K135" s="8" t="inlineStr">
        <is>
          <t>1/1</t>
        </is>
      </c>
      <c r="L135" s="7" t="inlineStr">
        <is>
          <t>Approved</t>
        </is>
      </c>
      <c r="M135" s="7" t="n"/>
      <c r="N135" s="8" t="inlineStr">
        <is>
          <t>Actor, branch and dependency need review.</t>
        </is>
      </c>
    </row>
    <row r="136" ht="54" customHeight="1">
      <c r="A136" s="4" t="inlineStr">
        <is>
          <t>M02</t>
        </is>
      </c>
      <c r="B136" s="4" t="inlineStr">
        <is>
          <t>Shravanbal Seva State Pension Scheme</t>
        </is>
      </c>
      <c r="C136" s="4" t="inlineStr">
        <is>
          <t>M02-P0032</t>
        </is>
      </c>
      <c r="D136" s="4" t="inlineStr">
        <is>
          <t>Online</t>
        </is>
      </c>
      <c r="E136" s="4" t="inlineStr"/>
      <c r="F136" s="4" t="inlineStr">
        <is>
          <t>Source step text</t>
        </is>
      </c>
      <c r="G136" s="4" t="inlineStr">
        <is>
          <t>"I declare that the above-mentioned information submitted by me is true and correct to my knowledge and belief. I hereby agree to be liable for legal consequences for any information found incorrect or false under section 200 of the Indian penal code 1960."</t>
        </is>
      </c>
      <c r="H136" s="4" t="inlineStr">
        <is>
          <t>en.applicationProcess[0].process[24]</t>
        </is>
      </c>
      <c r="I136" s="4" t="inlineStr">
        <is>
          <t>M02@20261028-0e33c069</t>
        </is>
      </c>
      <c r="J136" s="4" t="inlineStr">
        <is>
          <t>MS-M02</t>
        </is>
      </c>
      <c r="K136" s="4" t="inlineStr">
        <is>
          <t>1/1</t>
        </is>
      </c>
      <c r="L136" s="7" t="inlineStr">
        <is>
          <t>Approved</t>
        </is>
      </c>
      <c r="M136" s="7" t="n"/>
      <c r="N136" s="4" t="inlineStr">
        <is>
          <t>Actor, branch and dependency need review.</t>
        </is>
      </c>
    </row>
    <row r="137" ht="40" customHeight="1">
      <c r="A137" s="8" t="inlineStr">
        <is>
          <t>M02</t>
        </is>
      </c>
      <c r="B137" s="8" t="inlineStr">
        <is>
          <t>Shravanbal Seva State Pension Scheme</t>
        </is>
      </c>
      <c r="C137" s="8" t="inlineStr">
        <is>
          <t>M02-P0033</t>
        </is>
      </c>
      <c r="D137" s="8" t="inlineStr">
        <is>
          <t>Online</t>
        </is>
      </c>
      <c r="E137" s="8" t="inlineStr"/>
      <c r="F137" s="8" t="inlineStr">
        <is>
          <t>Source step text</t>
        </is>
      </c>
      <c r="G137" s="8" t="inlineStr">
        <is>
          <t>Select the "I accept" checkbox, and click "Register". Your Login Credentials will be shared over your registered Email ID and Mobile Number.</t>
        </is>
      </c>
      <c r="H137" s="8" t="inlineStr">
        <is>
          <t>en.applicationProcess[0].process[26]</t>
        </is>
      </c>
      <c r="I137" s="8" t="inlineStr">
        <is>
          <t>M02@20261028-0e33c069</t>
        </is>
      </c>
      <c r="J137" s="8" t="inlineStr">
        <is>
          <t>MS-M02</t>
        </is>
      </c>
      <c r="K137" s="8" t="inlineStr">
        <is>
          <t>1/1</t>
        </is>
      </c>
      <c r="L137" s="7" t="inlineStr">
        <is>
          <t>Approved</t>
        </is>
      </c>
      <c r="M137" s="7" t="n"/>
      <c r="N137" s="8" t="inlineStr">
        <is>
          <t>Actor, branch and dependency need review.</t>
        </is>
      </c>
    </row>
    <row r="138" ht="40" customHeight="1">
      <c r="A138" s="4" t="inlineStr">
        <is>
          <t>M02</t>
        </is>
      </c>
      <c r="B138" s="4" t="inlineStr">
        <is>
          <t>Shravanbal Seva State Pension Scheme</t>
        </is>
      </c>
      <c r="C138" s="4" t="inlineStr">
        <is>
          <t>M02-P0034</t>
        </is>
      </c>
      <c r="D138" s="4" t="inlineStr">
        <is>
          <t>Online</t>
        </is>
      </c>
      <c r="E138" s="4" t="inlineStr"/>
      <c r="F138" s="4" t="inlineStr">
        <is>
          <t>Source step text</t>
        </is>
      </c>
      <c r="G138" s="4" t="inlineStr">
        <is>
          <t>Application:</t>
        </is>
      </c>
      <c r="H138" s="4" t="inlineStr">
        <is>
          <t>en.applicationProcess[0].process[28].children[0]</t>
        </is>
      </c>
      <c r="I138" s="4" t="inlineStr">
        <is>
          <t>M02@20261028-0e33c069</t>
        </is>
      </c>
      <c r="J138" s="4" t="inlineStr">
        <is>
          <t>MS-M02</t>
        </is>
      </c>
      <c r="K138" s="4" t="inlineStr">
        <is>
          <t>1/1</t>
        </is>
      </c>
      <c r="L138" s="7" t="inlineStr">
        <is>
          <t>Approved</t>
        </is>
      </c>
      <c r="M138" s="7" t="n"/>
      <c r="N138" s="4" t="inlineStr">
        <is>
          <t>Actor, branch and dependency need review.</t>
        </is>
      </c>
    </row>
    <row r="139" ht="54" customHeight="1">
      <c r="A139" s="8" t="inlineStr">
        <is>
          <t>M02</t>
        </is>
      </c>
      <c r="B139" s="8" t="inlineStr">
        <is>
          <t>Shravanbal Seva State Pension Scheme</t>
        </is>
      </c>
      <c r="C139" s="8" t="inlineStr">
        <is>
          <t>M02-P0035</t>
        </is>
      </c>
      <c r="D139" s="8" t="inlineStr">
        <is>
          <t>Online</t>
        </is>
      </c>
      <c r="E139" s="8" t="inlineStr"/>
      <c r="F139" s="8" t="inlineStr">
        <is>
          <t>Source step text</t>
        </is>
      </c>
      <c r="G139" s="8" t="inlineStr">
        <is>
          <t>Step 1: Visit the Official Portal of Aaple Sarkar (Maha DBT). On the right pane (green), click "Already Registered? Login Here". Provide your Username and Password. Fill in the Captcha Code, Select your District from the dropdown menu, and click "Login".</t>
        </is>
      </c>
      <c r="H139" s="8" t="inlineStr">
        <is>
          <t>en.applicationProcess[0].process[30]</t>
        </is>
      </c>
      <c r="I139" s="8" t="inlineStr">
        <is>
          <t>M02@20261028-0e33c069</t>
        </is>
      </c>
      <c r="J139" s="8" t="inlineStr">
        <is>
          <t>MS-M02</t>
        </is>
      </c>
      <c r="K139" s="8" t="inlineStr">
        <is>
          <t>1/1</t>
        </is>
      </c>
      <c r="L139" s="7" t="inlineStr">
        <is>
          <t>Approved</t>
        </is>
      </c>
      <c r="M139" s="7" t="n"/>
      <c r="N139" s="8" t="inlineStr">
        <is>
          <t>Actor, branch and dependency need review.</t>
        </is>
      </c>
    </row>
    <row r="140" ht="54" customHeight="1">
      <c r="A140" s="4" t="inlineStr">
        <is>
          <t>M02</t>
        </is>
      </c>
      <c r="B140" s="4" t="inlineStr">
        <is>
          <t>Shravanbal Seva State Pension Scheme</t>
        </is>
      </c>
      <c r="C140" s="4" t="inlineStr">
        <is>
          <t>M02-P0036</t>
        </is>
      </c>
      <c r="D140" s="4" t="inlineStr">
        <is>
          <t>Online</t>
        </is>
      </c>
      <c r="E140" s="4" t="inlineStr"/>
      <c r="F140" s="4" t="inlineStr">
        <is>
          <t>Source step text</t>
        </is>
      </c>
      <c r="G140" s="4" t="inlineStr">
        <is>
          <t>Step 2: On the next page, in the left pane, click "All Schemes". From the dropdown menu, select the Department Name, and the name of the scheme that you seek to apply for. Click "Apply" against the concerned scheme.</t>
        </is>
      </c>
      <c r="H140" s="4" t="inlineStr">
        <is>
          <t>en.applicationProcess[0].process[32]</t>
        </is>
      </c>
      <c r="I140" s="4" t="inlineStr">
        <is>
          <t>M02@20261028-0e33c069</t>
        </is>
      </c>
      <c r="J140" s="4" t="inlineStr">
        <is>
          <t>MS-M02</t>
        </is>
      </c>
      <c r="K140" s="4" t="inlineStr">
        <is>
          <t>1/1</t>
        </is>
      </c>
      <c r="L140" s="7" t="inlineStr">
        <is>
          <t>Approved</t>
        </is>
      </c>
      <c r="M140" s="7" t="n"/>
      <c r="N140" s="4" t="inlineStr">
        <is>
          <t>Actor, branch and dependency need review.</t>
        </is>
      </c>
    </row>
    <row r="141" ht="54" customHeight="1">
      <c r="A141" s="8" t="inlineStr">
        <is>
          <t>M02</t>
        </is>
      </c>
      <c r="B141" s="8" t="inlineStr">
        <is>
          <t>Shravanbal Seva State Pension Scheme</t>
        </is>
      </c>
      <c r="C141" s="8" t="inlineStr">
        <is>
          <t>M02-P0037</t>
        </is>
      </c>
      <c r="D141" s="8" t="inlineStr">
        <is>
          <t>Online</t>
        </is>
      </c>
      <c r="E141" s="8" t="inlineStr"/>
      <c r="F141" s="8" t="inlineStr">
        <is>
          <t>Source step text</t>
        </is>
      </c>
      <c r="G141" s="8" t="inlineStr">
        <is>
          <t>Step 3: Fill in all the mandatory fields and upload the mandatory documents, and click "Apply". A popup message acknowledging the successful submission of the application will be displayed, along with the Application ID:</t>
        </is>
      </c>
      <c r="H141" s="8" t="inlineStr">
        <is>
          <t>en.applicationProcess[0].process[34]</t>
        </is>
      </c>
      <c r="I141" s="8" t="inlineStr">
        <is>
          <t>M02@20261028-0e33c069</t>
        </is>
      </c>
      <c r="J141" s="8" t="inlineStr">
        <is>
          <t>MS-M02</t>
        </is>
      </c>
      <c r="K141" s="8" t="inlineStr">
        <is>
          <t>1/1</t>
        </is>
      </c>
      <c r="L141" s="7" t="inlineStr">
        <is>
          <t>Approved</t>
        </is>
      </c>
      <c r="M141" s="7" t="n"/>
      <c r="N141" s="8" t="inlineStr">
        <is>
          <t>Actor, branch and dependency need review.</t>
        </is>
      </c>
    </row>
    <row r="142" ht="40" customHeight="1">
      <c r="A142" s="4" t="inlineStr">
        <is>
          <t>M02</t>
        </is>
      </c>
      <c r="B142" s="4" t="inlineStr">
        <is>
          <t>Shravanbal Seva State Pension Scheme</t>
        </is>
      </c>
      <c r="C142" s="4" t="inlineStr">
        <is>
          <t>M02-P0038</t>
        </is>
      </c>
      <c r="D142" s="4" t="inlineStr">
        <is>
          <t>Online</t>
        </is>
      </c>
      <c r="E142" s="4" t="inlineStr"/>
      <c r="F142" s="4" t="inlineStr">
        <is>
          <t>Source step text</t>
        </is>
      </c>
      <c r="G142" s="4" t="inlineStr">
        <is>
          <t>"Dear [Username], you have successfully applied for [Scheme Name]. Your Application ID is [Application ID here]."</t>
        </is>
      </c>
      <c r="H142" s="4" t="inlineStr">
        <is>
          <t>en.applicationProcess[0].process[35]</t>
        </is>
      </c>
      <c r="I142" s="4" t="inlineStr">
        <is>
          <t>M02@20261028-0e33c069</t>
        </is>
      </c>
      <c r="J142" s="4" t="inlineStr">
        <is>
          <t>MS-M02</t>
        </is>
      </c>
      <c r="K142" s="4" t="inlineStr">
        <is>
          <t>1/1</t>
        </is>
      </c>
      <c r="L142" s="7" t="inlineStr">
        <is>
          <t>Approved</t>
        </is>
      </c>
      <c r="M142" s="7" t="n"/>
      <c r="N142" s="4" t="inlineStr">
        <is>
          <t>Actor, branch and dependency need review.</t>
        </is>
      </c>
    </row>
    <row r="143" ht="54" customHeight="1">
      <c r="A143" s="8" t="inlineStr">
        <is>
          <t>M02</t>
        </is>
      </c>
      <c r="B143" s="8" t="inlineStr">
        <is>
          <t>Shravanbal Seva State Pension Scheme</t>
        </is>
      </c>
      <c r="C143" s="8" t="inlineStr">
        <is>
          <t>M02-P0039</t>
        </is>
      </c>
      <c r="D143" s="8" t="inlineStr">
        <is>
          <t>Online</t>
        </is>
      </c>
      <c r="E143" s="8" t="inlineStr"/>
      <c r="F143" s="8" t="inlineStr">
        <is>
          <t>Source step text</t>
        </is>
      </c>
      <c r="G143" s="8" t="inlineStr">
        <is>
          <t>The Application ID will also be shared over your registered Email ID and Mobile Number. Save this Application ID for future reference and for checking the application status.</t>
        </is>
      </c>
      <c r="H143" s="8" t="inlineStr">
        <is>
          <t>en.applicationProcess[0].process[37]</t>
        </is>
      </c>
      <c r="I143" s="8" t="inlineStr">
        <is>
          <t>M02@20261028-0e33c069</t>
        </is>
      </c>
      <c r="J143" s="8" t="inlineStr">
        <is>
          <t>MS-M02</t>
        </is>
      </c>
      <c r="K143" s="8" t="inlineStr">
        <is>
          <t>1/1</t>
        </is>
      </c>
      <c r="L143" s="7" t="inlineStr">
        <is>
          <t>Approved</t>
        </is>
      </c>
      <c r="M143" s="7" t="n"/>
      <c r="N143" s="8" t="inlineStr">
        <is>
          <t>Actor, branch and dependency need review.</t>
        </is>
      </c>
    </row>
    <row r="144" ht="40" customHeight="1">
      <c r="A144" s="4" t="inlineStr">
        <is>
          <t>M02</t>
        </is>
      </c>
      <c r="B144" s="4" t="inlineStr">
        <is>
          <t>Shravanbal Seva State Pension Scheme</t>
        </is>
      </c>
      <c r="C144" s="4" t="inlineStr">
        <is>
          <t>M02-P0040</t>
        </is>
      </c>
      <c r="D144" s="4" t="inlineStr">
        <is>
          <t>Online</t>
        </is>
      </c>
      <c r="E144" s="4" t="inlineStr"/>
      <c r="F144" s="4" t="inlineStr">
        <is>
          <t>Source step text</t>
        </is>
      </c>
      <c r="G144" s="4" t="inlineStr">
        <is>
          <t>Step 4: You can also view the status of your applications (Under Scrutiny / Approved / Rejected / Fund Disbursed) using the "My Applied Scheme History" in the left pane.</t>
        </is>
      </c>
      <c r="H144" s="4" t="inlineStr">
        <is>
          <t>en.applicationProcess[0].process[39]</t>
        </is>
      </c>
      <c r="I144" s="4" t="inlineStr">
        <is>
          <t>M02@20261028-0e33c069</t>
        </is>
      </c>
      <c r="J144" s="4" t="inlineStr">
        <is>
          <t>MS-M02</t>
        </is>
      </c>
      <c r="K144" s="4" t="inlineStr">
        <is>
          <t>1/1</t>
        </is>
      </c>
      <c r="L144" s="7" t="inlineStr">
        <is>
          <t>Approved</t>
        </is>
      </c>
      <c r="M144" s="7" t="n"/>
      <c r="N144" s="4" t="inlineStr">
        <is>
          <t>Actor, branch and dependency need review.</t>
        </is>
      </c>
    </row>
    <row r="145" ht="40" customHeight="1">
      <c r="A145" s="8" t="inlineStr">
        <is>
          <t>M02</t>
        </is>
      </c>
      <c r="B145" s="8" t="inlineStr">
        <is>
          <t>Shravanbal Seva State Pension Scheme</t>
        </is>
      </c>
      <c r="C145" s="8" t="inlineStr">
        <is>
          <t>M02-P0041</t>
        </is>
      </c>
      <c r="D145" s="8" t="inlineStr">
        <is>
          <t>Offline</t>
        </is>
      </c>
      <c r="E145" s="8" t="inlineStr"/>
      <c r="F145" s="8" t="inlineStr">
        <is>
          <t>Source step text</t>
        </is>
      </c>
      <c r="G145" s="8" t="inlineStr">
        <is>
          <t>Step 1: Visit the Talathi Office, and request a hard copy of the format of the application form for the scheme from the concerned authority.</t>
        </is>
      </c>
      <c r="H145" s="8" t="inlineStr">
        <is>
          <t>en.applicationProcess[1].process[0]</t>
        </is>
      </c>
      <c r="I145" s="8" t="inlineStr">
        <is>
          <t>M02@20261028-0e33c069</t>
        </is>
      </c>
      <c r="J145" s="8" t="inlineStr">
        <is>
          <t>MS-M02</t>
        </is>
      </c>
      <c r="K145" s="8" t="inlineStr">
        <is>
          <t>1/1</t>
        </is>
      </c>
      <c r="L145" s="7" t="inlineStr">
        <is>
          <t>Approved</t>
        </is>
      </c>
      <c r="M145" s="7" t="n"/>
      <c r="N145" s="8" t="inlineStr">
        <is>
          <t>Actor, branch and dependency need review.</t>
        </is>
      </c>
    </row>
    <row r="146" ht="54" customHeight="1">
      <c r="A146" s="4" t="inlineStr">
        <is>
          <t>M02</t>
        </is>
      </c>
      <c r="B146" s="4" t="inlineStr">
        <is>
          <t>Shravanbal Seva State Pension Scheme</t>
        </is>
      </c>
      <c r="C146" s="4" t="inlineStr">
        <is>
          <t>M02-P0042</t>
        </is>
      </c>
      <c r="D146" s="4" t="inlineStr">
        <is>
          <t>Offline</t>
        </is>
      </c>
      <c r="E146" s="4" t="inlineStr"/>
      <c r="F146" s="4" t="inlineStr">
        <is>
          <t>Source step text</t>
        </is>
      </c>
      <c r="G146" s="4" t="inlineStr">
        <is>
          <t>Step 2: In the application form, fill in all the mandatory fields, paste the passport-sized photograph (signed across), and attach all the (self-attested) mandatory documents.</t>
        </is>
      </c>
      <c r="H146" s="4" t="inlineStr">
        <is>
          <t>en.applicationProcess[1].process[1]</t>
        </is>
      </c>
      <c r="I146" s="4" t="inlineStr">
        <is>
          <t>M02@20261028-0e33c069</t>
        </is>
      </c>
      <c r="J146" s="4" t="inlineStr">
        <is>
          <t>MS-M02</t>
        </is>
      </c>
      <c r="K146" s="4" t="inlineStr">
        <is>
          <t>1/1</t>
        </is>
      </c>
      <c r="L146" s="7" t="inlineStr">
        <is>
          <t>Approved</t>
        </is>
      </c>
      <c r="M146" s="7" t="n"/>
      <c r="N146" s="4" t="inlineStr">
        <is>
          <t>Actor, branch and dependency need review.</t>
        </is>
      </c>
    </row>
    <row r="147" ht="40" customHeight="1">
      <c r="A147" s="8" t="inlineStr">
        <is>
          <t>M02</t>
        </is>
      </c>
      <c r="B147" s="8" t="inlineStr">
        <is>
          <t>Shravanbal Seva State Pension Scheme</t>
        </is>
      </c>
      <c r="C147" s="8" t="inlineStr">
        <is>
          <t>M02-P0043</t>
        </is>
      </c>
      <c r="D147" s="8" t="inlineStr">
        <is>
          <t>Offline</t>
        </is>
      </c>
      <c r="E147" s="8" t="inlineStr"/>
      <c r="F147" s="8" t="inlineStr">
        <is>
          <t>Source step text</t>
        </is>
      </c>
      <c r="G147" s="8" t="inlineStr">
        <is>
          <t>Step 3: Submit the duly filled and signed application form along with the documents to the Talathi Office.</t>
        </is>
      </c>
      <c r="H147" s="8" t="inlineStr">
        <is>
          <t>en.applicationProcess[1].process[2]</t>
        </is>
      </c>
      <c r="I147" s="8" t="inlineStr">
        <is>
          <t>M02@20261028-0e33c069</t>
        </is>
      </c>
      <c r="J147" s="8" t="inlineStr">
        <is>
          <t>MS-M02</t>
        </is>
      </c>
      <c r="K147" s="8" t="inlineStr">
        <is>
          <t>1/1</t>
        </is>
      </c>
      <c r="L147" s="7" t="inlineStr">
        <is>
          <t>Approved</t>
        </is>
      </c>
      <c r="M147" s="7" t="n"/>
      <c r="N147" s="8" t="inlineStr">
        <is>
          <t>Actor, branch and dependency need review.</t>
        </is>
      </c>
    </row>
    <row r="148" ht="40" customHeight="1">
      <c r="A148" s="4" t="inlineStr">
        <is>
          <t>M02</t>
        </is>
      </c>
      <c r="B148" s="4" t="inlineStr">
        <is>
          <t>Shravanbal Seva State Pension Scheme</t>
        </is>
      </c>
      <c r="C148" s="4" t="inlineStr">
        <is>
          <t>M02-P0044</t>
        </is>
      </c>
      <c r="D148" s="4" t="inlineStr">
        <is>
          <t>Offline</t>
        </is>
      </c>
      <c r="E148" s="4" t="inlineStr"/>
      <c r="F148" s="4" t="inlineStr">
        <is>
          <t>Source step text</t>
        </is>
      </c>
      <c r="G148" s="4" t="inlineStr">
        <is>
          <t>Step 4: Acquire the receipt/acknowledgment of the successful submission of the application form.</t>
        </is>
      </c>
      <c r="H148" s="4" t="inlineStr">
        <is>
          <t>en.applicationProcess[1].process[3]</t>
        </is>
      </c>
      <c r="I148" s="4" t="inlineStr">
        <is>
          <t>M02@20261028-0e33c069</t>
        </is>
      </c>
      <c r="J148" s="4" t="inlineStr">
        <is>
          <t>MS-M02</t>
        </is>
      </c>
      <c r="K148" s="4" t="inlineStr">
        <is>
          <t>1/1</t>
        </is>
      </c>
      <c r="L148" s="7" t="inlineStr">
        <is>
          <t>Approved</t>
        </is>
      </c>
      <c r="M148" s="7" t="n"/>
      <c r="N148" s="4" t="inlineStr">
        <is>
          <t>Actor, branch and dependency need review.</t>
        </is>
      </c>
    </row>
    <row r="149" ht="40" customHeight="1">
      <c r="A149" s="8" t="inlineStr">
        <is>
          <t>M03</t>
        </is>
      </c>
      <c r="B149" s="8" t="inlineStr">
        <is>
          <t>Lek Ladki Yojana</t>
        </is>
      </c>
      <c r="C149" s="8" t="inlineStr">
        <is>
          <t>M03-P0011</t>
        </is>
      </c>
      <c r="D149" s="8" t="inlineStr">
        <is>
          <t>See instructions</t>
        </is>
      </c>
      <c r="E149" s="8" t="inlineStr"/>
      <c r="F149" s="8" t="inlineStr">
        <is>
          <t>Source step text</t>
        </is>
      </c>
      <c r="G149" s="8" t="inlineStr">
        <is>
          <t>Prescribed form from Anganwadi centre; review GR S24 and stage-specific requirements.</t>
        </is>
      </c>
      <c r="H149" s="8" t="inlineStr">
        <is>
          <t>earlier_review.apply</t>
        </is>
      </c>
      <c r="I149" s="8" t="inlineStr">
        <is>
          <t>M03@20261023-86676752</t>
        </is>
      </c>
      <c r="J149" s="8" t="inlineStr">
        <is>
          <t>MS-M03</t>
        </is>
      </c>
      <c r="K149" s="8" t="inlineStr">
        <is>
          <t>1/1</t>
        </is>
      </c>
      <c r="L149" s="7" t="inlineStr">
        <is>
          <t>Not started</t>
        </is>
      </c>
      <c r="M149" s="7" t="n"/>
      <c r="N149" s="8" t="inlineStr">
        <is>
          <t>Actor, branch and dependency need review.</t>
        </is>
      </c>
    </row>
    <row r="150" ht="40" customHeight="1">
      <c r="A150" s="4" t="inlineStr">
        <is>
          <t>M04</t>
        </is>
      </c>
      <c r="B150" s="4" t="inlineStr">
        <is>
          <t>Mukhyamantri Vayoshri Yojana</t>
        </is>
      </c>
      <c r="C150" s="4" t="inlineStr">
        <is>
          <t>M04-P0008</t>
        </is>
      </c>
      <c r="D150" s="4" t="inlineStr">
        <is>
          <t>See instructions</t>
        </is>
      </c>
      <c r="E150" s="4" t="inlineStr"/>
      <c r="F150" s="4" t="inlineStr">
        <is>
          <t>Source step text</t>
        </is>
      </c>
      <c r="G150" s="4" t="inlineStr">
        <is>
          <t>District Assistant Commissioner, Social Welfare. Department and district pages list different portal spellings; confirm before use.</t>
        </is>
      </c>
      <c r="H150" s="4" t="inlineStr">
        <is>
          <t>earlier_review.apply</t>
        </is>
      </c>
      <c r="I150" s="4" t="inlineStr">
        <is>
          <t>M04@20261023-230cad49</t>
        </is>
      </c>
      <c r="J150" s="4" t="inlineStr">
        <is>
          <t>MS-M04</t>
        </is>
      </c>
      <c r="K150" s="4" t="inlineStr">
        <is>
          <t>1/1</t>
        </is>
      </c>
      <c r="L150" s="7" t="inlineStr">
        <is>
          <t>Not started</t>
        </is>
      </c>
      <c r="M150" s="7" t="n"/>
      <c r="N150" s="4" t="inlineStr">
        <is>
          <t>Actor, branch and dependency need review.</t>
        </is>
      </c>
    </row>
    <row r="151" ht="40" customHeight="1">
      <c r="A151" s="8" t="inlineStr">
        <is>
          <t>C07</t>
        </is>
      </c>
      <c r="B151" s="8" t="inlineStr">
        <is>
          <t>Rashtriya Krishi Vigyan Puraskar</t>
        </is>
      </c>
      <c r="C151" s="8" t="inlineStr">
        <is>
          <t>C07-P0033</t>
        </is>
      </c>
      <c r="D151" s="8" t="inlineStr">
        <is>
          <t>Online</t>
        </is>
      </c>
      <c r="E151" s="8" t="inlineStr">
        <is>
          <t>Registration:</t>
        </is>
      </c>
      <c r="F151" s="8" t="inlineStr">
        <is>
          <t>Heading / phase</t>
        </is>
      </c>
      <c r="G151" s="8" t="inlineStr">
        <is>
          <t>Registration:</t>
        </is>
      </c>
      <c r="H151" s="8" t="inlineStr">
        <is>
          <t>en.applicationProcess[0].process[0]</t>
        </is>
      </c>
      <c r="I151" s="8" t="inlineStr">
        <is>
          <t>C07@20261028-2e86f237</t>
        </is>
      </c>
      <c r="J151" s="8" t="inlineStr">
        <is>
          <t>MS-C07</t>
        </is>
      </c>
      <c r="K151" s="8" t="inlineStr">
        <is>
          <t>1/1</t>
        </is>
      </c>
      <c r="L151" s="7" t="inlineStr">
        <is>
          <t>Approved</t>
        </is>
      </c>
      <c r="M151" s="7" t="n"/>
      <c r="N151" s="8" t="inlineStr">
        <is>
          <t>Actor, branch and dependency need review.</t>
        </is>
      </c>
    </row>
    <row r="152" ht="40" customHeight="1">
      <c r="A152" s="4" t="inlineStr">
        <is>
          <t>C07</t>
        </is>
      </c>
      <c r="B152" s="4" t="inlineStr">
        <is>
          <t>Rashtriya Krishi Vigyan Puraskar</t>
        </is>
      </c>
      <c r="C152" s="4" t="inlineStr">
        <is>
          <t>C07-P0034</t>
        </is>
      </c>
      <c r="D152" s="4" t="inlineStr">
        <is>
          <t>Online</t>
        </is>
      </c>
      <c r="E152" s="4" t="inlineStr">
        <is>
          <t>Registration:</t>
        </is>
      </c>
      <c r="F152" s="4" t="inlineStr">
        <is>
          <t>Source step text</t>
        </is>
      </c>
      <c r="G152" s="4" t="inlineStr">
        <is>
          <t>Step 1: Visit the official website and click on the Registration button.</t>
        </is>
      </c>
      <c r="H152" s="4" t="inlineStr">
        <is>
          <t>en.applicationProcess[0].process[1]</t>
        </is>
      </c>
      <c r="I152" s="4" t="inlineStr">
        <is>
          <t>C07@20261028-2e86f237</t>
        </is>
      </c>
      <c r="J152" s="4" t="inlineStr">
        <is>
          <t>MS-C07</t>
        </is>
      </c>
      <c r="K152" s="4" t="inlineStr">
        <is>
          <t>1/1</t>
        </is>
      </c>
      <c r="L152" s="7" t="inlineStr">
        <is>
          <t>Approved</t>
        </is>
      </c>
      <c r="M152" s="7" t="n"/>
      <c r="N152" s="4" t="inlineStr">
        <is>
          <t>Actor, branch and dependency need review.</t>
        </is>
      </c>
    </row>
    <row r="153" ht="40" customHeight="1">
      <c r="A153" s="8" t="inlineStr">
        <is>
          <t>C07</t>
        </is>
      </c>
      <c r="B153" s="8" t="inlineStr">
        <is>
          <t>Rashtriya Krishi Vigyan Puraskar</t>
        </is>
      </c>
      <c r="C153" s="8" t="inlineStr">
        <is>
          <t>C07-P0035</t>
        </is>
      </c>
      <c r="D153" s="8" t="inlineStr">
        <is>
          <t>Online</t>
        </is>
      </c>
      <c r="E153" s="8" t="inlineStr">
        <is>
          <t>Registration:</t>
        </is>
      </c>
      <c r="F153" s="8" t="inlineStr">
        <is>
          <t>Source step text</t>
        </is>
      </c>
      <c r="G153" s="8" t="inlineStr">
        <is>
          <t>Step 2: Select your category: Individual or Organization.</t>
        </is>
      </c>
      <c r="H153" s="8" t="inlineStr">
        <is>
          <t>en.applicationProcess[0].process[2]</t>
        </is>
      </c>
      <c r="I153" s="8" t="inlineStr">
        <is>
          <t>C07@20261028-2e86f237</t>
        </is>
      </c>
      <c r="J153" s="8" t="inlineStr">
        <is>
          <t>MS-C07</t>
        </is>
      </c>
      <c r="K153" s="8" t="inlineStr">
        <is>
          <t>1/1</t>
        </is>
      </c>
      <c r="L153" s="7" t="inlineStr">
        <is>
          <t>Approved</t>
        </is>
      </c>
      <c r="M153" s="7" t="n"/>
      <c r="N153" s="8" t="inlineStr">
        <is>
          <t>Actor, branch and dependency need review.</t>
        </is>
      </c>
    </row>
    <row r="154" ht="40" customHeight="1">
      <c r="A154" s="4" t="inlineStr">
        <is>
          <t>C07</t>
        </is>
      </c>
      <c r="B154" s="4" t="inlineStr">
        <is>
          <t>Rashtriya Krishi Vigyan Puraskar</t>
        </is>
      </c>
      <c r="C154" s="4" t="inlineStr">
        <is>
          <t>C07-P0036</t>
        </is>
      </c>
      <c r="D154" s="4" t="inlineStr">
        <is>
          <t>Online</t>
        </is>
      </c>
      <c r="E154" s="4" t="inlineStr">
        <is>
          <t>Registration:</t>
        </is>
      </c>
      <c r="F154" s="4" t="inlineStr">
        <is>
          <t>Source step text</t>
        </is>
      </c>
      <c r="G154" s="4" t="inlineStr">
        <is>
          <t>Step 3: Fill in the required details:</t>
        </is>
      </c>
      <c r="H154" s="4" t="inlineStr">
        <is>
          <t>en.applicationProcess[0].process[3]</t>
        </is>
      </c>
      <c r="I154" s="4" t="inlineStr">
        <is>
          <t>C07@20261028-2e86f237</t>
        </is>
      </c>
      <c r="J154" s="4" t="inlineStr">
        <is>
          <t>MS-C07</t>
        </is>
      </c>
      <c r="K154" s="4" t="inlineStr">
        <is>
          <t>1/1</t>
        </is>
      </c>
      <c r="L154" s="7" t="inlineStr">
        <is>
          <t>Approved</t>
        </is>
      </c>
      <c r="M154" s="7" t="n"/>
      <c r="N154" s="4" t="inlineStr">
        <is>
          <t>Actor, branch and dependency need review.</t>
        </is>
      </c>
    </row>
    <row r="155" ht="40" customHeight="1">
      <c r="A155" s="8" t="inlineStr">
        <is>
          <t>C07</t>
        </is>
      </c>
      <c r="B155" s="8" t="inlineStr">
        <is>
          <t>Rashtriya Krishi Vigyan Puraskar</t>
        </is>
      </c>
      <c r="C155" s="8" t="inlineStr">
        <is>
          <t>C07-P0037</t>
        </is>
      </c>
      <c r="D155" s="8" t="inlineStr">
        <is>
          <t>Online</t>
        </is>
      </c>
      <c r="E155" s="8" t="inlineStr">
        <is>
          <t>Registration:</t>
        </is>
      </c>
      <c r="F155" s="8" t="inlineStr">
        <is>
          <t>Source step text</t>
        </is>
      </c>
      <c r="G155" s="8" t="inlineStr">
        <is>
          <t>Individual: Name, Date of Birth, Nominator Type, Mobile, Email, Aadhaar Number.</t>
        </is>
      </c>
      <c r="H155" s="8" t="inlineStr">
        <is>
          <t>en.applicationProcess[0].process[4]</t>
        </is>
      </c>
      <c r="I155" s="8" t="inlineStr">
        <is>
          <t>C07@20261028-2e86f237</t>
        </is>
      </c>
      <c r="J155" s="8" t="inlineStr">
        <is>
          <t>MS-C07</t>
        </is>
      </c>
      <c r="K155" s="8" t="inlineStr">
        <is>
          <t>1/1</t>
        </is>
      </c>
      <c r="L155" s="7" t="inlineStr">
        <is>
          <t>Approved</t>
        </is>
      </c>
      <c r="M155" s="7" t="n"/>
      <c r="N155" s="8" t="inlineStr">
        <is>
          <t>Actor, branch and dependency need review.</t>
        </is>
      </c>
    </row>
    <row r="156" ht="40" customHeight="1">
      <c r="A156" s="4" t="inlineStr">
        <is>
          <t>C07</t>
        </is>
      </c>
      <c r="B156" s="4" t="inlineStr">
        <is>
          <t>Rashtriya Krishi Vigyan Puraskar</t>
        </is>
      </c>
      <c r="C156" s="4" t="inlineStr">
        <is>
          <t>C07-P0038</t>
        </is>
      </c>
      <c r="D156" s="4" t="inlineStr">
        <is>
          <t>Online</t>
        </is>
      </c>
      <c r="E156" s="4" t="inlineStr">
        <is>
          <t>Registration:</t>
        </is>
      </c>
      <c r="F156" s="4" t="inlineStr">
        <is>
          <t>Source step text</t>
        </is>
      </c>
      <c r="G156" s="4" t="inlineStr">
        <is>
          <t>Organization: Type, Authorized Person Name, Date of Birth, Organization Description, Designation, Mobile, Email, Aadhaar Number.</t>
        </is>
      </c>
      <c r="H156" s="4" t="inlineStr">
        <is>
          <t>en.applicationProcess[0].process[5]</t>
        </is>
      </c>
      <c r="I156" s="4" t="inlineStr">
        <is>
          <t>C07@20261028-2e86f237</t>
        </is>
      </c>
      <c r="J156" s="4" t="inlineStr">
        <is>
          <t>MS-C07</t>
        </is>
      </c>
      <c r="K156" s="4" t="inlineStr">
        <is>
          <t>1/1</t>
        </is>
      </c>
      <c r="L156" s="7" t="inlineStr">
        <is>
          <t>Approved</t>
        </is>
      </c>
      <c r="M156" s="7" t="n"/>
      <c r="N156" s="4" t="inlineStr">
        <is>
          <t>Actor, branch and dependency need review.</t>
        </is>
      </c>
    </row>
    <row r="157" ht="40" customHeight="1">
      <c r="A157" s="8" t="inlineStr">
        <is>
          <t>C07</t>
        </is>
      </c>
      <c r="B157" s="8" t="inlineStr">
        <is>
          <t>Rashtriya Krishi Vigyan Puraskar</t>
        </is>
      </c>
      <c r="C157" s="8" t="inlineStr">
        <is>
          <t>C07-P0039</t>
        </is>
      </c>
      <c r="D157" s="8" t="inlineStr">
        <is>
          <t>Online</t>
        </is>
      </c>
      <c r="E157" s="8" t="inlineStr">
        <is>
          <t>Registration:</t>
        </is>
      </c>
      <c r="F157" s="8" t="inlineStr">
        <is>
          <t>Source step text</t>
        </is>
      </c>
      <c r="G157" s="8" t="inlineStr">
        <is>
          <t>Step 4: Click Submit to complete registration.</t>
        </is>
      </c>
      <c r="H157" s="8" t="inlineStr">
        <is>
          <t>en.applicationProcess[0].process[6]</t>
        </is>
      </c>
      <c r="I157" s="8" t="inlineStr">
        <is>
          <t>C07@20261028-2e86f237</t>
        </is>
      </c>
      <c r="J157" s="8" t="inlineStr">
        <is>
          <t>MS-C07</t>
        </is>
      </c>
      <c r="K157" s="8" t="inlineStr">
        <is>
          <t>1/1</t>
        </is>
      </c>
      <c r="L157" s="7" t="inlineStr">
        <is>
          <t>Approved</t>
        </is>
      </c>
      <c r="M157" s="7" t="n"/>
      <c r="N157" s="8" t="inlineStr">
        <is>
          <t>Actor, branch and dependency need review.</t>
        </is>
      </c>
    </row>
    <row r="158" ht="40" customHeight="1">
      <c r="A158" s="4" t="inlineStr">
        <is>
          <t>C07</t>
        </is>
      </c>
      <c r="B158" s="4" t="inlineStr">
        <is>
          <t>Rashtriya Krishi Vigyan Puraskar</t>
        </is>
      </c>
      <c r="C158" s="4" t="inlineStr">
        <is>
          <t>C07-P0040</t>
        </is>
      </c>
      <c r="D158" s="4" t="inlineStr">
        <is>
          <t>Online</t>
        </is>
      </c>
      <c r="E158" s="4" t="inlineStr">
        <is>
          <t>Apply:</t>
        </is>
      </c>
      <c r="F158" s="4" t="inlineStr">
        <is>
          <t>Heading / phase</t>
        </is>
      </c>
      <c r="G158" s="4" t="inlineStr">
        <is>
          <t>Apply:</t>
        </is>
      </c>
      <c r="H158" s="4" t="inlineStr">
        <is>
          <t>en.applicationProcess[0].process[7]</t>
        </is>
      </c>
      <c r="I158" s="4" t="inlineStr">
        <is>
          <t>C07@20261028-2e86f237</t>
        </is>
      </c>
      <c r="J158" s="4" t="inlineStr">
        <is>
          <t>MS-C07</t>
        </is>
      </c>
      <c r="K158" s="4" t="inlineStr">
        <is>
          <t>1/1</t>
        </is>
      </c>
      <c r="L158" s="7" t="inlineStr">
        <is>
          <t>Approved</t>
        </is>
      </c>
      <c r="M158" s="7" t="n"/>
      <c r="N158" s="4" t="inlineStr">
        <is>
          <t>Actor, branch and dependency need review.</t>
        </is>
      </c>
    </row>
    <row r="159" ht="40" customHeight="1">
      <c r="A159" s="8" t="inlineStr">
        <is>
          <t>C07</t>
        </is>
      </c>
      <c r="B159" s="8" t="inlineStr">
        <is>
          <t>Rashtriya Krishi Vigyan Puraskar</t>
        </is>
      </c>
      <c r="C159" s="8" t="inlineStr">
        <is>
          <t>C07-P0041</t>
        </is>
      </c>
      <c r="D159" s="8" t="inlineStr">
        <is>
          <t>Online</t>
        </is>
      </c>
      <c r="E159" s="8" t="inlineStr">
        <is>
          <t>Apply:</t>
        </is>
      </c>
      <c r="F159" s="8" t="inlineStr">
        <is>
          <t>Source step text</t>
        </is>
      </c>
      <c r="G159" s="8" t="inlineStr">
        <is>
          <t>Step 1: Log in to the portal using your registered credentials.</t>
        </is>
      </c>
      <c r="H159" s="8" t="inlineStr">
        <is>
          <t>en.applicationProcess[0].process[8]</t>
        </is>
      </c>
      <c r="I159" s="8" t="inlineStr">
        <is>
          <t>C07@20261028-2e86f237</t>
        </is>
      </c>
      <c r="J159" s="8" t="inlineStr">
        <is>
          <t>MS-C07</t>
        </is>
      </c>
      <c r="K159" s="8" t="inlineStr">
        <is>
          <t>1/1</t>
        </is>
      </c>
      <c r="L159" s="7" t="inlineStr">
        <is>
          <t>Approved</t>
        </is>
      </c>
      <c r="M159" s="7" t="n"/>
      <c r="N159" s="8" t="inlineStr">
        <is>
          <t>Actor, branch and dependency need review.</t>
        </is>
      </c>
    </row>
    <row r="160" ht="40" customHeight="1">
      <c r="A160" s="4" t="inlineStr">
        <is>
          <t>C07</t>
        </is>
      </c>
      <c r="B160" s="4" t="inlineStr">
        <is>
          <t>Rashtriya Krishi Vigyan Puraskar</t>
        </is>
      </c>
      <c r="C160" s="4" t="inlineStr">
        <is>
          <t>C07-P0042</t>
        </is>
      </c>
      <c r="D160" s="4" t="inlineStr">
        <is>
          <t>Online</t>
        </is>
      </c>
      <c r="E160" s="4" t="inlineStr">
        <is>
          <t>Apply:</t>
        </is>
      </c>
      <c r="F160" s="4" t="inlineStr">
        <is>
          <t>Source step text</t>
        </is>
      </c>
      <c r="G160" s="4" t="inlineStr">
        <is>
          <t>Step 2: Select the scheme from the list of awards and click "Nominate / Apply Now".</t>
        </is>
      </c>
      <c r="H160" s="4" t="inlineStr">
        <is>
          <t>en.applicationProcess[0].process[9]</t>
        </is>
      </c>
      <c r="I160" s="4" t="inlineStr">
        <is>
          <t>C07@20261028-2e86f237</t>
        </is>
      </c>
      <c r="J160" s="4" t="inlineStr">
        <is>
          <t>MS-C07</t>
        </is>
      </c>
      <c r="K160" s="4" t="inlineStr">
        <is>
          <t>1/1</t>
        </is>
      </c>
      <c r="L160" s="7" t="inlineStr">
        <is>
          <t>Approved</t>
        </is>
      </c>
      <c r="M160" s="7" t="n"/>
      <c r="N160" s="4" t="inlineStr">
        <is>
          <t>Actor, branch and dependency need review.</t>
        </is>
      </c>
    </row>
    <row r="161" ht="40" customHeight="1">
      <c r="A161" s="8" t="inlineStr">
        <is>
          <t>C07</t>
        </is>
      </c>
      <c r="B161" s="8" t="inlineStr">
        <is>
          <t>Rashtriya Krishi Vigyan Puraskar</t>
        </is>
      </c>
      <c r="C161" s="8" t="inlineStr">
        <is>
          <t>C07-P0043</t>
        </is>
      </c>
      <c r="D161" s="8" t="inlineStr">
        <is>
          <t>Online</t>
        </is>
      </c>
      <c r="E161" s="8" t="inlineStr">
        <is>
          <t>Apply:</t>
        </is>
      </c>
      <c r="F161" s="8" t="inlineStr">
        <is>
          <t>Source step text</t>
        </is>
      </c>
      <c r="G161" s="8" t="inlineStr">
        <is>
          <t>Step 3: Fill in all mandatory fields in the online application form.</t>
        </is>
      </c>
      <c r="H161" s="8" t="inlineStr">
        <is>
          <t>en.applicationProcess[0].process[10]</t>
        </is>
      </c>
      <c r="I161" s="8" t="inlineStr">
        <is>
          <t>C07@20261028-2e86f237</t>
        </is>
      </c>
      <c r="J161" s="8" t="inlineStr">
        <is>
          <t>MS-C07</t>
        </is>
      </c>
      <c r="K161" s="8" t="inlineStr">
        <is>
          <t>1/1</t>
        </is>
      </c>
      <c r="L161" s="7" t="inlineStr">
        <is>
          <t>Approved</t>
        </is>
      </c>
      <c r="M161" s="7" t="n"/>
      <c r="N161" s="8" t="inlineStr">
        <is>
          <t>Actor, branch and dependency need review.</t>
        </is>
      </c>
    </row>
    <row r="162" ht="40" customHeight="1">
      <c r="A162" s="4" t="inlineStr">
        <is>
          <t>C07</t>
        </is>
      </c>
      <c r="B162" s="4" t="inlineStr">
        <is>
          <t>Rashtriya Krishi Vigyan Puraskar</t>
        </is>
      </c>
      <c r="C162" s="4" t="inlineStr">
        <is>
          <t>C07-P0044</t>
        </is>
      </c>
      <c r="D162" s="4" t="inlineStr">
        <is>
          <t>Online</t>
        </is>
      </c>
      <c r="E162" s="4" t="inlineStr">
        <is>
          <t>Apply:</t>
        </is>
      </c>
      <c r="F162" s="4" t="inlineStr">
        <is>
          <t>Source step text</t>
        </is>
      </c>
      <c r="G162" s="4" t="inlineStr">
        <is>
          <t>Step 4: Click Submit to complete your application.</t>
        </is>
      </c>
      <c r="H162" s="4" t="inlineStr">
        <is>
          <t>en.applicationProcess[0].process[11]</t>
        </is>
      </c>
      <c r="I162" s="4" t="inlineStr">
        <is>
          <t>C07@20261028-2e86f237</t>
        </is>
      </c>
      <c r="J162" s="4" t="inlineStr">
        <is>
          <t>MS-C07</t>
        </is>
      </c>
      <c r="K162" s="4" t="inlineStr">
        <is>
          <t>1/1</t>
        </is>
      </c>
      <c r="L162" s="7" t="inlineStr">
        <is>
          <t>Approved</t>
        </is>
      </c>
      <c r="M162" s="7" t="n"/>
      <c r="N162" s="4" t="inlineStr">
        <is>
          <t>Actor, branch and dependency need review.</t>
        </is>
      </c>
    </row>
    <row r="163" ht="40" customHeight="1">
      <c r="A163" s="8" t="inlineStr">
        <is>
          <t>C08</t>
        </is>
      </c>
      <c r="B163" s="8" t="inlineStr">
        <is>
          <t>Market Development Assistance</t>
        </is>
      </c>
      <c r="C163" s="8" t="inlineStr">
        <is>
          <t>C08-P0055</t>
        </is>
      </c>
      <c r="D163" s="8" t="inlineStr">
        <is>
          <t>Online</t>
        </is>
      </c>
      <c r="E163" s="8" t="inlineStr"/>
      <c r="F163" s="8" t="inlineStr">
        <is>
          <t>Source step text</t>
        </is>
      </c>
      <c r="G163" s="8" t="inlineStr">
        <is>
          <t>Registration Process</t>
        </is>
      </c>
      <c r="H163" s="8" t="inlineStr">
        <is>
          <t>en.applicationProcess[0].process[0].children[0]</t>
        </is>
      </c>
      <c r="I163" s="8" t="inlineStr">
        <is>
          <t>C08@20261028-6245ae04</t>
        </is>
      </c>
      <c r="J163" s="8" t="inlineStr">
        <is>
          <t>MS-C08</t>
        </is>
      </c>
      <c r="K163" s="8" t="inlineStr">
        <is>
          <t>1/1</t>
        </is>
      </c>
      <c r="L163" s="7" t="inlineStr">
        <is>
          <t>Approved</t>
        </is>
      </c>
      <c r="M163" s="7" t="n"/>
      <c r="N163" s="8" t="inlineStr">
        <is>
          <t>Actor, branch and dependency need review.</t>
        </is>
      </c>
    </row>
    <row r="164" ht="40" customHeight="1">
      <c r="A164" s="4" t="inlineStr">
        <is>
          <t>C08</t>
        </is>
      </c>
      <c r="B164" s="4" t="inlineStr">
        <is>
          <t>Market Development Assistance</t>
        </is>
      </c>
      <c r="C164" s="4" t="inlineStr">
        <is>
          <t>C08-P0056</t>
        </is>
      </c>
      <c r="D164" s="4" t="inlineStr">
        <is>
          <t>Online</t>
        </is>
      </c>
      <c r="E164" s="4" t="inlineStr">
        <is>
          <t>Step 1: Accessing the Portal for Pre-requisite Registration</t>
        </is>
      </c>
      <c r="F164" s="4" t="inlineStr">
        <is>
          <t>Heading / phase</t>
        </is>
      </c>
      <c r="G164" s="4" t="inlineStr">
        <is>
          <t>Step 1: Accessing the Portal for Pre-requisite Registration</t>
        </is>
      </c>
      <c r="H164" s="4" t="inlineStr">
        <is>
          <t>en.applicationProcess[0].process[1]</t>
        </is>
      </c>
      <c r="I164" s="4" t="inlineStr">
        <is>
          <t>C08@20261028-6245ae04</t>
        </is>
      </c>
      <c r="J164" s="4" t="inlineStr">
        <is>
          <t>MS-C08</t>
        </is>
      </c>
      <c r="K164" s="4" t="inlineStr">
        <is>
          <t>1/1</t>
        </is>
      </c>
      <c r="L164" s="7" t="inlineStr">
        <is>
          <t>Approved</t>
        </is>
      </c>
      <c r="M164" s="7" t="n"/>
      <c r="N164" s="4" t="inlineStr">
        <is>
          <t>Actor, branch and dependency need review.</t>
        </is>
      </c>
    </row>
    <row r="165" ht="54" customHeight="1">
      <c r="A165" s="8" t="inlineStr">
        <is>
          <t>C08</t>
        </is>
      </c>
      <c r="B165" s="8" t="inlineStr">
        <is>
          <t>Market Development Assistance</t>
        </is>
      </c>
      <c r="C165" s="8" t="inlineStr">
        <is>
          <t>C08-P0057</t>
        </is>
      </c>
      <c r="D165" s="8" t="inlineStr">
        <is>
          <t>Online</t>
        </is>
      </c>
      <c r="E165" s="8" t="inlineStr">
        <is>
          <t>Step 1: Accessing the Portal for Pre-requisite Registration</t>
        </is>
      </c>
      <c r="F165" s="8" t="inlineStr">
        <is>
          <t>Source step text</t>
        </is>
      </c>
      <c r="G165" s="8" t="inlineStr">
        <is>
          <t>The applicant must access the Unified Galvanizing Organic Bio-Agro Resources Dhan portal of the Department of Drinking Water &amp; Sanitation to register their Bio-Gas or Compressed Bio-Gas manufacturing units.</t>
        </is>
      </c>
      <c r="H165" s="8" t="inlineStr">
        <is>
          <t>en.applicationProcess[0].process[2]</t>
        </is>
      </c>
      <c r="I165" s="8" t="inlineStr">
        <is>
          <t>C08@20261028-6245ae04</t>
        </is>
      </c>
      <c r="J165" s="8" t="inlineStr">
        <is>
          <t>MS-C08</t>
        </is>
      </c>
      <c r="K165" s="8" t="inlineStr">
        <is>
          <t>1/1</t>
        </is>
      </c>
      <c r="L165" s="7" t="inlineStr">
        <is>
          <t>Approved</t>
        </is>
      </c>
      <c r="M165" s="7" t="n"/>
      <c r="N165" s="8" t="inlineStr">
        <is>
          <t>Actor, branch and dependency need review.</t>
        </is>
      </c>
    </row>
    <row r="166" ht="40" customHeight="1">
      <c r="A166" s="4" t="inlineStr">
        <is>
          <t>C08</t>
        </is>
      </c>
      <c r="B166" s="4" t="inlineStr">
        <is>
          <t>Market Development Assistance</t>
        </is>
      </c>
      <c r="C166" s="4" t="inlineStr">
        <is>
          <t>C08-P0058</t>
        </is>
      </c>
      <c r="D166" s="4" t="inlineStr">
        <is>
          <t>Online</t>
        </is>
      </c>
      <c r="E166" s="4" t="inlineStr">
        <is>
          <t>Step 2: Submitting Details for Registration</t>
        </is>
      </c>
      <c r="F166" s="4" t="inlineStr">
        <is>
          <t>Heading / phase</t>
        </is>
      </c>
      <c r="G166" s="4" t="inlineStr">
        <is>
          <t>Step 2: Submitting Details for Registration</t>
        </is>
      </c>
      <c r="H166" s="4" t="inlineStr">
        <is>
          <t>en.applicationProcess[0].process[3]</t>
        </is>
      </c>
      <c r="I166" s="4" t="inlineStr">
        <is>
          <t>C08@20261028-6245ae04</t>
        </is>
      </c>
      <c r="J166" s="4" t="inlineStr">
        <is>
          <t>MS-C08</t>
        </is>
      </c>
      <c r="K166" s="4" t="inlineStr">
        <is>
          <t>1/1</t>
        </is>
      </c>
      <c r="L166" s="7" t="inlineStr">
        <is>
          <t>Approved</t>
        </is>
      </c>
      <c r="M166" s="7" t="n"/>
      <c r="N166" s="4" t="inlineStr">
        <is>
          <t>Actor, branch and dependency need review.</t>
        </is>
      </c>
    </row>
    <row r="167" ht="40" customHeight="1">
      <c r="A167" s="8" t="inlineStr">
        <is>
          <t>C08</t>
        </is>
      </c>
      <c r="B167" s="8" t="inlineStr">
        <is>
          <t>Market Development Assistance</t>
        </is>
      </c>
      <c r="C167" s="8" t="inlineStr">
        <is>
          <t>C08-P0059</t>
        </is>
      </c>
      <c r="D167" s="8" t="inlineStr">
        <is>
          <t>Online</t>
        </is>
      </c>
      <c r="E167" s="8" t="inlineStr">
        <is>
          <t>Step 2: Submitting Details for Registration</t>
        </is>
      </c>
      <c r="F167" s="8" t="inlineStr">
        <is>
          <t>Source step text</t>
        </is>
      </c>
      <c r="G167" s="8" t="inlineStr">
        <is>
          <t>The applicant must submit all necessary plant and operational details on the portal to obtain the mandatory registration number required to avail the assistance.</t>
        </is>
      </c>
      <c r="H167" s="8" t="inlineStr">
        <is>
          <t>en.applicationProcess[0].process[4]</t>
        </is>
      </c>
      <c r="I167" s="8" t="inlineStr">
        <is>
          <t>C08@20261028-6245ae04</t>
        </is>
      </c>
      <c r="J167" s="8" t="inlineStr">
        <is>
          <t>MS-C08</t>
        </is>
      </c>
      <c r="K167" s="8" t="inlineStr">
        <is>
          <t>1/1</t>
        </is>
      </c>
      <c r="L167" s="7" t="inlineStr">
        <is>
          <t>Approved</t>
        </is>
      </c>
      <c r="M167" s="7" t="n"/>
      <c r="N167" s="8" t="inlineStr">
        <is>
          <t>Actor, branch and dependency need review.</t>
        </is>
      </c>
    </row>
    <row r="168" ht="40" customHeight="1">
      <c r="A168" s="4" t="inlineStr">
        <is>
          <t>C08</t>
        </is>
      </c>
      <c r="B168" s="4" t="inlineStr">
        <is>
          <t>Market Development Assistance</t>
        </is>
      </c>
      <c r="C168" s="4" t="inlineStr">
        <is>
          <t>C08-P0060</t>
        </is>
      </c>
      <c r="D168" s="4" t="inlineStr">
        <is>
          <t>Online</t>
        </is>
      </c>
      <c r="E168" s="4" t="inlineStr">
        <is>
          <t>Step 2: Submitting Details for Registration</t>
        </is>
      </c>
      <c r="F168" s="4" t="inlineStr">
        <is>
          <t>Source step text</t>
        </is>
      </c>
      <c r="G168" s="4" t="inlineStr">
        <is>
          <t>Application Process</t>
        </is>
      </c>
      <c r="H168" s="4" t="inlineStr">
        <is>
          <t>en.applicationProcess[0].process[5].children[0]</t>
        </is>
      </c>
      <c r="I168" s="4" t="inlineStr">
        <is>
          <t>C08@20261028-6245ae04</t>
        </is>
      </c>
      <c r="J168" s="4" t="inlineStr">
        <is>
          <t>MS-C08</t>
        </is>
      </c>
      <c r="K168" s="4" t="inlineStr">
        <is>
          <t>1/1</t>
        </is>
      </c>
      <c r="L168" s="7" t="inlineStr">
        <is>
          <t>Approved</t>
        </is>
      </c>
      <c r="M168" s="7" t="n"/>
      <c r="N168" s="4" t="inlineStr">
        <is>
          <t>Actor, branch and dependency need review.</t>
        </is>
      </c>
    </row>
    <row r="169" ht="40" customHeight="1">
      <c r="A169" s="8" t="inlineStr">
        <is>
          <t>C08</t>
        </is>
      </c>
      <c r="B169" s="8" t="inlineStr">
        <is>
          <t>Market Development Assistance</t>
        </is>
      </c>
      <c r="C169" s="8" t="inlineStr">
        <is>
          <t>C08-P0061</t>
        </is>
      </c>
      <c r="D169" s="8" t="inlineStr">
        <is>
          <t>Online</t>
        </is>
      </c>
      <c r="E169" s="8" t="inlineStr">
        <is>
          <t>Step 3: Intimation of Willingness to the Department</t>
        </is>
      </c>
      <c r="F169" s="8" t="inlineStr">
        <is>
          <t>Heading / phase</t>
        </is>
      </c>
      <c r="G169" s="8" t="inlineStr">
        <is>
          <t>Step 3: Intimation of Willingness to the Department</t>
        </is>
      </c>
      <c r="H169" s="8" t="inlineStr">
        <is>
          <t>en.applicationProcess[0].process[6]</t>
        </is>
      </c>
      <c r="I169" s="8" t="inlineStr">
        <is>
          <t>C08@20261028-6245ae04</t>
        </is>
      </c>
      <c r="J169" s="8" t="inlineStr">
        <is>
          <t>MS-C08</t>
        </is>
      </c>
      <c r="K169" s="8" t="inlineStr">
        <is>
          <t>1/1</t>
        </is>
      </c>
      <c r="L169" s="7" t="inlineStr">
        <is>
          <t>Approved</t>
        </is>
      </c>
      <c r="M169" s="7" t="n"/>
      <c r="N169" s="8" t="inlineStr">
        <is>
          <t>Actor, branch and dependency need review.</t>
        </is>
      </c>
    </row>
    <row r="170" ht="40" customHeight="1">
      <c r="A170" s="4" t="inlineStr">
        <is>
          <t>C08</t>
        </is>
      </c>
      <c r="B170" s="4" t="inlineStr">
        <is>
          <t>Market Development Assistance</t>
        </is>
      </c>
      <c r="C170" s="4" t="inlineStr">
        <is>
          <t>C08-P0062</t>
        </is>
      </c>
      <c r="D170" s="4" t="inlineStr">
        <is>
          <t>Online</t>
        </is>
      </c>
      <c r="E170" s="4" t="inlineStr">
        <is>
          <t>Step 3: Intimation of Willingness to the Department</t>
        </is>
      </c>
      <c r="F170" s="4" t="inlineStr">
        <is>
          <t>Source step text</t>
        </is>
      </c>
      <c r="G170" s="4" t="inlineStr">
        <is>
          <t>The applicant must submit a physical letter intimating their willingness to market the organic fertilizers to the Department of Fertilizers.</t>
        </is>
      </c>
      <c r="H170" s="4" t="inlineStr">
        <is>
          <t>en.applicationProcess[0].process[7]</t>
        </is>
      </c>
      <c r="I170" s="4" t="inlineStr">
        <is>
          <t>C08@20261028-6245ae04</t>
        </is>
      </c>
      <c r="J170" s="4" t="inlineStr">
        <is>
          <t>MS-C08</t>
        </is>
      </c>
      <c r="K170" s="4" t="inlineStr">
        <is>
          <t>1/1</t>
        </is>
      </c>
      <c r="L170" s="7" t="inlineStr">
        <is>
          <t>Approved</t>
        </is>
      </c>
      <c r="M170" s="7" t="n"/>
      <c r="N170" s="4" t="inlineStr">
        <is>
          <t>Actor, branch and dependency need review.</t>
        </is>
      </c>
    </row>
    <row r="171" ht="40" customHeight="1">
      <c r="A171" s="8" t="inlineStr">
        <is>
          <t>C08</t>
        </is>
      </c>
      <c r="B171" s="8" t="inlineStr">
        <is>
          <t>Market Development Assistance</t>
        </is>
      </c>
      <c r="C171" s="8" t="inlineStr">
        <is>
          <t>C08-P0063</t>
        </is>
      </c>
      <c r="D171" s="8" t="inlineStr">
        <is>
          <t>Online</t>
        </is>
      </c>
      <c r="E171" s="8" t="inlineStr">
        <is>
          <t>Step 4: Submission of Annexures</t>
        </is>
      </c>
      <c r="F171" s="8" t="inlineStr">
        <is>
          <t>Heading / phase</t>
        </is>
      </c>
      <c r="G171" s="8" t="inlineStr">
        <is>
          <t>Step 4: Submission of Annexures</t>
        </is>
      </c>
      <c r="H171" s="8" t="inlineStr">
        <is>
          <t>en.applicationProcess[0].process[8]</t>
        </is>
      </c>
      <c r="I171" s="8" t="inlineStr">
        <is>
          <t>C08@20261028-6245ae04</t>
        </is>
      </c>
      <c r="J171" s="8" t="inlineStr">
        <is>
          <t>MS-C08</t>
        </is>
      </c>
      <c r="K171" s="8" t="inlineStr">
        <is>
          <t>1/1</t>
        </is>
      </c>
      <c r="L171" s="7" t="inlineStr">
        <is>
          <t>Approved</t>
        </is>
      </c>
      <c r="M171" s="7" t="n"/>
      <c r="N171" s="8" t="inlineStr">
        <is>
          <t>Actor, branch and dependency need review.</t>
        </is>
      </c>
    </row>
    <row r="172" ht="54" customHeight="1">
      <c r="A172" s="4" t="inlineStr">
        <is>
          <t>C08</t>
        </is>
      </c>
      <c r="B172" s="4" t="inlineStr">
        <is>
          <t>Market Development Assistance</t>
        </is>
      </c>
      <c r="C172" s="4" t="inlineStr">
        <is>
          <t>C08-P0064</t>
        </is>
      </c>
      <c r="D172" s="4" t="inlineStr">
        <is>
          <t>Online</t>
        </is>
      </c>
      <c r="E172" s="4" t="inlineStr">
        <is>
          <t>Step 4: Submission of Annexures</t>
        </is>
      </c>
      <c r="F172" s="4" t="inlineStr">
        <is>
          <t>Source step text</t>
        </is>
      </c>
      <c r="G172" s="4" t="inlineStr">
        <is>
          <t>The applicant must attach the required operational details as per Annexure-I (for Fertilizer Marketing Companies) or Annexure-II (for Manufacturers) along with the intimation letter for formal approval.</t>
        </is>
      </c>
      <c r="H172" s="4" t="inlineStr">
        <is>
          <t>en.applicationProcess[0].process[9]</t>
        </is>
      </c>
      <c r="I172" s="4" t="inlineStr">
        <is>
          <t>C08@20261028-6245ae04</t>
        </is>
      </c>
      <c r="J172" s="4" t="inlineStr">
        <is>
          <t>MS-C08</t>
        </is>
      </c>
      <c r="K172" s="4" t="inlineStr">
        <is>
          <t>1/1</t>
        </is>
      </c>
      <c r="L172" s="7" t="inlineStr">
        <is>
          <t>Approved</t>
        </is>
      </c>
      <c r="M172" s="7" t="n"/>
      <c r="N172" s="4" t="inlineStr">
        <is>
          <t>Actor, branch and dependency need review.</t>
        </is>
      </c>
    </row>
    <row r="173" ht="40" customHeight="1">
      <c r="A173" s="8" t="inlineStr">
        <is>
          <t>C08</t>
        </is>
      </c>
      <c r="B173" s="8" t="inlineStr">
        <is>
          <t>Market Development Assistance</t>
        </is>
      </c>
      <c r="C173" s="8" t="inlineStr">
        <is>
          <t>C08-P0065</t>
        </is>
      </c>
      <c r="D173" s="8" t="inlineStr">
        <is>
          <t>Online</t>
        </is>
      </c>
      <c r="E173" s="8" t="inlineStr">
        <is>
          <t>Step 5: Registration on the Integrated Fertilizer Management System Portal</t>
        </is>
      </c>
      <c r="F173" s="8" t="inlineStr">
        <is>
          <t>Heading / phase</t>
        </is>
      </c>
      <c r="G173" s="8" t="inlineStr">
        <is>
          <t>Step 5: Registration on the Integrated Fertilizer Management System Portal</t>
        </is>
      </c>
      <c r="H173" s="8" t="inlineStr">
        <is>
          <t>en.applicationProcess[0].process[10]</t>
        </is>
      </c>
      <c r="I173" s="8" t="inlineStr">
        <is>
          <t>C08@20261028-6245ae04</t>
        </is>
      </c>
      <c r="J173" s="8" t="inlineStr">
        <is>
          <t>MS-C08</t>
        </is>
      </c>
      <c r="K173" s="8" t="inlineStr">
        <is>
          <t>1/1</t>
        </is>
      </c>
      <c r="L173" s="7" t="inlineStr">
        <is>
          <t>Approved</t>
        </is>
      </c>
      <c r="M173" s="7" t="n"/>
      <c r="N173" s="8" t="inlineStr">
        <is>
          <t>Actor, branch and dependency need review.</t>
        </is>
      </c>
    </row>
    <row r="174" ht="54" customHeight="1">
      <c r="A174" s="4" t="inlineStr">
        <is>
          <t>C08</t>
        </is>
      </c>
      <c r="B174" s="4" t="inlineStr">
        <is>
          <t>Market Development Assistance</t>
        </is>
      </c>
      <c r="C174" s="4" t="inlineStr">
        <is>
          <t>C08-P0066</t>
        </is>
      </c>
      <c r="D174" s="4" t="inlineStr">
        <is>
          <t>Online</t>
        </is>
      </c>
      <c r="E174" s="4" t="inlineStr">
        <is>
          <t>Step 5: Registration on the Integrated Fertilizer Management System Portal</t>
        </is>
      </c>
      <c r="F174" s="4" t="inlineStr">
        <is>
          <t>Source step text</t>
        </is>
      </c>
      <c r="G174" s="4" t="inlineStr">
        <is>
          <t>The applicant must register on the newly introduced module on the Integrated Fertilizer Management System portal where the Department of Fertilizers will allot a unique identification number to the manufacturing units.</t>
        </is>
      </c>
      <c r="H174" s="4" t="inlineStr">
        <is>
          <t>en.applicationProcess[0].process[11]</t>
        </is>
      </c>
      <c r="I174" s="4" t="inlineStr">
        <is>
          <t>C08@20261028-6245ae04</t>
        </is>
      </c>
      <c r="J174" s="4" t="inlineStr">
        <is>
          <t>MS-C08</t>
        </is>
      </c>
      <c r="K174" s="4" t="inlineStr">
        <is>
          <t>1/1</t>
        </is>
      </c>
      <c r="L174" s="7" t="inlineStr">
        <is>
          <t>Approved</t>
        </is>
      </c>
      <c r="M174" s="7" t="n"/>
      <c r="N174" s="4" t="inlineStr">
        <is>
          <t>Actor, branch and dependency need review.</t>
        </is>
      </c>
    </row>
    <row r="175" ht="40" customHeight="1">
      <c r="A175" s="8" t="inlineStr">
        <is>
          <t>C08</t>
        </is>
      </c>
      <c r="B175" s="8" t="inlineStr">
        <is>
          <t>Market Development Assistance</t>
        </is>
      </c>
      <c r="C175" s="8" t="inlineStr">
        <is>
          <t>C08-P0067</t>
        </is>
      </c>
      <c r="D175" s="8" t="inlineStr">
        <is>
          <t>Online</t>
        </is>
      </c>
      <c r="E175" s="8" t="inlineStr">
        <is>
          <t>Step 6: Uploading Operational Data</t>
        </is>
      </c>
      <c r="F175" s="8" t="inlineStr">
        <is>
          <t>Heading / phase</t>
        </is>
      </c>
      <c r="G175" s="8" t="inlineStr">
        <is>
          <t>Step 6: Uploading Operational Data</t>
        </is>
      </c>
      <c r="H175" s="8" t="inlineStr">
        <is>
          <t>en.applicationProcess[0].process[12]</t>
        </is>
      </c>
      <c r="I175" s="8" t="inlineStr">
        <is>
          <t>C08@20261028-6245ae04</t>
        </is>
      </c>
      <c r="J175" s="8" t="inlineStr">
        <is>
          <t>MS-C08</t>
        </is>
      </c>
      <c r="K175" s="8" t="inlineStr">
        <is>
          <t>1/1</t>
        </is>
      </c>
      <c r="L175" s="7" t="inlineStr">
        <is>
          <t>Approved</t>
        </is>
      </c>
      <c r="M175" s="7" t="n"/>
      <c r="N175" s="8" t="inlineStr">
        <is>
          <t>Actor, branch and dependency need review.</t>
        </is>
      </c>
    </row>
    <row r="176" ht="54" customHeight="1">
      <c r="A176" s="4" t="inlineStr">
        <is>
          <t>C08</t>
        </is>
      </c>
      <c r="B176" s="4" t="inlineStr">
        <is>
          <t>Market Development Assistance</t>
        </is>
      </c>
      <c r="C176" s="4" t="inlineStr">
        <is>
          <t>C08-P0068</t>
        </is>
      </c>
      <c r="D176" s="4" t="inlineStr">
        <is>
          <t>Online</t>
        </is>
      </c>
      <c r="E176" s="4" t="inlineStr">
        <is>
          <t>Step 6: Uploading Operational Data</t>
        </is>
      </c>
      <c r="F176" s="4" t="inlineStr">
        <is>
          <t>Source step text</t>
        </is>
      </c>
      <c r="G176" s="4" t="inlineStr">
        <is>
          <t>The applicant must use the allotted identification number to upload the quantity of organic fertilizers produced, data relating to sales, Maximum Retail Price, remaining stock, and quality certificates on the Integrated Fertilizer Management System portal.</t>
        </is>
      </c>
      <c r="H176" s="4" t="inlineStr">
        <is>
          <t>en.applicationProcess[0].process[13]</t>
        </is>
      </c>
      <c r="I176" s="4" t="inlineStr">
        <is>
          <t>C08@20261028-6245ae04</t>
        </is>
      </c>
      <c r="J176" s="4" t="inlineStr">
        <is>
          <t>MS-C08</t>
        </is>
      </c>
      <c r="K176" s="4" t="inlineStr">
        <is>
          <t>1/1</t>
        </is>
      </c>
      <c r="L176" s="7" t="inlineStr">
        <is>
          <t>Approved</t>
        </is>
      </c>
      <c r="M176" s="7" t="n"/>
      <c r="N176" s="4" t="inlineStr">
        <is>
          <t>Actor, branch and dependency need review.</t>
        </is>
      </c>
    </row>
    <row r="177" ht="40" customHeight="1">
      <c r="A177" s="8" t="inlineStr">
        <is>
          <t>C08</t>
        </is>
      </c>
      <c r="B177" s="8" t="inlineStr">
        <is>
          <t>Market Development Assistance</t>
        </is>
      </c>
      <c r="C177" s="8" t="inlineStr">
        <is>
          <t>C08-P0069</t>
        </is>
      </c>
      <c r="D177" s="8" t="inlineStr">
        <is>
          <t>Online</t>
        </is>
      </c>
      <c r="E177" s="8" t="inlineStr">
        <is>
          <t>Step 6: Uploading Operational Data</t>
        </is>
      </c>
      <c r="F177" s="8" t="inlineStr">
        <is>
          <t>Source step text</t>
        </is>
      </c>
      <c r="G177" s="8" t="inlineStr">
        <is>
          <t>Post-Application Processes</t>
        </is>
      </c>
      <c r="H177" s="8" t="inlineStr">
        <is>
          <t>en.applicationProcess[0].process[14].children[0]</t>
        </is>
      </c>
      <c r="I177" s="8" t="inlineStr">
        <is>
          <t>C08@20261028-6245ae04</t>
        </is>
      </c>
      <c r="J177" s="8" t="inlineStr">
        <is>
          <t>MS-C08</t>
        </is>
      </c>
      <c r="K177" s="8" t="inlineStr">
        <is>
          <t>1/1</t>
        </is>
      </c>
      <c r="L177" s="7" t="inlineStr">
        <is>
          <t>Approved</t>
        </is>
      </c>
      <c r="M177" s="7" t="n"/>
      <c r="N177" s="8" t="inlineStr">
        <is>
          <t>Actor, branch and dependency need review.</t>
        </is>
      </c>
    </row>
    <row r="178" ht="40" customHeight="1">
      <c r="A178" s="4" t="inlineStr">
        <is>
          <t>C08</t>
        </is>
      </c>
      <c r="B178" s="4" t="inlineStr">
        <is>
          <t>Market Development Assistance</t>
        </is>
      </c>
      <c r="C178" s="4" t="inlineStr">
        <is>
          <t>C08-P0070</t>
        </is>
      </c>
      <c r="D178" s="4" t="inlineStr">
        <is>
          <t>Online</t>
        </is>
      </c>
      <c r="E178" s="4" t="inlineStr">
        <is>
          <t>Step 7: Quality Testing and Certification</t>
        </is>
      </c>
      <c r="F178" s="4" t="inlineStr">
        <is>
          <t>Heading / phase</t>
        </is>
      </c>
      <c r="G178" s="4" t="inlineStr">
        <is>
          <t>Step 7: Quality Testing and Certification</t>
        </is>
      </c>
      <c r="H178" s="4" t="inlineStr">
        <is>
          <t>en.applicationProcess[0].process[15]</t>
        </is>
      </c>
      <c r="I178" s="4" t="inlineStr">
        <is>
          <t>C08@20261028-6245ae04</t>
        </is>
      </c>
      <c r="J178" s="4" t="inlineStr">
        <is>
          <t>MS-C08</t>
        </is>
      </c>
      <c r="K178" s="4" t="inlineStr">
        <is>
          <t>1/1</t>
        </is>
      </c>
      <c r="L178" s="7" t="inlineStr">
        <is>
          <t>Approved</t>
        </is>
      </c>
      <c r="M178" s="7" t="n"/>
      <c r="N178" s="4" t="inlineStr">
        <is>
          <t>Actor, branch and dependency need review.</t>
        </is>
      </c>
    </row>
    <row r="179" ht="54" customHeight="1">
      <c r="A179" s="8" t="inlineStr">
        <is>
          <t>C08</t>
        </is>
      </c>
      <c r="B179" s="8" t="inlineStr">
        <is>
          <t>Market Development Assistance</t>
        </is>
      </c>
      <c r="C179" s="8" t="inlineStr">
        <is>
          <t>C08-P0071</t>
        </is>
      </c>
      <c r="D179" s="8" t="inlineStr">
        <is>
          <t>Online</t>
        </is>
      </c>
      <c r="E179" s="8" t="inlineStr">
        <is>
          <t>Step 7: Quality Testing and Certification</t>
        </is>
      </c>
      <c r="F179" s="8" t="inlineStr">
        <is>
          <t>Source step text</t>
        </is>
      </c>
      <c r="G179" s="8" t="inlineStr">
        <is>
          <t>The applicant must ensure batch-wise or dispatch-wise quality testing at accredited laboratories and get the test reports validated by the State Agriculture Department or State Energy Development Agency to receive the 'B2-MDA' certificate.</t>
        </is>
      </c>
      <c r="H179" s="8" t="inlineStr">
        <is>
          <t>en.applicationProcess[0].process[16]</t>
        </is>
      </c>
      <c r="I179" s="8" t="inlineStr">
        <is>
          <t>C08@20261028-6245ae04</t>
        </is>
      </c>
      <c r="J179" s="8" t="inlineStr">
        <is>
          <t>MS-C08</t>
        </is>
      </c>
      <c r="K179" s="8" t="inlineStr">
        <is>
          <t>1/1</t>
        </is>
      </c>
      <c r="L179" s="7" t="inlineStr">
        <is>
          <t>Approved</t>
        </is>
      </c>
      <c r="M179" s="7" t="n"/>
      <c r="N179" s="8" t="inlineStr">
        <is>
          <t>Actor, branch and dependency need review.</t>
        </is>
      </c>
    </row>
    <row r="180" ht="40" customHeight="1">
      <c r="A180" s="4" t="inlineStr">
        <is>
          <t>C08</t>
        </is>
      </c>
      <c r="B180" s="4" t="inlineStr">
        <is>
          <t>Market Development Assistance</t>
        </is>
      </c>
      <c r="C180" s="4" t="inlineStr">
        <is>
          <t>C08-P0072</t>
        </is>
      </c>
      <c r="D180" s="4" t="inlineStr">
        <is>
          <t>Online</t>
        </is>
      </c>
      <c r="E180" s="4" t="inlineStr">
        <is>
          <t>Step 8: Generating Benefit Claims</t>
        </is>
      </c>
      <c r="F180" s="4" t="inlineStr">
        <is>
          <t>Heading / phase</t>
        </is>
      </c>
      <c r="G180" s="4" t="inlineStr">
        <is>
          <t>Step 8: Generating Benefit Claims</t>
        </is>
      </c>
      <c r="H180" s="4" t="inlineStr">
        <is>
          <t>en.applicationProcess[0].process[17]</t>
        </is>
      </c>
      <c r="I180" s="4" t="inlineStr">
        <is>
          <t>C08@20261028-6245ae04</t>
        </is>
      </c>
      <c r="J180" s="4" t="inlineStr">
        <is>
          <t>MS-C08</t>
        </is>
      </c>
      <c r="K180" s="4" t="inlineStr">
        <is>
          <t>1/1</t>
        </is>
      </c>
      <c r="L180" s="7" t="inlineStr">
        <is>
          <t>Approved</t>
        </is>
      </c>
      <c r="M180" s="7" t="n"/>
      <c r="N180" s="4" t="inlineStr">
        <is>
          <t>Actor, branch and dependency need review.</t>
        </is>
      </c>
    </row>
    <row r="181" ht="54" customHeight="1">
      <c r="A181" s="8" t="inlineStr">
        <is>
          <t>C08</t>
        </is>
      </c>
      <c r="B181" s="8" t="inlineStr">
        <is>
          <t>Market Development Assistance</t>
        </is>
      </c>
      <c r="C181" s="8" t="inlineStr">
        <is>
          <t>C08-P0073</t>
        </is>
      </c>
      <c r="D181" s="8" t="inlineStr">
        <is>
          <t>Online</t>
        </is>
      </c>
      <c r="E181" s="8" t="inlineStr">
        <is>
          <t>Step 8: Generating Benefit Claims</t>
        </is>
      </c>
      <c r="F181" s="8" t="inlineStr">
        <is>
          <t>Source step text</t>
        </is>
      </c>
      <c r="G181" s="8" t="inlineStr">
        <is>
          <t>The applicant must generate Direct Benefit Transfer claims through the Integrated Fertilizer Management System portal using the prescribed Annexure within two months from the month of sale.</t>
        </is>
      </c>
      <c r="H181" s="8" t="inlineStr">
        <is>
          <t>en.applicationProcess[0].process[18]</t>
        </is>
      </c>
      <c r="I181" s="8" t="inlineStr">
        <is>
          <t>C08@20261028-6245ae04</t>
        </is>
      </c>
      <c r="J181" s="8" t="inlineStr">
        <is>
          <t>MS-C08</t>
        </is>
      </c>
      <c r="K181" s="8" t="inlineStr">
        <is>
          <t>1/1</t>
        </is>
      </c>
      <c r="L181" s="7" t="inlineStr">
        <is>
          <t>Approved</t>
        </is>
      </c>
      <c r="M181" s="7" t="n"/>
      <c r="N181" s="8" t="inlineStr">
        <is>
          <t>Actor, branch and dependency need review.</t>
        </is>
      </c>
    </row>
    <row r="182" ht="40" customHeight="1">
      <c r="A182" s="4" t="inlineStr">
        <is>
          <t>C08</t>
        </is>
      </c>
      <c r="B182" s="4" t="inlineStr">
        <is>
          <t>Market Development Assistance</t>
        </is>
      </c>
      <c r="C182" s="4" t="inlineStr">
        <is>
          <t>C08-P0074</t>
        </is>
      </c>
      <c r="D182" s="4" t="inlineStr">
        <is>
          <t>Online</t>
        </is>
      </c>
      <c r="E182" s="4" t="inlineStr">
        <is>
          <t>Step 9: Submission of Claim Documentation</t>
        </is>
      </c>
      <c r="F182" s="4" t="inlineStr">
        <is>
          <t>Heading / phase</t>
        </is>
      </c>
      <c r="G182" s="4" t="inlineStr">
        <is>
          <t>Step 9: Submission of Claim Documentation</t>
        </is>
      </c>
      <c r="H182" s="4" t="inlineStr">
        <is>
          <t>en.applicationProcess[0].process[19]</t>
        </is>
      </c>
      <c r="I182" s="4" t="inlineStr">
        <is>
          <t>C08@20261028-6245ae04</t>
        </is>
      </c>
      <c r="J182" s="4" t="inlineStr">
        <is>
          <t>MS-C08</t>
        </is>
      </c>
      <c r="K182" s="4" t="inlineStr">
        <is>
          <t>1/1</t>
        </is>
      </c>
      <c r="L182" s="7" t="inlineStr">
        <is>
          <t>Approved</t>
        </is>
      </c>
      <c r="M182" s="7" t="n"/>
      <c r="N182" s="4" t="inlineStr">
        <is>
          <t>Actor, branch and dependency need review.</t>
        </is>
      </c>
    </row>
    <row r="183" ht="54" customHeight="1">
      <c r="A183" s="8" t="inlineStr">
        <is>
          <t>C08</t>
        </is>
      </c>
      <c r="B183" s="8" t="inlineStr">
        <is>
          <t>Market Development Assistance</t>
        </is>
      </c>
      <c r="C183" s="8" t="inlineStr">
        <is>
          <t>C08-P0075</t>
        </is>
      </c>
      <c r="D183" s="8" t="inlineStr">
        <is>
          <t>Online</t>
        </is>
      </c>
      <c r="E183" s="8" t="inlineStr">
        <is>
          <t>Step 9: Submission of Claim Documentation</t>
        </is>
      </c>
      <c r="F183" s="8" t="inlineStr">
        <is>
          <t>Source step text</t>
        </is>
      </c>
      <c r="G183" s="8" t="inlineStr">
        <is>
          <t>The applicant must submit a copy of the Quality Certificate along with the claim for Market Development Assistance payment for that particular month to the Department of Fertilizers to receive the financial disbursement.</t>
        </is>
      </c>
      <c r="H183" s="8" t="inlineStr">
        <is>
          <t>en.applicationProcess[0].process[20]</t>
        </is>
      </c>
      <c r="I183" s="8" t="inlineStr">
        <is>
          <t>C08@20261028-6245ae04</t>
        </is>
      </c>
      <c r="J183" s="8" t="inlineStr">
        <is>
          <t>MS-C08</t>
        </is>
      </c>
      <c r="K183" s="8" t="inlineStr">
        <is>
          <t>1/1</t>
        </is>
      </c>
      <c r="L183" s="7" t="inlineStr">
        <is>
          <t>Approved</t>
        </is>
      </c>
      <c r="M183" s="7" t="n"/>
      <c r="N183" s="8" t="inlineStr">
        <is>
          <t>Actor, branch and dependency need review.</t>
        </is>
      </c>
    </row>
    <row r="184" ht="82" customHeight="1">
      <c r="A184" s="4" t="inlineStr">
        <is>
          <t>C09</t>
        </is>
      </c>
      <c r="B184" s="4" t="inlineStr">
        <is>
          <t>PRISM (Promoting Innovations in Individuals, Start-ups and MSMEs): Category-2: Fabrication of Working Model/Process Know-how/Testing &amp; Trial/Patenting/Technology Transfer</t>
        </is>
      </c>
      <c r="C184" s="4" t="inlineStr">
        <is>
          <t>C09-P0063</t>
        </is>
      </c>
      <c r="D184" s="4" t="inlineStr">
        <is>
          <t>Offline</t>
        </is>
      </c>
      <c r="E184" s="4" t="inlineStr">
        <is>
          <t>Proposals can be submitted to the following -</t>
        </is>
      </c>
      <c r="F184" s="4" t="inlineStr">
        <is>
          <t>Heading / phase</t>
        </is>
      </c>
      <c r="G184" s="4" t="inlineStr">
        <is>
          <t>Proposals can be submitted to the following -</t>
        </is>
      </c>
      <c r="H184" s="4" t="inlineStr">
        <is>
          <t>en.applicationProcess[0].process[0]</t>
        </is>
      </c>
      <c r="I184" s="4" t="inlineStr">
        <is>
          <t>C09@20261028-1e8f42c4</t>
        </is>
      </c>
      <c r="J184" s="4" t="inlineStr">
        <is>
          <t>MS-C09</t>
        </is>
      </c>
      <c r="K184" s="4" t="inlineStr">
        <is>
          <t>1/1</t>
        </is>
      </c>
      <c r="L184" s="7" t="inlineStr">
        <is>
          <t>Approved</t>
        </is>
      </c>
      <c r="M184" s="7" t="n"/>
      <c r="N184" s="4" t="inlineStr">
        <is>
          <t>Actor, branch and dependency need review.</t>
        </is>
      </c>
    </row>
    <row r="185" ht="82" customHeight="1">
      <c r="A185" s="8" t="inlineStr">
        <is>
          <t>C09</t>
        </is>
      </c>
      <c r="B185" s="8" t="inlineStr">
        <is>
          <t>PRISM (Promoting Innovations in Individuals, Start-ups and MSMEs): Category-2: Fabrication of Working Model/Process Know-how/Testing &amp; Trial/Patenting/Technology Transfer</t>
        </is>
      </c>
      <c r="C185" s="8" t="inlineStr">
        <is>
          <t>C09-P0064</t>
        </is>
      </c>
      <c r="D185" s="8" t="inlineStr">
        <is>
          <t>Offline</t>
        </is>
      </c>
      <c r="E185" s="8" t="inlineStr">
        <is>
          <t>Proposals can be submitted to the following -</t>
        </is>
      </c>
      <c r="F185" s="8" t="inlineStr">
        <is>
          <t>Source step text</t>
        </is>
      </c>
      <c r="G185" s="8" t="inlineStr">
        <is>
          <t>The nearest TePP Outreach cum Cluster Innovation Centres (TOCICs).</t>
        </is>
      </c>
      <c r="H185" s="8" t="inlineStr">
        <is>
          <t>en.applicationProcess[0].process[1].children[0]</t>
        </is>
      </c>
      <c r="I185" s="8" t="inlineStr">
        <is>
          <t>C09@20261028-1e8f42c4</t>
        </is>
      </c>
      <c r="J185" s="8" t="inlineStr">
        <is>
          <t>MS-C09</t>
        </is>
      </c>
      <c r="K185" s="8" t="inlineStr">
        <is>
          <t>1/1</t>
        </is>
      </c>
      <c r="L185" s="7" t="inlineStr">
        <is>
          <t>Approved</t>
        </is>
      </c>
      <c r="M185" s="7" t="n"/>
      <c r="N185" s="8" t="inlineStr">
        <is>
          <t>Actor, branch and dependency need review.</t>
        </is>
      </c>
    </row>
    <row r="186" ht="82" customHeight="1">
      <c r="A186" s="4" t="inlineStr">
        <is>
          <t>C09</t>
        </is>
      </c>
      <c r="B186" s="4" t="inlineStr">
        <is>
          <t>PRISM (Promoting Innovations in Individuals, Start-ups and MSMEs): Category-2: Fabrication of Working Model/Process Know-how/Testing &amp; Trial/Patenting/Technology Transfer</t>
        </is>
      </c>
      <c r="C186" s="4" t="inlineStr">
        <is>
          <t>C09-P0065</t>
        </is>
      </c>
      <c r="D186" s="4" t="inlineStr">
        <is>
          <t>Offline</t>
        </is>
      </c>
      <c r="E186" s="4" t="inlineStr">
        <is>
          <t>Proposals can be submitted to the following -</t>
        </is>
      </c>
      <c r="F186" s="4" t="inlineStr">
        <is>
          <t>Source step text</t>
        </is>
      </c>
      <c r="G186" s="4" t="inlineStr">
        <is>
          <t>The Department of Scientific and Industrial Research (DSIR).</t>
        </is>
      </c>
      <c r="H186" s="4" t="inlineStr">
        <is>
          <t>en.applicationProcess[0].process[1].children[1]</t>
        </is>
      </c>
      <c r="I186" s="4" t="inlineStr">
        <is>
          <t>C09@20261028-1e8f42c4</t>
        </is>
      </c>
      <c r="J186" s="4" t="inlineStr">
        <is>
          <t>MS-C09</t>
        </is>
      </c>
      <c r="K186" s="4" t="inlineStr">
        <is>
          <t>1/1</t>
        </is>
      </c>
      <c r="L186" s="7" t="inlineStr">
        <is>
          <t>Approved</t>
        </is>
      </c>
      <c r="M186" s="7" t="n"/>
      <c r="N186" s="4" t="inlineStr">
        <is>
          <t>Actor, branch and dependency need review.</t>
        </is>
      </c>
    </row>
    <row r="187" ht="82" customHeight="1">
      <c r="A187" s="8" t="inlineStr">
        <is>
          <t>C09</t>
        </is>
      </c>
      <c r="B187" s="8" t="inlineStr">
        <is>
          <t>PRISM (Promoting Innovations in Individuals, Start-ups and MSMEs): Category-2: Fabrication of Working Model/Process Know-how/Testing &amp; Trial/Patenting/Technology Transfer</t>
        </is>
      </c>
      <c r="C187" s="8" t="inlineStr">
        <is>
          <t>C09-P0066</t>
        </is>
      </c>
      <c r="D187" s="8" t="inlineStr">
        <is>
          <t>Offline</t>
        </is>
      </c>
      <c r="E187" s="8" t="inlineStr">
        <is>
          <t>Proposals can be submitted to the following -</t>
        </is>
      </c>
      <c r="F187" s="8" t="inlineStr">
        <is>
          <t>Source step text</t>
        </is>
      </c>
      <c r="G187" s="8" t="inlineStr">
        <is>
          <t>Step 1:</t>
        </is>
      </c>
      <c r="H187" s="8" t="inlineStr">
        <is>
          <t>en.applicationProcess[0].process[3].children[0]</t>
        </is>
      </c>
      <c r="I187" s="8" t="inlineStr">
        <is>
          <t>C09@20261028-1e8f42c4</t>
        </is>
      </c>
      <c r="J187" s="8" t="inlineStr">
        <is>
          <t>MS-C09</t>
        </is>
      </c>
      <c r="K187" s="8" t="inlineStr">
        <is>
          <t>1/1</t>
        </is>
      </c>
      <c r="L187" s="7" t="inlineStr">
        <is>
          <t>Approved</t>
        </is>
      </c>
      <c r="M187" s="7" t="n"/>
      <c r="N187" s="8" t="inlineStr">
        <is>
          <t>Actor, branch and dependency need review.</t>
        </is>
      </c>
    </row>
    <row r="188" ht="82" customHeight="1">
      <c r="A188" s="4" t="inlineStr">
        <is>
          <t>C09</t>
        </is>
      </c>
      <c r="B188" s="4" t="inlineStr">
        <is>
          <t>PRISM (Promoting Innovations in Individuals, Start-ups and MSMEs): Category-2: Fabrication of Working Model/Process Know-how/Testing &amp; Trial/Patenting/Technology Transfer</t>
        </is>
      </c>
      <c r="C188" s="4" t="inlineStr">
        <is>
          <t>C09-P0068</t>
        </is>
      </c>
      <c r="D188" s="4" t="inlineStr">
        <is>
          <t>Offline</t>
        </is>
      </c>
      <c r="E188" s="4" t="inlineStr">
        <is>
          <t>Proposals can be submitted to the following -</t>
        </is>
      </c>
      <c r="F188" s="4" t="inlineStr">
        <is>
          <t>Source step text</t>
        </is>
      </c>
      <c r="G188" s="4" t="inlineStr">
        <is>
          <t>Consultation and Preparation</t>
        </is>
      </c>
      <c r="H188" s="4" t="inlineStr">
        <is>
          <t>en.applicationProcess[0].process[3].children[2]</t>
        </is>
      </c>
      <c r="I188" s="4" t="inlineStr">
        <is>
          <t>C09@20261028-1e8f42c4</t>
        </is>
      </c>
      <c r="J188" s="4" t="inlineStr">
        <is>
          <t>MS-C09</t>
        </is>
      </c>
      <c r="K188" s="4" t="inlineStr">
        <is>
          <t>1/1</t>
        </is>
      </c>
      <c r="L188" s="7" t="inlineStr">
        <is>
          <t>Approved</t>
        </is>
      </c>
      <c r="M188" s="7" t="n"/>
      <c r="N188" s="4" t="inlineStr">
        <is>
          <t>Actor, branch and dependency need review.</t>
        </is>
      </c>
    </row>
    <row r="189" ht="82" customHeight="1">
      <c r="A189" s="8" t="inlineStr">
        <is>
          <t>C09</t>
        </is>
      </c>
      <c r="B189" s="8" t="inlineStr">
        <is>
          <t>PRISM (Promoting Innovations in Individuals, Start-ups and MSMEs): Category-2: Fabrication of Working Model/Process Know-how/Testing &amp; Trial/Patenting/Technology Transfer</t>
        </is>
      </c>
      <c r="C189" s="8" t="inlineStr">
        <is>
          <t>C09-P0069</t>
        </is>
      </c>
      <c r="D189" s="8" t="inlineStr">
        <is>
          <t>Offline</t>
        </is>
      </c>
      <c r="E189" s="8" t="inlineStr">
        <is>
          <t>Proposals can be submitted to the following -</t>
        </is>
      </c>
      <c r="F189" s="8" t="inlineStr">
        <is>
          <t>Source step text</t>
        </is>
      </c>
      <c r="G189" s="8" t="inlineStr">
        <is>
          <t>The innovator should meet coordinators of TePP Outreach cum Cluster Innovation Centres (TOCICs) and take their advice before submitting the application.</t>
        </is>
      </c>
      <c r="H189" s="8" t="inlineStr">
        <is>
          <t>en.applicationProcess[0].process[4].children[0]</t>
        </is>
      </c>
      <c r="I189" s="8" t="inlineStr">
        <is>
          <t>C09@20261028-1e8f42c4</t>
        </is>
      </c>
      <c r="J189" s="8" t="inlineStr">
        <is>
          <t>MS-C09</t>
        </is>
      </c>
      <c r="K189" s="8" t="inlineStr">
        <is>
          <t>1/1</t>
        </is>
      </c>
      <c r="L189" s="7" t="inlineStr">
        <is>
          <t>Approved</t>
        </is>
      </c>
      <c r="M189" s="7" t="n"/>
      <c r="N189" s="8" t="inlineStr">
        <is>
          <t>Actor, branch and dependency need review.</t>
        </is>
      </c>
    </row>
    <row r="190" ht="82" customHeight="1">
      <c r="A190" s="4" t="inlineStr">
        <is>
          <t>C09</t>
        </is>
      </c>
      <c r="B190" s="4" t="inlineStr">
        <is>
          <t>PRISM (Promoting Innovations in Individuals, Start-ups and MSMEs): Category-2: Fabrication of Working Model/Process Know-how/Testing &amp; Trial/Patenting/Technology Transfer</t>
        </is>
      </c>
      <c r="C190" s="4" t="inlineStr">
        <is>
          <t>C09-P0070</t>
        </is>
      </c>
      <c r="D190" s="4" t="inlineStr">
        <is>
          <t>Offline</t>
        </is>
      </c>
      <c r="E190" s="4" t="inlineStr">
        <is>
          <t>Proposals can be submitted to the following -</t>
        </is>
      </c>
      <c r="F190" s="4" t="inlineStr">
        <is>
          <t>Source step text</t>
        </is>
      </c>
      <c r="G190" s="4" t="inlineStr">
        <is>
          <t>The applicant must prepare the application form, ensuring all mandatory details like the Title of the proposed project, Name, Address, Date of Birth, Educational qualification, Annual Income, Permanent Account Number (PAN) (mandatory), and Aadhaar Number are included.</t>
        </is>
      </c>
      <c r="H190" s="4" t="inlineStr">
        <is>
          <t>en.applicationProcess[0].process[4].children[1]</t>
        </is>
      </c>
      <c r="I190" s="4" t="inlineStr">
        <is>
          <t>C09@20261028-1e8f42c4</t>
        </is>
      </c>
      <c r="J190" s="4" t="inlineStr">
        <is>
          <t>MS-C09</t>
        </is>
      </c>
      <c r="K190" s="4" t="inlineStr">
        <is>
          <t>1/1</t>
        </is>
      </c>
      <c r="L190" s="7" t="inlineStr">
        <is>
          <t>Approved</t>
        </is>
      </c>
      <c r="M190" s="7" t="n"/>
      <c r="N190" s="4" t="inlineStr">
        <is>
          <t>Actor, branch and dependency need review.</t>
        </is>
      </c>
    </row>
    <row r="191" ht="82" customHeight="1">
      <c r="A191" s="8" t="inlineStr">
        <is>
          <t>C09</t>
        </is>
      </c>
      <c r="B191" s="8" t="inlineStr">
        <is>
          <t>PRISM (Promoting Innovations in Individuals, Start-ups and MSMEs): Category-2: Fabrication of Working Model/Process Know-how/Testing &amp; Trial/Patenting/Technology Transfer</t>
        </is>
      </c>
      <c r="C191" s="8" t="inlineStr">
        <is>
          <t>C09-P0071</t>
        </is>
      </c>
      <c r="D191" s="8" t="inlineStr">
        <is>
          <t>Offline</t>
        </is>
      </c>
      <c r="E191" s="8" t="inlineStr">
        <is>
          <t>Proposals can be submitted to the following -</t>
        </is>
      </c>
      <c r="F191" s="8" t="inlineStr">
        <is>
          <t>Source step text</t>
        </is>
      </c>
      <c r="G191" s="8" t="inlineStr">
        <is>
          <t>Step 2:</t>
        </is>
      </c>
      <c r="H191" s="8" t="inlineStr">
        <is>
          <t>en.applicationProcess[0].process[5].children[0]</t>
        </is>
      </c>
      <c r="I191" s="8" t="inlineStr">
        <is>
          <t>C09@20261028-1e8f42c4</t>
        </is>
      </c>
      <c r="J191" s="8" t="inlineStr">
        <is>
          <t>MS-C09</t>
        </is>
      </c>
      <c r="K191" s="8" t="inlineStr">
        <is>
          <t>1/1</t>
        </is>
      </c>
      <c r="L191" s="7" t="inlineStr">
        <is>
          <t>Approved</t>
        </is>
      </c>
      <c r="M191" s="7" t="n"/>
      <c r="N191" s="8" t="inlineStr">
        <is>
          <t>Actor, branch and dependency need review.</t>
        </is>
      </c>
    </row>
    <row r="192" ht="82" customHeight="1">
      <c r="A192" s="4" t="inlineStr">
        <is>
          <t>C09</t>
        </is>
      </c>
      <c r="B192" s="4" t="inlineStr">
        <is>
          <t>PRISM (Promoting Innovations in Individuals, Start-ups and MSMEs): Category-2: Fabrication of Working Model/Process Know-how/Testing &amp; Trial/Patenting/Technology Transfer</t>
        </is>
      </c>
      <c r="C192" s="4" t="inlineStr">
        <is>
          <t>C09-P0073</t>
        </is>
      </c>
      <c r="D192" s="4" t="inlineStr">
        <is>
          <t>Offline</t>
        </is>
      </c>
      <c r="E192" s="4" t="inlineStr">
        <is>
          <t>Proposals can be submitted to the following -</t>
        </is>
      </c>
      <c r="F192" s="4" t="inlineStr">
        <is>
          <t>Source step text</t>
        </is>
      </c>
      <c r="G192" s="4" t="inlineStr">
        <is>
          <t>Submission of Proposal</t>
        </is>
      </c>
      <c r="H192" s="4" t="inlineStr">
        <is>
          <t>en.applicationProcess[0].process[5].children[2]</t>
        </is>
      </c>
      <c r="I192" s="4" t="inlineStr">
        <is>
          <t>C09@20261028-1e8f42c4</t>
        </is>
      </c>
      <c r="J192" s="4" t="inlineStr">
        <is>
          <t>MS-C09</t>
        </is>
      </c>
      <c r="K192" s="4" t="inlineStr">
        <is>
          <t>1/1</t>
        </is>
      </c>
      <c r="L192" s="7" t="inlineStr">
        <is>
          <t>Approved</t>
        </is>
      </c>
      <c r="M192" s="7" t="n"/>
      <c r="N192" s="4" t="inlineStr">
        <is>
          <t>Actor, branch and dependency need review.</t>
        </is>
      </c>
    </row>
    <row r="193" ht="82" customHeight="1">
      <c r="A193" s="8" t="inlineStr">
        <is>
          <t>C09</t>
        </is>
      </c>
      <c r="B193" s="8" t="inlineStr">
        <is>
          <t>PRISM (Promoting Innovations in Individuals, Start-ups and MSMEs): Category-2: Fabrication of Working Model/Process Know-how/Testing &amp; Trial/Patenting/Technology Transfer</t>
        </is>
      </c>
      <c r="C193" s="8" t="inlineStr">
        <is>
          <t>C09-P0074</t>
        </is>
      </c>
      <c r="D193" s="8" t="inlineStr">
        <is>
          <t>Offline</t>
        </is>
      </c>
      <c r="E193" s="8" t="inlineStr">
        <is>
          <t>Proposals can be submitted to the following -</t>
        </is>
      </c>
      <c r="F193" s="8" t="inlineStr">
        <is>
          <t>Source step text</t>
        </is>
      </c>
      <c r="G193" s="8" t="inlineStr">
        <is>
          <t>The applicant must submit the application either directly to the nearest TePP Outreach cum Cluster Innovation Centre (TOCIC) or directly to the Department of Scientific and Industrial Research (DSIR).</t>
        </is>
      </c>
      <c r="H193" s="8" t="inlineStr">
        <is>
          <t>en.applicationProcess[0].process[6].children[0]</t>
        </is>
      </c>
      <c r="I193" s="8" t="inlineStr">
        <is>
          <t>C09@20261028-1e8f42c4</t>
        </is>
      </c>
      <c r="J193" s="8" t="inlineStr">
        <is>
          <t>MS-C09</t>
        </is>
      </c>
      <c r="K193" s="8" t="inlineStr">
        <is>
          <t>1/1</t>
        </is>
      </c>
      <c r="L193" s="7" t="inlineStr">
        <is>
          <t>Approved</t>
        </is>
      </c>
      <c r="M193" s="7" t="n"/>
      <c r="N193" s="8" t="inlineStr">
        <is>
          <t>Actor, branch and dependency need review.</t>
        </is>
      </c>
    </row>
    <row r="194" ht="82" customHeight="1">
      <c r="A194" s="4" t="inlineStr">
        <is>
          <t>C09</t>
        </is>
      </c>
      <c r="B194" s="4" t="inlineStr">
        <is>
          <t>PRISM (Promoting Innovations in Individuals, Start-ups and MSMEs): Category-2: Fabrication of Working Model/Process Know-how/Testing &amp; Trial/Patenting/Technology Transfer</t>
        </is>
      </c>
      <c r="C194" s="4" t="inlineStr">
        <is>
          <t>C09-P0075</t>
        </is>
      </c>
      <c r="D194" s="4" t="inlineStr">
        <is>
          <t>Offline</t>
        </is>
      </c>
      <c r="E194" s="4" t="inlineStr">
        <is>
          <t>Proposals can be submitted to the following -</t>
        </is>
      </c>
      <c r="F194" s="4" t="inlineStr">
        <is>
          <t>Source step text</t>
        </is>
      </c>
      <c r="G194" s="4" t="inlineStr">
        <is>
          <t>Proposals submitted directly to the Department of Scientific and Industrial Research will be forwarded to the relevant TePP Outreach cum Cluster Innovation Centre for counselling and local screening.</t>
        </is>
      </c>
      <c r="H194" s="4" t="inlineStr">
        <is>
          <t>en.applicationProcess[0].process[6].children[1]</t>
        </is>
      </c>
      <c r="I194" s="4" t="inlineStr">
        <is>
          <t>C09@20261028-1e8f42c4</t>
        </is>
      </c>
      <c r="J194" s="4" t="inlineStr">
        <is>
          <t>MS-C09</t>
        </is>
      </c>
      <c r="K194" s="4" t="inlineStr">
        <is>
          <t>1/1</t>
        </is>
      </c>
      <c r="L194" s="7" t="inlineStr">
        <is>
          <t>Approved</t>
        </is>
      </c>
      <c r="M194" s="7" t="n"/>
      <c r="N194" s="4" t="inlineStr">
        <is>
          <t>Actor, branch and dependency need review.</t>
        </is>
      </c>
    </row>
    <row r="195" ht="82" customHeight="1">
      <c r="A195" s="8" t="inlineStr">
        <is>
          <t>C09</t>
        </is>
      </c>
      <c r="B195" s="8" t="inlineStr">
        <is>
          <t>PRISM (Promoting Innovations in Individuals, Start-ups and MSMEs): Category-2: Fabrication of Working Model/Process Know-how/Testing &amp; Trial/Patenting/Technology Transfer</t>
        </is>
      </c>
      <c r="C195" s="8" t="inlineStr">
        <is>
          <t>C09-P0076</t>
        </is>
      </c>
      <c r="D195" s="8" t="inlineStr">
        <is>
          <t>Offline</t>
        </is>
      </c>
      <c r="E195" s="8" t="inlineStr">
        <is>
          <t>Proposals can be submitted to the following -</t>
        </is>
      </c>
      <c r="F195" s="8" t="inlineStr">
        <is>
          <t>Source step text</t>
        </is>
      </c>
      <c r="G195" s="8" t="inlineStr">
        <is>
          <t>Post-Application Processes</t>
        </is>
      </c>
      <c r="H195" s="8" t="inlineStr">
        <is>
          <t>en.applicationProcess[0].process[8].children[0]</t>
        </is>
      </c>
      <c r="I195" s="8" t="inlineStr">
        <is>
          <t>C09@20261028-1e8f42c4</t>
        </is>
      </c>
      <c r="J195" s="8" t="inlineStr">
        <is>
          <t>MS-C09</t>
        </is>
      </c>
      <c r="K195" s="8" t="inlineStr">
        <is>
          <t>1/1</t>
        </is>
      </c>
      <c r="L195" s="7" t="inlineStr">
        <is>
          <t>Approved</t>
        </is>
      </c>
      <c r="M195" s="7" t="n"/>
      <c r="N195" s="8" t="inlineStr">
        <is>
          <t>Actor, branch and dependency need review.</t>
        </is>
      </c>
    </row>
    <row r="196" ht="82" customHeight="1">
      <c r="A196" s="4" t="inlineStr">
        <is>
          <t>C09</t>
        </is>
      </c>
      <c r="B196" s="4" t="inlineStr">
        <is>
          <t>PRISM (Promoting Innovations in Individuals, Start-ups and MSMEs): Category-2: Fabrication of Working Model/Process Know-how/Testing &amp; Trial/Patenting/Technology Transfer</t>
        </is>
      </c>
      <c r="C196" s="4" t="inlineStr">
        <is>
          <t>C09-P0077</t>
        </is>
      </c>
      <c r="D196" s="4" t="inlineStr">
        <is>
          <t>Offline</t>
        </is>
      </c>
      <c r="E196" s="4" t="inlineStr">
        <is>
          <t>Proposals can be submitted to the following -</t>
        </is>
      </c>
      <c r="F196" s="4" t="inlineStr">
        <is>
          <t>Source step text</t>
        </is>
      </c>
      <c r="G196" s="4" t="inlineStr">
        <is>
          <t>Step 1:</t>
        </is>
      </c>
      <c r="H196" s="4" t="inlineStr">
        <is>
          <t>en.applicationProcess[0].process[9].children[0]</t>
        </is>
      </c>
      <c r="I196" s="4" t="inlineStr">
        <is>
          <t>C09@20261028-1e8f42c4</t>
        </is>
      </c>
      <c r="J196" s="4" t="inlineStr">
        <is>
          <t>MS-C09</t>
        </is>
      </c>
      <c r="K196" s="4" t="inlineStr">
        <is>
          <t>1/1</t>
        </is>
      </c>
      <c r="L196" s="7" t="inlineStr">
        <is>
          <t>Approved</t>
        </is>
      </c>
      <c r="M196" s="7" t="n"/>
      <c r="N196" s="4" t="inlineStr">
        <is>
          <t>Actor, branch and dependency need review.</t>
        </is>
      </c>
    </row>
    <row r="197" ht="82" customHeight="1">
      <c r="A197" s="8" t="inlineStr">
        <is>
          <t>C09</t>
        </is>
      </c>
      <c r="B197" s="8" t="inlineStr">
        <is>
          <t>PRISM (Promoting Innovations in Individuals, Start-ups and MSMEs): Category-2: Fabrication of Working Model/Process Know-how/Testing &amp; Trial/Patenting/Technology Transfer</t>
        </is>
      </c>
      <c r="C197" s="8" t="inlineStr">
        <is>
          <t>C09-P0079</t>
        </is>
      </c>
      <c r="D197" s="8" t="inlineStr">
        <is>
          <t>Offline</t>
        </is>
      </c>
      <c r="E197" s="8" t="inlineStr">
        <is>
          <t>Proposals can be submitted to the following -</t>
        </is>
      </c>
      <c r="F197" s="8" t="inlineStr">
        <is>
          <t>Source step text</t>
        </is>
      </c>
      <c r="G197" s="8" t="inlineStr">
        <is>
          <t>Initial Screening for Completeness</t>
        </is>
      </c>
      <c r="H197" s="8" t="inlineStr">
        <is>
          <t>en.applicationProcess[0].process[9].children[2]</t>
        </is>
      </c>
      <c r="I197" s="8" t="inlineStr">
        <is>
          <t>C09@20261028-1e8f42c4</t>
        </is>
      </c>
      <c r="J197" s="8" t="inlineStr">
        <is>
          <t>MS-C09</t>
        </is>
      </c>
      <c r="K197" s="8" t="inlineStr">
        <is>
          <t>1/1</t>
        </is>
      </c>
      <c r="L197" s="7" t="inlineStr">
        <is>
          <t>Approved</t>
        </is>
      </c>
      <c r="M197" s="7" t="n"/>
      <c r="N197" s="8" t="inlineStr">
        <is>
          <t>Actor, branch and dependency need review.</t>
        </is>
      </c>
    </row>
    <row r="198" ht="82" customHeight="1">
      <c r="A198" s="4" t="inlineStr">
        <is>
          <t>C09</t>
        </is>
      </c>
      <c r="B198" s="4" t="inlineStr">
        <is>
          <t>PRISM (Promoting Innovations in Individuals, Start-ups and MSMEs): Category-2: Fabrication of Working Model/Process Know-how/Testing &amp; Trial/Patenting/Technology Transfer</t>
        </is>
      </c>
      <c r="C198" s="4" t="inlineStr">
        <is>
          <t>C09-P0080</t>
        </is>
      </c>
      <c r="D198" s="4" t="inlineStr">
        <is>
          <t>Offline</t>
        </is>
      </c>
      <c r="E198" s="4" t="inlineStr">
        <is>
          <t>Proposals can be submitted to the following -</t>
        </is>
      </c>
      <c r="F198" s="4" t="inlineStr">
        <is>
          <t>Source step text</t>
        </is>
      </c>
      <c r="G198" s="4" t="inlineStr">
        <is>
          <t>The proposals will initially be screened for completeness at the point of receipt by the coordinators of the TePP Outreach cum Cluster Innovation Centres.</t>
        </is>
      </c>
      <c r="H198" s="4" t="inlineStr">
        <is>
          <t>en.applicationProcess[0].process[10]</t>
        </is>
      </c>
      <c r="I198" s="4" t="inlineStr">
        <is>
          <t>C09@20261028-1e8f42c4</t>
        </is>
      </c>
      <c r="J198" s="4" t="inlineStr">
        <is>
          <t>MS-C09</t>
        </is>
      </c>
      <c r="K198" s="4" t="inlineStr">
        <is>
          <t>1/1</t>
        </is>
      </c>
      <c r="L198" s="7" t="inlineStr">
        <is>
          <t>Approved</t>
        </is>
      </c>
      <c r="M198" s="7" t="n"/>
      <c r="N198" s="4" t="inlineStr">
        <is>
          <t>Actor, branch and dependency need review.</t>
        </is>
      </c>
    </row>
    <row r="199" ht="82" customHeight="1">
      <c r="A199" s="8" t="inlineStr">
        <is>
          <t>C09</t>
        </is>
      </c>
      <c r="B199" s="8" t="inlineStr">
        <is>
          <t>PRISM (Promoting Innovations in Individuals, Start-ups and MSMEs): Category-2: Fabrication of Working Model/Process Know-how/Testing &amp; Trial/Patenting/Technology Transfer</t>
        </is>
      </c>
      <c r="C199" s="8" t="inlineStr">
        <is>
          <t>C09-P0081</t>
        </is>
      </c>
      <c r="D199" s="8" t="inlineStr">
        <is>
          <t>Offline</t>
        </is>
      </c>
      <c r="E199" s="8" t="inlineStr">
        <is>
          <t>Proposals can be submitted to the following -</t>
        </is>
      </c>
      <c r="F199" s="8" t="inlineStr">
        <is>
          <t>Source step text</t>
        </is>
      </c>
      <c r="G199" s="8" t="inlineStr">
        <is>
          <t>Step 2:</t>
        </is>
      </c>
      <c r="H199" s="8" t="inlineStr">
        <is>
          <t>en.applicationProcess[0].process[11].children[0]</t>
        </is>
      </c>
      <c r="I199" s="8" t="inlineStr">
        <is>
          <t>C09@20261028-1e8f42c4</t>
        </is>
      </c>
      <c r="J199" s="8" t="inlineStr">
        <is>
          <t>MS-C09</t>
        </is>
      </c>
      <c r="K199" s="8" t="inlineStr">
        <is>
          <t>1/1</t>
        </is>
      </c>
      <c r="L199" s="7" t="inlineStr">
        <is>
          <t>Approved</t>
        </is>
      </c>
      <c r="M199" s="7" t="n"/>
      <c r="N199" s="8" t="inlineStr">
        <is>
          <t>Actor, branch and dependency need review.</t>
        </is>
      </c>
    </row>
    <row r="200" ht="82" customHeight="1">
      <c r="A200" s="4" t="inlineStr">
        <is>
          <t>C09</t>
        </is>
      </c>
      <c r="B200" s="4" t="inlineStr">
        <is>
          <t>PRISM (Promoting Innovations in Individuals, Start-ups and MSMEs): Category-2: Fabrication of Working Model/Process Know-how/Testing &amp; Trial/Patenting/Technology Transfer</t>
        </is>
      </c>
      <c r="C200" s="4" t="inlineStr">
        <is>
          <t>C09-P0083</t>
        </is>
      </c>
      <c r="D200" s="4" t="inlineStr">
        <is>
          <t>Offline</t>
        </is>
      </c>
      <c r="E200" s="4" t="inlineStr">
        <is>
          <t>Proposals can be submitted to the following -</t>
        </is>
      </c>
      <c r="F200" s="4" t="inlineStr">
        <is>
          <t>Source step text</t>
        </is>
      </c>
      <c r="G200" s="4" t="inlineStr">
        <is>
          <t>Evaluation by Domain Knowledge Experts</t>
        </is>
      </c>
      <c r="H200" s="4" t="inlineStr">
        <is>
          <t>en.applicationProcess[0].process[11].children[2]</t>
        </is>
      </c>
      <c r="I200" s="4" t="inlineStr">
        <is>
          <t>C09@20261028-1e8f42c4</t>
        </is>
      </c>
      <c r="J200" s="4" t="inlineStr">
        <is>
          <t>MS-C09</t>
        </is>
      </c>
      <c r="K200" s="4" t="inlineStr">
        <is>
          <t>1/1</t>
        </is>
      </c>
      <c r="L200" s="7" t="inlineStr">
        <is>
          <t>Approved</t>
        </is>
      </c>
      <c r="M200" s="7" t="n"/>
      <c r="N200" s="4" t="inlineStr">
        <is>
          <t>Actor, branch and dependency need review.</t>
        </is>
      </c>
    </row>
    <row r="201" ht="82" customHeight="1">
      <c r="A201" s="8" t="inlineStr">
        <is>
          <t>C09</t>
        </is>
      </c>
      <c r="B201" s="8" t="inlineStr">
        <is>
          <t>PRISM (Promoting Innovations in Individuals, Start-ups and MSMEs): Category-2: Fabrication of Working Model/Process Know-how/Testing &amp; Trial/Patenting/Technology Transfer</t>
        </is>
      </c>
      <c r="C201" s="8" t="inlineStr">
        <is>
          <t>C09-P0084</t>
        </is>
      </c>
      <c r="D201" s="8" t="inlineStr">
        <is>
          <t>Offline</t>
        </is>
      </c>
      <c r="E201" s="8" t="inlineStr">
        <is>
          <t>Proposals can be submitted to the following -</t>
        </is>
      </c>
      <c r="F201" s="8" t="inlineStr">
        <is>
          <t>Source step text</t>
        </is>
      </c>
      <c r="G201" s="8" t="inlineStr">
        <is>
          <t>After initial Screening, the complete and screened proposals are evaluated by the Domain Knowledge Experts associated with the TePP Outreach cum Cluster Innovation Centre.</t>
        </is>
      </c>
      <c r="H201" s="8" t="inlineStr">
        <is>
          <t>en.applicationProcess[0].process[12]</t>
        </is>
      </c>
      <c r="I201" s="8" t="inlineStr">
        <is>
          <t>C09@20261028-1e8f42c4</t>
        </is>
      </c>
      <c r="J201" s="8" t="inlineStr">
        <is>
          <t>MS-C09</t>
        </is>
      </c>
      <c r="K201" s="8" t="inlineStr">
        <is>
          <t>1/1</t>
        </is>
      </c>
      <c r="L201" s="7" t="inlineStr">
        <is>
          <t>Approved</t>
        </is>
      </c>
      <c r="M201" s="7" t="n"/>
      <c r="N201" s="8" t="inlineStr">
        <is>
          <t>Actor, branch and dependency need review.</t>
        </is>
      </c>
    </row>
    <row r="202" ht="82" customHeight="1">
      <c r="A202" s="4" t="inlineStr">
        <is>
          <t>C09</t>
        </is>
      </c>
      <c r="B202" s="4" t="inlineStr">
        <is>
          <t>PRISM (Promoting Innovations in Individuals, Start-ups and MSMEs): Category-2: Fabrication of Working Model/Process Know-how/Testing &amp; Trial/Patenting/Technology Transfer</t>
        </is>
      </c>
      <c r="C202" s="4" t="inlineStr">
        <is>
          <t>C09-P0085</t>
        </is>
      </c>
      <c r="D202" s="4" t="inlineStr">
        <is>
          <t>Offline</t>
        </is>
      </c>
      <c r="E202" s="4" t="inlineStr">
        <is>
          <t>Proposals can be submitted to the following -</t>
        </is>
      </c>
      <c r="F202" s="4" t="inlineStr">
        <is>
          <t>Source step text</t>
        </is>
      </c>
      <c r="G202" s="4" t="inlineStr">
        <is>
          <t>Step 3:</t>
        </is>
      </c>
      <c r="H202" s="4" t="inlineStr">
        <is>
          <t>en.applicationProcess[0].process[13].children[0]</t>
        </is>
      </c>
      <c r="I202" s="4" t="inlineStr">
        <is>
          <t>C09@20261028-1e8f42c4</t>
        </is>
      </c>
      <c r="J202" s="4" t="inlineStr">
        <is>
          <t>MS-C09</t>
        </is>
      </c>
      <c r="K202" s="4" t="inlineStr">
        <is>
          <t>1/1</t>
        </is>
      </c>
      <c r="L202" s="7" t="inlineStr">
        <is>
          <t>Approved</t>
        </is>
      </c>
      <c r="M202" s="7" t="n"/>
      <c r="N202" s="4" t="inlineStr">
        <is>
          <t>Actor, branch and dependency need review.</t>
        </is>
      </c>
    </row>
    <row r="203" ht="82" customHeight="1">
      <c r="A203" s="8" t="inlineStr">
        <is>
          <t>C09</t>
        </is>
      </c>
      <c r="B203" s="8" t="inlineStr">
        <is>
          <t>PRISM (Promoting Innovations in Individuals, Start-ups and MSMEs): Category-2: Fabrication of Working Model/Process Know-how/Testing &amp; Trial/Patenting/Technology Transfer</t>
        </is>
      </c>
      <c r="C203" s="8" t="inlineStr">
        <is>
          <t>C09-P0087</t>
        </is>
      </c>
      <c r="D203" s="8" t="inlineStr">
        <is>
          <t>Offline</t>
        </is>
      </c>
      <c r="E203" s="8" t="inlineStr">
        <is>
          <t>Proposals can be submitted to the following -</t>
        </is>
      </c>
      <c r="F203" s="8" t="inlineStr">
        <is>
          <t>Source step text</t>
        </is>
      </c>
      <c r="G203" s="8" t="inlineStr">
        <is>
          <t>Submission to the Department of Scientific and Industrial Research</t>
        </is>
      </c>
      <c r="H203" s="8" t="inlineStr">
        <is>
          <t>en.applicationProcess[0].process[13].children[2]</t>
        </is>
      </c>
      <c r="I203" s="8" t="inlineStr">
        <is>
          <t>C09@20261028-1e8f42c4</t>
        </is>
      </c>
      <c r="J203" s="8" t="inlineStr">
        <is>
          <t>MS-C09</t>
        </is>
      </c>
      <c r="K203" s="8" t="inlineStr">
        <is>
          <t>1/1</t>
        </is>
      </c>
      <c r="L203" s="7" t="inlineStr">
        <is>
          <t>Approved</t>
        </is>
      </c>
      <c r="M203" s="7" t="n"/>
      <c r="N203" s="8" t="inlineStr">
        <is>
          <t>Actor, branch and dependency need review.</t>
        </is>
      </c>
    </row>
    <row r="204" ht="82" customHeight="1">
      <c r="A204" s="4" t="inlineStr">
        <is>
          <t>C09</t>
        </is>
      </c>
      <c r="B204" s="4" t="inlineStr">
        <is>
          <t>PRISM (Promoting Innovations in Individuals, Start-ups and MSMEs): Category-2: Fabrication of Working Model/Process Know-how/Testing &amp; Trial/Patenting/Technology Transfer</t>
        </is>
      </c>
      <c r="C204" s="4" t="inlineStr">
        <is>
          <t>C09-P0088</t>
        </is>
      </c>
      <c r="D204" s="4" t="inlineStr">
        <is>
          <t>Offline</t>
        </is>
      </c>
      <c r="E204" s="4" t="inlineStr">
        <is>
          <t>Proposals can be submitted to the following -</t>
        </is>
      </c>
      <c r="F204" s="4" t="inlineStr">
        <is>
          <t>Source step text</t>
        </is>
      </c>
      <c r="G204" s="4" t="inlineStr">
        <is>
          <t>The TePP Outreach cum Cluster Innovation Centres will send complete and evaluated proposals to the Department of Scientific and Industrial Research for further action.</t>
        </is>
      </c>
      <c r="H204" s="4" t="inlineStr">
        <is>
          <t>en.applicationProcess[0].process[14]</t>
        </is>
      </c>
      <c r="I204" s="4" t="inlineStr">
        <is>
          <t>C09@20261028-1e8f42c4</t>
        </is>
      </c>
      <c r="J204" s="4" t="inlineStr">
        <is>
          <t>MS-C09</t>
        </is>
      </c>
      <c r="K204" s="4" t="inlineStr">
        <is>
          <t>1/1</t>
        </is>
      </c>
      <c r="L204" s="7" t="inlineStr">
        <is>
          <t>Approved</t>
        </is>
      </c>
      <c r="M204" s="7" t="n"/>
      <c r="N204" s="4" t="inlineStr">
        <is>
          <t>Actor, branch and dependency need review.</t>
        </is>
      </c>
    </row>
    <row r="205" ht="82" customHeight="1">
      <c r="A205" s="8" t="inlineStr">
        <is>
          <t>C09</t>
        </is>
      </c>
      <c r="B205" s="8" t="inlineStr">
        <is>
          <t>PRISM (Promoting Innovations in Individuals, Start-ups and MSMEs): Category-2: Fabrication of Working Model/Process Know-how/Testing &amp; Trial/Patenting/Technology Transfer</t>
        </is>
      </c>
      <c r="C205" s="8" t="inlineStr">
        <is>
          <t>C09-P0089</t>
        </is>
      </c>
      <c r="D205" s="8" t="inlineStr">
        <is>
          <t>Offline</t>
        </is>
      </c>
      <c r="E205" s="8" t="inlineStr">
        <is>
          <t>Proposals can be submitted to the following -</t>
        </is>
      </c>
      <c r="F205" s="8" t="inlineStr">
        <is>
          <t>Source step text</t>
        </is>
      </c>
      <c r="G205" s="8" t="inlineStr">
        <is>
          <t>Step 4:</t>
        </is>
      </c>
      <c r="H205" s="8" t="inlineStr">
        <is>
          <t>en.applicationProcess[0].process[15].children[0]</t>
        </is>
      </c>
      <c r="I205" s="8" t="inlineStr">
        <is>
          <t>C09@20261028-1e8f42c4</t>
        </is>
      </c>
      <c r="J205" s="8" t="inlineStr">
        <is>
          <t>MS-C09</t>
        </is>
      </c>
      <c r="K205" s="8" t="inlineStr">
        <is>
          <t>1/1</t>
        </is>
      </c>
      <c r="L205" s="7" t="inlineStr">
        <is>
          <t>Approved</t>
        </is>
      </c>
      <c r="M205" s="7" t="n"/>
      <c r="N205" s="8" t="inlineStr">
        <is>
          <t>Actor, branch and dependency need review.</t>
        </is>
      </c>
    </row>
    <row r="206" ht="82" customHeight="1">
      <c r="A206" s="4" t="inlineStr">
        <is>
          <t>C09</t>
        </is>
      </c>
      <c r="B206" s="4" t="inlineStr">
        <is>
          <t>PRISM (Promoting Innovations in Individuals, Start-ups and MSMEs): Category-2: Fabrication of Working Model/Process Know-how/Testing &amp; Trial/Patenting/Technology Transfer</t>
        </is>
      </c>
      <c r="C206" s="4" t="inlineStr">
        <is>
          <t>C09-P0091</t>
        </is>
      </c>
      <c r="D206" s="4" t="inlineStr">
        <is>
          <t>Offline</t>
        </is>
      </c>
      <c r="E206" s="4" t="inlineStr">
        <is>
          <t>Proposals can be submitted to the following -</t>
        </is>
      </c>
      <c r="F206" s="4" t="inlineStr">
        <is>
          <t>Source step text</t>
        </is>
      </c>
      <c r="G206" s="4" t="inlineStr">
        <is>
          <t>Committee Recommendation</t>
        </is>
      </c>
      <c r="H206" s="4" t="inlineStr">
        <is>
          <t>en.applicationProcess[0].process[15].children[2]</t>
        </is>
      </c>
      <c r="I206" s="4" t="inlineStr">
        <is>
          <t>C09@20261028-1e8f42c4</t>
        </is>
      </c>
      <c r="J206" s="4" t="inlineStr">
        <is>
          <t>MS-C09</t>
        </is>
      </c>
      <c r="K206" s="4" t="inlineStr">
        <is>
          <t>1/1</t>
        </is>
      </c>
      <c r="L206" s="7" t="inlineStr">
        <is>
          <t>Approved</t>
        </is>
      </c>
      <c r="M206" s="7" t="n"/>
      <c r="N206" s="4" t="inlineStr">
        <is>
          <t>Actor, branch and dependency need review.</t>
        </is>
      </c>
    </row>
    <row r="207" ht="82" customHeight="1">
      <c r="A207" s="8" t="inlineStr">
        <is>
          <t>C09</t>
        </is>
      </c>
      <c r="B207" s="8" t="inlineStr">
        <is>
          <t>PRISM (Promoting Innovations in Individuals, Start-ups and MSMEs): Category-2: Fabrication of Working Model/Process Know-how/Testing &amp; Trial/Patenting/Technology Transfer</t>
        </is>
      </c>
      <c r="C207" s="8" t="inlineStr">
        <is>
          <t>C09-P0092</t>
        </is>
      </c>
      <c r="D207" s="8" t="inlineStr">
        <is>
          <t>Offline</t>
        </is>
      </c>
      <c r="E207" s="8" t="inlineStr">
        <is>
          <t>Proposals can be submitted to the following -</t>
        </is>
      </c>
      <c r="F207" s="8" t="inlineStr">
        <is>
          <t>Source step text</t>
        </is>
      </c>
      <c r="G207" s="8" t="inlineStr">
        <is>
          <t>The proposals will then be considered by the PRISM Advisory and Screening Committee (PASC) for final recommendation.</t>
        </is>
      </c>
      <c r="H207" s="8" t="inlineStr">
        <is>
          <t>en.applicationProcess[0].process[16]</t>
        </is>
      </c>
      <c r="I207" s="8" t="inlineStr">
        <is>
          <t>C09@20261028-1e8f42c4</t>
        </is>
      </c>
      <c r="J207" s="8" t="inlineStr">
        <is>
          <t>MS-C09</t>
        </is>
      </c>
      <c r="K207" s="8" t="inlineStr">
        <is>
          <t>1/1</t>
        </is>
      </c>
      <c r="L207" s="7" t="inlineStr">
        <is>
          <t>Approved</t>
        </is>
      </c>
      <c r="M207" s="7" t="n"/>
      <c r="N207" s="8" t="inlineStr">
        <is>
          <t>Actor, branch and dependency need review.</t>
        </is>
      </c>
    </row>
    <row r="208" ht="82" customHeight="1">
      <c r="A208" s="4" t="inlineStr">
        <is>
          <t>C09</t>
        </is>
      </c>
      <c r="B208" s="4" t="inlineStr">
        <is>
          <t>PRISM (Promoting Innovations in Individuals, Start-ups and MSMEs): Category-2: Fabrication of Working Model/Process Know-how/Testing &amp; Trial/Patenting/Technology Transfer</t>
        </is>
      </c>
      <c r="C208" s="4" t="inlineStr">
        <is>
          <t>C09-P0093</t>
        </is>
      </c>
      <c r="D208" s="4" t="inlineStr">
        <is>
          <t>Offline</t>
        </is>
      </c>
      <c r="E208" s="4" t="inlineStr">
        <is>
          <t>Proposals can be submitted to the following -</t>
        </is>
      </c>
      <c r="F208" s="4" t="inlineStr">
        <is>
          <t>Source step text</t>
        </is>
      </c>
      <c r="G208" s="4" t="inlineStr">
        <is>
          <t>Step 5:</t>
        </is>
      </c>
      <c r="H208" s="4" t="inlineStr">
        <is>
          <t>en.applicationProcess[0].process[17].children[0]</t>
        </is>
      </c>
      <c r="I208" s="4" t="inlineStr">
        <is>
          <t>C09@20261028-1e8f42c4</t>
        </is>
      </c>
      <c r="J208" s="4" t="inlineStr">
        <is>
          <t>MS-C09</t>
        </is>
      </c>
      <c r="K208" s="4" t="inlineStr">
        <is>
          <t>1/1</t>
        </is>
      </c>
      <c r="L208" s="7" t="inlineStr">
        <is>
          <t>Approved</t>
        </is>
      </c>
      <c r="M208" s="7" t="n"/>
      <c r="N208" s="4" t="inlineStr">
        <is>
          <t>Actor, branch and dependency need review.</t>
        </is>
      </c>
    </row>
    <row r="209" ht="82" customHeight="1">
      <c r="A209" s="8" t="inlineStr">
        <is>
          <t>C09</t>
        </is>
      </c>
      <c r="B209" s="8" t="inlineStr">
        <is>
          <t>PRISM (Promoting Innovations in Individuals, Start-ups and MSMEs): Category-2: Fabrication of Working Model/Process Know-how/Testing &amp; Trial/Patenting/Technology Transfer</t>
        </is>
      </c>
      <c r="C209" s="8" t="inlineStr">
        <is>
          <t>C09-P0094</t>
        </is>
      </c>
      <c r="D209" s="8" t="inlineStr">
        <is>
          <t>Offline</t>
        </is>
      </c>
      <c r="E209" s="8" t="inlineStr">
        <is>
          <t>Proposals can be submitted to the following -</t>
        </is>
      </c>
      <c r="F209" s="8" t="inlineStr">
        <is>
          <t>Source step text</t>
        </is>
      </c>
      <c r="G209" s="8" t="inlineStr">
        <is>
          <t xml:space="preserve"> Final Approval and Sanction</t>
        </is>
      </c>
      <c r="H209" s="8" t="inlineStr">
        <is>
          <t>en.applicationProcess[0].process[17].children[1]</t>
        </is>
      </c>
      <c r="I209" s="8" t="inlineStr">
        <is>
          <t>C09@20261028-1e8f42c4</t>
        </is>
      </c>
      <c r="J209" s="8" t="inlineStr">
        <is>
          <t>MS-C09</t>
        </is>
      </c>
      <c r="K209" s="8" t="inlineStr">
        <is>
          <t>1/1</t>
        </is>
      </c>
      <c r="L209" s="7" t="inlineStr">
        <is>
          <t>Approved</t>
        </is>
      </c>
      <c r="M209" s="7" t="n"/>
      <c r="N209" s="8" t="inlineStr">
        <is>
          <t>Actor, branch and dependency need review.</t>
        </is>
      </c>
    </row>
    <row r="210" ht="82" customHeight="1">
      <c r="A210" s="4" t="inlineStr">
        <is>
          <t>C09</t>
        </is>
      </c>
      <c r="B210" s="4" t="inlineStr">
        <is>
          <t>PRISM (Promoting Innovations in Individuals, Start-ups and MSMEs): Category-2: Fabrication of Working Model/Process Know-how/Testing &amp; Trial/Patenting/Technology Transfer</t>
        </is>
      </c>
      <c r="C210" s="4" t="inlineStr">
        <is>
          <t>C09-P0095</t>
        </is>
      </c>
      <c r="D210" s="4" t="inlineStr">
        <is>
          <t>Offline</t>
        </is>
      </c>
      <c r="E210" s="4" t="inlineStr">
        <is>
          <t>Proposals can be submitted to the following -</t>
        </is>
      </c>
      <c r="F210" s="4" t="inlineStr">
        <is>
          <t>Source step text</t>
        </is>
      </c>
      <c r="G210" s="4" t="inlineStr">
        <is>
          <t>The sanction will finally be released to those projects that are approved by the Department.</t>
        </is>
      </c>
      <c r="H210" s="4" t="inlineStr">
        <is>
          <t>en.applicationProcess[0].process[18]</t>
        </is>
      </c>
      <c r="I210" s="4" t="inlineStr">
        <is>
          <t>C09@20261028-1e8f42c4</t>
        </is>
      </c>
      <c r="J210" s="4" t="inlineStr">
        <is>
          <t>MS-C09</t>
        </is>
      </c>
      <c r="K210" s="4" t="inlineStr">
        <is>
          <t>1/1</t>
        </is>
      </c>
      <c r="L210" s="7" t="inlineStr">
        <is>
          <t>Approved</t>
        </is>
      </c>
      <c r="M210" s="7" t="n"/>
      <c r="N210" s="4" t="inlineStr">
        <is>
          <t>Actor, branch and dependency need review.</t>
        </is>
      </c>
    </row>
    <row r="211" ht="82" customHeight="1">
      <c r="A211" s="8" t="inlineStr">
        <is>
          <t>C09</t>
        </is>
      </c>
      <c r="B211" s="8" t="inlineStr">
        <is>
          <t>PRISM (Promoting Innovations in Individuals, Start-ups and MSMEs): Category-2: Fabrication of Working Model/Process Know-how/Testing &amp; Trial/Patenting/Technology Transfer</t>
        </is>
      </c>
      <c r="C211" s="8" t="inlineStr">
        <is>
          <t>C09-P0096</t>
        </is>
      </c>
      <c r="D211" s="8" t="inlineStr">
        <is>
          <t>Offline</t>
        </is>
      </c>
      <c r="E211" s="8" t="inlineStr">
        <is>
          <t>Proposals can be submitted to the following -</t>
        </is>
      </c>
      <c r="F211" s="8" t="inlineStr">
        <is>
          <t>Source step text</t>
        </is>
      </c>
      <c r="G211" s="8" t="inlineStr">
        <is>
          <t>Step 6:</t>
        </is>
      </c>
      <c r="H211" s="8" t="inlineStr">
        <is>
          <t>en.applicationProcess[0].process[19].children[0]</t>
        </is>
      </c>
      <c r="I211" s="8" t="inlineStr">
        <is>
          <t>C09@20261028-1e8f42c4</t>
        </is>
      </c>
      <c r="J211" s="8" t="inlineStr">
        <is>
          <t>MS-C09</t>
        </is>
      </c>
      <c r="K211" s="8" t="inlineStr">
        <is>
          <t>1/1</t>
        </is>
      </c>
      <c r="L211" s="7" t="inlineStr">
        <is>
          <t>Approved</t>
        </is>
      </c>
      <c r="M211" s="7" t="n"/>
      <c r="N211" s="8" t="inlineStr">
        <is>
          <t>Actor, branch and dependency need review.</t>
        </is>
      </c>
    </row>
    <row r="212" ht="82" customHeight="1">
      <c r="A212" s="4" t="inlineStr">
        <is>
          <t>C09</t>
        </is>
      </c>
      <c r="B212" s="4" t="inlineStr">
        <is>
          <t>PRISM (Promoting Innovations in Individuals, Start-ups and MSMEs): Category-2: Fabrication of Working Model/Process Know-how/Testing &amp; Trial/Patenting/Technology Transfer</t>
        </is>
      </c>
      <c r="C212" s="4" t="inlineStr">
        <is>
          <t>C09-P0098</t>
        </is>
      </c>
      <c r="D212" s="4" t="inlineStr">
        <is>
          <t>Offline</t>
        </is>
      </c>
      <c r="E212" s="4" t="inlineStr">
        <is>
          <t>Proposals can be submitted to the following -</t>
        </is>
      </c>
      <c r="F212" s="4" t="inlineStr">
        <is>
          <t>Source step text</t>
        </is>
      </c>
      <c r="G212" s="4" t="inlineStr">
        <is>
          <t>Signing of Terms and Conditions</t>
        </is>
      </c>
      <c r="H212" s="4" t="inlineStr">
        <is>
          <t>en.applicationProcess[0].process[19].children[2]</t>
        </is>
      </c>
      <c r="I212" s="4" t="inlineStr">
        <is>
          <t>C09@20261028-1e8f42c4</t>
        </is>
      </c>
      <c r="J212" s="4" t="inlineStr">
        <is>
          <t>MS-C09</t>
        </is>
      </c>
      <c r="K212" s="4" t="inlineStr">
        <is>
          <t>1/1</t>
        </is>
      </c>
      <c r="L212" s="7" t="inlineStr">
        <is>
          <t>Approved</t>
        </is>
      </c>
      <c r="M212" s="7" t="n"/>
      <c r="N212" s="4" t="inlineStr">
        <is>
          <t>Actor, branch and dependency need review.</t>
        </is>
      </c>
    </row>
    <row r="213" ht="82" customHeight="1">
      <c r="A213" s="8" t="inlineStr">
        <is>
          <t>C09</t>
        </is>
      </c>
      <c r="B213" s="8" t="inlineStr">
        <is>
          <t>PRISM (Promoting Innovations in Individuals, Start-ups and MSMEs): Category-2: Fabrication of Working Model/Process Know-how/Testing &amp; Trial/Patenting/Technology Transfer</t>
        </is>
      </c>
      <c r="C213" s="8" t="inlineStr">
        <is>
          <t>C09-P0099</t>
        </is>
      </c>
      <c r="D213" s="8" t="inlineStr">
        <is>
          <t>Offline</t>
        </is>
      </c>
      <c r="E213" s="8" t="inlineStr">
        <is>
          <t>Proposals can be submitted to the following -</t>
        </is>
      </c>
      <c r="F213" s="8" t="inlineStr">
        <is>
          <t>Source step text</t>
        </is>
      </c>
      <c r="G213" s="8" t="inlineStr">
        <is>
          <t>The applicant has to sign the "Terms &amp; Conditions" document prior to the actual release of the grants-in-aid.</t>
        </is>
      </c>
      <c r="H213" s="8" t="inlineStr">
        <is>
          <t>en.applicationProcess[0].process[20]</t>
        </is>
      </c>
      <c r="I213" s="8" t="inlineStr">
        <is>
          <t>C09@20261028-1e8f42c4</t>
        </is>
      </c>
      <c r="J213" s="8" t="inlineStr">
        <is>
          <t>MS-C09</t>
        </is>
      </c>
      <c r="K213" s="8" t="inlineStr">
        <is>
          <t>1/1</t>
        </is>
      </c>
      <c r="L213" s="7" t="inlineStr">
        <is>
          <t>Approved</t>
        </is>
      </c>
      <c r="M213" s="7" t="n"/>
      <c r="N213" s="8" t="inlineStr">
        <is>
          <t>Actor, branch and dependency need review.</t>
        </is>
      </c>
    </row>
    <row r="214" ht="82" customHeight="1">
      <c r="A214" s="4" t="inlineStr">
        <is>
          <t>C09</t>
        </is>
      </c>
      <c r="B214" s="4" t="inlineStr">
        <is>
          <t>PRISM (Promoting Innovations in Individuals, Start-ups and MSMEs): Category-2: Fabrication of Working Model/Process Know-how/Testing &amp; Trial/Patenting/Technology Transfer</t>
        </is>
      </c>
      <c r="C214" s="4" t="inlineStr">
        <is>
          <t>C09-P0100</t>
        </is>
      </c>
      <c r="D214" s="4" t="inlineStr">
        <is>
          <t>Offline</t>
        </is>
      </c>
      <c r="E214" s="4" t="inlineStr">
        <is>
          <t>Proposals can be submitted to the following -</t>
        </is>
      </c>
      <c r="F214" s="4" t="inlineStr">
        <is>
          <t>Source step text</t>
        </is>
      </c>
      <c r="G214" s="4" t="inlineStr">
        <is>
          <t>Disbursement</t>
        </is>
      </c>
      <c r="H214" s="4" t="inlineStr">
        <is>
          <t>en.applicationProcess[0].process[22].children[0]</t>
        </is>
      </c>
      <c r="I214" s="4" t="inlineStr">
        <is>
          <t>C09@20261028-1e8f42c4</t>
        </is>
      </c>
      <c r="J214" s="4" t="inlineStr">
        <is>
          <t>MS-C09</t>
        </is>
      </c>
      <c r="K214" s="4" t="inlineStr">
        <is>
          <t>1/1</t>
        </is>
      </c>
      <c r="L214" s="7" t="inlineStr">
        <is>
          <t>Approved</t>
        </is>
      </c>
      <c r="M214" s="7" t="n"/>
      <c r="N214" s="4" t="inlineStr">
        <is>
          <t>Actor, branch and dependency need review.</t>
        </is>
      </c>
    </row>
    <row r="215" ht="82" customHeight="1">
      <c r="A215" s="8" t="inlineStr">
        <is>
          <t>C09</t>
        </is>
      </c>
      <c r="B215" s="8" t="inlineStr">
        <is>
          <t>PRISM (Promoting Innovations in Individuals, Start-ups and MSMEs): Category-2: Fabrication of Working Model/Process Know-how/Testing &amp; Trial/Patenting/Technology Transfer</t>
        </is>
      </c>
      <c r="C215" s="8" t="inlineStr">
        <is>
          <t>C09-P0101</t>
        </is>
      </c>
      <c r="D215" s="8" t="inlineStr">
        <is>
          <t>Offline</t>
        </is>
      </c>
      <c r="E215" s="8" t="inlineStr">
        <is>
          <t>Proposals can be submitted to the following -</t>
        </is>
      </c>
      <c r="F215" s="8" t="inlineStr">
        <is>
          <t>Source step text</t>
        </is>
      </c>
      <c r="G215" s="8" t="inlineStr">
        <is>
          <t>Step 1:</t>
        </is>
      </c>
      <c r="H215" s="8" t="inlineStr">
        <is>
          <t>en.applicationProcess[0].process[23].children[0]</t>
        </is>
      </c>
      <c r="I215" s="8" t="inlineStr">
        <is>
          <t>C09@20261028-1e8f42c4</t>
        </is>
      </c>
      <c r="J215" s="8" t="inlineStr">
        <is>
          <t>MS-C09</t>
        </is>
      </c>
      <c r="K215" s="8" t="inlineStr">
        <is>
          <t>1/1</t>
        </is>
      </c>
      <c r="L215" s="7" t="inlineStr">
        <is>
          <t>Approved</t>
        </is>
      </c>
      <c r="M215" s="7" t="n"/>
      <c r="N215" s="8" t="inlineStr">
        <is>
          <t>Actor, branch and dependency need review.</t>
        </is>
      </c>
    </row>
    <row r="216" ht="82" customHeight="1">
      <c r="A216" s="4" t="inlineStr">
        <is>
          <t>C09</t>
        </is>
      </c>
      <c r="B216" s="4" t="inlineStr">
        <is>
          <t>PRISM (Promoting Innovations in Individuals, Start-ups and MSMEs): Category-2: Fabrication of Working Model/Process Know-how/Testing &amp; Trial/Patenting/Technology Transfer</t>
        </is>
      </c>
      <c r="C216" s="4" t="inlineStr">
        <is>
          <t>C09-P0103</t>
        </is>
      </c>
      <c r="D216" s="4" t="inlineStr">
        <is>
          <t>Offline</t>
        </is>
      </c>
      <c r="E216" s="4" t="inlineStr">
        <is>
          <t>Proposals can be submitted to the following -</t>
        </is>
      </c>
      <c r="F216" s="4" t="inlineStr">
        <is>
          <t>Source step text</t>
        </is>
      </c>
      <c r="G216" s="4" t="inlineStr">
        <is>
          <t>First Release</t>
        </is>
      </c>
      <c r="H216" s="4" t="inlineStr">
        <is>
          <t>en.applicationProcess[0].process[23].children[2]</t>
        </is>
      </c>
      <c r="I216" s="4" t="inlineStr">
        <is>
          <t>C09@20261028-1e8f42c4</t>
        </is>
      </c>
      <c r="J216" s="4" t="inlineStr">
        <is>
          <t>MS-C09</t>
        </is>
      </c>
      <c r="K216" s="4" t="inlineStr">
        <is>
          <t>1/1</t>
        </is>
      </c>
      <c r="L216" s="7" t="inlineStr">
        <is>
          <t>Approved</t>
        </is>
      </c>
      <c r="M216" s="7" t="n"/>
      <c r="N216" s="4" t="inlineStr">
        <is>
          <t>Actor, branch and dependency need review.</t>
        </is>
      </c>
    </row>
    <row r="217" ht="82" customHeight="1">
      <c r="A217" s="8" t="inlineStr">
        <is>
          <t>C09</t>
        </is>
      </c>
      <c r="B217" s="8" t="inlineStr">
        <is>
          <t>PRISM (Promoting Innovations in Individuals, Start-ups and MSMEs): Category-2: Fabrication of Working Model/Process Know-how/Testing &amp; Trial/Patenting/Technology Transfer</t>
        </is>
      </c>
      <c r="C217" s="8" t="inlineStr">
        <is>
          <t>C09-P0104</t>
        </is>
      </c>
      <c r="D217" s="8" t="inlineStr">
        <is>
          <t>Offline</t>
        </is>
      </c>
      <c r="E217" s="8" t="inlineStr">
        <is>
          <t>Proposals can be submitted to the following -</t>
        </is>
      </c>
      <c r="F217" s="8" t="inlineStr">
        <is>
          <t>Source step text</t>
        </is>
      </c>
      <c r="G217" s="8" t="inlineStr">
        <is>
          <t>The first release of funds is based on milestones and deliverables projected in the project proposals and as recommended by the PRISM Advisory and Screening Committee (PASC).</t>
        </is>
      </c>
      <c r="H217" s="8" t="inlineStr">
        <is>
          <t>en.applicationProcess[0].process[24]</t>
        </is>
      </c>
      <c r="I217" s="8" t="inlineStr">
        <is>
          <t>C09@20261028-1e8f42c4</t>
        </is>
      </c>
      <c r="J217" s="8" t="inlineStr">
        <is>
          <t>MS-C09</t>
        </is>
      </c>
      <c r="K217" s="8" t="inlineStr">
        <is>
          <t>1/1</t>
        </is>
      </c>
      <c r="L217" s="7" t="inlineStr">
        <is>
          <t>Approved</t>
        </is>
      </c>
      <c r="M217" s="7" t="n"/>
      <c r="N217" s="8" t="inlineStr">
        <is>
          <t>Actor, branch and dependency need review.</t>
        </is>
      </c>
    </row>
    <row r="218" ht="82" customHeight="1">
      <c r="A218" s="4" t="inlineStr">
        <is>
          <t>C09</t>
        </is>
      </c>
      <c r="B218" s="4" t="inlineStr">
        <is>
          <t>PRISM (Promoting Innovations in Individuals, Start-ups and MSMEs): Category-2: Fabrication of Working Model/Process Know-how/Testing &amp; Trial/Patenting/Technology Transfer</t>
        </is>
      </c>
      <c r="C218" s="4" t="inlineStr">
        <is>
          <t>C09-P0105</t>
        </is>
      </c>
      <c r="D218" s="4" t="inlineStr">
        <is>
          <t>Offline</t>
        </is>
      </c>
      <c r="E218" s="4" t="inlineStr">
        <is>
          <t>Proposals can be submitted to the following -</t>
        </is>
      </c>
      <c r="F218" s="4" t="inlineStr">
        <is>
          <t>Source step text</t>
        </is>
      </c>
      <c r="G218" s="4" t="inlineStr">
        <is>
          <t>Step 2:</t>
        </is>
      </c>
      <c r="H218" s="4" t="inlineStr">
        <is>
          <t>en.applicationProcess[0].process[25].children[0]</t>
        </is>
      </c>
      <c r="I218" s="4" t="inlineStr">
        <is>
          <t>C09@20261028-1e8f42c4</t>
        </is>
      </c>
      <c r="J218" s="4" t="inlineStr">
        <is>
          <t>MS-C09</t>
        </is>
      </c>
      <c r="K218" s="4" t="inlineStr">
        <is>
          <t>1/1</t>
        </is>
      </c>
      <c r="L218" s="7" t="inlineStr">
        <is>
          <t>Approved</t>
        </is>
      </c>
      <c r="M218" s="7" t="n"/>
      <c r="N218" s="4" t="inlineStr">
        <is>
          <t>Actor, branch and dependency need review.</t>
        </is>
      </c>
    </row>
    <row r="219" ht="82" customHeight="1">
      <c r="A219" s="8" t="inlineStr">
        <is>
          <t>C09</t>
        </is>
      </c>
      <c r="B219" s="8" t="inlineStr">
        <is>
          <t>PRISM (Promoting Innovations in Individuals, Start-ups and MSMEs): Category-2: Fabrication of Working Model/Process Know-how/Testing &amp; Trial/Patenting/Technology Transfer</t>
        </is>
      </c>
      <c r="C219" s="8" t="inlineStr">
        <is>
          <t>C09-P0107</t>
        </is>
      </c>
      <c r="D219" s="8" t="inlineStr">
        <is>
          <t>Offline</t>
        </is>
      </c>
      <c r="E219" s="8" t="inlineStr">
        <is>
          <t>Proposals can be submitted to the following -</t>
        </is>
      </c>
      <c r="F219" s="8" t="inlineStr">
        <is>
          <t>Source step text</t>
        </is>
      </c>
      <c r="G219" s="8" t="inlineStr">
        <is>
          <t xml:space="preserve">Subsequent Fund Release and Monitoring </t>
        </is>
      </c>
      <c r="H219" s="8" t="inlineStr">
        <is>
          <t>en.applicationProcess[0].process[25].children[2]</t>
        </is>
      </c>
      <c r="I219" s="8" t="inlineStr">
        <is>
          <t>C09@20261028-1e8f42c4</t>
        </is>
      </c>
      <c r="J219" s="8" t="inlineStr">
        <is>
          <t>MS-C09</t>
        </is>
      </c>
      <c r="K219" s="8" t="inlineStr">
        <is>
          <t>1/1</t>
        </is>
      </c>
      <c r="L219" s="7" t="inlineStr">
        <is>
          <t>Approved</t>
        </is>
      </c>
      <c r="M219" s="7" t="n"/>
      <c r="N219" s="8" t="inlineStr">
        <is>
          <t>Actor, branch and dependency need review.</t>
        </is>
      </c>
    </row>
    <row r="220" ht="82" customHeight="1">
      <c r="A220" s="4" t="inlineStr">
        <is>
          <t>C09</t>
        </is>
      </c>
      <c r="B220" s="4" t="inlineStr">
        <is>
          <t>PRISM (Promoting Innovations in Individuals, Start-ups and MSMEs): Category-2: Fabrication of Working Model/Process Know-how/Testing &amp; Trial/Patenting/Technology Transfer</t>
        </is>
      </c>
      <c r="C220" s="4" t="inlineStr">
        <is>
          <t>C09-P0108</t>
        </is>
      </c>
      <c r="D220" s="4" t="inlineStr">
        <is>
          <t>Offline</t>
        </is>
      </c>
      <c r="E220" s="4" t="inlineStr">
        <is>
          <t>Proposals can be submitted to the following -</t>
        </is>
      </c>
      <c r="F220" s="4" t="inlineStr">
        <is>
          <t>Source step text</t>
        </is>
      </c>
      <c r="G220" s="4" t="inlineStr">
        <is>
          <t>Subsequent releases of funds are based on the assessment of the progress of the project by the Project Review Committee (PRC). The approved projects will be monitored by the TePP Outreach cum Cluster Innovation Centre/other network partners, including technical expert(s), and the Project Review Committees will meet at least once in nine months to review the progress of the project.</t>
        </is>
      </c>
      <c r="H220" s="4" t="inlineStr">
        <is>
          <t>en.applicationProcess[0].process[26]</t>
        </is>
      </c>
      <c r="I220" s="4" t="inlineStr">
        <is>
          <t>C09@20261028-1e8f42c4</t>
        </is>
      </c>
      <c r="J220" s="4" t="inlineStr">
        <is>
          <t>MS-C09</t>
        </is>
      </c>
      <c r="K220" s="4" t="inlineStr">
        <is>
          <t>1/1</t>
        </is>
      </c>
      <c r="L220" s="7" t="inlineStr">
        <is>
          <t>Approved</t>
        </is>
      </c>
      <c r="M220" s="7" t="n"/>
      <c r="N220" s="4" t="inlineStr">
        <is>
          <t>Actor, branch and dependency need review.</t>
        </is>
      </c>
    </row>
    <row r="221" ht="82" customHeight="1">
      <c r="A221" s="8" t="inlineStr">
        <is>
          <t>C09</t>
        </is>
      </c>
      <c r="B221" s="8" t="inlineStr">
        <is>
          <t>PRISM (Promoting Innovations in Individuals, Start-ups and MSMEs): Category-2: Fabrication of Working Model/Process Know-how/Testing &amp; Trial/Patenting/Technology Transfer</t>
        </is>
      </c>
      <c r="C221" s="8" t="inlineStr">
        <is>
          <t>C09-P0109</t>
        </is>
      </c>
      <c r="D221" s="8" t="inlineStr">
        <is>
          <t>Offline</t>
        </is>
      </c>
      <c r="E221" s="8" t="inlineStr">
        <is>
          <t>Proposals can be submitted to the following -</t>
        </is>
      </c>
      <c r="F221" s="8" t="inlineStr">
        <is>
          <t>Source step text</t>
        </is>
      </c>
      <c r="G221" s="8" t="inlineStr">
        <is>
          <t>Step 3:</t>
        </is>
      </c>
      <c r="H221" s="8" t="inlineStr">
        <is>
          <t>en.applicationProcess[0].process[27].children[0]</t>
        </is>
      </c>
      <c r="I221" s="8" t="inlineStr">
        <is>
          <t>C09@20261028-1e8f42c4</t>
        </is>
      </c>
      <c r="J221" s="8" t="inlineStr">
        <is>
          <t>MS-C09</t>
        </is>
      </c>
      <c r="K221" s="8" t="inlineStr">
        <is>
          <t>1/1</t>
        </is>
      </c>
      <c r="L221" s="7" t="inlineStr">
        <is>
          <t>Approved</t>
        </is>
      </c>
      <c r="M221" s="7" t="n"/>
      <c r="N221" s="8" t="inlineStr">
        <is>
          <t>Actor, branch and dependency need review.</t>
        </is>
      </c>
    </row>
    <row r="222" ht="82" customHeight="1">
      <c r="A222" s="4" t="inlineStr">
        <is>
          <t>C09</t>
        </is>
      </c>
      <c r="B222" s="4" t="inlineStr">
        <is>
          <t>PRISM (Promoting Innovations in Individuals, Start-ups and MSMEs): Category-2: Fabrication of Working Model/Process Know-how/Testing &amp; Trial/Patenting/Technology Transfer</t>
        </is>
      </c>
      <c r="C222" s="4" t="inlineStr">
        <is>
          <t>C09-P0111</t>
        </is>
      </c>
      <c r="D222" s="4" t="inlineStr">
        <is>
          <t>Offline</t>
        </is>
      </c>
      <c r="E222" s="4" t="inlineStr">
        <is>
          <t>Proposals can be submitted to the following -</t>
        </is>
      </c>
      <c r="F222" s="4" t="inlineStr">
        <is>
          <t>Source step text</t>
        </is>
      </c>
      <c r="G222" s="4" t="inlineStr">
        <is>
          <t>Project Closure</t>
        </is>
      </c>
      <c r="H222" s="4" t="inlineStr">
        <is>
          <t>en.applicationProcess[0].process[27].children[2]</t>
        </is>
      </c>
      <c r="I222" s="4" t="inlineStr">
        <is>
          <t>C09@20261028-1e8f42c4</t>
        </is>
      </c>
      <c r="J222" s="4" t="inlineStr">
        <is>
          <t>MS-C09</t>
        </is>
      </c>
      <c r="K222" s="4" t="inlineStr">
        <is>
          <t>1/1</t>
        </is>
      </c>
      <c r="L222" s="7" t="inlineStr">
        <is>
          <t>Approved</t>
        </is>
      </c>
      <c r="M222" s="7" t="n"/>
      <c r="N222" s="4" t="inlineStr">
        <is>
          <t>Actor, branch and dependency need review.</t>
        </is>
      </c>
    </row>
    <row r="223" ht="82" customHeight="1">
      <c r="A223" s="8" t="inlineStr">
        <is>
          <t>C09</t>
        </is>
      </c>
      <c r="B223" s="8" t="inlineStr">
        <is>
          <t>PRISM (Promoting Innovations in Individuals, Start-ups and MSMEs): Category-2: Fabrication of Working Model/Process Know-how/Testing &amp; Trial/Patenting/Technology Transfer</t>
        </is>
      </c>
      <c r="C223" s="8" t="inlineStr">
        <is>
          <t>C09-P0112</t>
        </is>
      </c>
      <c r="D223" s="8" t="inlineStr">
        <is>
          <t>Offline</t>
        </is>
      </c>
      <c r="E223" s="8" t="inlineStr">
        <is>
          <t>Proposals can be submitted to the following -</t>
        </is>
      </c>
      <c r="F223" s="8" t="inlineStr">
        <is>
          <t>Source step text</t>
        </is>
      </c>
      <c r="G223" s="8" t="inlineStr">
        <is>
          <t>The project completion report will be accepted by the Competent Authority in the Department of Scientific and Industrial Research, based on the Project Review Committee recommendation, after the successful closure of the project.</t>
        </is>
      </c>
      <c r="H223" s="8" t="inlineStr">
        <is>
          <t>en.applicationProcess[0].process[28]</t>
        </is>
      </c>
      <c r="I223" s="8" t="inlineStr">
        <is>
          <t>C09@20261028-1e8f42c4</t>
        </is>
      </c>
      <c r="J223" s="8" t="inlineStr">
        <is>
          <t>MS-C09</t>
        </is>
      </c>
      <c r="K223" s="8" t="inlineStr">
        <is>
          <t>1/1</t>
        </is>
      </c>
      <c r="L223" s="7" t="inlineStr">
        <is>
          <t>Approved</t>
        </is>
      </c>
      <c r="M223" s="7" t="n"/>
      <c r="N223" s="8" t="inlineStr">
        <is>
          <t>Actor, branch and dependency need review.</t>
        </is>
      </c>
    </row>
    <row r="224" ht="40" customHeight="1">
      <c r="A224" s="4" t="inlineStr">
        <is>
          <t>C10</t>
        </is>
      </c>
      <c r="B224" s="4" t="inlineStr">
        <is>
          <t>Khadi Gramodyog Vikas Yojana: Khadi Vikas Yojana</t>
        </is>
      </c>
      <c r="C224" s="4" t="inlineStr">
        <is>
          <t>C10-P0032</t>
        </is>
      </c>
      <c r="D224" s="4" t="inlineStr">
        <is>
          <t>Online</t>
        </is>
      </c>
      <c r="E224" s="4" t="inlineStr"/>
      <c r="F224" s="4" t="inlineStr">
        <is>
          <t>Source step text</t>
        </is>
      </c>
      <c r="G224" s="4" t="inlineStr">
        <is>
          <t>Step 1: Visit official website to apply under the scheme.</t>
        </is>
      </c>
      <c r="H224" s="4" t="inlineStr">
        <is>
          <t>en.applicationProcess[0].process[0].children[0]</t>
        </is>
      </c>
      <c r="I224" s="4" t="inlineStr">
        <is>
          <t>C10@20261028-8176375d</t>
        </is>
      </c>
      <c r="J224" s="4" t="inlineStr">
        <is>
          <t>MS-C10</t>
        </is>
      </c>
      <c r="K224" s="4" t="inlineStr">
        <is>
          <t>1/1</t>
        </is>
      </c>
      <c r="L224" s="7" t="inlineStr">
        <is>
          <t>Approved</t>
        </is>
      </c>
      <c r="M224" s="7" t="n"/>
      <c r="N224" s="4" t="inlineStr">
        <is>
          <t>Actor, branch and dependency need review.</t>
        </is>
      </c>
    </row>
    <row r="225" ht="40" customHeight="1">
      <c r="A225" s="8" t="inlineStr">
        <is>
          <t>C10</t>
        </is>
      </c>
      <c r="B225" s="8" t="inlineStr">
        <is>
          <t>Khadi Gramodyog Vikas Yojana: Khadi Vikas Yojana</t>
        </is>
      </c>
      <c r="C225" s="8" t="inlineStr">
        <is>
          <t>C10-P0033</t>
        </is>
      </c>
      <c r="D225" s="8" t="inlineStr">
        <is>
          <t>Online</t>
        </is>
      </c>
      <c r="E225" s="8" t="inlineStr"/>
      <c r="F225" s="8" t="inlineStr">
        <is>
          <t>Source step text</t>
        </is>
      </c>
      <c r="G225" s="8" t="inlineStr">
        <is>
          <t>Step 2: On the KVIC online portal and click on “Online Registration of Khadi Institutions.”</t>
        </is>
      </c>
      <c r="H225" s="8" t="inlineStr">
        <is>
          <t>en.applicationProcess[0].process[0].children[1]</t>
        </is>
      </c>
      <c r="I225" s="8" t="inlineStr">
        <is>
          <t>C10@20261028-8176375d</t>
        </is>
      </c>
      <c r="J225" s="8" t="inlineStr">
        <is>
          <t>MS-C10</t>
        </is>
      </c>
      <c r="K225" s="8" t="inlineStr">
        <is>
          <t>1/1</t>
        </is>
      </c>
      <c r="L225" s="7" t="inlineStr">
        <is>
          <t>Approved</t>
        </is>
      </c>
      <c r="M225" s="7" t="n"/>
      <c r="N225" s="8" t="inlineStr">
        <is>
          <t>Actor, branch and dependency need review.</t>
        </is>
      </c>
    </row>
    <row r="226" ht="54" customHeight="1">
      <c r="A226" s="4" t="inlineStr">
        <is>
          <t>C10</t>
        </is>
      </c>
      <c r="B226" s="4" t="inlineStr">
        <is>
          <t>Khadi Gramodyog Vikas Yojana: Khadi Vikas Yojana</t>
        </is>
      </c>
      <c r="C226" s="4" t="inlineStr">
        <is>
          <t>C10-P0034</t>
        </is>
      </c>
      <c r="D226" s="4" t="inlineStr">
        <is>
          <t>Online</t>
        </is>
      </c>
      <c r="E226" s="4" t="inlineStr"/>
      <c r="F226" s="4" t="inlineStr">
        <is>
          <t>Source step text</t>
        </is>
      </c>
      <c r="G226" s="4" t="inlineStr">
        <is>
          <t>Step 3: Fill in all required details of the institution, including name, address, type of registration, authorised person, number of artisans, and infrastructure information, then save the form.</t>
        </is>
      </c>
      <c r="H226" s="4" t="inlineStr">
        <is>
          <t>en.applicationProcess[0].process[0].children[2]</t>
        </is>
      </c>
      <c r="I226" s="4" t="inlineStr">
        <is>
          <t>C10@20261028-8176375d</t>
        </is>
      </c>
      <c r="J226" s="4" t="inlineStr">
        <is>
          <t>MS-C10</t>
        </is>
      </c>
      <c r="K226" s="4" t="inlineStr">
        <is>
          <t>1/1</t>
        </is>
      </c>
      <c r="L226" s="7" t="inlineStr">
        <is>
          <t>Approved</t>
        </is>
      </c>
      <c r="M226" s="7" t="n"/>
      <c r="N226" s="4" t="inlineStr">
        <is>
          <t>Actor, branch and dependency need review.</t>
        </is>
      </c>
    </row>
    <row r="227" ht="40" customHeight="1">
      <c r="A227" s="8" t="inlineStr">
        <is>
          <t>C10</t>
        </is>
      </c>
      <c r="B227" s="8" t="inlineStr">
        <is>
          <t>Khadi Gramodyog Vikas Yojana: Khadi Vikas Yojana</t>
        </is>
      </c>
      <c r="C227" s="8" t="inlineStr">
        <is>
          <t>C10-P0035</t>
        </is>
      </c>
      <c r="D227" s="8" t="inlineStr">
        <is>
          <t>Online</t>
        </is>
      </c>
      <c r="E227" s="8" t="inlineStr"/>
      <c r="F227" s="8" t="inlineStr">
        <is>
          <t>Source step text</t>
        </is>
      </c>
      <c r="G227" s="8" t="inlineStr">
        <is>
          <t>Step 4: After submission, receive a Username, Password, and Unique ID on your registered email and mobile, and download the acknowledgement for reference.</t>
        </is>
      </c>
      <c r="H227" s="8" t="inlineStr">
        <is>
          <t>en.applicationProcess[0].process[0].children[3]</t>
        </is>
      </c>
      <c r="I227" s="8" t="inlineStr">
        <is>
          <t>C10@20261028-8176375d</t>
        </is>
      </c>
      <c r="J227" s="8" t="inlineStr">
        <is>
          <t>MS-C10</t>
        </is>
      </c>
      <c r="K227" s="8" t="inlineStr">
        <is>
          <t>1/1</t>
        </is>
      </c>
      <c r="L227" s="7" t="inlineStr">
        <is>
          <t>Approved</t>
        </is>
      </c>
      <c r="M227" s="7" t="n"/>
      <c r="N227" s="8" t="inlineStr">
        <is>
          <t>Actor, branch and dependency need review.</t>
        </is>
      </c>
    </row>
    <row r="228" ht="40" customHeight="1">
      <c r="A228" s="4" t="inlineStr">
        <is>
          <t>C10</t>
        </is>
      </c>
      <c r="B228" s="4" t="inlineStr">
        <is>
          <t>Khadi Gramodyog Vikas Yojana: Khadi Vikas Yojana</t>
        </is>
      </c>
      <c r="C228" s="4" t="inlineStr">
        <is>
          <t>C10-P0036</t>
        </is>
      </c>
      <c r="D228" s="4" t="inlineStr">
        <is>
          <t>Online</t>
        </is>
      </c>
      <c r="E228" s="4" t="inlineStr"/>
      <c r="F228" s="4" t="inlineStr">
        <is>
          <t>Source step text</t>
        </is>
      </c>
      <c r="G228" s="4" t="inlineStr">
        <is>
          <t>Step 5: Login using your credentials and upload all required documents such as registration certificate, list of artisans, workshed details, and bylaws.</t>
        </is>
      </c>
      <c r="H228" s="4" t="inlineStr">
        <is>
          <t>en.applicationProcess[0].process[0].children[4]</t>
        </is>
      </c>
      <c r="I228" s="4" t="inlineStr">
        <is>
          <t>C10@20261028-8176375d</t>
        </is>
      </c>
      <c r="J228" s="4" t="inlineStr">
        <is>
          <t>MS-C10</t>
        </is>
      </c>
      <c r="K228" s="4" t="inlineStr">
        <is>
          <t>1/1</t>
        </is>
      </c>
      <c r="L228" s="7" t="inlineStr">
        <is>
          <t>Approved</t>
        </is>
      </c>
      <c r="M228" s="7" t="n"/>
      <c r="N228" s="4" t="inlineStr">
        <is>
          <t>Actor, branch and dependency need review.</t>
        </is>
      </c>
    </row>
    <row r="229" ht="40" customHeight="1">
      <c r="A229" s="8" t="inlineStr">
        <is>
          <t>C10</t>
        </is>
      </c>
      <c r="B229" s="8" t="inlineStr">
        <is>
          <t>Khadi Gramodyog Vikas Yojana: Khadi Vikas Yojana</t>
        </is>
      </c>
      <c r="C229" s="8" t="inlineStr">
        <is>
          <t>C10-P0037</t>
        </is>
      </c>
      <c r="D229" s="8" t="inlineStr">
        <is>
          <t>Online</t>
        </is>
      </c>
      <c r="E229" s="8" t="inlineStr"/>
      <c r="F229" s="8" t="inlineStr">
        <is>
          <t>Source step text</t>
        </is>
      </c>
      <c r="G229" s="8" t="inlineStr">
        <is>
          <t>Step 6: The KVIC office verifies the application and documents, and once approved, the Certificate of Registration (CoR) is issued online for download.</t>
        </is>
      </c>
      <c r="H229" s="8" t="inlineStr">
        <is>
          <t>en.applicationProcess[0].process[0].children[5]</t>
        </is>
      </c>
      <c r="I229" s="8" t="inlineStr">
        <is>
          <t>C10@20261028-8176375d</t>
        </is>
      </c>
      <c r="J229" s="8" t="inlineStr">
        <is>
          <t>MS-C10</t>
        </is>
      </c>
      <c r="K229" s="8" t="inlineStr">
        <is>
          <t>1/1</t>
        </is>
      </c>
      <c r="L229" s="7" t="inlineStr">
        <is>
          <t>Approved</t>
        </is>
      </c>
      <c r="M229" s="7" t="n"/>
      <c r="N229" s="8" t="inlineStr">
        <is>
          <t>Actor, branch and dependency need review.</t>
        </is>
      </c>
    </row>
    <row r="230" ht="68" customHeight="1">
      <c r="A230" s="4" t="inlineStr">
        <is>
          <t>C11</t>
        </is>
      </c>
      <c r="B230" s="4" t="inlineStr">
        <is>
          <t>Stand-Up India</t>
        </is>
      </c>
      <c r="C230" s="4" t="inlineStr">
        <is>
          <t>C11-P0025</t>
        </is>
      </c>
      <c r="D230" s="4" t="inlineStr">
        <is>
          <t>Online</t>
        </is>
      </c>
      <c r="E230" s="4" t="inlineStr"/>
      <c r="F230" s="4" t="inlineStr">
        <is>
          <t>Source step text</t>
        </is>
      </c>
      <c r="G230" s="4" t="inlineStr">
        <is>
          <t>Either approach your nearest bank branch to apply (locate your nearest bank here - https://www.rbi.org.in/Scripts/query.aspx )Or Through the Lead District Manager (LDM) (find the address and the email of the LDM of your district here - https://www.standupmitra.in/LDMS#NoBack)</t>
        </is>
      </c>
      <c r="H230" s="4" t="inlineStr">
        <is>
          <t>en.applicationProcess[0].process[0]</t>
        </is>
      </c>
      <c r="I230" s="4" t="inlineStr">
        <is>
          <t>C11@20261028-90bd4c3e</t>
        </is>
      </c>
      <c r="J230" s="4" t="inlineStr">
        <is>
          <t>MS-C11</t>
        </is>
      </c>
      <c r="K230" s="4" t="inlineStr">
        <is>
          <t>1/1</t>
        </is>
      </c>
      <c r="L230" s="7" t="inlineStr">
        <is>
          <t>Approved</t>
        </is>
      </c>
      <c r="M230" s="7" t="n"/>
      <c r="N230" s="4" t="inlineStr">
        <is>
          <t>Actor, branch and dependency need review.</t>
        </is>
      </c>
    </row>
    <row r="231" ht="40" customHeight="1">
      <c r="A231" s="8" t="inlineStr">
        <is>
          <t>C11</t>
        </is>
      </c>
      <c r="B231" s="8" t="inlineStr">
        <is>
          <t>Stand-Up India</t>
        </is>
      </c>
      <c r="C231" s="8" t="inlineStr">
        <is>
          <t>C11-P0026</t>
        </is>
      </c>
      <c r="D231" s="8" t="inlineStr">
        <is>
          <t>Online</t>
        </is>
      </c>
      <c r="E231" s="8" t="inlineStr"/>
      <c r="F231" s="8" t="inlineStr">
        <is>
          <t>Source step text</t>
        </is>
      </c>
      <c r="G231" s="8" t="inlineStr">
        <is>
          <t>Or Apply Through Portal: www.standupmitra.in</t>
        </is>
      </c>
      <c r="H231" s="8" t="inlineStr">
        <is>
          <t>en.applicationProcess[0].process[1]</t>
        </is>
      </c>
      <c r="I231" s="8" t="inlineStr">
        <is>
          <t>C11@20261028-90bd4c3e</t>
        </is>
      </c>
      <c r="J231" s="8" t="inlineStr">
        <is>
          <t>MS-C11</t>
        </is>
      </c>
      <c r="K231" s="8" t="inlineStr">
        <is>
          <t>1/1</t>
        </is>
      </c>
      <c r="L231" s="7" t="inlineStr">
        <is>
          <t>Approved</t>
        </is>
      </c>
      <c r="M231" s="7" t="n"/>
      <c r="N231" s="8" t="inlineStr">
        <is>
          <t>Actor, branch and dependency need review.</t>
        </is>
      </c>
    </row>
    <row r="232" ht="40" customHeight="1">
      <c r="A232" s="4" t="inlineStr">
        <is>
          <t>C11</t>
        </is>
      </c>
      <c r="B232" s="4" t="inlineStr">
        <is>
          <t>Stand-Up India</t>
        </is>
      </c>
      <c r="C232" s="4" t="inlineStr">
        <is>
          <t>C11-P0027</t>
        </is>
      </c>
      <c r="D232" s="4" t="inlineStr">
        <is>
          <t>Online</t>
        </is>
      </c>
      <c r="E232" s="4" t="inlineStr">
        <is>
          <t>Process:</t>
        </is>
      </c>
      <c r="F232" s="4" t="inlineStr">
        <is>
          <t>Heading / phase</t>
        </is>
      </c>
      <c r="G232" s="4" t="inlineStr">
        <is>
          <t>Process:</t>
        </is>
      </c>
      <c r="H232" s="4" t="inlineStr">
        <is>
          <t>en.applicationProcess[0].process[2]</t>
        </is>
      </c>
      <c r="I232" s="4" t="inlineStr">
        <is>
          <t>C11@20261028-90bd4c3e</t>
        </is>
      </c>
      <c r="J232" s="4" t="inlineStr">
        <is>
          <t>MS-C11</t>
        </is>
      </c>
      <c r="K232" s="4" t="inlineStr">
        <is>
          <t>1/1</t>
        </is>
      </c>
      <c r="L232" s="7" t="inlineStr">
        <is>
          <t>Approved</t>
        </is>
      </c>
      <c r="M232" s="7" t="n"/>
      <c r="N232" s="4" t="inlineStr">
        <is>
          <t>Actor, branch and dependency need review.</t>
        </is>
      </c>
    </row>
    <row r="233" ht="40" customHeight="1">
      <c r="A233" s="8" t="inlineStr">
        <is>
          <t>C11</t>
        </is>
      </c>
      <c r="B233" s="8" t="inlineStr">
        <is>
          <t>Stand-Up India</t>
        </is>
      </c>
      <c r="C233" s="8" t="inlineStr">
        <is>
          <t>C11-P0028</t>
        </is>
      </c>
      <c r="D233" s="8" t="inlineStr">
        <is>
          <t>Online</t>
        </is>
      </c>
      <c r="E233" s="8" t="inlineStr">
        <is>
          <t>Process:</t>
        </is>
      </c>
      <c r="F233" s="8" t="inlineStr">
        <is>
          <t>Source step text</t>
        </is>
      </c>
      <c r="G233" s="8" t="inlineStr">
        <is>
          <t>The first step is to visit the official portal of StandUp India at: https://www.standupmitra.in/Login/Register</t>
        </is>
      </c>
      <c r="H233" s="8" t="inlineStr">
        <is>
          <t>en.applicationProcess[0].process[3].children[0]</t>
        </is>
      </c>
      <c r="I233" s="8" t="inlineStr">
        <is>
          <t>C11@20261028-90bd4c3e</t>
        </is>
      </c>
      <c r="J233" s="8" t="inlineStr">
        <is>
          <t>MS-C11</t>
        </is>
      </c>
      <c r="K233" s="8" t="inlineStr">
        <is>
          <t>1/1</t>
        </is>
      </c>
      <c r="L233" s="7" t="inlineStr">
        <is>
          <t>Approved</t>
        </is>
      </c>
      <c r="M233" s="7" t="n"/>
      <c r="N233" s="8" t="inlineStr">
        <is>
          <t>Actor, branch and dependency need review.</t>
        </is>
      </c>
    </row>
    <row r="234" ht="40" customHeight="1">
      <c r="A234" s="4" t="inlineStr">
        <is>
          <t>C11</t>
        </is>
      </c>
      <c r="B234" s="4" t="inlineStr">
        <is>
          <t>Stand-Up India</t>
        </is>
      </c>
      <c r="C234" s="4" t="inlineStr">
        <is>
          <t>C11-P0029</t>
        </is>
      </c>
      <c r="D234" s="4" t="inlineStr">
        <is>
          <t>Online</t>
        </is>
      </c>
      <c r="E234" s="4" t="inlineStr">
        <is>
          <t>Process:</t>
        </is>
      </c>
      <c r="F234" s="4" t="inlineStr">
        <is>
          <t>Source step text</t>
        </is>
      </c>
      <c r="G234" s="4" t="inlineStr">
        <is>
          <t>Enter the full details of the business location.</t>
        </is>
      </c>
      <c r="H234" s="4" t="inlineStr">
        <is>
          <t>en.applicationProcess[0].process[3].children[1]</t>
        </is>
      </c>
      <c r="I234" s="4" t="inlineStr">
        <is>
          <t>C11@20261028-90bd4c3e</t>
        </is>
      </c>
      <c r="J234" s="4" t="inlineStr">
        <is>
          <t>MS-C11</t>
        </is>
      </c>
      <c r="K234" s="4" t="inlineStr">
        <is>
          <t>1/1</t>
        </is>
      </c>
      <c r="L234" s="7" t="inlineStr">
        <is>
          <t>Approved</t>
        </is>
      </c>
      <c r="M234" s="7" t="n"/>
      <c r="N234" s="4" t="inlineStr">
        <is>
          <t>Actor, branch and dependency need review.</t>
        </is>
      </c>
    </row>
    <row r="235" ht="40" customHeight="1">
      <c r="A235" s="8" t="inlineStr">
        <is>
          <t>C11</t>
        </is>
      </c>
      <c r="B235" s="8" t="inlineStr">
        <is>
          <t>Stand-Up India</t>
        </is>
      </c>
      <c r="C235" s="8" t="inlineStr">
        <is>
          <t>C11-P0030</t>
        </is>
      </c>
      <c r="D235" s="8" t="inlineStr">
        <is>
          <t>Online</t>
        </is>
      </c>
      <c r="E235" s="8" t="inlineStr">
        <is>
          <t>Process:</t>
        </is>
      </c>
      <c r="F235" s="8" t="inlineStr">
        <is>
          <t>Source step text</t>
        </is>
      </c>
      <c r="G235" s="8" t="inlineStr">
        <is>
          <t>Select the category between SC, ST, Woman, and whether the stake held is 51% or higher.</t>
        </is>
      </c>
      <c r="H235" s="8" t="inlineStr">
        <is>
          <t>en.applicationProcess[0].process[3].children[2]</t>
        </is>
      </c>
      <c r="I235" s="8" t="inlineStr">
        <is>
          <t>C11@20261028-90bd4c3e</t>
        </is>
      </c>
      <c r="J235" s="8" t="inlineStr">
        <is>
          <t>MS-C11</t>
        </is>
      </c>
      <c r="K235" s="8" t="inlineStr">
        <is>
          <t>1/1</t>
        </is>
      </c>
      <c r="L235" s="7" t="inlineStr">
        <is>
          <t>Approved</t>
        </is>
      </c>
      <c r="M235" s="7" t="n"/>
      <c r="N235" s="8" t="inlineStr">
        <is>
          <t>Actor, branch and dependency need review.</t>
        </is>
      </c>
    </row>
    <row r="236" ht="40" customHeight="1">
      <c r="A236" s="4" t="inlineStr">
        <is>
          <t>C11</t>
        </is>
      </c>
      <c r="B236" s="4" t="inlineStr">
        <is>
          <t>Stand-Up India</t>
        </is>
      </c>
      <c r="C236" s="4" t="inlineStr">
        <is>
          <t>C11-P0031</t>
        </is>
      </c>
      <c r="D236" s="4" t="inlineStr">
        <is>
          <t>Online</t>
        </is>
      </c>
      <c r="E236" s="4" t="inlineStr">
        <is>
          <t>Process:</t>
        </is>
      </c>
      <c r="F236" s="4" t="inlineStr">
        <is>
          <t>Source step text</t>
        </is>
      </c>
      <c r="G236" s="4" t="inlineStr">
        <is>
          <t>Select the nature of the proposed business; the loan amount desired description of the business, the details of the premises, etc.</t>
        </is>
      </c>
      <c r="H236" s="4" t="inlineStr">
        <is>
          <t>en.applicationProcess[0].process[3].children[3]</t>
        </is>
      </c>
      <c r="I236" s="4" t="inlineStr">
        <is>
          <t>C11@20261028-90bd4c3e</t>
        </is>
      </c>
      <c r="J236" s="4" t="inlineStr">
        <is>
          <t>MS-C11</t>
        </is>
      </c>
      <c r="K236" s="4" t="inlineStr">
        <is>
          <t>1/1</t>
        </is>
      </c>
      <c r="L236" s="7" t="inlineStr">
        <is>
          <t>Approved</t>
        </is>
      </c>
      <c r="M236" s="7" t="n"/>
      <c r="N236" s="4" t="inlineStr">
        <is>
          <t>Actor, branch and dependency need review.</t>
        </is>
      </c>
    </row>
    <row r="237" ht="40" customHeight="1">
      <c r="A237" s="8" t="inlineStr">
        <is>
          <t>C11</t>
        </is>
      </c>
      <c r="B237" s="8" t="inlineStr">
        <is>
          <t>Stand-Up India</t>
        </is>
      </c>
      <c r="C237" s="8" t="inlineStr">
        <is>
          <t>C11-P0032</t>
        </is>
      </c>
      <c r="D237" s="8" t="inlineStr">
        <is>
          <t>Online</t>
        </is>
      </c>
      <c r="E237" s="8" t="inlineStr">
        <is>
          <t>Process:</t>
        </is>
      </c>
      <c r="F237" s="8" t="inlineStr">
        <is>
          <t>Source step text</t>
        </is>
      </c>
      <c r="G237" s="8" t="inlineStr">
        <is>
          <t>Populate the fields with past business experience, including tenure.</t>
        </is>
      </c>
      <c r="H237" s="8" t="inlineStr">
        <is>
          <t>en.applicationProcess[0].process[3].children[4]</t>
        </is>
      </c>
      <c r="I237" s="8" t="inlineStr">
        <is>
          <t>C11@20261028-90bd4c3e</t>
        </is>
      </c>
      <c r="J237" s="8" t="inlineStr">
        <is>
          <t>MS-C11</t>
        </is>
      </c>
      <c r="K237" s="8" t="inlineStr">
        <is>
          <t>1/1</t>
        </is>
      </c>
      <c r="L237" s="7" t="inlineStr">
        <is>
          <t>Approved</t>
        </is>
      </c>
      <c r="M237" s="7" t="n"/>
      <c r="N237" s="8" t="inlineStr">
        <is>
          <t>Actor, branch and dependency need review.</t>
        </is>
      </c>
    </row>
    <row r="238" ht="40" customHeight="1">
      <c r="A238" s="4" t="inlineStr">
        <is>
          <t>C11</t>
        </is>
      </c>
      <c r="B238" s="4" t="inlineStr">
        <is>
          <t>Stand-Up India</t>
        </is>
      </c>
      <c r="C238" s="4" t="inlineStr">
        <is>
          <t>C11-P0033</t>
        </is>
      </c>
      <c r="D238" s="4" t="inlineStr">
        <is>
          <t>Online</t>
        </is>
      </c>
      <c r="E238" s="4" t="inlineStr">
        <is>
          <t>Process:</t>
        </is>
      </c>
      <c r="F238" s="4" t="inlineStr">
        <is>
          <t>Source step text</t>
        </is>
      </c>
      <c r="G238" s="4" t="inlineStr">
        <is>
          <t>Select the need for hand-holding is required.</t>
        </is>
      </c>
      <c r="H238" s="4" t="inlineStr">
        <is>
          <t>en.applicationProcess[0].process[3].children[5]</t>
        </is>
      </c>
      <c r="I238" s="4" t="inlineStr">
        <is>
          <t>C11@20261028-90bd4c3e</t>
        </is>
      </c>
      <c r="J238" s="4" t="inlineStr">
        <is>
          <t>MS-C11</t>
        </is>
      </c>
      <c r="K238" s="4" t="inlineStr">
        <is>
          <t>1/1</t>
        </is>
      </c>
      <c r="L238" s="7" t="inlineStr">
        <is>
          <t>Approved</t>
        </is>
      </c>
      <c r="M238" s="7" t="n"/>
      <c r="N238" s="4" t="inlineStr">
        <is>
          <t>Actor, branch and dependency need review.</t>
        </is>
      </c>
    </row>
    <row r="239" ht="40" customHeight="1">
      <c r="A239" s="8" t="inlineStr">
        <is>
          <t>C11</t>
        </is>
      </c>
      <c r="B239" s="8" t="inlineStr">
        <is>
          <t>Stand-Up India</t>
        </is>
      </c>
      <c r="C239" s="8" t="inlineStr">
        <is>
          <t>C11-P0034</t>
        </is>
      </c>
      <c r="D239" s="8" t="inlineStr">
        <is>
          <t>Online</t>
        </is>
      </c>
      <c r="E239" s="8" t="inlineStr">
        <is>
          <t>Process:</t>
        </is>
      </c>
      <c r="F239" s="8" t="inlineStr">
        <is>
          <t>Source step text</t>
        </is>
      </c>
      <c r="G239" s="8" t="inlineStr">
        <is>
          <t>Enter all the personal details sought, which include the name of the enterprise and the constitution.</t>
        </is>
      </c>
      <c r="H239" s="8" t="inlineStr">
        <is>
          <t>en.applicationProcess[0].process[3].children[6]</t>
        </is>
      </c>
      <c r="I239" s="8" t="inlineStr">
        <is>
          <t>C11@20261028-90bd4c3e</t>
        </is>
      </c>
      <c r="J239" s="8" t="inlineStr">
        <is>
          <t>MS-C11</t>
        </is>
      </c>
      <c r="K239" s="8" t="inlineStr">
        <is>
          <t>1/1</t>
        </is>
      </c>
      <c r="L239" s="7" t="inlineStr">
        <is>
          <t>Approved</t>
        </is>
      </c>
      <c r="M239" s="7" t="n"/>
      <c r="N239" s="8" t="inlineStr">
        <is>
          <t>Actor, branch and dependency need review.</t>
        </is>
      </c>
    </row>
    <row r="240" ht="40" customHeight="1">
      <c r="A240" s="4" t="inlineStr">
        <is>
          <t>C11</t>
        </is>
      </c>
      <c r="B240" s="4" t="inlineStr">
        <is>
          <t>Stand-Up India</t>
        </is>
      </c>
      <c r="C240" s="4" t="inlineStr">
        <is>
          <t>C11-P0035</t>
        </is>
      </c>
      <c r="D240" s="4" t="inlineStr">
        <is>
          <t>Online</t>
        </is>
      </c>
      <c r="E240" s="4" t="inlineStr">
        <is>
          <t>Process:</t>
        </is>
      </c>
      <c r="F240" s="4" t="inlineStr">
        <is>
          <t>Source step text</t>
        </is>
      </c>
      <c r="G240" s="4" t="inlineStr">
        <is>
          <t>The last step is to select the register button to complete the process.</t>
        </is>
      </c>
      <c r="H240" s="4" t="inlineStr">
        <is>
          <t>en.applicationProcess[0].process[3].children[7]</t>
        </is>
      </c>
      <c r="I240" s="4" t="inlineStr">
        <is>
          <t>C11@20261028-90bd4c3e</t>
        </is>
      </c>
      <c r="J240" s="4" t="inlineStr">
        <is>
          <t>MS-C11</t>
        </is>
      </c>
      <c r="K240" s="4" t="inlineStr">
        <is>
          <t>1/1</t>
        </is>
      </c>
      <c r="L240" s="7" t="inlineStr">
        <is>
          <t>Approved</t>
        </is>
      </c>
      <c r="M240" s="7" t="n"/>
      <c r="N240" s="4" t="inlineStr">
        <is>
          <t>Actor, branch and dependency need review.</t>
        </is>
      </c>
    </row>
    <row r="241" ht="54" customHeight="1">
      <c r="A241" s="8" t="inlineStr">
        <is>
          <t>C11</t>
        </is>
      </c>
      <c r="B241" s="8" t="inlineStr">
        <is>
          <t>Stand-Up India</t>
        </is>
      </c>
      <c r="C241" s="8" t="inlineStr">
        <is>
          <t>C11-P0036</t>
        </is>
      </c>
      <c r="D241" s="8" t="inlineStr">
        <is>
          <t>Online</t>
        </is>
      </c>
      <c r="E241" s="8" t="inlineStr">
        <is>
          <t>Process:</t>
        </is>
      </c>
      <c r="F241" s="8" t="inlineStr">
        <is>
          <t>Source step text</t>
        </is>
      </c>
      <c r="G241" s="8" t="inlineStr">
        <is>
          <t>Once you have completed registration, you are eligible to initiate the StandUp India Loan Application process with the respective financial institution for the officials to contact you for completing the StandUp India Loan Process and requisite formalities.</t>
        </is>
      </c>
      <c r="H241" s="8" t="inlineStr">
        <is>
          <t>en.applicationProcess[0].process[4]</t>
        </is>
      </c>
      <c r="I241" s="8" t="inlineStr">
        <is>
          <t>C11@20261028-90bd4c3e</t>
        </is>
      </c>
      <c r="J241" s="8" t="inlineStr">
        <is>
          <t>MS-C11</t>
        </is>
      </c>
      <c r="K241" s="8" t="inlineStr">
        <is>
          <t>1/1</t>
        </is>
      </c>
      <c r="L241" s="7" t="inlineStr">
        <is>
          <t>Approved</t>
        </is>
      </c>
      <c r="M241" s="7" t="n"/>
      <c r="N241" s="8" t="inlineStr">
        <is>
          <t>Actor, branch and dependency need review.</t>
        </is>
      </c>
    </row>
    <row r="242" ht="54" customHeight="1">
      <c r="A242" s="4" t="inlineStr">
        <is>
          <t>C12</t>
        </is>
      </c>
      <c r="B242" s="4" t="inlineStr">
        <is>
          <t>"Marketing Incentive" under the "Handloom Marketing Assistance" Component of the National Handloom Development Programme</t>
        </is>
      </c>
      <c r="C242" s="4" t="inlineStr">
        <is>
          <t>C12-P0052</t>
        </is>
      </c>
      <c r="D242" s="4" t="inlineStr">
        <is>
          <t>Offline</t>
        </is>
      </c>
      <c r="E242" s="4" t="inlineStr"/>
      <c r="F242" s="4" t="inlineStr">
        <is>
          <t>Source step text</t>
        </is>
      </c>
      <c r="G242" s="4" t="inlineStr">
        <is>
          <t>For State Level and Primary Level Organizations</t>
        </is>
      </c>
      <c r="H242" s="4" t="inlineStr">
        <is>
          <t>en.applicationProcess[0].process[0].children[0]</t>
        </is>
      </c>
      <c r="I242" s="4" t="inlineStr">
        <is>
          <t>C12@20261028-55825899</t>
        </is>
      </c>
      <c r="J242" s="4" t="inlineStr">
        <is>
          <t>MS-C12</t>
        </is>
      </c>
      <c r="K242" s="4" t="inlineStr">
        <is>
          <t>1/1</t>
        </is>
      </c>
      <c r="L242" s="7" t="inlineStr">
        <is>
          <t>Approved</t>
        </is>
      </c>
      <c r="M242" s="7" t="n"/>
      <c r="N242" s="4" t="inlineStr">
        <is>
          <t>Actor, branch and dependency need review.</t>
        </is>
      </c>
    </row>
    <row r="243" ht="54" customHeight="1">
      <c r="A243" s="8" t="inlineStr">
        <is>
          <t>C12</t>
        </is>
      </c>
      <c r="B243" s="8" t="inlineStr">
        <is>
          <t>"Marketing Incentive" under the "Handloom Marketing Assistance" Component of the National Handloom Development Programme</t>
        </is>
      </c>
      <c r="C243" s="8" t="inlineStr">
        <is>
          <t>C12-P0053</t>
        </is>
      </c>
      <c r="D243" s="8" t="inlineStr">
        <is>
          <t>Offline</t>
        </is>
      </c>
      <c r="E243" s="8" t="inlineStr">
        <is>
          <t>Step 1: Prepare Claim Documentation</t>
        </is>
      </c>
      <c r="F243" s="8" t="inlineStr">
        <is>
          <t>Heading / phase</t>
        </is>
      </c>
      <c r="G243" s="8" t="inlineStr">
        <is>
          <t>Step 1: Prepare Claim Documentation</t>
        </is>
      </c>
      <c r="H243" s="8" t="inlineStr">
        <is>
          <t>en.applicationProcess[0].process[1]</t>
        </is>
      </c>
      <c r="I243" s="8" t="inlineStr">
        <is>
          <t>C12@20261028-55825899</t>
        </is>
      </c>
      <c r="J243" s="8" t="inlineStr">
        <is>
          <t>MS-C12</t>
        </is>
      </c>
      <c r="K243" s="8" t="inlineStr">
        <is>
          <t>1/1</t>
        </is>
      </c>
      <c r="L243" s="7" t="inlineStr">
        <is>
          <t>Approved</t>
        </is>
      </c>
      <c r="M243" s="7" t="n"/>
      <c r="N243" s="8" t="inlineStr">
        <is>
          <t>Actor, branch and dependency need review.</t>
        </is>
      </c>
    </row>
    <row r="244" ht="54" customHeight="1">
      <c r="A244" s="4" t="inlineStr">
        <is>
          <t>C12</t>
        </is>
      </c>
      <c r="B244" s="4" t="inlineStr">
        <is>
          <t>"Marketing Incentive" under the "Handloom Marketing Assistance" Component of the National Handloom Development Programme</t>
        </is>
      </c>
      <c r="C244" s="4" t="inlineStr">
        <is>
          <t>C12-P0054</t>
        </is>
      </c>
      <c r="D244" s="4" t="inlineStr">
        <is>
          <t>Offline</t>
        </is>
      </c>
      <c r="E244" s="4" t="inlineStr">
        <is>
          <t>Step 1: Prepare Claim Documentation</t>
        </is>
      </c>
      <c r="F244" s="4" t="inlineStr">
        <is>
          <t>Source step text</t>
        </is>
      </c>
      <c r="G244" s="4" t="inlineStr">
        <is>
          <t>Compile sales bills/invoices, yarn purchase bills, and average sales turnover details for the last 3 years ensuring Goods and Services Tax compliance.</t>
        </is>
      </c>
      <c r="H244" s="4" t="inlineStr">
        <is>
          <t>en.applicationProcess[0].process[2]</t>
        </is>
      </c>
      <c r="I244" s="4" t="inlineStr">
        <is>
          <t>C12@20261028-55825899</t>
        </is>
      </c>
      <c r="J244" s="4" t="inlineStr">
        <is>
          <t>MS-C12</t>
        </is>
      </c>
      <c r="K244" s="4" t="inlineStr">
        <is>
          <t>1/1</t>
        </is>
      </c>
      <c r="L244" s="7" t="inlineStr">
        <is>
          <t>Approved</t>
        </is>
      </c>
      <c r="M244" s="7" t="n"/>
      <c r="N244" s="4" t="inlineStr">
        <is>
          <t>Actor, branch and dependency need review.</t>
        </is>
      </c>
    </row>
    <row r="245" ht="54" customHeight="1">
      <c r="A245" s="8" t="inlineStr">
        <is>
          <t>C12</t>
        </is>
      </c>
      <c r="B245" s="8" t="inlineStr">
        <is>
          <t>"Marketing Incentive" under the "Handloom Marketing Assistance" Component of the National Handloom Development Programme</t>
        </is>
      </c>
      <c r="C245" s="8" t="inlineStr">
        <is>
          <t>C12-P0055</t>
        </is>
      </c>
      <c r="D245" s="8" t="inlineStr">
        <is>
          <t>Offline</t>
        </is>
      </c>
      <c r="E245" s="8" t="inlineStr">
        <is>
          <t>Step 2: Complete Application Form</t>
        </is>
      </c>
      <c r="F245" s="8" t="inlineStr">
        <is>
          <t>Heading / phase</t>
        </is>
      </c>
      <c r="G245" s="8" t="inlineStr">
        <is>
          <t>Step 2: Complete Application Form</t>
        </is>
      </c>
      <c r="H245" s="8" t="inlineStr">
        <is>
          <t>en.applicationProcess[0].process[3]</t>
        </is>
      </c>
      <c r="I245" s="8" t="inlineStr">
        <is>
          <t>C12@20261028-55825899</t>
        </is>
      </c>
      <c r="J245" s="8" t="inlineStr">
        <is>
          <t>MS-C12</t>
        </is>
      </c>
      <c r="K245" s="8" t="inlineStr">
        <is>
          <t>1/1</t>
        </is>
      </c>
      <c r="L245" s="7" t="inlineStr">
        <is>
          <t>Approved</t>
        </is>
      </c>
      <c r="M245" s="7" t="n"/>
      <c r="N245" s="8" t="inlineStr">
        <is>
          <t>Actor, branch and dependency need review.</t>
        </is>
      </c>
    </row>
    <row r="246" ht="54" customHeight="1">
      <c r="A246" s="4" t="inlineStr">
        <is>
          <t>C12</t>
        </is>
      </c>
      <c r="B246" s="4" t="inlineStr">
        <is>
          <t>"Marketing Incentive" under the "Handloom Marketing Assistance" Component of the National Handloom Development Programme</t>
        </is>
      </c>
      <c r="C246" s="4" t="inlineStr">
        <is>
          <t>C12-P0056</t>
        </is>
      </c>
      <c r="D246" s="4" t="inlineStr">
        <is>
          <t>Offline</t>
        </is>
      </c>
      <c r="E246" s="4" t="inlineStr">
        <is>
          <t>Step 2: Complete Application Form</t>
        </is>
      </c>
      <c r="F246" s="4" t="inlineStr">
        <is>
          <t>Source step text</t>
        </is>
      </c>
      <c r="G246" s="4" t="inlineStr">
        <is>
          <t>Fill the prescribed proforma (Annexure - B8) with all required details including sales data and beneficiary information.</t>
        </is>
      </c>
      <c r="H246" s="4" t="inlineStr">
        <is>
          <t>en.applicationProcess[0].process[4]</t>
        </is>
      </c>
      <c r="I246" s="4" t="inlineStr">
        <is>
          <t>C12@20261028-55825899</t>
        </is>
      </c>
      <c r="J246" s="4" t="inlineStr">
        <is>
          <t>MS-C12</t>
        </is>
      </c>
      <c r="K246" s="4" t="inlineStr">
        <is>
          <t>1/1</t>
        </is>
      </c>
      <c r="L246" s="7" t="inlineStr">
        <is>
          <t>Approved</t>
        </is>
      </c>
      <c r="M246" s="7" t="n"/>
      <c r="N246" s="4" t="inlineStr">
        <is>
          <t>Actor, branch and dependency need review.</t>
        </is>
      </c>
    </row>
    <row r="247" ht="54" customHeight="1">
      <c r="A247" s="8" t="inlineStr">
        <is>
          <t>C12</t>
        </is>
      </c>
      <c r="B247" s="8" t="inlineStr">
        <is>
          <t>"Marketing Incentive" under the "Handloom Marketing Assistance" Component of the National Handloom Development Programme</t>
        </is>
      </c>
      <c r="C247" s="8" t="inlineStr">
        <is>
          <t>C12-P0057</t>
        </is>
      </c>
      <c r="D247" s="8" t="inlineStr">
        <is>
          <t>Offline</t>
        </is>
      </c>
      <c r="E247" s="8" t="inlineStr">
        <is>
          <t>Step 3: Submit to State Government</t>
        </is>
      </c>
      <c r="F247" s="8" t="inlineStr">
        <is>
          <t>Heading / phase</t>
        </is>
      </c>
      <c r="G247" s="8" t="inlineStr">
        <is>
          <t>Step 3: Submit to State Government</t>
        </is>
      </c>
      <c r="H247" s="8" t="inlineStr">
        <is>
          <t>en.applicationProcess[0].process[5]</t>
        </is>
      </c>
      <c r="I247" s="8" t="inlineStr">
        <is>
          <t>C12@20261028-55825899</t>
        </is>
      </c>
      <c r="J247" s="8" t="inlineStr">
        <is>
          <t>MS-C12</t>
        </is>
      </c>
      <c r="K247" s="8" t="inlineStr">
        <is>
          <t>1/1</t>
        </is>
      </c>
      <c r="L247" s="7" t="inlineStr">
        <is>
          <t>Approved</t>
        </is>
      </c>
      <c r="M247" s="7" t="n"/>
      <c r="N247" s="8" t="inlineStr">
        <is>
          <t>Actor, branch and dependency need review.</t>
        </is>
      </c>
    </row>
    <row r="248" ht="54" customHeight="1">
      <c r="A248" s="4" t="inlineStr">
        <is>
          <t>C12</t>
        </is>
      </c>
      <c r="B248" s="4" t="inlineStr">
        <is>
          <t>"Marketing Incentive" under the "Handloom Marketing Assistance" Component of the National Handloom Development Programme</t>
        </is>
      </c>
      <c r="C248" s="4" t="inlineStr">
        <is>
          <t>C12-P0058</t>
        </is>
      </c>
      <c r="D248" s="4" t="inlineStr">
        <is>
          <t>Offline</t>
        </is>
      </c>
      <c r="E248" s="4" t="inlineStr">
        <is>
          <t>Step 3: Submit to State Government</t>
        </is>
      </c>
      <c r="F248" s="4" t="inlineStr">
        <is>
          <t>Source step text</t>
        </is>
      </c>
      <c r="G248" s="4" t="inlineStr">
        <is>
          <t>Submit the completed Marketing Incentive claim to the concerned State Government with all supporting documents.</t>
        </is>
      </c>
      <c r="H248" s="4" t="inlineStr">
        <is>
          <t>en.applicationProcess[0].process[6]</t>
        </is>
      </c>
      <c r="I248" s="4" t="inlineStr">
        <is>
          <t>C12@20261028-55825899</t>
        </is>
      </c>
      <c r="J248" s="4" t="inlineStr">
        <is>
          <t>MS-C12</t>
        </is>
      </c>
      <c r="K248" s="4" t="inlineStr">
        <is>
          <t>1/1</t>
        </is>
      </c>
      <c r="L248" s="7" t="inlineStr">
        <is>
          <t>Approved</t>
        </is>
      </c>
      <c r="M248" s="7" t="n"/>
      <c r="N248" s="4" t="inlineStr">
        <is>
          <t>Actor, branch and dependency need review.</t>
        </is>
      </c>
    </row>
    <row r="249" ht="54" customHeight="1">
      <c r="A249" s="8" t="inlineStr">
        <is>
          <t>C12</t>
        </is>
      </c>
      <c r="B249" s="8" t="inlineStr">
        <is>
          <t>"Marketing Incentive" under the "Handloom Marketing Assistance" Component of the National Handloom Development Programme</t>
        </is>
      </c>
      <c r="C249" s="8" t="inlineStr">
        <is>
          <t>C12-P0059</t>
        </is>
      </c>
      <c r="D249" s="8" t="inlineStr">
        <is>
          <t>Offline</t>
        </is>
      </c>
      <c r="E249" s="8" t="inlineStr">
        <is>
          <t>Step 4: State Government Verification</t>
        </is>
      </c>
      <c r="F249" s="8" t="inlineStr">
        <is>
          <t>Heading / phase</t>
        </is>
      </c>
      <c r="G249" s="8" t="inlineStr">
        <is>
          <t>Step 4: State Government Verification</t>
        </is>
      </c>
      <c r="H249" s="8" t="inlineStr">
        <is>
          <t>en.applicationProcess[0].process[7]</t>
        </is>
      </c>
      <c r="I249" s="8" t="inlineStr">
        <is>
          <t>C12@20261028-55825899</t>
        </is>
      </c>
      <c r="J249" s="8" t="inlineStr">
        <is>
          <t>MS-C12</t>
        </is>
      </c>
      <c r="K249" s="8" t="inlineStr">
        <is>
          <t>1/1</t>
        </is>
      </c>
      <c r="L249" s="7" t="inlineStr">
        <is>
          <t>Approved</t>
        </is>
      </c>
      <c r="M249" s="7" t="n"/>
      <c r="N249" s="8" t="inlineStr">
        <is>
          <t>Actor, branch and dependency need review.</t>
        </is>
      </c>
    </row>
    <row r="250" ht="54" customHeight="1">
      <c r="A250" s="4" t="inlineStr">
        <is>
          <t>C12</t>
        </is>
      </c>
      <c r="B250" s="4" t="inlineStr">
        <is>
          <t>"Marketing Incentive" under the "Handloom Marketing Assistance" Component of the National Handloom Development Programme</t>
        </is>
      </c>
      <c r="C250" s="4" t="inlineStr">
        <is>
          <t>C12-P0060</t>
        </is>
      </c>
      <c r="D250" s="4" t="inlineStr">
        <is>
          <t>Offline</t>
        </is>
      </c>
      <c r="E250" s="4" t="inlineStr">
        <is>
          <t>Step 4: State Government Verification</t>
        </is>
      </c>
      <c r="F250" s="4" t="inlineStr">
        <is>
          <t>Source step text</t>
        </is>
      </c>
      <c r="G250" s="4" t="inlineStr">
        <is>
          <t>State Government will verify claims, ensure matching contribution availability, and complete prescribed certificates (Annexure - B9).</t>
        </is>
      </c>
      <c r="H250" s="4" t="inlineStr">
        <is>
          <t>en.applicationProcess[0].process[8]</t>
        </is>
      </c>
      <c r="I250" s="4" t="inlineStr">
        <is>
          <t>C12@20261028-55825899</t>
        </is>
      </c>
      <c r="J250" s="4" t="inlineStr">
        <is>
          <t>MS-C12</t>
        </is>
      </c>
      <c r="K250" s="4" t="inlineStr">
        <is>
          <t>1/1</t>
        </is>
      </c>
      <c r="L250" s="7" t="inlineStr">
        <is>
          <t>Approved</t>
        </is>
      </c>
      <c r="M250" s="7" t="n"/>
      <c r="N250" s="4" t="inlineStr">
        <is>
          <t>Actor, branch and dependency need review.</t>
        </is>
      </c>
    </row>
    <row r="251" ht="54" customHeight="1">
      <c r="A251" s="8" t="inlineStr">
        <is>
          <t>C12</t>
        </is>
      </c>
      <c r="B251" s="8" t="inlineStr">
        <is>
          <t>"Marketing Incentive" under the "Handloom Marketing Assistance" Component of the National Handloom Development Programme</t>
        </is>
      </c>
      <c r="C251" s="8" t="inlineStr">
        <is>
          <t>C12-P0061</t>
        </is>
      </c>
      <c r="D251" s="8" t="inlineStr">
        <is>
          <t>Offline</t>
        </is>
      </c>
      <c r="E251" s="8" t="inlineStr">
        <is>
          <t>Step 5: State Level Project Committee Recommendation</t>
        </is>
      </c>
      <c r="F251" s="8" t="inlineStr">
        <is>
          <t>Heading / phase</t>
        </is>
      </c>
      <c r="G251" s="8" t="inlineStr">
        <is>
          <t>Step 5: State Level Project Committee Recommendation</t>
        </is>
      </c>
      <c r="H251" s="8" t="inlineStr">
        <is>
          <t>en.applicationProcess[0].process[9]</t>
        </is>
      </c>
      <c r="I251" s="8" t="inlineStr">
        <is>
          <t>C12@20261028-55825899</t>
        </is>
      </c>
      <c r="J251" s="8" t="inlineStr">
        <is>
          <t>MS-C12</t>
        </is>
      </c>
      <c r="K251" s="8" t="inlineStr">
        <is>
          <t>1/1</t>
        </is>
      </c>
      <c r="L251" s="7" t="inlineStr">
        <is>
          <t>Approved</t>
        </is>
      </c>
      <c r="M251" s="7" t="n"/>
      <c r="N251" s="8" t="inlineStr">
        <is>
          <t>Actor, branch and dependency need review.</t>
        </is>
      </c>
    </row>
    <row r="252" ht="54" customHeight="1">
      <c r="A252" s="4" t="inlineStr">
        <is>
          <t>C12</t>
        </is>
      </c>
      <c r="B252" s="4" t="inlineStr">
        <is>
          <t>"Marketing Incentive" under the "Handloom Marketing Assistance" Component of the National Handloom Development Programme</t>
        </is>
      </c>
      <c r="C252" s="4" t="inlineStr">
        <is>
          <t>C12-P0062</t>
        </is>
      </c>
      <c r="D252" s="4" t="inlineStr">
        <is>
          <t>Offline</t>
        </is>
      </c>
      <c r="E252" s="4" t="inlineStr">
        <is>
          <t>Step 5: State Level Project Committee Recommendation</t>
        </is>
      </c>
      <c r="F252" s="4" t="inlineStr">
        <is>
          <t>Source step text</t>
        </is>
      </c>
      <c r="G252" s="4" t="inlineStr">
        <is>
          <t>Obtain recommendations from State Level Project Committee for the Marketing Incentive claims.</t>
        </is>
      </c>
      <c r="H252" s="4" t="inlineStr">
        <is>
          <t>en.applicationProcess[0].process[10]</t>
        </is>
      </c>
      <c r="I252" s="4" t="inlineStr">
        <is>
          <t>C12@20261028-55825899</t>
        </is>
      </c>
      <c r="J252" s="4" t="inlineStr">
        <is>
          <t>MS-C12</t>
        </is>
      </c>
      <c r="K252" s="4" t="inlineStr">
        <is>
          <t>1/1</t>
        </is>
      </c>
      <c r="L252" s="7" t="inlineStr">
        <is>
          <t>Approved</t>
        </is>
      </c>
      <c r="M252" s="7" t="n"/>
      <c r="N252" s="4" t="inlineStr">
        <is>
          <t>Actor, branch and dependency need review.</t>
        </is>
      </c>
    </row>
    <row r="253" ht="54" customHeight="1">
      <c r="A253" s="8" t="inlineStr">
        <is>
          <t>C12</t>
        </is>
      </c>
      <c r="B253" s="8" t="inlineStr">
        <is>
          <t>"Marketing Incentive" under the "Handloom Marketing Assistance" Component of the National Handloom Development Programme</t>
        </is>
      </c>
      <c r="C253" s="8" t="inlineStr">
        <is>
          <t>C12-P0063</t>
        </is>
      </c>
      <c r="D253" s="8" t="inlineStr">
        <is>
          <t>Offline</t>
        </is>
      </c>
      <c r="E253" s="8" t="inlineStr">
        <is>
          <t>Step 6: State Government Consolidation</t>
        </is>
      </c>
      <c r="F253" s="8" t="inlineStr">
        <is>
          <t>Heading / phase</t>
        </is>
      </c>
      <c r="G253" s="8" t="inlineStr">
        <is>
          <t>Step 6: State Government Consolidation</t>
        </is>
      </c>
      <c r="H253" s="8" t="inlineStr">
        <is>
          <t>en.applicationProcess[0].process[11]</t>
        </is>
      </c>
      <c r="I253" s="8" t="inlineStr">
        <is>
          <t>C12@20261028-55825899</t>
        </is>
      </c>
      <c r="J253" s="8" t="inlineStr">
        <is>
          <t>MS-C12</t>
        </is>
      </c>
      <c r="K253" s="8" t="inlineStr">
        <is>
          <t>1/1</t>
        </is>
      </c>
      <c r="L253" s="7" t="inlineStr">
        <is>
          <t>Approved</t>
        </is>
      </c>
      <c r="M253" s="7" t="n"/>
      <c r="N253" s="8" t="inlineStr">
        <is>
          <t>Actor, branch and dependency need review.</t>
        </is>
      </c>
    </row>
    <row r="254" ht="54" customHeight="1">
      <c r="A254" s="4" t="inlineStr">
        <is>
          <t>C12</t>
        </is>
      </c>
      <c r="B254" s="4" t="inlineStr">
        <is>
          <t>"Marketing Incentive" under the "Handloom Marketing Assistance" Component of the National Handloom Development Programme</t>
        </is>
      </c>
      <c r="C254" s="4" t="inlineStr">
        <is>
          <t>C12-P0064</t>
        </is>
      </c>
      <c r="D254" s="4" t="inlineStr">
        <is>
          <t>Offline</t>
        </is>
      </c>
      <c r="E254" s="4" t="inlineStr">
        <is>
          <t>Step 6: State Government Consolidation</t>
        </is>
      </c>
      <c r="F254" s="4" t="inlineStr">
        <is>
          <t>Source step text</t>
        </is>
      </c>
      <c r="G254" s="4" t="inlineStr">
        <is>
          <t>State Government prepares consolidated statement, sanction order for state share release, and certificate as per Annexure - B10.</t>
        </is>
      </c>
      <c r="H254" s="4" t="inlineStr">
        <is>
          <t>en.applicationProcess[0].process[12]</t>
        </is>
      </c>
      <c r="I254" s="4" t="inlineStr">
        <is>
          <t>C12@20261028-55825899</t>
        </is>
      </c>
      <c r="J254" s="4" t="inlineStr">
        <is>
          <t>MS-C12</t>
        </is>
      </c>
      <c r="K254" s="4" t="inlineStr">
        <is>
          <t>1/1</t>
        </is>
      </c>
      <c r="L254" s="7" t="inlineStr">
        <is>
          <t>Approved</t>
        </is>
      </c>
      <c r="M254" s="7" t="n"/>
      <c r="N254" s="4" t="inlineStr">
        <is>
          <t>Actor, branch and dependency need review.</t>
        </is>
      </c>
    </row>
    <row r="255" ht="54" customHeight="1">
      <c r="A255" s="8" t="inlineStr">
        <is>
          <t>C12</t>
        </is>
      </c>
      <c r="B255" s="8" t="inlineStr">
        <is>
          <t>"Marketing Incentive" under the "Handloom Marketing Assistance" Component of the National Handloom Development Programme</t>
        </is>
      </c>
      <c r="C255" s="8" t="inlineStr">
        <is>
          <t>C12-P0065</t>
        </is>
      </c>
      <c r="D255" s="8" t="inlineStr">
        <is>
          <t>Offline</t>
        </is>
      </c>
      <c r="E255" s="8" t="inlineStr">
        <is>
          <t>Step 7: Nodal Agency Identification</t>
        </is>
      </c>
      <c r="F255" s="8" t="inlineStr">
        <is>
          <t>Heading / phase</t>
        </is>
      </c>
      <c r="G255" s="8" t="inlineStr">
        <is>
          <t>Step 7: Nodal Agency Identification</t>
        </is>
      </c>
      <c r="H255" s="8" t="inlineStr">
        <is>
          <t>en.applicationProcess[0].process[13]</t>
        </is>
      </c>
      <c r="I255" s="8" t="inlineStr">
        <is>
          <t>C12@20261028-55825899</t>
        </is>
      </c>
      <c r="J255" s="8" t="inlineStr">
        <is>
          <t>MS-C12</t>
        </is>
      </c>
      <c r="K255" s="8" t="inlineStr">
        <is>
          <t>1/1</t>
        </is>
      </c>
      <c r="L255" s="7" t="inlineStr">
        <is>
          <t>Approved</t>
        </is>
      </c>
      <c r="M255" s="7" t="n"/>
      <c r="N255" s="8" t="inlineStr">
        <is>
          <t>Actor, branch and dependency need review.</t>
        </is>
      </c>
    </row>
    <row r="256" ht="54" customHeight="1">
      <c r="A256" s="4" t="inlineStr">
        <is>
          <t>C12</t>
        </is>
      </c>
      <c r="B256" s="4" t="inlineStr">
        <is>
          <t>"Marketing Incentive" under the "Handloom Marketing Assistance" Component of the National Handloom Development Programme</t>
        </is>
      </c>
      <c r="C256" s="4" t="inlineStr">
        <is>
          <t>C12-P0066</t>
        </is>
      </c>
      <c r="D256" s="4" t="inlineStr">
        <is>
          <t>Offline</t>
        </is>
      </c>
      <c r="E256" s="4" t="inlineStr">
        <is>
          <t>Step 7: Nodal Agency Identification</t>
        </is>
      </c>
      <c r="F256" s="4" t="inlineStr">
        <is>
          <t>Source step text</t>
        </is>
      </c>
      <c r="G256" s="4" t="inlineStr">
        <is>
          <t>State Government identifies suitable nodal agency for fund aggregation and onward release to eligible agencies.</t>
        </is>
      </c>
      <c r="H256" s="4" t="inlineStr">
        <is>
          <t>en.applicationProcess[0].process[14]</t>
        </is>
      </c>
      <c r="I256" s="4" t="inlineStr">
        <is>
          <t>C12@20261028-55825899</t>
        </is>
      </c>
      <c r="J256" s="4" t="inlineStr">
        <is>
          <t>MS-C12</t>
        </is>
      </c>
      <c r="K256" s="4" t="inlineStr">
        <is>
          <t>1/1</t>
        </is>
      </c>
      <c r="L256" s="7" t="inlineStr">
        <is>
          <t>Approved</t>
        </is>
      </c>
      <c r="M256" s="7" t="n"/>
      <c r="N256" s="4" t="inlineStr">
        <is>
          <t>Actor, branch and dependency need review.</t>
        </is>
      </c>
    </row>
    <row r="257" ht="54" customHeight="1">
      <c r="A257" s="8" t="inlineStr">
        <is>
          <t>C12</t>
        </is>
      </c>
      <c r="B257" s="8" t="inlineStr">
        <is>
          <t>"Marketing Incentive" under the "Handloom Marketing Assistance" Component of the National Handloom Development Programme</t>
        </is>
      </c>
      <c r="C257" s="8" t="inlineStr">
        <is>
          <t>C12-P0067</t>
        </is>
      </c>
      <c r="D257" s="8" t="inlineStr">
        <is>
          <t>Offline</t>
        </is>
      </c>
      <c r="E257" s="8" t="inlineStr">
        <is>
          <t>Step 7: Nodal Agency Identification</t>
        </is>
      </c>
      <c r="F257" s="8" t="inlineStr">
        <is>
          <t>Source step text</t>
        </is>
      </c>
      <c r="G257" s="8" t="inlineStr">
        <is>
          <t>Step 8: Forward to Development Commissioner (Handlooms)</t>
        </is>
      </c>
      <c r="H257" s="8" t="inlineStr">
        <is>
          <t>en.applicationProcess[0].process[15]</t>
        </is>
      </c>
      <c r="I257" s="8" t="inlineStr">
        <is>
          <t>C12@20261028-55825899</t>
        </is>
      </c>
      <c r="J257" s="8" t="inlineStr">
        <is>
          <t>MS-C12</t>
        </is>
      </c>
      <c r="K257" s="8" t="inlineStr">
        <is>
          <t>1/1</t>
        </is>
      </c>
      <c r="L257" s="7" t="inlineStr">
        <is>
          <t>Approved</t>
        </is>
      </c>
      <c r="M257" s="7" t="n"/>
      <c r="N257" s="8" t="inlineStr">
        <is>
          <t>Actor, branch and dependency need review.</t>
        </is>
      </c>
    </row>
    <row r="258" ht="54" customHeight="1">
      <c r="A258" s="4" t="inlineStr">
        <is>
          <t>C12</t>
        </is>
      </c>
      <c r="B258" s="4" t="inlineStr">
        <is>
          <t>"Marketing Incentive" under the "Handloom Marketing Assistance" Component of the National Handloom Development Programme</t>
        </is>
      </c>
      <c r="C258" s="4" t="inlineStr">
        <is>
          <t>C12-P0068</t>
        </is>
      </c>
      <c r="D258" s="4" t="inlineStr">
        <is>
          <t>Offline</t>
        </is>
      </c>
      <c r="E258" s="4" t="inlineStr">
        <is>
          <t>Step 7: Nodal Agency Identification</t>
        </is>
      </c>
      <c r="F258" s="4" t="inlineStr">
        <is>
          <t>Source step text</t>
        </is>
      </c>
      <c r="G258" s="4" t="inlineStr">
        <is>
          <t>State Government forwards verified claims to Office of Development Commissioner (Handlooms) with all required documentation.</t>
        </is>
      </c>
      <c r="H258" s="4" t="inlineStr">
        <is>
          <t>en.applicationProcess[0].process[16]</t>
        </is>
      </c>
      <c r="I258" s="4" t="inlineStr">
        <is>
          <t>C12@20261028-55825899</t>
        </is>
      </c>
      <c r="J258" s="4" t="inlineStr">
        <is>
          <t>MS-C12</t>
        </is>
      </c>
      <c r="K258" s="4" t="inlineStr">
        <is>
          <t>1/1</t>
        </is>
      </c>
      <c r="L258" s="7" t="inlineStr">
        <is>
          <t>Approved</t>
        </is>
      </c>
      <c r="M258" s="7" t="n"/>
      <c r="N258" s="4" t="inlineStr">
        <is>
          <t>Actor, branch and dependency need review.</t>
        </is>
      </c>
    </row>
    <row r="259" ht="54" customHeight="1">
      <c r="A259" s="8" t="inlineStr">
        <is>
          <t>C12</t>
        </is>
      </c>
      <c r="B259" s="8" t="inlineStr">
        <is>
          <t>"Marketing Incentive" under the "Handloom Marketing Assistance" Component of the National Handloom Development Programme</t>
        </is>
      </c>
      <c r="C259" s="8" t="inlineStr">
        <is>
          <t>C12-P0069</t>
        </is>
      </c>
      <c r="D259" s="8" t="inlineStr">
        <is>
          <t>Offline</t>
        </is>
      </c>
      <c r="E259" s="8" t="inlineStr">
        <is>
          <t>Step 9: Central Government Processing</t>
        </is>
      </c>
      <c r="F259" s="8" t="inlineStr">
        <is>
          <t>Heading / phase</t>
        </is>
      </c>
      <c r="G259" s="8" t="inlineStr">
        <is>
          <t>Step 9: Central Government Processing</t>
        </is>
      </c>
      <c r="H259" s="8" t="inlineStr">
        <is>
          <t>en.applicationProcess[0].process[17]</t>
        </is>
      </c>
      <c r="I259" s="8" t="inlineStr">
        <is>
          <t>C12@20261028-55825899</t>
        </is>
      </c>
      <c r="J259" s="8" t="inlineStr">
        <is>
          <t>MS-C12</t>
        </is>
      </c>
      <c r="K259" s="8" t="inlineStr">
        <is>
          <t>1/1</t>
        </is>
      </c>
      <c r="L259" s="7" t="inlineStr">
        <is>
          <t>Approved</t>
        </is>
      </c>
      <c r="M259" s="7" t="n"/>
      <c r="N259" s="8" t="inlineStr">
        <is>
          <t>Actor, branch and dependency need review.</t>
        </is>
      </c>
    </row>
    <row r="260" ht="54" customHeight="1">
      <c r="A260" s="4" t="inlineStr">
        <is>
          <t>C12</t>
        </is>
      </c>
      <c r="B260" s="4" t="inlineStr">
        <is>
          <t>"Marketing Incentive" under the "Handloom Marketing Assistance" Component of the National Handloom Development Programme</t>
        </is>
      </c>
      <c r="C260" s="4" t="inlineStr">
        <is>
          <t>C12-P0070</t>
        </is>
      </c>
      <c r="D260" s="4" t="inlineStr">
        <is>
          <t>Offline</t>
        </is>
      </c>
      <c r="E260" s="4" t="inlineStr">
        <is>
          <t>Step 9: Central Government Processing</t>
        </is>
      </c>
      <c r="F260" s="4" t="inlineStr">
        <is>
          <t>Source step text</t>
        </is>
      </c>
      <c r="G260" s="4" t="inlineStr">
        <is>
          <t>Office of Development Commissioner (Handlooms) processes claims and releases Central Government share to identified Nodal Agency.</t>
        </is>
      </c>
      <c r="H260" s="4" t="inlineStr">
        <is>
          <t>en.applicationProcess[0].process[18]</t>
        </is>
      </c>
      <c r="I260" s="4" t="inlineStr">
        <is>
          <t>C12@20261028-55825899</t>
        </is>
      </c>
      <c r="J260" s="4" t="inlineStr">
        <is>
          <t>MS-C12</t>
        </is>
      </c>
      <c r="K260" s="4" t="inlineStr">
        <is>
          <t>1/1</t>
        </is>
      </c>
      <c r="L260" s="7" t="inlineStr">
        <is>
          <t>Approved</t>
        </is>
      </c>
      <c r="M260" s="7" t="n"/>
      <c r="N260" s="4" t="inlineStr">
        <is>
          <t>Actor, branch and dependency need review.</t>
        </is>
      </c>
    </row>
    <row r="261" ht="54" customHeight="1">
      <c r="A261" s="8" t="inlineStr">
        <is>
          <t>C12</t>
        </is>
      </c>
      <c r="B261" s="8" t="inlineStr">
        <is>
          <t>"Marketing Incentive" under the "Handloom Marketing Assistance" Component of the National Handloom Development Programme</t>
        </is>
      </c>
      <c r="C261" s="8" t="inlineStr">
        <is>
          <t>C12-P0071</t>
        </is>
      </c>
      <c r="D261" s="8" t="inlineStr">
        <is>
          <t>Offline</t>
        </is>
      </c>
      <c r="E261" s="8" t="inlineStr">
        <is>
          <t>Step 10: Fund Distribution</t>
        </is>
      </c>
      <c r="F261" s="8" t="inlineStr">
        <is>
          <t>Heading / phase</t>
        </is>
      </c>
      <c r="G261" s="8" t="inlineStr">
        <is>
          <t>Step 10: Fund Distribution</t>
        </is>
      </c>
      <c r="H261" s="8" t="inlineStr">
        <is>
          <t>en.applicationProcess[0].process[19]</t>
        </is>
      </c>
      <c r="I261" s="8" t="inlineStr">
        <is>
          <t>C12@20261028-55825899</t>
        </is>
      </c>
      <c r="J261" s="8" t="inlineStr">
        <is>
          <t>MS-C12</t>
        </is>
      </c>
      <c r="K261" s="8" t="inlineStr">
        <is>
          <t>1/1</t>
        </is>
      </c>
      <c r="L261" s="7" t="inlineStr">
        <is>
          <t>Approved</t>
        </is>
      </c>
      <c r="M261" s="7" t="n"/>
      <c r="N261" s="8" t="inlineStr">
        <is>
          <t>Actor, branch and dependency need review.</t>
        </is>
      </c>
    </row>
    <row r="262" ht="54" customHeight="1">
      <c r="A262" s="4" t="inlineStr">
        <is>
          <t>C12</t>
        </is>
      </c>
      <c r="B262" s="4" t="inlineStr">
        <is>
          <t>"Marketing Incentive" under the "Handloom Marketing Assistance" Component of the National Handloom Development Programme</t>
        </is>
      </c>
      <c r="C262" s="4" t="inlineStr">
        <is>
          <t>C12-P0072</t>
        </is>
      </c>
      <c r="D262" s="4" t="inlineStr">
        <is>
          <t>Offline</t>
        </is>
      </c>
      <c r="E262" s="4" t="inlineStr">
        <is>
          <t>Step 10: Fund Distribution</t>
        </is>
      </c>
      <c r="F262" s="4" t="inlineStr">
        <is>
          <t>Source step text</t>
        </is>
      </c>
      <c r="G262" s="4" t="inlineStr">
        <is>
          <t>Nodal Agency releases amount to eligible handloom agencies and their member weavers through Direct Benefit Transfer within 7 days of receipt.</t>
        </is>
      </c>
      <c r="H262" s="4" t="inlineStr">
        <is>
          <t>en.applicationProcess[0].process[20]</t>
        </is>
      </c>
      <c r="I262" s="4" t="inlineStr">
        <is>
          <t>C12@20261028-55825899</t>
        </is>
      </c>
      <c r="J262" s="4" t="inlineStr">
        <is>
          <t>MS-C12</t>
        </is>
      </c>
      <c r="K262" s="4" t="inlineStr">
        <is>
          <t>1/1</t>
        </is>
      </c>
      <c r="L262" s="7" t="inlineStr">
        <is>
          <t>Approved</t>
        </is>
      </c>
      <c r="M262" s="7" t="n"/>
      <c r="N262" s="4" t="inlineStr">
        <is>
          <t>Actor, branch and dependency need review.</t>
        </is>
      </c>
    </row>
    <row r="263" ht="54" customHeight="1">
      <c r="A263" s="8" t="inlineStr">
        <is>
          <t>C12</t>
        </is>
      </c>
      <c r="B263" s="8" t="inlineStr">
        <is>
          <t>"Marketing Incentive" under the "Handloom Marketing Assistance" Component of the National Handloom Development Programme</t>
        </is>
      </c>
      <c r="C263" s="8" t="inlineStr">
        <is>
          <t>C12-P0073</t>
        </is>
      </c>
      <c r="D263" s="8" t="inlineStr">
        <is>
          <t>Offline</t>
        </is>
      </c>
      <c r="E263" s="8" t="inlineStr">
        <is>
          <t>Step 10: Fund Distribution</t>
        </is>
      </c>
      <c r="F263" s="8" t="inlineStr">
        <is>
          <t>Source step text</t>
        </is>
      </c>
      <c r="G263" s="8" t="inlineStr">
        <is>
          <t>For National Level Handloom Organizations</t>
        </is>
      </c>
      <c r="H263" s="8" t="inlineStr">
        <is>
          <t>en.applicationProcess[0].process[22].children[0]</t>
        </is>
      </c>
      <c r="I263" s="8" t="inlineStr">
        <is>
          <t>C12@20261028-55825899</t>
        </is>
      </c>
      <c r="J263" s="8" t="inlineStr">
        <is>
          <t>MS-C12</t>
        </is>
      </c>
      <c r="K263" s="8" t="inlineStr">
        <is>
          <t>1/1</t>
        </is>
      </c>
      <c r="L263" s="7" t="inlineStr">
        <is>
          <t>Approved</t>
        </is>
      </c>
      <c r="M263" s="7" t="n"/>
      <c r="N263" s="8" t="inlineStr">
        <is>
          <t>Actor, branch and dependency need review.</t>
        </is>
      </c>
    </row>
    <row r="264" ht="54" customHeight="1">
      <c r="A264" s="4" t="inlineStr">
        <is>
          <t>C12</t>
        </is>
      </c>
      <c r="B264" s="4" t="inlineStr">
        <is>
          <t>"Marketing Incentive" under the "Handloom Marketing Assistance" Component of the National Handloom Development Programme</t>
        </is>
      </c>
      <c r="C264" s="4" t="inlineStr">
        <is>
          <t>C12-P0074</t>
        </is>
      </c>
      <c r="D264" s="4" t="inlineStr">
        <is>
          <t>Offline</t>
        </is>
      </c>
      <c r="E264" s="4" t="inlineStr">
        <is>
          <t>Step 1: Direct Application Preparation</t>
        </is>
      </c>
      <c r="F264" s="4" t="inlineStr">
        <is>
          <t>Heading / phase</t>
        </is>
      </c>
      <c r="G264" s="4" t="inlineStr">
        <is>
          <t>Step 1: Direct Application Preparation</t>
        </is>
      </c>
      <c r="H264" s="4" t="inlineStr">
        <is>
          <t>en.applicationProcess[0].process[23]</t>
        </is>
      </c>
      <c r="I264" s="4" t="inlineStr">
        <is>
          <t>C12@20261028-55825899</t>
        </is>
      </c>
      <c r="J264" s="4" t="inlineStr">
        <is>
          <t>MS-C12</t>
        </is>
      </c>
      <c r="K264" s="4" t="inlineStr">
        <is>
          <t>1/1</t>
        </is>
      </c>
      <c r="L264" s="7" t="inlineStr">
        <is>
          <t>Approved</t>
        </is>
      </c>
      <c r="M264" s="7" t="n"/>
      <c r="N264" s="4" t="inlineStr">
        <is>
          <t>Actor, branch and dependency need review.</t>
        </is>
      </c>
    </row>
    <row r="265" ht="54" customHeight="1">
      <c r="A265" s="8" t="inlineStr">
        <is>
          <t>C12</t>
        </is>
      </c>
      <c r="B265" s="8" t="inlineStr">
        <is>
          <t>"Marketing Incentive" under the "Handloom Marketing Assistance" Component of the National Handloom Development Programme</t>
        </is>
      </c>
      <c r="C265" s="8" t="inlineStr">
        <is>
          <t>C12-P0075</t>
        </is>
      </c>
      <c r="D265" s="8" t="inlineStr">
        <is>
          <t>Offline</t>
        </is>
      </c>
      <c r="E265" s="8" t="inlineStr">
        <is>
          <t>Step 1: Direct Application Preparation</t>
        </is>
      </c>
      <c r="F265" s="8" t="inlineStr">
        <is>
          <t>Source step text</t>
        </is>
      </c>
      <c r="G265" s="8" t="inlineStr">
        <is>
          <t>Prepare Marketing Incentive claim with all supporting documents and prescribed proforma (Annexure - B8).</t>
        </is>
      </c>
      <c r="H265" s="8" t="inlineStr">
        <is>
          <t>en.applicationProcess[0].process[24]</t>
        </is>
      </c>
      <c r="I265" s="8" t="inlineStr">
        <is>
          <t>C12@20261028-55825899</t>
        </is>
      </c>
      <c r="J265" s="8" t="inlineStr">
        <is>
          <t>MS-C12</t>
        </is>
      </c>
      <c r="K265" s="8" t="inlineStr">
        <is>
          <t>1/1</t>
        </is>
      </c>
      <c r="L265" s="7" t="inlineStr">
        <is>
          <t>Approved</t>
        </is>
      </c>
      <c r="M265" s="7" t="n"/>
      <c r="N265" s="8" t="inlineStr">
        <is>
          <t>Actor, branch and dependency need review.</t>
        </is>
      </c>
    </row>
    <row r="266" ht="54" customHeight="1">
      <c r="A266" s="4" t="inlineStr">
        <is>
          <t>C12</t>
        </is>
      </c>
      <c r="B266" s="4" t="inlineStr">
        <is>
          <t>"Marketing Incentive" under the "Handloom Marketing Assistance" Component of the National Handloom Development Programme</t>
        </is>
      </c>
      <c r="C266" s="4" t="inlineStr">
        <is>
          <t>C12-P0076</t>
        </is>
      </c>
      <c r="D266" s="4" t="inlineStr">
        <is>
          <t>Offline</t>
        </is>
      </c>
      <c r="E266" s="4" t="inlineStr">
        <is>
          <t>Step 2: Submit to Development Commissioner (Handlooms)</t>
        </is>
      </c>
      <c r="F266" s="4" t="inlineStr">
        <is>
          <t>Heading / phase</t>
        </is>
      </c>
      <c r="G266" s="4" t="inlineStr">
        <is>
          <t>Step 2: Submit to Development Commissioner (Handlooms)</t>
        </is>
      </c>
      <c r="H266" s="4" t="inlineStr">
        <is>
          <t>en.applicationProcess[0].process[25]</t>
        </is>
      </c>
      <c r="I266" s="4" t="inlineStr">
        <is>
          <t>C12@20261028-55825899</t>
        </is>
      </c>
      <c r="J266" s="4" t="inlineStr">
        <is>
          <t>MS-C12</t>
        </is>
      </c>
      <c r="K266" s="4" t="inlineStr">
        <is>
          <t>1/1</t>
        </is>
      </c>
      <c r="L266" s="7" t="inlineStr">
        <is>
          <t>Approved</t>
        </is>
      </c>
      <c r="M266" s="7" t="n"/>
      <c r="N266" s="4" t="inlineStr">
        <is>
          <t>Actor, branch and dependency need review.</t>
        </is>
      </c>
    </row>
    <row r="267" ht="54" customHeight="1">
      <c r="A267" s="8" t="inlineStr">
        <is>
          <t>C12</t>
        </is>
      </c>
      <c r="B267" s="8" t="inlineStr">
        <is>
          <t>"Marketing Incentive" under the "Handloom Marketing Assistance" Component of the National Handloom Development Programme</t>
        </is>
      </c>
      <c r="C267" s="8" t="inlineStr">
        <is>
          <t>C12-P0077</t>
        </is>
      </c>
      <c r="D267" s="8" t="inlineStr">
        <is>
          <t>Offline</t>
        </is>
      </c>
      <c r="E267" s="8" t="inlineStr">
        <is>
          <t>Step 2: Submit to Development Commissioner (Handlooms)</t>
        </is>
      </c>
      <c r="F267" s="8" t="inlineStr">
        <is>
          <t>Source step text</t>
        </is>
      </c>
      <c r="G267" s="8" t="inlineStr">
        <is>
          <t>Submit claims directly to Office of Development Commissioner (Handlooms) with complete documentation.</t>
        </is>
      </c>
      <c r="H267" s="8" t="inlineStr">
        <is>
          <t>en.applicationProcess[0].process[26]</t>
        </is>
      </c>
      <c r="I267" s="8" t="inlineStr">
        <is>
          <t>C12@20261028-55825899</t>
        </is>
      </c>
      <c r="J267" s="8" t="inlineStr">
        <is>
          <t>MS-C12</t>
        </is>
      </c>
      <c r="K267" s="8" t="inlineStr">
        <is>
          <t>1/1</t>
        </is>
      </c>
      <c r="L267" s="7" t="inlineStr">
        <is>
          <t>Approved</t>
        </is>
      </c>
      <c r="M267" s="7" t="n"/>
      <c r="N267" s="8" t="inlineStr">
        <is>
          <t>Actor, branch and dependency need review.</t>
        </is>
      </c>
    </row>
    <row r="268" ht="54" customHeight="1">
      <c r="A268" s="4" t="inlineStr">
        <is>
          <t>C12</t>
        </is>
      </c>
      <c r="B268" s="4" t="inlineStr">
        <is>
          <t>"Marketing Incentive" under the "Handloom Marketing Assistance" Component of the National Handloom Development Programme</t>
        </is>
      </c>
      <c r="C268" s="4" t="inlineStr">
        <is>
          <t>C12-P0078</t>
        </is>
      </c>
      <c r="D268" s="4" t="inlineStr">
        <is>
          <t>Offline</t>
        </is>
      </c>
      <c r="E268" s="4" t="inlineStr">
        <is>
          <t>Step 3: Central Government Processing</t>
        </is>
      </c>
      <c r="F268" s="4" t="inlineStr">
        <is>
          <t>Heading / phase</t>
        </is>
      </c>
      <c r="G268" s="4" t="inlineStr">
        <is>
          <t>Step 3: Central Government Processing</t>
        </is>
      </c>
      <c r="H268" s="4" t="inlineStr">
        <is>
          <t>en.applicationProcess[0].process[27]</t>
        </is>
      </c>
      <c r="I268" s="4" t="inlineStr">
        <is>
          <t>C12@20261028-55825899</t>
        </is>
      </c>
      <c r="J268" s="4" t="inlineStr">
        <is>
          <t>MS-C12</t>
        </is>
      </c>
      <c r="K268" s="4" t="inlineStr">
        <is>
          <t>1/1</t>
        </is>
      </c>
      <c r="L268" s="7" t="inlineStr">
        <is>
          <t>Approved</t>
        </is>
      </c>
      <c r="M268" s="7" t="n"/>
      <c r="N268" s="4" t="inlineStr">
        <is>
          <t>Actor, branch and dependency need review.</t>
        </is>
      </c>
    </row>
    <row r="269" ht="54" customHeight="1">
      <c r="A269" s="8" t="inlineStr">
        <is>
          <t>C12</t>
        </is>
      </c>
      <c r="B269" s="8" t="inlineStr">
        <is>
          <t>"Marketing Incentive" under the "Handloom Marketing Assistance" Component of the National Handloom Development Programme</t>
        </is>
      </c>
      <c r="C269" s="8" t="inlineStr">
        <is>
          <t>C12-P0079</t>
        </is>
      </c>
      <c r="D269" s="8" t="inlineStr">
        <is>
          <t>Offline</t>
        </is>
      </c>
      <c r="E269" s="8" t="inlineStr">
        <is>
          <t>Step 3: Central Government Processing</t>
        </is>
      </c>
      <c r="F269" s="8" t="inlineStr">
        <is>
          <t>Source step text</t>
        </is>
      </c>
      <c r="G269" s="8" t="inlineStr">
        <is>
          <t>Office of Development Commissioner (Handlooms) processes and approves claims for National Level Organizations.</t>
        </is>
      </c>
      <c r="H269" s="8" t="inlineStr">
        <is>
          <t>en.applicationProcess[0].process[28]</t>
        </is>
      </c>
      <c r="I269" s="8" t="inlineStr">
        <is>
          <t>C12@20261028-55825899</t>
        </is>
      </c>
      <c r="J269" s="8" t="inlineStr">
        <is>
          <t>MS-C12</t>
        </is>
      </c>
      <c r="K269" s="8" t="inlineStr">
        <is>
          <t>1/1</t>
        </is>
      </c>
      <c r="L269" s="7" t="inlineStr">
        <is>
          <t>Approved</t>
        </is>
      </c>
      <c r="M269" s="7" t="n"/>
      <c r="N269" s="8" t="inlineStr">
        <is>
          <t>Actor, branch and dependency need review.</t>
        </is>
      </c>
    </row>
    <row r="270" ht="54" customHeight="1">
      <c r="A270" s="4" t="inlineStr">
        <is>
          <t>C12</t>
        </is>
      </c>
      <c r="B270" s="4" t="inlineStr">
        <is>
          <t>"Marketing Incentive" under the "Handloom Marketing Assistance" Component of the National Handloom Development Programme</t>
        </is>
      </c>
      <c r="C270" s="4" t="inlineStr">
        <is>
          <t>C12-P0080</t>
        </is>
      </c>
      <c r="D270" s="4" t="inlineStr">
        <is>
          <t>Offline</t>
        </is>
      </c>
      <c r="E270" s="4" t="inlineStr">
        <is>
          <t>Step 4: Direct Release</t>
        </is>
      </c>
      <c r="F270" s="4" t="inlineStr">
        <is>
          <t>Heading / phase</t>
        </is>
      </c>
      <c r="G270" s="4" t="inlineStr">
        <is>
          <t>Step 4: Direct Release</t>
        </is>
      </c>
      <c r="H270" s="4" t="inlineStr">
        <is>
          <t>en.applicationProcess[0].process[29]</t>
        </is>
      </c>
      <c r="I270" s="4" t="inlineStr">
        <is>
          <t>C12@20261028-55825899</t>
        </is>
      </c>
      <c r="J270" s="4" t="inlineStr">
        <is>
          <t>MS-C12</t>
        </is>
      </c>
      <c r="K270" s="4" t="inlineStr">
        <is>
          <t>1/1</t>
        </is>
      </c>
      <c r="L270" s="7" t="inlineStr">
        <is>
          <t>Approved</t>
        </is>
      </c>
      <c r="M270" s="7" t="n"/>
      <c r="N270" s="4" t="inlineStr">
        <is>
          <t>Actor, branch and dependency need review.</t>
        </is>
      </c>
    </row>
    <row r="271" ht="54" customHeight="1">
      <c r="A271" s="8" t="inlineStr">
        <is>
          <t>C12</t>
        </is>
      </c>
      <c r="B271" s="8" t="inlineStr">
        <is>
          <t>"Marketing Incentive" under the "Handloom Marketing Assistance" Component of the National Handloom Development Programme</t>
        </is>
      </c>
      <c r="C271" s="8" t="inlineStr">
        <is>
          <t>C12-P0081</t>
        </is>
      </c>
      <c r="D271" s="8" t="inlineStr">
        <is>
          <t>Offline</t>
        </is>
      </c>
      <c r="E271" s="8" t="inlineStr">
        <is>
          <t>Step 4: Direct Release</t>
        </is>
      </c>
      <c r="F271" s="8" t="inlineStr">
        <is>
          <t>Source step text</t>
        </is>
      </c>
      <c r="G271" s="8" t="inlineStr">
        <is>
          <t>Marketing Incentive assistance released directly to National Level Handloom Organizations by Government of India.</t>
        </is>
      </c>
      <c r="H271" s="8" t="inlineStr">
        <is>
          <t>en.applicationProcess[0].process[30]</t>
        </is>
      </c>
      <c r="I271" s="8" t="inlineStr">
        <is>
          <t>C12@20261028-55825899</t>
        </is>
      </c>
      <c r="J271" s="8" t="inlineStr">
        <is>
          <t>MS-C12</t>
        </is>
      </c>
      <c r="K271" s="8" t="inlineStr">
        <is>
          <t>1/1</t>
        </is>
      </c>
      <c r="L271" s="7" t="inlineStr">
        <is>
          <t>Approved</t>
        </is>
      </c>
      <c r="M271" s="7" t="n"/>
      <c r="N271" s="8" t="inlineStr">
        <is>
          <t>Actor, branch and dependency need review.</t>
        </is>
      </c>
    </row>
    <row r="272" ht="40" customHeight="1">
      <c r="A272" s="4" t="inlineStr">
        <is>
          <t>C13</t>
        </is>
      </c>
      <c r="B272" s="4" t="inlineStr">
        <is>
          <t>Kisan Credit Card</t>
        </is>
      </c>
      <c r="C272" s="4" t="inlineStr">
        <is>
          <t>C13-P0047</t>
        </is>
      </c>
      <c r="D272" s="4" t="inlineStr">
        <is>
          <t>Online</t>
        </is>
      </c>
      <c r="E272" s="4" t="inlineStr"/>
      <c r="F272" s="4" t="inlineStr">
        <is>
          <t>Source step text</t>
        </is>
      </c>
      <c r="G272" s="4" t="inlineStr">
        <is>
          <t>Visit the website of the bank you wish to apply for the kisan credit card scheme.</t>
        </is>
      </c>
      <c r="H272" s="4" t="inlineStr">
        <is>
          <t>en.applicationProcess[0].process[0].children[0]</t>
        </is>
      </c>
      <c r="I272" s="4" t="inlineStr">
        <is>
          <t>C13@20261028-241c8bb1</t>
        </is>
      </c>
      <c r="J272" s="4" t="inlineStr">
        <is>
          <t>MS-C13</t>
        </is>
      </c>
      <c r="K272" s="4" t="inlineStr">
        <is>
          <t>1/1</t>
        </is>
      </c>
      <c r="L272" s="7" t="inlineStr">
        <is>
          <t>Approved</t>
        </is>
      </c>
      <c r="M272" s="7" t="n"/>
      <c r="N272" s="4" t="inlineStr">
        <is>
          <t>Actor, branch and dependency need review.</t>
        </is>
      </c>
    </row>
    <row r="273" ht="40" customHeight="1">
      <c r="A273" s="8" t="inlineStr">
        <is>
          <t>C13</t>
        </is>
      </c>
      <c r="B273" s="8" t="inlineStr">
        <is>
          <t>Kisan Credit Card</t>
        </is>
      </c>
      <c r="C273" s="8" t="inlineStr">
        <is>
          <t>C13-P0048</t>
        </is>
      </c>
      <c r="D273" s="8" t="inlineStr">
        <is>
          <t>Online</t>
        </is>
      </c>
      <c r="E273" s="8" t="inlineStr"/>
      <c r="F273" s="8" t="inlineStr">
        <is>
          <t>Source step text</t>
        </is>
      </c>
      <c r="G273" s="8" t="inlineStr">
        <is>
          <t>From the list of options, choose the Kisan Credit Card.</t>
        </is>
      </c>
      <c r="H273" s="8" t="inlineStr">
        <is>
          <t>en.applicationProcess[0].process[0].children[1]</t>
        </is>
      </c>
      <c r="I273" s="8" t="inlineStr">
        <is>
          <t>C13@20261028-241c8bb1</t>
        </is>
      </c>
      <c r="J273" s="8" t="inlineStr">
        <is>
          <t>MS-C13</t>
        </is>
      </c>
      <c r="K273" s="8" t="inlineStr">
        <is>
          <t>1/1</t>
        </is>
      </c>
      <c r="L273" s="7" t="inlineStr">
        <is>
          <t>Approved</t>
        </is>
      </c>
      <c r="M273" s="7" t="n"/>
      <c r="N273" s="8" t="inlineStr">
        <is>
          <t>Actor, branch and dependency need review.</t>
        </is>
      </c>
    </row>
    <row r="274" ht="40" customHeight="1">
      <c r="A274" s="4" t="inlineStr">
        <is>
          <t>C13</t>
        </is>
      </c>
      <c r="B274" s="4" t="inlineStr">
        <is>
          <t>Kisan Credit Card</t>
        </is>
      </c>
      <c r="C274" s="4" t="inlineStr">
        <is>
          <t>C13-P0049</t>
        </is>
      </c>
      <c r="D274" s="4" t="inlineStr">
        <is>
          <t>Online</t>
        </is>
      </c>
      <c r="E274" s="4" t="inlineStr"/>
      <c r="F274" s="4" t="inlineStr">
        <is>
          <t>Source step text</t>
        </is>
      </c>
      <c r="G274" s="4" t="inlineStr">
        <is>
          <t>On clicking the option of ‘Apply’, the website will redirect you to the application page.</t>
        </is>
      </c>
      <c r="H274" s="4" t="inlineStr">
        <is>
          <t>en.applicationProcess[0].process[0].children[2]</t>
        </is>
      </c>
      <c r="I274" s="4" t="inlineStr">
        <is>
          <t>C13@20261028-241c8bb1</t>
        </is>
      </c>
      <c r="J274" s="4" t="inlineStr">
        <is>
          <t>MS-C13</t>
        </is>
      </c>
      <c r="K274" s="4" t="inlineStr">
        <is>
          <t>1/1</t>
        </is>
      </c>
      <c r="L274" s="7" t="inlineStr">
        <is>
          <t>Approved</t>
        </is>
      </c>
      <c r="M274" s="7" t="n"/>
      <c r="N274" s="4" t="inlineStr">
        <is>
          <t>Actor, branch and dependency need review.</t>
        </is>
      </c>
    </row>
    <row r="275" ht="40" customHeight="1">
      <c r="A275" s="8" t="inlineStr">
        <is>
          <t>C13</t>
        </is>
      </c>
      <c r="B275" s="8" t="inlineStr">
        <is>
          <t>Kisan Credit Card</t>
        </is>
      </c>
      <c r="C275" s="8" t="inlineStr">
        <is>
          <t>C13-P0050</t>
        </is>
      </c>
      <c r="D275" s="8" t="inlineStr">
        <is>
          <t>Online</t>
        </is>
      </c>
      <c r="E275" s="8" t="inlineStr"/>
      <c r="F275" s="8" t="inlineStr">
        <is>
          <t>Source step text</t>
        </is>
      </c>
      <c r="G275" s="8" t="inlineStr">
        <is>
          <t>Fill the form with the required details and click on ‘Submit’.</t>
        </is>
      </c>
      <c r="H275" s="8" t="inlineStr">
        <is>
          <t>en.applicationProcess[0].process[0].children[3]</t>
        </is>
      </c>
      <c r="I275" s="8" t="inlineStr">
        <is>
          <t>C13@20261028-241c8bb1</t>
        </is>
      </c>
      <c r="J275" s="8" t="inlineStr">
        <is>
          <t>MS-C13</t>
        </is>
      </c>
      <c r="K275" s="8" t="inlineStr">
        <is>
          <t>1/1</t>
        </is>
      </c>
      <c r="L275" s="7" t="inlineStr">
        <is>
          <t>Approved</t>
        </is>
      </c>
      <c r="M275" s="7" t="n"/>
      <c r="N275" s="8" t="inlineStr">
        <is>
          <t>Actor, branch and dependency need review.</t>
        </is>
      </c>
    </row>
    <row r="276" ht="40" customHeight="1">
      <c r="A276" s="4" t="inlineStr">
        <is>
          <t>C13</t>
        </is>
      </c>
      <c r="B276" s="4" t="inlineStr">
        <is>
          <t>Kisan Credit Card</t>
        </is>
      </c>
      <c r="C276" s="4" t="inlineStr">
        <is>
          <t>C13-P0051</t>
        </is>
      </c>
      <c r="D276" s="4" t="inlineStr">
        <is>
          <t>Online</t>
        </is>
      </c>
      <c r="E276" s="4" t="inlineStr"/>
      <c r="F276" s="4" t="inlineStr">
        <is>
          <t>Source step text</t>
        </is>
      </c>
      <c r="G276" s="4" t="inlineStr">
        <is>
          <t>On doing so, an application reference number will be sent. If you are eligible, the bank will get back to you for the further process within 3-4 working days.</t>
        </is>
      </c>
      <c r="H276" s="4" t="inlineStr">
        <is>
          <t>en.applicationProcess[0].process[0].children[4]</t>
        </is>
      </c>
      <c r="I276" s="4" t="inlineStr">
        <is>
          <t>C13@20261028-241c8bb1</t>
        </is>
      </c>
      <c r="J276" s="4" t="inlineStr">
        <is>
          <t>MS-C13</t>
        </is>
      </c>
      <c r="K276" s="4" t="inlineStr">
        <is>
          <t>1/1</t>
        </is>
      </c>
      <c r="L276" s="7" t="inlineStr">
        <is>
          <t>Approved</t>
        </is>
      </c>
      <c r="M276" s="7" t="n"/>
      <c r="N276" s="4" t="inlineStr">
        <is>
          <t>Actor, branch and dependency need review.</t>
        </is>
      </c>
    </row>
    <row r="277" ht="40" customHeight="1">
      <c r="A277" s="8" t="inlineStr">
        <is>
          <t>C13</t>
        </is>
      </c>
      <c r="B277" s="8" t="inlineStr">
        <is>
          <t>Kisan Credit Card</t>
        </is>
      </c>
      <c r="C277" s="8" t="inlineStr">
        <is>
          <t>C13-P0052</t>
        </is>
      </c>
      <c r="D277" s="8" t="inlineStr">
        <is>
          <t>Offline</t>
        </is>
      </c>
      <c r="E277" s="8" t="inlineStr"/>
      <c r="F277" s="8" t="inlineStr">
        <is>
          <t>Source step text</t>
        </is>
      </c>
      <c r="G277" s="8" t="inlineStr">
        <is>
          <t>Offline applications can be done by visiting the branch of the bank of your choice or by downloading the application form from the website of the bank as well.</t>
        </is>
      </c>
      <c r="H277" s="8" t="inlineStr">
        <is>
          <t>en.applicationProcess[1].process[0].children[0]</t>
        </is>
      </c>
      <c r="I277" s="8" t="inlineStr">
        <is>
          <t>C13@20261028-241c8bb1</t>
        </is>
      </c>
      <c r="J277" s="8" t="inlineStr">
        <is>
          <t>MS-C13</t>
        </is>
      </c>
      <c r="K277" s="8" t="inlineStr">
        <is>
          <t>1/1</t>
        </is>
      </c>
      <c r="L277" s="7" t="inlineStr">
        <is>
          <t>Approved</t>
        </is>
      </c>
      <c r="M277" s="7" t="n"/>
      <c r="N277" s="8" t="inlineStr">
        <is>
          <t>Actor, branch and dependency need review.</t>
        </is>
      </c>
    </row>
    <row r="278" ht="40" customHeight="1">
      <c r="A278" s="4" t="inlineStr">
        <is>
          <t>C13</t>
        </is>
      </c>
      <c r="B278" s="4" t="inlineStr">
        <is>
          <t>Kisan Credit Card</t>
        </is>
      </c>
      <c r="C278" s="4" t="inlineStr">
        <is>
          <t>C13-P0053</t>
        </is>
      </c>
      <c r="D278" s="4" t="inlineStr">
        <is>
          <t>Offline</t>
        </is>
      </c>
      <c r="E278" s="4" t="inlineStr"/>
      <c r="F278" s="4" t="inlineStr">
        <is>
          <t>Source step text</t>
        </is>
      </c>
      <c r="G278" s="4" t="inlineStr">
        <is>
          <t>The applicant can visit the branch and begin the application process with the help of the bank representative.</t>
        </is>
      </c>
      <c r="H278" s="4" t="inlineStr">
        <is>
          <t>en.applicationProcess[1].process[0].children[1]</t>
        </is>
      </c>
      <c r="I278" s="4" t="inlineStr">
        <is>
          <t>C13@20261028-241c8bb1</t>
        </is>
      </c>
      <c r="J278" s="4" t="inlineStr">
        <is>
          <t>MS-C13</t>
        </is>
      </c>
      <c r="K278" s="4" t="inlineStr">
        <is>
          <t>1/1</t>
        </is>
      </c>
      <c r="L278" s="7" t="inlineStr">
        <is>
          <t>Approved</t>
        </is>
      </c>
      <c r="M278" s="7" t="n"/>
      <c r="N278" s="4" t="inlineStr">
        <is>
          <t>Actor, branch and dependency need review.</t>
        </is>
      </c>
    </row>
    <row r="279" ht="40" customHeight="1">
      <c r="A279" s="8" t="inlineStr">
        <is>
          <t>C14</t>
        </is>
      </c>
      <c r="B279" s="8" t="inlineStr">
        <is>
          <t>Pradhan Mantri Fasal Bima Yojna (PMFBY)</t>
        </is>
      </c>
      <c r="C279" s="8" t="inlineStr">
        <is>
          <t>C14-P0039</t>
        </is>
      </c>
      <c r="D279" s="8" t="inlineStr">
        <is>
          <t>Online</t>
        </is>
      </c>
      <c r="E279" s="8" t="inlineStr"/>
      <c r="F279" s="8" t="inlineStr">
        <is>
          <t>Source step text</t>
        </is>
      </c>
      <c r="G279" s="8" t="inlineStr">
        <is>
          <t>Step 1: Visit the Official Website of "Pradhan Mantri Fasal Bima Yojana".</t>
        </is>
      </c>
      <c r="H279" s="8" t="inlineStr">
        <is>
          <t>en.applicationProcess[0].process[0]</t>
        </is>
      </c>
      <c r="I279" s="8" t="inlineStr">
        <is>
          <t>C14@20261028-9029f2b7</t>
        </is>
      </c>
      <c r="J279" s="8" t="inlineStr">
        <is>
          <t>MS-C14</t>
        </is>
      </c>
      <c r="K279" s="8" t="inlineStr">
        <is>
          <t>1/1</t>
        </is>
      </c>
      <c r="L279" s="7" t="inlineStr">
        <is>
          <t>Approved</t>
        </is>
      </c>
      <c r="M279" s="7" t="n"/>
      <c r="N279" s="8" t="inlineStr">
        <is>
          <t>Actor, branch and dependency need review.</t>
        </is>
      </c>
    </row>
    <row r="280" ht="40" customHeight="1">
      <c r="A280" s="4" t="inlineStr">
        <is>
          <t>C14</t>
        </is>
      </c>
      <c r="B280" s="4" t="inlineStr">
        <is>
          <t>Pradhan Mantri Fasal Bima Yojna (PMFBY)</t>
        </is>
      </c>
      <c r="C280" s="4" t="inlineStr">
        <is>
          <t>C14-P0040</t>
        </is>
      </c>
      <c r="D280" s="4" t="inlineStr">
        <is>
          <t>Online</t>
        </is>
      </c>
      <c r="E280" s="4" t="inlineStr"/>
      <c r="F280" s="4" t="inlineStr">
        <is>
          <t>Source step text</t>
        </is>
      </c>
      <c r="G280" s="4" t="inlineStr">
        <is>
          <t>Step 2: At the top right corner of the homepage, click "Farmer Corner".</t>
        </is>
      </c>
      <c r="H280" s="4" t="inlineStr">
        <is>
          <t>en.applicationProcess[0].process[1]</t>
        </is>
      </c>
      <c r="I280" s="4" t="inlineStr">
        <is>
          <t>C14@20261028-9029f2b7</t>
        </is>
      </c>
      <c r="J280" s="4" t="inlineStr">
        <is>
          <t>MS-C14</t>
        </is>
      </c>
      <c r="K280" s="4" t="inlineStr">
        <is>
          <t>1/1</t>
        </is>
      </c>
      <c r="L280" s="7" t="inlineStr">
        <is>
          <t>Approved</t>
        </is>
      </c>
      <c r="M280" s="7" t="n"/>
      <c r="N280" s="4" t="inlineStr">
        <is>
          <t>Actor, branch and dependency need review.</t>
        </is>
      </c>
    </row>
    <row r="281" ht="40" customHeight="1">
      <c r="A281" s="8" t="inlineStr">
        <is>
          <t>C14</t>
        </is>
      </c>
      <c r="B281" s="8" t="inlineStr">
        <is>
          <t>Pradhan Mantri Fasal Bima Yojna (PMFBY)</t>
        </is>
      </c>
      <c r="C281" s="8" t="inlineStr">
        <is>
          <t>C14-P0041</t>
        </is>
      </c>
      <c r="D281" s="8" t="inlineStr">
        <is>
          <t>Online</t>
        </is>
      </c>
      <c r="E281" s="8" t="inlineStr"/>
      <c r="F281" s="8" t="inlineStr">
        <is>
          <t>Source step text</t>
        </is>
      </c>
      <c r="G281" s="8" t="inlineStr">
        <is>
          <t>In the popup window, click "Guest Farmer". You will be taken to the Online Registration Form.</t>
        </is>
      </c>
      <c r="H281" s="8" t="inlineStr">
        <is>
          <t>en.applicationProcess[0].process[2]</t>
        </is>
      </c>
      <c r="I281" s="8" t="inlineStr">
        <is>
          <t>C14@20261028-9029f2b7</t>
        </is>
      </c>
      <c r="J281" s="8" t="inlineStr">
        <is>
          <t>MS-C14</t>
        </is>
      </c>
      <c r="K281" s="8" t="inlineStr">
        <is>
          <t>1/1</t>
        </is>
      </c>
      <c r="L281" s="7" t="inlineStr">
        <is>
          <t>Approved</t>
        </is>
      </c>
      <c r="M281" s="7" t="n"/>
      <c r="N281" s="8" t="inlineStr">
        <is>
          <t>Actor, branch and dependency need review.</t>
        </is>
      </c>
    </row>
    <row r="282" ht="40" customHeight="1">
      <c r="A282" s="4" t="inlineStr">
        <is>
          <t>C14</t>
        </is>
      </c>
      <c r="B282" s="4" t="inlineStr">
        <is>
          <t>Pradhan Mantri Fasal Bima Yojna (PMFBY)</t>
        </is>
      </c>
      <c r="C282" s="4" t="inlineStr">
        <is>
          <t>C14-P0042</t>
        </is>
      </c>
      <c r="D282" s="4" t="inlineStr">
        <is>
          <t>Online</t>
        </is>
      </c>
      <c r="E282" s="4" t="inlineStr"/>
      <c r="F282" s="4" t="inlineStr">
        <is>
          <t>Source step text</t>
        </is>
      </c>
      <c r="G282" s="4" t="inlineStr">
        <is>
          <t>*If already registered, skip to Step: 4.</t>
        </is>
      </c>
      <c r="H282" s="4" t="inlineStr">
        <is>
          <t>en.applicationProcess[0].process[3]</t>
        </is>
      </c>
      <c r="I282" s="4" t="inlineStr">
        <is>
          <t>C14@20261028-9029f2b7</t>
        </is>
      </c>
      <c r="J282" s="4" t="inlineStr">
        <is>
          <t>MS-C14</t>
        </is>
      </c>
      <c r="K282" s="4" t="inlineStr">
        <is>
          <t>1/1</t>
        </is>
      </c>
      <c r="L282" s="7" t="inlineStr">
        <is>
          <t>Approved</t>
        </is>
      </c>
      <c r="M282" s="7" t="n"/>
      <c r="N282" s="4" t="inlineStr">
        <is>
          <t>Actor, branch and dependency need review.</t>
        </is>
      </c>
    </row>
    <row r="283" ht="40" customHeight="1">
      <c r="A283" s="8" t="inlineStr">
        <is>
          <t>C14</t>
        </is>
      </c>
      <c r="B283" s="8" t="inlineStr">
        <is>
          <t>Pradhan Mantri Fasal Bima Yojna (PMFBY)</t>
        </is>
      </c>
      <c r="C283" s="8" t="inlineStr">
        <is>
          <t>C14-P0043</t>
        </is>
      </c>
      <c r="D283" s="8" t="inlineStr">
        <is>
          <t>Online</t>
        </is>
      </c>
      <c r="E283" s="8" t="inlineStr"/>
      <c r="F283" s="8" t="inlineStr">
        <is>
          <t>Source step text</t>
        </is>
      </c>
      <c r="G283" s="8" t="inlineStr">
        <is>
          <t>Step 3: In the Registration Form, fill in the following mandatory fields (marked with a red asterisk):</t>
        </is>
      </c>
      <c r="H283" s="8" t="inlineStr">
        <is>
          <t>en.applicationProcess[0].process[4]</t>
        </is>
      </c>
      <c r="I283" s="8" t="inlineStr">
        <is>
          <t>C14@20261028-9029f2b7</t>
        </is>
      </c>
      <c r="J283" s="8" t="inlineStr">
        <is>
          <t>MS-C14</t>
        </is>
      </c>
      <c r="K283" s="8" t="inlineStr">
        <is>
          <t>1/1</t>
        </is>
      </c>
      <c r="L283" s="7" t="inlineStr">
        <is>
          <t>Approved</t>
        </is>
      </c>
      <c r="M283" s="7" t="n"/>
      <c r="N283" s="8" t="inlineStr">
        <is>
          <t>Actor, branch and dependency need review.</t>
        </is>
      </c>
    </row>
    <row r="284" ht="40" customHeight="1">
      <c r="A284" s="4" t="inlineStr">
        <is>
          <t>C14</t>
        </is>
      </c>
      <c r="B284" s="4" t="inlineStr">
        <is>
          <t>Pradhan Mantri Fasal Bima Yojna (PMFBY)</t>
        </is>
      </c>
      <c r="C284" s="4" t="inlineStr">
        <is>
          <t>C14-P0044</t>
        </is>
      </c>
      <c r="D284" s="4" t="inlineStr">
        <is>
          <t>Online</t>
        </is>
      </c>
      <c r="E284" s="4" t="inlineStr"/>
      <c r="F284" s="4" t="inlineStr">
        <is>
          <t>Source step text</t>
        </is>
      </c>
      <c r="G284" s="4" t="inlineStr">
        <is>
          <t>"FARMER DETAILS" Section: Full Name, Passbook Name, Relationship, Relative Name, Mobile No., Age, Caste Category, Gender, Farmer Type, Farmer Category,</t>
        </is>
      </c>
      <c r="H284" s="4" t="inlineStr">
        <is>
          <t>en.applicationProcess[0].process[5]</t>
        </is>
      </c>
      <c r="I284" s="4" t="inlineStr">
        <is>
          <t>C14@20261028-9029f2b7</t>
        </is>
      </c>
      <c r="J284" s="4" t="inlineStr">
        <is>
          <t>MS-C14</t>
        </is>
      </c>
      <c r="K284" s="4" t="inlineStr">
        <is>
          <t>1/1</t>
        </is>
      </c>
      <c r="L284" s="7" t="inlineStr">
        <is>
          <t>Approved</t>
        </is>
      </c>
      <c r="M284" s="7" t="n"/>
      <c r="N284" s="4" t="inlineStr">
        <is>
          <t>Actor, branch and dependency need review.</t>
        </is>
      </c>
    </row>
    <row r="285" ht="40" customHeight="1">
      <c r="A285" s="8" t="inlineStr">
        <is>
          <t>C14</t>
        </is>
      </c>
      <c r="B285" s="8" t="inlineStr">
        <is>
          <t>Pradhan Mantri Fasal Bima Yojna (PMFBY)</t>
        </is>
      </c>
      <c r="C285" s="8" t="inlineStr">
        <is>
          <t>C14-P0045</t>
        </is>
      </c>
      <c r="D285" s="8" t="inlineStr">
        <is>
          <t>Online</t>
        </is>
      </c>
      <c r="E285" s="8" t="inlineStr"/>
      <c r="F285" s="8" t="inlineStr">
        <is>
          <t>Source step text</t>
        </is>
      </c>
      <c r="G285" s="8" t="inlineStr">
        <is>
          <t>"RESIDENTIAL DETAILS" Section: State, District, Sub District, Residential Village/ Town, Address, PIN Code</t>
        </is>
      </c>
      <c r="H285" s="8" t="inlineStr">
        <is>
          <t>en.applicationProcess[0].process[6]</t>
        </is>
      </c>
      <c r="I285" s="8" t="inlineStr">
        <is>
          <t>C14@20261028-9029f2b7</t>
        </is>
      </c>
      <c r="J285" s="8" t="inlineStr">
        <is>
          <t>MS-C14</t>
        </is>
      </c>
      <c r="K285" s="8" t="inlineStr">
        <is>
          <t>1/1</t>
        </is>
      </c>
      <c r="L285" s="7" t="inlineStr">
        <is>
          <t>Approved</t>
        </is>
      </c>
      <c r="M285" s="7" t="n"/>
      <c r="N285" s="8" t="inlineStr">
        <is>
          <t>Actor, branch and dependency need review.</t>
        </is>
      </c>
    </row>
    <row r="286" ht="40" customHeight="1">
      <c r="A286" s="4" t="inlineStr">
        <is>
          <t>C14</t>
        </is>
      </c>
      <c r="B286" s="4" t="inlineStr">
        <is>
          <t>Pradhan Mantri Fasal Bima Yojna (PMFBY)</t>
        </is>
      </c>
      <c r="C286" s="4" t="inlineStr">
        <is>
          <t>C14-P0046</t>
        </is>
      </c>
      <c r="D286" s="4" t="inlineStr">
        <is>
          <t>Online</t>
        </is>
      </c>
      <c r="E286" s="4" t="inlineStr"/>
      <c r="F286" s="4" t="inlineStr">
        <is>
          <t>Source step text</t>
        </is>
      </c>
      <c r="G286" s="4" t="inlineStr">
        <is>
          <t>"FARMER ID" Section: ID Type, ID No,</t>
        </is>
      </c>
      <c r="H286" s="4" t="inlineStr">
        <is>
          <t>en.applicationProcess[0].process[7]</t>
        </is>
      </c>
      <c r="I286" s="4" t="inlineStr">
        <is>
          <t>C14@20261028-9029f2b7</t>
        </is>
      </c>
      <c r="J286" s="4" t="inlineStr">
        <is>
          <t>MS-C14</t>
        </is>
      </c>
      <c r="K286" s="4" t="inlineStr">
        <is>
          <t>1/1</t>
        </is>
      </c>
      <c r="L286" s="7" t="inlineStr">
        <is>
          <t>Approved</t>
        </is>
      </c>
      <c r="M286" s="7" t="n"/>
      <c r="N286" s="4" t="inlineStr">
        <is>
          <t>Actor, branch and dependency need review.</t>
        </is>
      </c>
    </row>
    <row r="287" ht="40" customHeight="1">
      <c r="A287" s="8" t="inlineStr">
        <is>
          <t>C14</t>
        </is>
      </c>
      <c r="B287" s="8" t="inlineStr">
        <is>
          <t>Pradhan Mantri Fasal Bima Yojna (PMFBY)</t>
        </is>
      </c>
      <c r="C287" s="8" t="inlineStr">
        <is>
          <t>C14-P0047</t>
        </is>
      </c>
      <c r="D287" s="8" t="inlineStr">
        <is>
          <t>Online</t>
        </is>
      </c>
      <c r="E287" s="8" t="inlineStr"/>
      <c r="F287" s="8" t="inlineStr">
        <is>
          <t>Source step text</t>
        </is>
      </c>
      <c r="G287" s="8" t="inlineStr">
        <is>
          <t>"ACCOUNT DETAILS" Section: IFSC, Bank Name, Branch Name, Savings Bank A/C No., Confirm Savings Bank A/C No..</t>
        </is>
      </c>
      <c r="H287" s="8" t="inlineStr">
        <is>
          <t>en.applicationProcess[0].process[8]</t>
        </is>
      </c>
      <c r="I287" s="8" t="inlineStr">
        <is>
          <t>C14@20261028-9029f2b7</t>
        </is>
      </c>
      <c r="J287" s="8" t="inlineStr">
        <is>
          <t>MS-C14</t>
        </is>
      </c>
      <c r="K287" s="8" t="inlineStr">
        <is>
          <t>1/1</t>
        </is>
      </c>
      <c r="L287" s="7" t="inlineStr">
        <is>
          <t>Approved</t>
        </is>
      </c>
      <c r="M287" s="7" t="n"/>
      <c r="N287" s="8" t="inlineStr">
        <is>
          <t>Actor, branch and dependency need review.</t>
        </is>
      </c>
    </row>
    <row r="288" ht="40" customHeight="1">
      <c r="A288" s="4" t="inlineStr">
        <is>
          <t>C14</t>
        </is>
      </c>
      <c r="B288" s="4" t="inlineStr">
        <is>
          <t>Pradhan Mantri Fasal Bima Yojna (PMFBY)</t>
        </is>
      </c>
      <c r="C288" s="4" t="inlineStr">
        <is>
          <t>C14-P0048</t>
        </is>
      </c>
      <c r="D288" s="4" t="inlineStr">
        <is>
          <t>Online</t>
        </is>
      </c>
      <c r="E288" s="4" t="inlineStr"/>
      <c r="F288" s="4" t="inlineStr">
        <is>
          <t>Source step text</t>
        </is>
      </c>
      <c r="G288" s="4" t="inlineStr">
        <is>
          <t>At the bottom of the registration form, fill in the Captcha Code and click "Create User".</t>
        </is>
      </c>
      <c r="H288" s="4" t="inlineStr">
        <is>
          <t>en.applicationProcess[0].process[9]</t>
        </is>
      </c>
      <c r="I288" s="4" t="inlineStr">
        <is>
          <t>C14@20261028-9029f2b7</t>
        </is>
      </c>
      <c r="J288" s="4" t="inlineStr">
        <is>
          <t>MS-C14</t>
        </is>
      </c>
      <c r="K288" s="4" t="inlineStr">
        <is>
          <t>1/1</t>
        </is>
      </c>
      <c r="L288" s="7" t="inlineStr">
        <is>
          <t>Approved</t>
        </is>
      </c>
      <c r="M288" s="7" t="n"/>
      <c r="N288" s="4" t="inlineStr">
        <is>
          <t>Actor, branch and dependency need review.</t>
        </is>
      </c>
    </row>
    <row r="289" ht="40" customHeight="1">
      <c r="A289" s="8" t="inlineStr">
        <is>
          <t>C14</t>
        </is>
      </c>
      <c r="B289" s="8" t="inlineStr">
        <is>
          <t>Pradhan Mantri Fasal Bima Yojna (PMFBY)</t>
        </is>
      </c>
      <c r="C289" s="8" t="inlineStr">
        <is>
          <t>C14-P0049</t>
        </is>
      </c>
      <c r="D289" s="8" t="inlineStr">
        <is>
          <t>Online</t>
        </is>
      </c>
      <c r="E289" s="8" t="inlineStr"/>
      <c r="F289" s="8" t="inlineStr">
        <is>
          <t>Source step text</t>
        </is>
      </c>
      <c r="G289" s="8" t="inlineStr">
        <is>
          <t>Step 4: Upon successful registration, click "Farmer Corner (Apply for Crop Insurance Yourself)".</t>
        </is>
      </c>
      <c r="H289" s="8" t="inlineStr">
        <is>
          <t>en.applicationProcess[0].process[10]</t>
        </is>
      </c>
      <c r="I289" s="8" t="inlineStr">
        <is>
          <t>C14@20261028-9029f2b7</t>
        </is>
      </c>
      <c r="J289" s="8" t="inlineStr">
        <is>
          <t>MS-C14</t>
        </is>
      </c>
      <c r="K289" s="8" t="inlineStr">
        <is>
          <t>1/1</t>
        </is>
      </c>
      <c r="L289" s="7" t="inlineStr">
        <is>
          <t>Approved</t>
        </is>
      </c>
      <c r="M289" s="7" t="n"/>
      <c r="N289" s="8" t="inlineStr">
        <is>
          <t>Actor, branch and dependency need review.</t>
        </is>
      </c>
    </row>
    <row r="290" ht="40" customHeight="1">
      <c r="A290" s="4" t="inlineStr">
        <is>
          <t>C14</t>
        </is>
      </c>
      <c r="B290" s="4" t="inlineStr">
        <is>
          <t>Pradhan Mantri Fasal Bima Yojna (PMFBY)</t>
        </is>
      </c>
      <c r="C290" s="4" t="inlineStr">
        <is>
          <t>C14-P0050</t>
        </is>
      </c>
      <c r="D290" s="4" t="inlineStr">
        <is>
          <t>Online</t>
        </is>
      </c>
      <c r="E290" s="4" t="inlineStr"/>
      <c r="F290" s="4" t="inlineStr">
        <is>
          <t>Source step text</t>
        </is>
      </c>
      <c r="G290" s="4" t="inlineStr">
        <is>
          <t>In the popup window, click "Login for Farmer". You will be taken to the Login Page.</t>
        </is>
      </c>
      <c r="H290" s="4" t="inlineStr">
        <is>
          <t>en.applicationProcess[0].process[11]</t>
        </is>
      </c>
      <c r="I290" s="4" t="inlineStr">
        <is>
          <t>C14@20261028-9029f2b7</t>
        </is>
      </c>
      <c r="J290" s="4" t="inlineStr">
        <is>
          <t>MS-C14</t>
        </is>
      </c>
      <c r="K290" s="4" t="inlineStr">
        <is>
          <t>1/1</t>
        </is>
      </c>
      <c r="L290" s="7" t="inlineStr">
        <is>
          <t>Approved</t>
        </is>
      </c>
      <c r="M290" s="7" t="n"/>
      <c r="N290" s="4" t="inlineStr">
        <is>
          <t>Actor, branch and dependency need review.</t>
        </is>
      </c>
    </row>
    <row r="291" ht="40" customHeight="1">
      <c r="A291" s="8" t="inlineStr">
        <is>
          <t>C14</t>
        </is>
      </c>
      <c r="B291" s="8" t="inlineStr">
        <is>
          <t>Pradhan Mantri Fasal Bima Yojna (PMFBY)</t>
        </is>
      </c>
      <c r="C291" s="8" t="inlineStr">
        <is>
          <t>C14-P0051</t>
        </is>
      </c>
      <c r="D291" s="8" t="inlineStr">
        <is>
          <t>Online</t>
        </is>
      </c>
      <c r="E291" s="8" t="inlineStr"/>
      <c r="F291" s="8" t="inlineStr">
        <is>
          <t>Source step text</t>
        </is>
      </c>
      <c r="G291" s="8" t="inlineStr">
        <is>
          <t>https://pmfby.gov.in/farmerLogin</t>
        </is>
      </c>
      <c r="H291" s="8" t="inlineStr">
        <is>
          <t>en.applicationProcess[0].process[12]</t>
        </is>
      </c>
      <c r="I291" s="8" t="inlineStr">
        <is>
          <t>C14@20261028-9029f2b7</t>
        </is>
      </c>
      <c r="J291" s="8" t="inlineStr">
        <is>
          <t>MS-C14</t>
        </is>
      </c>
      <c r="K291" s="8" t="inlineStr">
        <is>
          <t>1/1</t>
        </is>
      </c>
      <c r="L291" s="7" t="inlineStr">
        <is>
          <t>Approved</t>
        </is>
      </c>
      <c r="M291" s="7" t="n"/>
      <c r="N291" s="8" t="inlineStr">
        <is>
          <t>Actor, branch and dependency need review.</t>
        </is>
      </c>
    </row>
    <row r="292" ht="54" customHeight="1">
      <c r="A292" s="4" t="inlineStr">
        <is>
          <t>C14</t>
        </is>
      </c>
      <c r="B292" s="4" t="inlineStr">
        <is>
          <t>Pradhan Mantri Fasal Bima Yojna (PMFBY)</t>
        </is>
      </c>
      <c r="C292" s="4" t="inlineStr">
        <is>
          <t>C14-P0052</t>
        </is>
      </c>
      <c r="D292" s="4" t="inlineStr">
        <is>
          <t>Online</t>
        </is>
      </c>
      <c r="E292" s="4" t="inlineStr"/>
      <c r="F292" s="4" t="inlineStr">
        <is>
          <t>Source step text</t>
        </is>
      </c>
      <c r="G292" s="4" t="inlineStr">
        <is>
          <t>Step 5: On the Login Page, provide your Mobile Number, fill the Captcha Code, then click "Request for OTP". Enter the OTP received on your registered Mobile Number, and click "Submit". You will be taken to the "Farmer Application Form".</t>
        </is>
      </c>
      <c r="H292" s="4" t="inlineStr">
        <is>
          <t>en.applicationProcess[0].process[13]</t>
        </is>
      </c>
      <c r="I292" s="4" t="inlineStr">
        <is>
          <t>C14@20261028-9029f2b7</t>
        </is>
      </c>
      <c r="J292" s="4" t="inlineStr">
        <is>
          <t>MS-C14</t>
        </is>
      </c>
      <c r="K292" s="4" t="inlineStr">
        <is>
          <t>1/1</t>
        </is>
      </c>
      <c r="L292" s="7" t="inlineStr">
        <is>
          <t>Approved</t>
        </is>
      </c>
      <c r="M292" s="7" t="n"/>
      <c r="N292" s="4" t="inlineStr">
        <is>
          <t>Actor, branch and dependency need review.</t>
        </is>
      </c>
    </row>
    <row r="293" ht="40" customHeight="1">
      <c r="A293" s="8" t="inlineStr">
        <is>
          <t>C14</t>
        </is>
      </c>
      <c r="B293" s="8" t="inlineStr">
        <is>
          <t>Pradhan Mantri Fasal Bima Yojna (PMFBY)</t>
        </is>
      </c>
      <c r="C293" s="8" t="inlineStr">
        <is>
          <t>C14-P0053</t>
        </is>
      </c>
      <c r="D293" s="8" t="inlineStr">
        <is>
          <t>Online</t>
        </is>
      </c>
      <c r="E293" s="8" t="inlineStr"/>
      <c r="F293" s="8" t="inlineStr">
        <is>
          <t>Source step text</t>
        </is>
      </c>
      <c r="G293" s="8" t="inlineStr">
        <is>
          <t>Step 6: Fill in all the mandatory fields of the Application Form and upload all the mandatory documents in the specified format and size.</t>
        </is>
      </c>
      <c r="H293" s="8" t="inlineStr">
        <is>
          <t>en.applicationProcess[0].process[14]</t>
        </is>
      </c>
      <c r="I293" s="8" t="inlineStr">
        <is>
          <t>C14@20261028-9029f2b7</t>
        </is>
      </c>
      <c r="J293" s="8" t="inlineStr">
        <is>
          <t>MS-C14</t>
        </is>
      </c>
      <c r="K293" s="8" t="inlineStr">
        <is>
          <t>1/1</t>
        </is>
      </c>
      <c r="L293" s="7" t="inlineStr">
        <is>
          <t>Approved</t>
        </is>
      </c>
      <c r="M293" s="7" t="n"/>
      <c r="N293" s="8" t="inlineStr">
        <is>
          <t>Actor, branch and dependency need review.</t>
        </is>
      </c>
    </row>
    <row r="294" ht="54" customHeight="1">
      <c r="A294" s="4" t="inlineStr">
        <is>
          <t>C14</t>
        </is>
      </c>
      <c r="B294" s="4" t="inlineStr">
        <is>
          <t>Pradhan Mantri Fasal Bima Yojna (PMFBY)</t>
        </is>
      </c>
      <c r="C294" s="4" t="inlineStr">
        <is>
          <t>C14-P0054</t>
        </is>
      </c>
      <c r="D294" s="4" t="inlineStr">
        <is>
          <t>Online</t>
        </is>
      </c>
      <c r="E294" s="4" t="inlineStr"/>
      <c r="F294" s="4" t="inlineStr">
        <is>
          <t>Source step text</t>
        </is>
      </c>
      <c r="G294" s="4" t="inlineStr">
        <is>
          <t>Click "Preview" to carefully review all the information provided and the uploaded documents. Click "Submit" to submit your application. You'll receive a confirmation message.</t>
        </is>
      </c>
      <c r="H294" s="4" t="inlineStr">
        <is>
          <t>en.applicationProcess[0].process[15]</t>
        </is>
      </c>
      <c r="I294" s="4" t="inlineStr">
        <is>
          <t>C14@20261028-9029f2b7</t>
        </is>
      </c>
      <c r="J294" s="4" t="inlineStr">
        <is>
          <t>MS-C14</t>
        </is>
      </c>
      <c r="K294" s="4" t="inlineStr">
        <is>
          <t>1/1</t>
        </is>
      </c>
      <c r="L294" s="7" t="inlineStr">
        <is>
          <t>Approved</t>
        </is>
      </c>
      <c r="M294" s="7" t="n"/>
      <c r="N294" s="4" t="inlineStr">
        <is>
          <t>Actor, branch and dependency need review.</t>
        </is>
      </c>
    </row>
    <row r="295" ht="54" customHeight="1">
      <c r="A295" s="8" t="inlineStr">
        <is>
          <t>C14</t>
        </is>
      </c>
      <c r="B295" s="8" t="inlineStr">
        <is>
          <t>Pradhan Mantri Fasal Bima Yojna (PMFBY)</t>
        </is>
      </c>
      <c r="C295" s="8" t="inlineStr">
        <is>
          <t>C14-P0055</t>
        </is>
      </c>
      <c r="D295" s="8" t="inlineStr">
        <is>
          <t>Online</t>
        </is>
      </c>
      <c r="E295" s="8" t="inlineStr"/>
      <c r="F295" s="8" t="inlineStr">
        <is>
          <t>Source step text</t>
        </is>
      </c>
      <c r="G295" s="8" t="inlineStr">
        <is>
          <t>Step 7: In the popup window, the following options will be displayed: "Pay Later" and "Make Payment". Select "Pay Later" if you intend to pay for the insurance at a later stage. Else, select "Make Payment".</t>
        </is>
      </c>
      <c r="H295" s="8" t="inlineStr">
        <is>
          <t>en.applicationProcess[0].process[16]</t>
        </is>
      </c>
      <c r="I295" s="8" t="inlineStr">
        <is>
          <t>C14@20261028-9029f2b7</t>
        </is>
      </c>
      <c r="J295" s="8" t="inlineStr">
        <is>
          <t>MS-C14</t>
        </is>
      </c>
      <c r="K295" s="8" t="inlineStr">
        <is>
          <t>1/1</t>
        </is>
      </c>
      <c r="L295" s="7" t="inlineStr">
        <is>
          <t>Approved</t>
        </is>
      </c>
      <c r="M295" s="7" t="n"/>
      <c r="N295" s="8" t="inlineStr">
        <is>
          <t>Actor, branch and dependency need review.</t>
        </is>
      </c>
    </row>
    <row r="296" ht="40" customHeight="1">
      <c r="A296" s="4" t="inlineStr">
        <is>
          <t>C14</t>
        </is>
      </c>
      <c r="B296" s="4" t="inlineStr">
        <is>
          <t>Pradhan Mantri Fasal Bima Yojna (PMFBY)</t>
        </is>
      </c>
      <c r="C296" s="4" t="inlineStr">
        <is>
          <t>C14-P0056</t>
        </is>
      </c>
      <c r="D296" s="4" t="inlineStr">
        <is>
          <t>Online</t>
        </is>
      </c>
      <c r="E296" s="4" t="inlineStr"/>
      <c r="F296" s="4" t="inlineStr">
        <is>
          <t>Source step text</t>
        </is>
      </c>
      <c r="G296" s="4" t="inlineStr">
        <is>
          <t>Step 8: Upon successful payment, you may print the receipt of the payment.</t>
        </is>
      </c>
      <c r="H296" s="4" t="inlineStr">
        <is>
          <t>en.applicationProcess[0].process[17]</t>
        </is>
      </c>
      <c r="I296" s="4" t="inlineStr">
        <is>
          <t>C14@20261028-9029f2b7</t>
        </is>
      </c>
      <c r="J296" s="4" t="inlineStr">
        <is>
          <t>MS-C14</t>
        </is>
      </c>
      <c r="K296" s="4" t="inlineStr">
        <is>
          <t>1/1</t>
        </is>
      </c>
      <c r="L296" s="7" t="inlineStr">
        <is>
          <t>Approved</t>
        </is>
      </c>
      <c r="M296" s="7" t="n"/>
      <c r="N296" s="4" t="inlineStr">
        <is>
          <t>Actor, branch and dependency need review.</t>
        </is>
      </c>
    </row>
    <row r="297" ht="40" customHeight="1">
      <c r="A297" s="8" t="inlineStr">
        <is>
          <t>C14</t>
        </is>
      </c>
      <c r="B297" s="8" t="inlineStr">
        <is>
          <t>Pradhan Mantri Fasal Bima Yojna (PMFBY)</t>
        </is>
      </c>
      <c r="C297" s="8" t="inlineStr">
        <is>
          <t>C14-P0057</t>
        </is>
      </c>
      <c r="D297" s="8" t="inlineStr">
        <is>
          <t>Online</t>
        </is>
      </c>
      <c r="E297" s="8" t="inlineStr"/>
      <c r="F297" s="8" t="inlineStr">
        <is>
          <t>Source step text</t>
        </is>
      </c>
      <c r="G297" s="8" t="inlineStr">
        <is>
          <t>Track Your Application</t>
        </is>
      </c>
      <c r="H297" s="8" t="inlineStr">
        <is>
          <t>en.applicationProcess[0].process[18].children[0]</t>
        </is>
      </c>
      <c r="I297" s="8" t="inlineStr">
        <is>
          <t>C14@20261028-9029f2b7</t>
        </is>
      </c>
      <c r="J297" s="8" t="inlineStr">
        <is>
          <t>MS-C14</t>
        </is>
      </c>
      <c r="K297" s="8" t="inlineStr">
        <is>
          <t>1/1</t>
        </is>
      </c>
      <c r="L297" s="7" t="inlineStr">
        <is>
          <t>Approved</t>
        </is>
      </c>
      <c r="M297" s="7" t="n"/>
      <c r="N297" s="8" t="inlineStr">
        <is>
          <t>Actor, branch and dependency need review.</t>
        </is>
      </c>
    </row>
    <row r="298" ht="40" customHeight="1">
      <c r="A298" s="4" t="inlineStr">
        <is>
          <t>C14</t>
        </is>
      </c>
      <c r="B298" s="4" t="inlineStr">
        <is>
          <t>Pradhan Mantri Fasal Bima Yojna (PMFBY)</t>
        </is>
      </c>
      <c r="C298" s="4" t="inlineStr">
        <is>
          <t>C14-P0058</t>
        </is>
      </c>
      <c r="D298" s="4" t="inlineStr">
        <is>
          <t>Online</t>
        </is>
      </c>
      <c r="E298" s="4" t="inlineStr"/>
      <c r="F298" s="4" t="inlineStr">
        <is>
          <t>Source step text</t>
        </is>
      </c>
      <c r="G298" s="4" t="inlineStr">
        <is>
          <t>You can track the application status on the PMFBY website through the ‘Application Status’ option on the home page.</t>
        </is>
      </c>
      <c r="H298" s="4" t="inlineStr">
        <is>
          <t>en.applicationProcess[0].process[19]</t>
        </is>
      </c>
      <c r="I298" s="4" t="inlineStr">
        <is>
          <t>C14@20261028-9029f2b7</t>
        </is>
      </c>
      <c r="J298" s="4" t="inlineStr">
        <is>
          <t>MS-C14</t>
        </is>
      </c>
      <c r="K298" s="4" t="inlineStr">
        <is>
          <t>1/1</t>
        </is>
      </c>
      <c r="L298" s="7" t="inlineStr">
        <is>
          <t>Approved</t>
        </is>
      </c>
      <c r="M298" s="7" t="n"/>
      <c r="N298" s="4" t="inlineStr">
        <is>
          <t>Actor, branch and dependency need review.</t>
        </is>
      </c>
    </row>
    <row r="299" ht="40" customHeight="1">
      <c r="A299" s="8" t="inlineStr">
        <is>
          <t>C14</t>
        </is>
      </c>
      <c r="B299" s="8" t="inlineStr">
        <is>
          <t>Pradhan Mantri Fasal Bima Yojna (PMFBY)</t>
        </is>
      </c>
      <c r="C299" s="8" t="inlineStr">
        <is>
          <t>C14-P0059</t>
        </is>
      </c>
      <c r="D299" s="8" t="inlineStr">
        <is>
          <t>Offline</t>
        </is>
      </c>
      <c r="E299" s="8" t="inlineStr"/>
      <c r="F299" s="8" t="inlineStr">
        <is>
          <t>Source step text</t>
        </is>
      </c>
      <c r="G299" s="8" t="inlineStr">
        <is>
          <t>Step 1: The interested applicant should visit the nearest participating bank or insurance office, and request the prescribed format of the application form from the staff.</t>
        </is>
      </c>
      <c r="H299" s="8" t="inlineStr">
        <is>
          <t>en.applicationProcess[1].process[0]</t>
        </is>
      </c>
      <c r="I299" s="8" t="inlineStr">
        <is>
          <t>C14@20261028-9029f2b7</t>
        </is>
      </c>
      <c r="J299" s="8" t="inlineStr">
        <is>
          <t>MS-C14</t>
        </is>
      </c>
      <c r="K299" s="8" t="inlineStr">
        <is>
          <t>1/1</t>
        </is>
      </c>
      <c r="L299" s="7" t="inlineStr">
        <is>
          <t>Approved</t>
        </is>
      </c>
      <c r="M299" s="7" t="n"/>
      <c r="N299" s="8" t="inlineStr">
        <is>
          <t>Actor, branch and dependency need review.</t>
        </is>
      </c>
    </row>
    <row r="300" ht="54" customHeight="1">
      <c r="A300" s="4" t="inlineStr">
        <is>
          <t>C14</t>
        </is>
      </c>
      <c r="B300" s="4" t="inlineStr">
        <is>
          <t>Pradhan Mantri Fasal Bima Yojna (PMFBY)</t>
        </is>
      </c>
      <c r="C300" s="4" t="inlineStr">
        <is>
          <t>C14-P0060</t>
        </is>
      </c>
      <c r="D300" s="4" t="inlineStr">
        <is>
          <t>Offline</t>
        </is>
      </c>
      <c r="E300" s="4" t="inlineStr"/>
      <c r="F300" s="4" t="inlineStr">
        <is>
          <t>Source step text</t>
        </is>
      </c>
      <c r="G300" s="4" t="inlineStr">
        <is>
          <t>Step 2: In the application form, fill in all the mandatory fields, paste the passport-sized photograph (sign across, if required), and attach copies of all the mandatory documents (self-attest, if required).</t>
        </is>
      </c>
      <c r="H300" s="4" t="inlineStr">
        <is>
          <t>en.applicationProcess[1].process[1]</t>
        </is>
      </c>
      <c r="I300" s="4" t="inlineStr">
        <is>
          <t>C14@20261028-9029f2b7</t>
        </is>
      </c>
      <c r="J300" s="4" t="inlineStr">
        <is>
          <t>MS-C14</t>
        </is>
      </c>
      <c r="K300" s="4" t="inlineStr">
        <is>
          <t>1/1</t>
        </is>
      </c>
      <c r="L300" s="7" t="inlineStr">
        <is>
          <t>Approved</t>
        </is>
      </c>
      <c r="M300" s="7" t="n"/>
      <c r="N300" s="4" t="inlineStr">
        <is>
          <t>Actor, branch and dependency need review.</t>
        </is>
      </c>
    </row>
    <row r="301" ht="40" customHeight="1">
      <c r="A301" s="8" t="inlineStr">
        <is>
          <t>C14</t>
        </is>
      </c>
      <c r="B301" s="8" t="inlineStr">
        <is>
          <t>Pradhan Mantri Fasal Bima Yojna (PMFBY)</t>
        </is>
      </c>
      <c r="C301" s="8" t="inlineStr">
        <is>
          <t>C14-P0061</t>
        </is>
      </c>
      <c r="D301" s="8" t="inlineStr">
        <is>
          <t>Offline</t>
        </is>
      </c>
      <c r="E301" s="8" t="inlineStr"/>
      <c r="F301" s="8" t="inlineStr">
        <is>
          <t>Source step text</t>
        </is>
      </c>
      <c r="G301" s="8" t="inlineStr">
        <is>
          <t>Step 3: Submit the duly filled and signed application form to the staff, along with the attached copies of the documents. Pay the applicable premium amount at the office.</t>
        </is>
      </c>
      <c r="H301" s="8" t="inlineStr">
        <is>
          <t>en.applicationProcess[1].process[2]</t>
        </is>
      </c>
      <c r="I301" s="8" t="inlineStr">
        <is>
          <t>C14@20261028-9029f2b7</t>
        </is>
      </c>
      <c r="J301" s="8" t="inlineStr">
        <is>
          <t>MS-C14</t>
        </is>
      </c>
      <c r="K301" s="8" t="inlineStr">
        <is>
          <t>1/1</t>
        </is>
      </c>
      <c r="L301" s="7" t="inlineStr">
        <is>
          <t>Approved</t>
        </is>
      </c>
      <c r="M301" s="7" t="n"/>
      <c r="N301" s="8" t="inlineStr">
        <is>
          <t>Actor, branch and dependency need review.</t>
        </is>
      </c>
    </row>
    <row r="302" ht="40" customHeight="1">
      <c r="A302" s="4" t="inlineStr">
        <is>
          <t>C14</t>
        </is>
      </c>
      <c r="B302" s="4" t="inlineStr">
        <is>
          <t>Pradhan Mantri Fasal Bima Yojna (PMFBY)</t>
        </is>
      </c>
      <c r="C302" s="4" t="inlineStr">
        <is>
          <t>C14-P0062</t>
        </is>
      </c>
      <c r="D302" s="4" t="inlineStr">
        <is>
          <t>Offline</t>
        </is>
      </c>
      <c r="E302" s="4" t="inlineStr"/>
      <c r="F302" s="4" t="inlineStr">
        <is>
          <t>Source step text</t>
        </is>
      </c>
      <c r="G302" s="4" t="inlineStr">
        <is>
          <t>Step 4: You will be provided with an application reference number which you can use to track the status of your application.</t>
        </is>
      </c>
      <c r="H302" s="4" t="inlineStr">
        <is>
          <t>en.applicationProcess[1].process[3]</t>
        </is>
      </c>
      <c r="I302" s="4" t="inlineStr">
        <is>
          <t>C14@20261028-9029f2b7</t>
        </is>
      </c>
      <c r="J302" s="4" t="inlineStr">
        <is>
          <t>MS-C14</t>
        </is>
      </c>
      <c r="K302" s="4" t="inlineStr">
        <is>
          <t>1/1</t>
        </is>
      </c>
      <c r="L302" s="7" t="inlineStr">
        <is>
          <t>Approved</t>
        </is>
      </c>
      <c r="M302" s="7" t="n"/>
      <c r="N302" s="4" t="inlineStr">
        <is>
          <t>Actor, branch and dependency need review.</t>
        </is>
      </c>
    </row>
    <row r="303" ht="40" customHeight="1">
      <c r="A303" s="8" t="inlineStr">
        <is>
          <t>C14</t>
        </is>
      </c>
      <c r="B303" s="8" t="inlineStr">
        <is>
          <t>Pradhan Mantri Fasal Bima Yojna (PMFBY)</t>
        </is>
      </c>
      <c r="C303" s="8" t="inlineStr">
        <is>
          <t>C14-P0063</t>
        </is>
      </c>
      <c r="D303" s="8" t="inlineStr">
        <is>
          <t>Offline</t>
        </is>
      </c>
      <c r="E303" s="8" t="inlineStr"/>
      <c r="F303" s="8" t="inlineStr">
        <is>
          <t>Source step text</t>
        </is>
      </c>
      <c r="G303" s="8" t="inlineStr">
        <is>
          <t>Track Your Application</t>
        </is>
      </c>
      <c r="H303" s="8" t="inlineStr">
        <is>
          <t>en.applicationProcess[1].process[4].children[0]</t>
        </is>
      </c>
      <c r="I303" s="8" t="inlineStr">
        <is>
          <t>C14@20261028-9029f2b7</t>
        </is>
      </c>
      <c r="J303" s="8" t="inlineStr">
        <is>
          <t>MS-C14</t>
        </is>
      </c>
      <c r="K303" s="8" t="inlineStr">
        <is>
          <t>1/1</t>
        </is>
      </c>
      <c r="L303" s="7" t="inlineStr">
        <is>
          <t>Approved</t>
        </is>
      </c>
      <c r="M303" s="7" t="n"/>
      <c r="N303" s="8" t="inlineStr">
        <is>
          <t>Actor, branch and dependency need review.</t>
        </is>
      </c>
    </row>
    <row r="304" ht="40" customHeight="1">
      <c r="A304" s="4" t="inlineStr">
        <is>
          <t>C14</t>
        </is>
      </c>
      <c r="B304" s="4" t="inlineStr">
        <is>
          <t>Pradhan Mantri Fasal Bima Yojna (PMFBY)</t>
        </is>
      </c>
      <c r="C304" s="4" t="inlineStr">
        <is>
          <t>C14-P0064</t>
        </is>
      </c>
      <c r="D304" s="4" t="inlineStr">
        <is>
          <t>Offline</t>
        </is>
      </c>
      <c r="E304" s="4" t="inlineStr"/>
      <c r="F304" s="4" t="inlineStr">
        <is>
          <t>Source step text</t>
        </is>
      </c>
      <c r="G304" s="4" t="inlineStr">
        <is>
          <t>You can track the application status on the PMFBY website through the ‘Application Status’ option on the home page.</t>
        </is>
      </c>
      <c r="H304" s="4" t="inlineStr">
        <is>
          <t>en.applicationProcess[1].process[5]</t>
        </is>
      </c>
      <c r="I304" s="4" t="inlineStr">
        <is>
          <t>C14@20261028-9029f2b7</t>
        </is>
      </c>
      <c r="J304" s="4" t="inlineStr">
        <is>
          <t>MS-C14</t>
        </is>
      </c>
      <c r="K304" s="4" t="inlineStr">
        <is>
          <t>1/1</t>
        </is>
      </c>
      <c r="L304" s="7" t="inlineStr">
        <is>
          <t>Approved</t>
        </is>
      </c>
      <c r="M304" s="7" t="n"/>
      <c r="N304" s="4" t="inlineStr">
        <is>
          <t>Actor, branch and dependency need review.</t>
        </is>
      </c>
    </row>
    <row r="305" ht="40" customHeight="1">
      <c r="A305" s="8" t="inlineStr">
        <is>
          <t>C14</t>
        </is>
      </c>
      <c r="B305" s="8" t="inlineStr">
        <is>
          <t>Pradhan Mantri Fasal Bima Yojna (PMFBY)</t>
        </is>
      </c>
      <c r="C305" s="8" t="inlineStr">
        <is>
          <t>C14-P0065</t>
        </is>
      </c>
      <c r="D305" s="8" t="inlineStr">
        <is>
          <t>Online - via CSC</t>
        </is>
      </c>
      <c r="E305" s="8" t="inlineStr"/>
      <c r="F305" s="8" t="inlineStr">
        <is>
          <t>Source step text</t>
        </is>
      </c>
      <c r="G305" s="8" t="inlineStr">
        <is>
          <t>Step 1: Visit your nearest Common Service Centre (CSC). CSCs are government-authorized centres that provide various services to citizens.</t>
        </is>
      </c>
      <c r="H305" s="8" t="inlineStr">
        <is>
          <t>en.applicationProcess[2].process[0]</t>
        </is>
      </c>
      <c r="I305" s="8" t="inlineStr">
        <is>
          <t>C14@20261028-9029f2b7</t>
        </is>
      </c>
      <c r="J305" s="8" t="inlineStr">
        <is>
          <t>MS-C14</t>
        </is>
      </c>
      <c r="K305" s="8" t="inlineStr">
        <is>
          <t>1/1</t>
        </is>
      </c>
      <c r="L305" s="7" t="inlineStr">
        <is>
          <t>Approved</t>
        </is>
      </c>
      <c r="M305" s="7" t="n"/>
      <c r="N305" s="8" t="inlineStr">
        <is>
          <t>Actor, branch and dependency need review.</t>
        </is>
      </c>
    </row>
    <row r="306" ht="54" customHeight="1">
      <c r="A306" s="4" t="inlineStr">
        <is>
          <t>C14</t>
        </is>
      </c>
      <c r="B306" s="4" t="inlineStr">
        <is>
          <t>Pradhan Mantri Fasal Bima Yojna (PMFBY)</t>
        </is>
      </c>
      <c r="C306" s="4" t="inlineStr">
        <is>
          <t>C14-P0066</t>
        </is>
      </c>
      <c r="D306" s="4" t="inlineStr">
        <is>
          <t>Online - via CSC</t>
        </is>
      </c>
      <c r="E306" s="4" t="inlineStr"/>
      <c r="F306" s="4" t="inlineStr">
        <is>
          <t>Source step text</t>
        </is>
      </c>
      <c r="G306" s="4" t="inlineStr">
        <is>
          <t>Step 2: Inform the Village Level Entrepreneur (VLE) at the CSC that you intend to apply for PMFBY. Inform the VLE if you need assistance/guidance with the application or if you want the VLE to apply for the scheme on your behalf.</t>
        </is>
      </c>
      <c r="H306" s="4" t="inlineStr">
        <is>
          <t>en.applicationProcess[2].process[1]</t>
        </is>
      </c>
      <c r="I306" s="4" t="inlineStr">
        <is>
          <t>C14@20261028-9029f2b7</t>
        </is>
      </c>
      <c r="J306" s="4" t="inlineStr">
        <is>
          <t>MS-C14</t>
        </is>
      </c>
      <c r="K306" s="4" t="inlineStr">
        <is>
          <t>1/1</t>
        </is>
      </c>
      <c r="L306" s="7" t="inlineStr">
        <is>
          <t>Approved</t>
        </is>
      </c>
      <c r="M306" s="7" t="n"/>
      <c r="N306" s="4" t="inlineStr">
        <is>
          <t>Actor, branch and dependency need review.</t>
        </is>
      </c>
    </row>
    <row r="307" ht="40" customHeight="1">
      <c r="A307" s="8" t="inlineStr">
        <is>
          <t>C14</t>
        </is>
      </c>
      <c r="B307" s="8" t="inlineStr">
        <is>
          <t>Pradhan Mantri Fasal Bima Yojna (PMFBY)</t>
        </is>
      </c>
      <c r="C307" s="8" t="inlineStr">
        <is>
          <t>C14-P0067</t>
        </is>
      </c>
      <c r="D307" s="8" t="inlineStr">
        <is>
          <t>Online - via CSC</t>
        </is>
      </c>
      <c r="E307" s="8" t="inlineStr"/>
      <c r="F307" s="8" t="inlineStr">
        <is>
          <t>Source step text</t>
        </is>
      </c>
      <c r="G307" s="8" t="inlineStr">
        <is>
          <t>Step 3: Provide the VLE with the information on the mandatory fields and soft copies of the required documents.</t>
        </is>
      </c>
      <c r="H307" s="8" t="inlineStr">
        <is>
          <t>en.applicationProcess[2].process[2]</t>
        </is>
      </c>
      <c r="I307" s="8" t="inlineStr">
        <is>
          <t>C14@20261028-9029f2b7</t>
        </is>
      </c>
      <c r="J307" s="8" t="inlineStr">
        <is>
          <t>MS-C14</t>
        </is>
      </c>
      <c r="K307" s="8" t="inlineStr">
        <is>
          <t>1/1</t>
        </is>
      </c>
      <c r="L307" s="7" t="inlineStr">
        <is>
          <t>Approved</t>
        </is>
      </c>
      <c r="M307" s="7" t="n"/>
      <c r="N307" s="8" t="inlineStr">
        <is>
          <t>Actor, branch and dependency need review.</t>
        </is>
      </c>
    </row>
    <row r="308" ht="54" customHeight="1">
      <c r="A308" s="4" t="inlineStr">
        <is>
          <t>C14</t>
        </is>
      </c>
      <c r="B308" s="4" t="inlineStr">
        <is>
          <t>Pradhan Mantri Fasal Bima Yojna (PMFBY)</t>
        </is>
      </c>
      <c r="C308" s="4" t="inlineStr">
        <is>
          <t>C14-P0068</t>
        </is>
      </c>
      <c r="D308" s="4" t="inlineStr">
        <is>
          <t>Online - via CSC</t>
        </is>
      </c>
      <c r="E308" s="4" t="inlineStr"/>
      <c r="F308" s="4" t="inlineStr">
        <is>
          <t>Source step text</t>
        </is>
      </c>
      <c r="G308" s="4" t="inlineStr">
        <is>
          <t>Step 4: Upon successful submission of your application, pay the applicable premium amount to the VLE. The premium amount may vary depending on the crop, area, and other factors.</t>
        </is>
      </c>
      <c r="H308" s="4" t="inlineStr">
        <is>
          <t>en.applicationProcess[2].process[3]</t>
        </is>
      </c>
      <c r="I308" s="4" t="inlineStr">
        <is>
          <t>C14@20261028-9029f2b7</t>
        </is>
      </c>
      <c r="J308" s="4" t="inlineStr">
        <is>
          <t>MS-C14</t>
        </is>
      </c>
      <c r="K308" s="4" t="inlineStr">
        <is>
          <t>1/1</t>
        </is>
      </c>
      <c r="L308" s="7" t="inlineStr">
        <is>
          <t>Approved</t>
        </is>
      </c>
      <c r="M308" s="7" t="n"/>
      <c r="N308" s="4" t="inlineStr">
        <is>
          <t>Actor, branch and dependency need review.</t>
        </is>
      </c>
    </row>
    <row r="309" ht="40" customHeight="1">
      <c r="A309" s="8" t="inlineStr">
        <is>
          <t>C14</t>
        </is>
      </c>
      <c r="B309" s="8" t="inlineStr">
        <is>
          <t>Pradhan Mantri Fasal Bima Yojna (PMFBY)</t>
        </is>
      </c>
      <c r="C309" s="8" t="inlineStr">
        <is>
          <t>C14-P0069</t>
        </is>
      </c>
      <c r="D309" s="8" t="inlineStr">
        <is>
          <t>Online - via CSC</t>
        </is>
      </c>
      <c r="E309" s="8" t="inlineStr"/>
      <c r="F309" s="8" t="inlineStr">
        <is>
          <t>Source step text</t>
        </is>
      </c>
      <c r="G309" s="8" t="inlineStr">
        <is>
          <t>Step 5: Receive an acknowledgement receipt from the VLE as proof of application submission.</t>
        </is>
      </c>
      <c r="H309" s="8" t="inlineStr">
        <is>
          <t>en.applicationProcess[2].process[4]</t>
        </is>
      </c>
      <c r="I309" s="8" t="inlineStr">
        <is>
          <t>C14@20261028-9029f2b7</t>
        </is>
      </c>
      <c r="J309" s="8" t="inlineStr">
        <is>
          <t>MS-C14</t>
        </is>
      </c>
      <c r="K309" s="8" t="inlineStr">
        <is>
          <t>1/1</t>
        </is>
      </c>
      <c r="L309" s="7" t="inlineStr">
        <is>
          <t>Approved</t>
        </is>
      </c>
      <c r="M309" s="7" t="n"/>
      <c r="N309" s="8" t="inlineStr">
        <is>
          <t>Actor, branch and dependency need review.</t>
        </is>
      </c>
    </row>
    <row r="310" ht="40" customHeight="1">
      <c r="A310" s="4" t="inlineStr">
        <is>
          <t>C14</t>
        </is>
      </c>
      <c r="B310" s="4" t="inlineStr">
        <is>
          <t>Pradhan Mantri Fasal Bima Yojna (PMFBY)</t>
        </is>
      </c>
      <c r="C310" s="4" t="inlineStr">
        <is>
          <t>C14-P0070</t>
        </is>
      </c>
      <c r="D310" s="4" t="inlineStr">
        <is>
          <t>Online - via CSC</t>
        </is>
      </c>
      <c r="E310" s="4" t="inlineStr"/>
      <c r="F310" s="4" t="inlineStr">
        <is>
          <t>Source step text</t>
        </is>
      </c>
      <c r="G310" s="4" t="inlineStr">
        <is>
          <t>Track Your Application</t>
        </is>
      </c>
      <c r="H310" s="4" t="inlineStr">
        <is>
          <t>en.applicationProcess[2].process[5].children[0]</t>
        </is>
      </c>
      <c r="I310" s="4" t="inlineStr">
        <is>
          <t>C14@20261028-9029f2b7</t>
        </is>
      </c>
      <c r="J310" s="4" t="inlineStr">
        <is>
          <t>MS-C14</t>
        </is>
      </c>
      <c r="K310" s="4" t="inlineStr">
        <is>
          <t>1/1</t>
        </is>
      </c>
      <c r="L310" s="7" t="inlineStr">
        <is>
          <t>Approved</t>
        </is>
      </c>
      <c r="M310" s="7" t="n"/>
      <c r="N310" s="4" t="inlineStr">
        <is>
          <t>Actor, branch and dependency need review.</t>
        </is>
      </c>
    </row>
    <row r="311" ht="40" customHeight="1">
      <c r="A311" s="8" t="inlineStr">
        <is>
          <t>C14</t>
        </is>
      </c>
      <c r="B311" s="8" t="inlineStr">
        <is>
          <t>Pradhan Mantri Fasal Bima Yojna (PMFBY)</t>
        </is>
      </c>
      <c r="C311" s="8" t="inlineStr">
        <is>
          <t>C14-P0071</t>
        </is>
      </c>
      <c r="D311" s="8" t="inlineStr">
        <is>
          <t>Online - via CSC</t>
        </is>
      </c>
      <c r="E311" s="8" t="inlineStr"/>
      <c r="F311" s="8" t="inlineStr">
        <is>
          <t>Source step text</t>
        </is>
      </c>
      <c r="G311" s="8" t="inlineStr">
        <is>
          <t>You can track the application status on the PMFBY website through the ‘Application Status’ option on the home page.</t>
        </is>
      </c>
      <c r="H311" s="8" t="inlineStr">
        <is>
          <t>en.applicationProcess[2].process[6]</t>
        </is>
      </c>
      <c r="I311" s="8" t="inlineStr">
        <is>
          <t>C14@20261028-9029f2b7</t>
        </is>
      </c>
      <c r="J311" s="8" t="inlineStr">
        <is>
          <t>MS-C14</t>
        </is>
      </c>
      <c r="K311" s="8" t="inlineStr">
        <is>
          <t>1/1</t>
        </is>
      </c>
      <c r="L311" s="7" t="inlineStr">
        <is>
          <t>Approved</t>
        </is>
      </c>
      <c r="M311" s="7" t="n"/>
      <c r="N311" s="8" t="inlineStr">
        <is>
          <t>Actor, branch and dependency need review.</t>
        </is>
      </c>
    </row>
    <row r="312" ht="40" customHeight="1">
      <c r="A312" s="4" t="inlineStr">
        <is>
          <t>C14</t>
        </is>
      </c>
      <c r="B312" s="4" t="inlineStr">
        <is>
          <t>Pradhan Mantri Fasal Bima Yojna (PMFBY)</t>
        </is>
      </c>
      <c r="C312" s="4" t="inlineStr">
        <is>
          <t>C14-P0072</t>
        </is>
      </c>
      <c r="D312" s="4" t="inlineStr">
        <is>
          <t>Online - via CSC</t>
        </is>
      </c>
      <c r="E312" s="4" t="inlineStr"/>
      <c r="F312" s="4" t="inlineStr">
        <is>
          <t>Source step text</t>
        </is>
      </c>
      <c r="G312" s="4" t="inlineStr">
        <is>
          <t>* Keep copies of all documents submitted and the acknowledgement receipt for future reference.</t>
        </is>
      </c>
      <c r="H312" s="4" t="inlineStr">
        <is>
          <t>en.applicationProcess[2].process[7]</t>
        </is>
      </c>
      <c r="I312" s="4" t="inlineStr">
        <is>
          <t>C14@20261028-9029f2b7</t>
        </is>
      </c>
      <c r="J312" s="4" t="inlineStr">
        <is>
          <t>MS-C14</t>
        </is>
      </c>
      <c r="K312" s="4" t="inlineStr">
        <is>
          <t>1/1</t>
        </is>
      </c>
      <c r="L312" s="7" t="inlineStr">
        <is>
          <t>Approved</t>
        </is>
      </c>
      <c r="M312" s="7" t="n"/>
      <c r="N312" s="4" t="inlineStr">
        <is>
          <t>Actor, branch and dependency need review.</t>
        </is>
      </c>
    </row>
    <row r="313" ht="40" customHeight="1">
      <c r="A313" s="8" t="inlineStr">
        <is>
          <t>C14</t>
        </is>
      </c>
      <c r="B313" s="8" t="inlineStr">
        <is>
          <t>Pradhan Mantri Fasal Bima Yojna (PMFBY)</t>
        </is>
      </c>
      <c r="C313" s="8" t="inlineStr">
        <is>
          <t>C14-P0073</t>
        </is>
      </c>
      <c r="D313" s="8" t="inlineStr">
        <is>
          <t>Online - via CSC</t>
        </is>
      </c>
      <c r="E313" s="8" t="inlineStr"/>
      <c r="F313" s="8" t="inlineStr">
        <is>
          <t>Source step text</t>
        </is>
      </c>
      <c r="G313" s="8" t="inlineStr">
        <is>
          <t>* Note down the contact details of the CSC centre for any queries or assistance.</t>
        </is>
      </c>
      <c r="H313" s="8" t="inlineStr">
        <is>
          <t>en.applicationProcess[2].process[8]</t>
        </is>
      </c>
      <c r="I313" s="8" t="inlineStr">
        <is>
          <t>C14@20261028-9029f2b7</t>
        </is>
      </c>
      <c r="J313" s="8" t="inlineStr">
        <is>
          <t>MS-C14</t>
        </is>
      </c>
      <c r="K313" s="8" t="inlineStr">
        <is>
          <t>1/1</t>
        </is>
      </c>
      <c r="L313" s="7" t="inlineStr">
        <is>
          <t>Approved</t>
        </is>
      </c>
      <c r="M313" s="7" t="n"/>
      <c r="N313" s="8" t="inlineStr">
        <is>
          <t>Actor, branch and dependency need review.</t>
        </is>
      </c>
    </row>
    <row r="314" ht="40" customHeight="1">
      <c r="A314" s="4" t="inlineStr">
        <is>
          <t>C15</t>
        </is>
      </c>
      <c r="B314" s="4" t="inlineStr">
        <is>
          <t>Post Graduate Indira Gandhi Scholarship For Single Girl Child</t>
        </is>
      </c>
      <c r="C314" s="4" t="inlineStr">
        <is>
          <t>C15-P0032</t>
        </is>
      </c>
      <c r="D314" s="4" t="inlineStr">
        <is>
          <t>Online</t>
        </is>
      </c>
      <c r="E314" s="4" t="inlineStr"/>
      <c r="F314" s="4" t="inlineStr">
        <is>
          <t>Source step text</t>
        </is>
      </c>
      <c r="G314" s="4" t="inlineStr">
        <is>
          <t>Procedure for Applying</t>
        </is>
      </c>
      <c r="H314" s="4" t="inlineStr">
        <is>
          <t>en.applicationProcess[0].process[0].children[0]</t>
        </is>
      </c>
      <c r="I314" s="4" t="inlineStr">
        <is>
          <t>C15@20261028-1856e0f4</t>
        </is>
      </c>
      <c r="J314" s="4" t="inlineStr">
        <is>
          <t>MS-C15</t>
        </is>
      </c>
      <c r="K314" s="4" t="inlineStr">
        <is>
          <t>1/1</t>
        </is>
      </c>
      <c r="L314" s="7" t="inlineStr">
        <is>
          <t>Approved</t>
        </is>
      </c>
      <c r="M314" s="7" t="n"/>
      <c r="N314" s="4" t="inlineStr">
        <is>
          <t>Actor, branch and dependency need review.</t>
        </is>
      </c>
    </row>
    <row r="315" ht="54" customHeight="1">
      <c r="A315" s="8" t="inlineStr">
        <is>
          <t>C15</t>
        </is>
      </c>
      <c r="B315" s="8" t="inlineStr">
        <is>
          <t>Post Graduate Indira Gandhi Scholarship For Single Girl Child</t>
        </is>
      </c>
      <c r="C315" s="8" t="inlineStr">
        <is>
          <t>C15-P0033</t>
        </is>
      </c>
      <c r="D315" s="8" t="inlineStr">
        <is>
          <t>Online</t>
        </is>
      </c>
      <c r="E315" s="8" t="inlineStr"/>
      <c r="F315" s="8" t="inlineStr">
        <is>
          <t>Source step text</t>
        </is>
      </c>
      <c r="G315" s="8" t="inlineStr">
        <is>
          <t>Step-1: The candidates fulfilling the eligibility conditions are required to apply online on the National Scholarship Portal after initiation of the application process and notice to be published on the UGC website.</t>
        </is>
      </c>
      <c r="H315" s="8" t="inlineStr">
        <is>
          <t>en.applicationProcess[0].process[1]</t>
        </is>
      </c>
      <c r="I315" s="8" t="inlineStr">
        <is>
          <t>C15@20261028-1856e0f4</t>
        </is>
      </c>
      <c r="J315" s="8" t="inlineStr">
        <is>
          <t>MS-C15</t>
        </is>
      </c>
      <c r="K315" s="8" t="inlineStr">
        <is>
          <t>1/1</t>
        </is>
      </c>
      <c r="L315" s="7" t="inlineStr">
        <is>
          <t>Approved</t>
        </is>
      </c>
      <c r="M315" s="7" t="n"/>
      <c r="N315" s="8" t="inlineStr">
        <is>
          <t>Actor, branch and dependency need review.</t>
        </is>
      </c>
    </row>
    <row r="316" ht="40" customHeight="1">
      <c r="A316" s="4" t="inlineStr">
        <is>
          <t>C15</t>
        </is>
      </c>
      <c r="B316" s="4" t="inlineStr">
        <is>
          <t>Post Graduate Indira Gandhi Scholarship For Single Girl Child</t>
        </is>
      </c>
      <c r="C316" s="4" t="inlineStr">
        <is>
          <t>C15-P0034</t>
        </is>
      </c>
      <c r="D316" s="4" t="inlineStr">
        <is>
          <t>Online</t>
        </is>
      </c>
      <c r="E316" s="4" t="inlineStr"/>
      <c r="F316" s="4" t="inlineStr">
        <is>
          <t>Source step text</t>
        </is>
      </c>
      <c r="G316" s="4" t="inlineStr">
        <is>
          <t>Step-2: The host institution where the candidate is studying is required to verify the online</t>
        </is>
      </c>
      <c r="H316" s="4" t="inlineStr">
        <is>
          <t>en.applicationProcess[0].process[2]</t>
        </is>
      </c>
      <c r="I316" s="4" t="inlineStr">
        <is>
          <t>C15@20261028-1856e0f4</t>
        </is>
      </c>
      <c r="J316" s="4" t="inlineStr">
        <is>
          <t>MS-C15</t>
        </is>
      </c>
      <c r="K316" s="4" t="inlineStr">
        <is>
          <t>1/1</t>
        </is>
      </c>
      <c r="L316" s="7" t="inlineStr">
        <is>
          <t>Approved</t>
        </is>
      </c>
      <c r="M316" s="7" t="n"/>
      <c r="N316" s="4" t="inlineStr">
        <is>
          <t>Actor, branch and dependency need review.</t>
        </is>
      </c>
    </row>
    <row r="317" ht="40" customHeight="1">
      <c r="A317" s="8" t="inlineStr">
        <is>
          <t>C15</t>
        </is>
      </c>
      <c r="B317" s="8" t="inlineStr">
        <is>
          <t>Post Graduate Indira Gandhi Scholarship For Single Girl Child</t>
        </is>
      </c>
      <c r="C317" s="8" t="inlineStr">
        <is>
          <t>C15-P0035</t>
        </is>
      </c>
      <c r="D317" s="8" t="inlineStr">
        <is>
          <t>Online</t>
        </is>
      </c>
      <c r="E317" s="8" t="inlineStr"/>
      <c r="F317" s="8" t="inlineStr">
        <is>
          <t>Source step text</t>
        </is>
      </c>
      <c r="G317" s="8" t="inlineStr">
        <is>
          <t>application.</t>
        </is>
      </c>
      <c r="H317" s="8" t="inlineStr">
        <is>
          <t>en.applicationProcess[0].process[3]</t>
        </is>
      </c>
      <c r="I317" s="8" t="inlineStr">
        <is>
          <t>C15@20261028-1856e0f4</t>
        </is>
      </c>
      <c r="J317" s="8" t="inlineStr">
        <is>
          <t>MS-C15</t>
        </is>
      </c>
      <c r="K317" s="8" t="inlineStr">
        <is>
          <t>1/1</t>
        </is>
      </c>
      <c r="L317" s="7" t="inlineStr">
        <is>
          <t>Approved</t>
        </is>
      </c>
      <c r="M317" s="7" t="n"/>
      <c r="N317" s="8" t="inlineStr">
        <is>
          <t>Actor, branch and dependency need review.</t>
        </is>
      </c>
    </row>
    <row r="318" ht="54" customHeight="1">
      <c r="A318" s="4" t="inlineStr">
        <is>
          <t>C15</t>
        </is>
      </c>
      <c r="B318" s="4" t="inlineStr">
        <is>
          <t>Post Graduate Indira Gandhi Scholarship For Single Girl Child</t>
        </is>
      </c>
      <c r="C318" s="4" t="inlineStr">
        <is>
          <t>C15-P0036</t>
        </is>
      </c>
      <c r="D318" s="4" t="inlineStr">
        <is>
          <t>Online</t>
        </is>
      </c>
      <c r="E318" s="4" t="inlineStr"/>
      <c r="F318" s="4" t="inlineStr">
        <is>
          <t>Source step text</t>
        </is>
      </c>
      <c r="G318" s="4" t="inlineStr">
        <is>
          <t>Step-3: It is expected from the institutions where students have taken admitted in the first year of PG course, that no tuition fees will be charged by the institute to girl students to pursue PG degree courses in Universities/Colleges/Institutions</t>
        </is>
      </c>
      <c r="H318" s="4" t="inlineStr">
        <is>
          <t>en.applicationProcess[0].process[4]</t>
        </is>
      </c>
      <c r="I318" s="4" t="inlineStr">
        <is>
          <t>C15@20261028-1856e0f4</t>
        </is>
      </c>
      <c r="J318" s="4" t="inlineStr">
        <is>
          <t>MS-C15</t>
        </is>
      </c>
      <c r="K318" s="4" t="inlineStr">
        <is>
          <t>1/1</t>
        </is>
      </c>
      <c r="L318" s="7" t="inlineStr">
        <is>
          <t>Approved</t>
        </is>
      </c>
      <c r="M318" s="7" t="n"/>
      <c r="N318" s="4" t="inlineStr">
        <is>
          <t>Actor, branch and dependency need review.</t>
        </is>
      </c>
    </row>
    <row r="319" ht="40" customHeight="1">
      <c r="A319" s="8" t="inlineStr">
        <is>
          <t>C15</t>
        </is>
      </c>
      <c r="B319" s="8" t="inlineStr">
        <is>
          <t>Post Graduate Indira Gandhi Scholarship For Single Girl Child</t>
        </is>
      </c>
      <c r="C319" s="8" t="inlineStr">
        <is>
          <t>C15-P0037</t>
        </is>
      </c>
      <c r="D319" s="8" t="inlineStr">
        <is>
          <t>Online</t>
        </is>
      </c>
      <c r="E319" s="8" t="inlineStr"/>
      <c r="F319" s="8" t="inlineStr">
        <is>
          <t>Source step text</t>
        </is>
      </c>
      <c r="G319" s="8" t="inlineStr">
        <is>
          <t>Notes</t>
        </is>
      </c>
      <c r="H319" s="8" t="inlineStr">
        <is>
          <t>en.applicationProcess[0].process[6].children[0]</t>
        </is>
      </c>
      <c r="I319" s="8" t="inlineStr">
        <is>
          <t>C15@20261028-1856e0f4</t>
        </is>
      </c>
      <c r="J319" s="8" t="inlineStr">
        <is>
          <t>MS-C15</t>
        </is>
      </c>
      <c r="K319" s="8" t="inlineStr">
        <is>
          <t>1/1</t>
        </is>
      </c>
      <c r="L319" s="7" t="inlineStr">
        <is>
          <t>Approved</t>
        </is>
      </c>
      <c r="M319" s="7" t="n"/>
      <c r="N319" s="8" t="inlineStr">
        <is>
          <t>Actor, branch and dependency need review.</t>
        </is>
      </c>
    </row>
    <row r="320" ht="54" customHeight="1">
      <c r="A320" s="4" t="inlineStr">
        <is>
          <t>C15</t>
        </is>
      </c>
      <c r="B320" s="4" t="inlineStr">
        <is>
          <t>Post Graduate Indira Gandhi Scholarship For Single Girl Child</t>
        </is>
      </c>
      <c r="C320" s="4" t="inlineStr">
        <is>
          <t>C15-P0038</t>
        </is>
      </c>
      <c r="D320" s="4" t="inlineStr">
        <is>
          <t>Online</t>
        </is>
      </c>
      <c r="E320" s="4" t="inlineStr"/>
      <c r="F320" s="4" t="inlineStr">
        <is>
          <t>Source step text</t>
        </is>
      </c>
      <c r="G320" s="4" t="inlineStr">
        <is>
          <t>1. Applications will be invited once a year on the National e-Scholarship Portal of the Government of India. 2. Short notifications will also be uploaded on the UGC website.</t>
        </is>
      </c>
      <c r="H320" s="4" t="inlineStr">
        <is>
          <t>en.applicationProcess[0].process[7]</t>
        </is>
      </c>
      <c r="I320" s="4" t="inlineStr">
        <is>
          <t>C15@20261028-1856e0f4</t>
        </is>
      </c>
      <c r="J320" s="4" t="inlineStr">
        <is>
          <t>MS-C15</t>
        </is>
      </c>
      <c r="K320" s="4" t="inlineStr">
        <is>
          <t>1/1</t>
        </is>
      </c>
      <c r="L320" s="7" t="inlineStr">
        <is>
          <t>Approved</t>
        </is>
      </c>
      <c r="M320" s="7" t="n"/>
      <c r="N320" s="4" t="inlineStr">
        <is>
          <t>Actor, branch and dependency need review.</t>
        </is>
      </c>
    </row>
    <row r="321" ht="40" customHeight="1">
      <c r="A321" s="8" t="inlineStr">
        <is>
          <t>C15</t>
        </is>
      </c>
      <c r="B321" s="8" t="inlineStr">
        <is>
          <t>Post Graduate Indira Gandhi Scholarship For Single Girl Child</t>
        </is>
      </c>
      <c r="C321" s="8" t="inlineStr">
        <is>
          <t>C15-P0039</t>
        </is>
      </c>
      <c r="D321" s="8" t="inlineStr">
        <is>
          <t>Online</t>
        </is>
      </c>
      <c r="E321" s="8" t="inlineStr"/>
      <c r="F321" s="8" t="inlineStr">
        <is>
          <t>Source step text</t>
        </is>
      </c>
      <c r="G321" s="8" t="inlineStr">
        <is>
          <t>3. Incomplete applications will be summarily rejected. Only verified online applications will be considered for the award of scholarship.</t>
        </is>
      </c>
      <c r="H321" s="8" t="inlineStr">
        <is>
          <t>en.applicationProcess[0].process[8]</t>
        </is>
      </c>
      <c r="I321" s="8" t="inlineStr">
        <is>
          <t>C15@20261028-1856e0f4</t>
        </is>
      </c>
      <c r="J321" s="8" t="inlineStr">
        <is>
          <t>MS-C15</t>
        </is>
      </c>
      <c r="K321" s="8" t="inlineStr">
        <is>
          <t>1/1</t>
        </is>
      </c>
      <c r="L321" s="7" t="inlineStr">
        <is>
          <t>Approved</t>
        </is>
      </c>
      <c r="M321" s="7" t="n"/>
      <c r="N321" s="8" t="inlineStr">
        <is>
          <t>Actor, branch and dependency need review.</t>
        </is>
      </c>
    </row>
    <row r="322" ht="40" customHeight="1">
      <c r="A322" s="4" t="inlineStr">
        <is>
          <t>C15</t>
        </is>
      </c>
      <c r="B322" s="4" t="inlineStr">
        <is>
          <t>Post Graduate Indira Gandhi Scholarship For Single Girl Child</t>
        </is>
      </c>
      <c r="C322" s="4" t="inlineStr">
        <is>
          <t>C15-P0040</t>
        </is>
      </c>
      <c r="D322" s="4" t="inlineStr">
        <is>
          <t>Online</t>
        </is>
      </c>
      <c r="E322" s="4" t="inlineStr"/>
      <c r="F322" s="4" t="inlineStr">
        <is>
          <t>Source step text</t>
        </is>
      </c>
      <c r="G322" s="4" t="inlineStr">
        <is>
          <t>4. Affidavit regarding Single girl child status may be uploaded as per format given in Annexure-II.</t>
        </is>
      </c>
      <c r="H322" s="4" t="inlineStr">
        <is>
          <t>en.applicationProcess[0].process[9]</t>
        </is>
      </c>
      <c r="I322" s="4" t="inlineStr">
        <is>
          <t>C15@20261028-1856e0f4</t>
        </is>
      </c>
      <c r="J322" s="4" t="inlineStr">
        <is>
          <t>MS-C15</t>
        </is>
      </c>
      <c r="K322" s="4" t="inlineStr">
        <is>
          <t>1/1</t>
        </is>
      </c>
      <c r="L322" s="7" t="inlineStr">
        <is>
          <t>Approved</t>
        </is>
      </c>
      <c r="M322" s="7" t="n"/>
      <c r="N322" s="4" t="inlineStr">
        <is>
          <t>Actor, branch and dependency need review.</t>
        </is>
      </c>
    </row>
    <row r="323" ht="40" customHeight="1">
      <c r="A323" s="8" t="inlineStr">
        <is>
          <t>C15</t>
        </is>
      </c>
      <c r="B323" s="8" t="inlineStr">
        <is>
          <t>Post Graduate Indira Gandhi Scholarship For Single Girl Child</t>
        </is>
      </c>
      <c r="C323" s="8" t="inlineStr">
        <is>
          <t>C15-P0041</t>
        </is>
      </c>
      <c r="D323" s="8" t="inlineStr">
        <is>
          <t>Online</t>
        </is>
      </c>
      <c r="E323" s="8" t="inlineStr"/>
      <c r="F323" s="8" t="inlineStr">
        <is>
          <t>Source step text</t>
        </is>
      </c>
      <c r="G323" s="8" t="inlineStr">
        <is>
          <t>5. Joining report as per Annexure-I has to be uploaded.</t>
        </is>
      </c>
      <c r="H323" s="8" t="inlineStr">
        <is>
          <t>en.applicationProcess[0].process[10]</t>
        </is>
      </c>
      <c r="I323" s="8" t="inlineStr">
        <is>
          <t>C15@20261028-1856e0f4</t>
        </is>
      </c>
      <c r="J323" s="8" t="inlineStr">
        <is>
          <t>MS-C15</t>
        </is>
      </c>
      <c r="K323" s="8" t="inlineStr">
        <is>
          <t>1/1</t>
        </is>
      </c>
      <c r="L323" s="7" t="inlineStr">
        <is>
          <t>Approved</t>
        </is>
      </c>
      <c r="M323" s="7" t="n"/>
      <c r="N323" s="8" t="inlineStr">
        <is>
          <t>Actor, branch and dependency need review.</t>
        </is>
      </c>
    </row>
    <row r="324" ht="82" customHeight="1">
      <c r="A324" s="4" t="inlineStr">
        <is>
          <t>C16</t>
        </is>
      </c>
      <c r="B324" s="4" t="inlineStr">
        <is>
          <t>Dr Ambedkar Central Sector Scheme of Interest Subsidy on Educational Loans for Overseas Studies for Other Backward Classes (OBCs) and Economically Backward Classes (EBCs)</t>
        </is>
      </c>
      <c r="C324" s="4" t="inlineStr">
        <is>
          <t>C16-P0027</t>
        </is>
      </c>
      <c r="D324" s="4" t="inlineStr">
        <is>
          <t>Offline</t>
        </is>
      </c>
      <c r="E324" s="4" t="inlineStr"/>
      <c r="F324" s="4" t="inlineStr">
        <is>
          <t>Source step text</t>
        </is>
      </c>
      <c r="G324" s="4" t="inlineStr">
        <is>
          <t>Step 1: The interest Subsidy shall be linked with the existing Educational Loan Scheme of the Indian Banks Association (IBA) and restricted to students enrolled for courses at Master, M.Phil and PhD levels.</t>
        </is>
      </c>
      <c r="H324" s="4" t="inlineStr">
        <is>
          <t>en.applicationProcess[0].process[0]</t>
        </is>
      </c>
      <c r="I324" s="4" t="inlineStr">
        <is>
          <t>C16@20261028-ffa365dc</t>
        </is>
      </c>
      <c r="J324" s="4" t="inlineStr">
        <is>
          <t>MS-C16</t>
        </is>
      </c>
      <c r="K324" s="4" t="inlineStr">
        <is>
          <t>1/1</t>
        </is>
      </c>
      <c r="L324" s="7" t="inlineStr">
        <is>
          <t>Approved</t>
        </is>
      </c>
      <c r="M324" s="7" t="n"/>
      <c r="N324" s="4" t="inlineStr">
        <is>
          <t>Actor, branch and dependency need review.</t>
        </is>
      </c>
    </row>
    <row r="325" ht="82" customHeight="1">
      <c r="A325" s="8" t="inlineStr">
        <is>
          <t>C16</t>
        </is>
      </c>
      <c r="B325" s="8" t="inlineStr">
        <is>
          <t>Dr Ambedkar Central Sector Scheme of Interest Subsidy on Educational Loans for Overseas Studies for Other Backward Classes (OBCs) and Economically Backward Classes (EBCs)</t>
        </is>
      </c>
      <c r="C325" s="8" t="inlineStr">
        <is>
          <t>C16-P0028</t>
        </is>
      </c>
      <c r="D325" s="8" t="inlineStr">
        <is>
          <t>Offline</t>
        </is>
      </c>
      <c r="E325" s="8" t="inlineStr"/>
      <c r="F325" s="8" t="inlineStr">
        <is>
          <t>Source step text</t>
        </is>
      </c>
      <c r="G325" s="8" t="inlineStr">
        <is>
          <t>Step 2: The Nodal Bank will lay down the detailed procedure for processing and sanctioning interest subsidies to eligible students in consultation with the Ministry.</t>
        </is>
      </c>
      <c r="H325" s="8" t="inlineStr">
        <is>
          <t>en.applicationProcess[0].process[1]</t>
        </is>
      </c>
      <c r="I325" s="8" t="inlineStr">
        <is>
          <t>C16@20261028-ffa365dc</t>
        </is>
      </c>
      <c r="J325" s="8" t="inlineStr">
        <is>
          <t>MS-C16</t>
        </is>
      </c>
      <c r="K325" s="8" t="inlineStr">
        <is>
          <t>1/1</t>
        </is>
      </c>
      <c r="L325" s="7" t="inlineStr">
        <is>
          <t>Approved</t>
        </is>
      </c>
      <c r="M325" s="7" t="n"/>
      <c r="N325" s="8" t="inlineStr">
        <is>
          <t>Actor, branch and dependency need review.</t>
        </is>
      </c>
    </row>
    <row r="326" ht="82" customHeight="1">
      <c r="A326" s="4" t="inlineStr">
        <is>
          <t>C16</t>
        </is>
      </c>
      <c r="B326" s="4" t="inlineStr">
        <is>
          <t>Dr Ambedkar Central Sector Scheme of Interest Subsidy on Educational Loans for Overseas Studies for Other Backward Classes (OBCs) and Economically Backward Classes (EBCs)</t>
        </is>
      </c>
      <c r="C326" s="4" t="inlineStr">
        <is>
          <t>C16-P0029</t>
        </is>
      </c>
      <c r="D326" s="4" t="inlineStr">
        <is>
          <t>Offline</t>
        </is>
      </c>
      <c r="E326" s="4" t="inlineStr"/>
      <c r="F326" s="4" t="inlineStr">
        <is>
          <t>Source step text</t>
        </is>
      </c>
      <c r="G326" s="4" t="inlineStr">
        <is>
          <t>Step 3: The Recommendatory Committee headed by the Joint Secretary in charge of the Backward Classes Division with representatives of the Finance Division, a representative of Nodal Bank and the concerned Director/Deputy Secretary as convener will examine and recommend the applications for the award of interest subsidy on a quarterly basis.</t>
        </is>
      </c>
      <c r="H326" s="4" t="inlineStr">
        <is>
          <t>en.applicationProcess[0].process[2]</t>
        </is>
      </c>
      <c r="I326" s="4" t="inlineStr">
        <is>
          <t>C16@20261028-ffa365dc</t>
        </is>
      </c>
      <c r="J326" s="4" t="inlineStr">
        <is>
          <t>MS-C16</t>
        </is>
      </c>
      <c r="K326" s="4" t="inlineStr">
        <is>
          <t>1/1</t>
        </is>
      </c>
      <c r="L326" s="7" t="inlineStr">
        <is>
          <t>Approved</t>
        </is>
      </c>
      <c r="M326" s="7" t="n"/>
      <c r="N326" s="4" t="inlineStr">
        <is>
          <t>Actor, branch and dependency need review.</t>
        </is>
      </c>
    </row>
    <row r="327" ht="40" customHeight="1">
      <c r="A327" s="8" t="inlineStr">
        <is>
          <t>C17</t>
        </is>
      </c>
      <c r="B327" s="8" t="inlineStr">
        <is>
          <t>Nikshay Poshan Yojana</t>
        </is>
      </c>
      <c r="C327" s="8" t="inlineStr">
        <is>
          <t>C17-P0019</t>
        </is>
      </c>
      <c r="D327" s="8" t="inlineStr">
        <is>
          <t>Online</t>
        </is>
      </c>
      <c r="E327" s="8" t="inlineStr"/>
      <c r="F327" s="8" t="inlineStr">
        <is>
          <t>Source step text</t>
        </is>
      </c>
      <c r="G327" s="8" t="inlineStr">
        <is>
          <t>Submission of Bank Account Details</t>
        </is>
      </c>
      <c r="H327" s="8" t="inlineStr">
        <is>
          <t>en.applicationProcess[0].process[0].children[0].children[0]</t>
        </is>
      </c>
      <c r="I327" s="8" t="inlineStr">
        <is>
          <t>C17@20261028-265c1bfa</t>
        </is>
      </c>
      <c r="J327" s="8" t="inlineStr">
        <is>
          <t>MS-C17</t>
        </is>
      </c>
      <c r="K327" s="8" t="inlineStr">
        <is>
          <t>1/1</t>
        </is>
      </c>
      <c r="L327" s="7" t="inlineStr">
        <is>
          <t>Approved</t>
        </is>
      </c>
      <c r="M327" s="7" t="n"/>
      <c r="N327" s="8" t="inlineStr">
        <is>
          <t>Actor, branch and dependency need review.</t>
        </is>
      </c>
    </row>
    <row r="328" ht="40" customHeight="1">
      <c r="A328" s="4" t="inlineStr">
        <is>
          <t>C17</t>
        </is>
      </c>
      <c r="B328" s="4" t="inlineStr">
        <is>
          <t>Nikshay Poshan Yojana</t>
        </is>
      </c>
      <c r="C328" s="4" t="inlineStr">
        <is>
          <t>C17-P0020</t>
        </is>
      </c>
      <c r="D328" s="4" t="inlineStr">
        <is>
          <t>Online</t>
        </is>
      </c>
      <c r="E328" s="4" t="inlineStr"/>
      <c r="F328" s="4" t="inlineStr">
        <is>
          <t>Source step text</t>
        </is>
      </c>
      <c r="G328" s="4" t="inlineStr">
        <is>
          <t>Patient need to submit his/her Aadhaar-linked savings bank account to TB health provider.</t>
        </is>
      </c>
      <c r="H328" s="4" t="inlineStr">
        <is>
          <t>en.applicationProcess[0].process[0].children[1].children[0]</t>
        </is>
      </c>
      <c r="I328" s="4" t="inlineStr">
        <is>
          <t>C17@20261028-265c1bfa</t>
        </is>
      </c>
      <c r="J328" s="4" t="inlineStr">
        <is>
          <t>MS-C17</t>
        </is>
      </c>
      <c r="K328" s="4" t="inlineStr">
        <is>
          <t>1/1</t>
        </is>
      </c>
      <c r="L328" s="7" t="inlineStr">
        <is>
          <t>Approved</t>
        </is>
      </c>
      <c r="M328" s="7" t="n"/>
      <c r="N328" s="4" t="inlineStr">
        <is>
          <t>Actor, branch and dependency need review.</t>
        </is>
      </c>
    </row>
    <row r="329" ht="40" customHeight="1">
      <c r="A329" s="8" t="inlineStr">
        <is>
          <t>C17</t>
        </is>
      </c>
      <c r="B329" s="8" t="inlineStr">
        <is>
          <t>Nikshay Poshan Yojana</t>
        </is>
      </c>
      <c r="C329" s="8" t="inlineStr">
        <is>
          <t>C17-P0021</t>
        </is>
      </c>
      <c r="D329" s="8" t="inlineStr">
        <is>
          <t>Online</t>
        </is>
      </c>
      <c r="E329" s="8" t="inlineStr"/>
      <c r="F329" s="8" t="inlineStr">
        <is>
          <t>Source step text</t>
        </is>
      </c>
      <c r="G329" s="8" t="inlineStr">
        <is>
          <t>Supporting documents like a Aadhaar number, passbook, canceled cheque, or bank statement must be collected.</t>
        </is>
      </c>
      <c r="H329" s="8" t="inlineStr">
        <is>
          <t>en.applicationProcess[0].process[0].children[1].children[1]</t>
        </is>
      </c>
      <c r="I329" s="8" t="inlineStr">
        <is>
          <t>C17@20261028-265c1bfa</t>
        </is>
      </c>
      <c r="J329" s="8" t="inlineStr">
        <is>
          <t>MS-C17</t>
        </is>
      </c>
      <c r="K329" s="8" t="inlineStr">
        <is>
          <t>1/1</t>
        </is>
      </c>
      <c r="L329" s="7" t="inlineStr">
        <is>
          <t>Approved</t>
        </is>
      </c>
      <c r="M329" s="7" t="n"/>
      <c r="N329" s="8" t="inlineStr">
        <is>
          <t>Actor, branch and dependency need review.</t>
        </is>
      </c>
    </row>
    <row r="330" ht="40" customHeight="1">
      <c r="A330" s="4" t="inlineStr">
        <is>
          <t>C17</t>
        </is>
      </c>
      <c r="B330" s="4" t="inlineStr">
        <is>
          <t>Nikshay Poshan Yojana</t>
        </is>
      </c>
      <c r="C330" s="4" t="inlineStr">
        <is>
          <t>C17-P0022</t>
        </is>
      </c>
      <c r="D330" s="4" t="inlineStr">
        <is>
          <t>Online</t>
        </is>
      </c>
      <c r="E330" s="4" t="inlineStr"/>
      <c r="F330" s="4" t="inlineStr">
        <is>
          <t>Source step text</t>
        </is>
      </c>
      <c r="G330" s="4" t="inlineStr">
        <is>
          <t>If Patient don't have a bank account:</t>
        </is>
      </c>
      <c r="H330" s="4" t="inlineStr">
        <is>
          <t>en.applicationProcess[0].process[0].children[1].children[2]</t>
        </is>
      </c>
      <c r="I330" s="4" t="inlineStr">
        <is>
          <t>C17@20261028-265c1bfa</t>
        </is>
      </c>
      <c r="J330" s="4" t="inlineStr">
        <is>
          <t>MS-C17</t>
        </is>
      </c>
      <c r="K330" s="4" t="inlineStr">
        <is>
          <t>1/1</t>
        </is>
      </c>
      <c r="L330" s="7" t="inlineStr">
        <is>
          <t>Approved</t>
        </is>
      </c>
      <c r="M330" s="7" t="n"/>
      <c r="N330" s="4" t="inlineStr">
        <is>
          <t>Actor, branch and dependency need review.</t>
        </is>
      </c>
    </row>
    <row r="331" ht="40" customHeight="1">
      <c r="A331" s="8" t="inlineStr">
        <is>
          <t>C17</t>
        </is>
      </c>
      <c r="B331" s="8" t="inlineStr">
        <is>
          <t>Nikshay Poshan Yojana</t>
        </is>
      </c>
      <c r="C331" s="8" t="inlineStr">
        <is>
          <t>C17-P0023</t>
        </is>
      </c>
      <c r="D331" s="8" t="inlineStr">
        <is>
          <t>Online</t>
        </is>
      </c>
      <c r="E331" s="8" t="inlineStr"/>
      <c r="F331" s="8" t="inlineStr">
        <is>
          <t>Source step text</t>
        </is>
      </c>
      <c r="G331" s="8" t="inlineStr">
        <is>
          <t>Open a new account (e.g., via Jan Dhan Yojana/India Post Payments Bank).</t>
        </is>
      </c>
      <c r="H331" s="8" t="inlineStr">
        <is>
          <t>en.applicationProcess[0].process[0].children[1].children[3].children[0].children[0]</t>
        </is>
      </c>
      <c r="I331" s="8" t="inlineStr">
        <is>
          <t>C17@20261028-265c1bfa</t>
        </is>
      </c>
      <c r="J331" s="8" t="inlineStr">
        <is>
          <t>MS-C17</t>
        </is>
      </c>
      <c r="K331" s="8" t="inlineStr">
        <is>
          <t>1/1</t>
        </is>
      </c>
      <c r="L331" s="7" t="inlineStr">
        <is>
          <t>Approved</t>
        </is>
      </c>
      <c r="M331" s="7" t="n"/>
      <c r="N331" s="8" t="inlineStr">
        <is>
          <t>Actor, branch and dependency need review.</t>
        </is>
      </c>
    </row>
    <row r="332" ht="40" customHeight="1">
      <c r="A332" s="4" t="inlineStr">
        <is>
          <t>C17</t>
        </is>
      </c>
      <c r="B332" s="4" t="inlineStr">
        <is>
          <t>Nikshay Poshan Yojana</t>
        </is>
      </c>
      <c r="C332" s="4" t="inlineStr">
        <is>
          <t>C17-P0024</t>
        </is>
      </c>
      <c r="D332" s="4" t="inlineStr">
        <is>
          <t>Online</t>
        </is>
      </c>
      <c r="E332" s="4" t="inlineStr"/>
      <c r="F332" s="4" t="inlineStr">
        <is>
          <t>Source step text</t>
        </is>
      </c>
      <c r="G332" s="4" t="inlineStr">
        <is>
          <t>Alternatively, Patient may nominate a family member’s account with a written consent (standard format available in the manual).</t>
        </is>
      </c>
      <c r="H332" s="4" t="inlineStr">
        <is>
          <t>en.applicationProcess[0].process[0].children[1].children[3].children[0].children[1]</t>
        </is>
      </c>
      <c r="I332" s="4" t="inlineStr">
        <is>
          <t>C17@20261028-265c1bfa</t>
        </is>
      </c>
      <c r="J332" s="4" t="inlineStr">
        <is>
          <t>MS-C17</t>
        </is>
      </c>
      <c r="K332" s="4" t="inlineStr">
        <is>
          <t>1/1</t>
        </is>
      </c>
      <c r="L332" s="7" t="inlineStr">
        <is>
          <t>Approved</t>
        </is>
      </c>
      <c r="M332" s="7" t="n"/>
      <c r="N332" s="4" t="inlineStr">
        <is>
          <t>Actor, branch and dependency need review.</t>
        </is>
      </c>
    </row>
    <row r="333" ht="40" customHeight="1">
      <c r="A333" s="8" t="inlineStr">
        <is>
          <t>C17</t>
        </is>
      </c>
      <c r="B333" s="8" t="inlineStr">
        <is>
          <t>Nikshay Poshan Yojana</t>
        </is>
      </c>
      <c r="C333" s="8" t="inlineStr">
        <is>
          <t>C17-P0025</t>
        </is>
      </c>
      <c r="D333" s="8" t="inlineStr">
        <is>
          <t>Online</t>
        </is>
      </c>
      <c r="E333" s="8" t="inlineStr"/>
      <c r="F333" s="8" t="inlineStr">
        <is>
          <t>Source step text</t>
        </is>
      </c>
      <c r="G333" s="8" t="inlineStr">
        <is>
          <t>Registration in Nikshay</t>
        </is>
      </c>
      <c r="H333" s="8" t="inlineStr">
        <is>
          <t>en.applicationProcess[0].process[0].children[2].children[0]</t>
        </is>
      </c>
      <c r="I333" s="8" t="inlineStr">
        <is>
          <t>C17@20261028-265c1bfa</t>
        </is>
      </c>
      <c r="J333" s="8" t="inlineStr">
        <is>
          <t>MS-C17</t>
        </is>
      </c>
      <c r="K333" s="8" t="inlineStr">
        <is>
          <t>1/1</t>
        </is>
      </c>
      <c r="L333" s="7" t="inlineStr">
        <is>
          <t>Approved</t>
        </is>
      </c>
      <c r="M333" s="7" t="n"/>
      <c r="N333" s="8" t="inlineStr">
        <is>
          <t>Actor, branch and dependency need review.</t>
        </is>
      </c>
    </row>
    <row r="334" ht="40" customHeight="1">
      <c r="A334" s="4" t="inlineStr">
        <is>
          <t>C17</t>
        </is>
      </c>
      <c r="B334" s="4" t="inlineStr">
        <is>
          <t>Nikshay Poshan Yojana</t>
        </is>
      </c>
      <c r="C334" s="4" t="inlineStr">
        <is>
          <t>C17-P0026</t>
        </is>
      </c>
      <c r="D334" s="4" t="inlineStr">
        <is>
          <t>Online</t>
        </is>
      </c>
      <c r="E334" s="4" t="inlineStr"/>
      <c r="F334" s="4" t="inlineStr">
        <is>
          <t>Source step text</t>
        </is>
      </c>
      <c r="G334" s="4" t="inlineStr">
        <is>
          <t>Patient bank details will be entered by the TB health staff into the Nikshay system.</t>
        </is>
      </c>
      <c r="H334" s="4" t="inlineStr">
        <is>
          <t>en.applicationProcess[0].process[0].children[3].children[0]</t>
        </is>
      </c>
      <c r="I334" s="4" t="inlineStr">
        <is>
          <t>C17@20261028-265c1bfa</t>
        </is>
      </c>
      <c r="J334" s="4" t="inlineStr">
        <is>
          <t>MS-C17</t>
        </is>
      </c>
      <c r="K334" s="4" t="inlineStr">
        <is>
          <t>1/1</t>
        </is>
      </c>
      <c r="L334" s="7" t="inlineStr">
        <is>
          <t>Approved</t>
        </is>
      </c>
      <c r="M334" s="7" t="n"/>
      <c r="N334" s="4" t="inlineStr">
        <is>
          <t>Actor, branch and dependency need review.</t>
        </is>
      </c>
    </row>
    <row r="335" ht="40" customHeight="1">
      <c r="A335" s="8" t="inlineStr">
        <is>
          <t>C17</t>
        </is>
      </c>
      <c r="B335" s="8" t="inlineStr">
        <is>
          <t>Nikshay Poshan Yojana</t>
        </is>
      </c>
      <c r="C335" s="8" t="inlineStr">
        <is>
          <t>C17-P0027</t>
        </is>
      </c>
      <c r="D335" s="8" t="inlineStr">
        <is>
          <t>Online</t>
        </is>
      </c>
      <c r="E335" s="8" t="inlineStr"/>
      <c r="F335" s="8" t="inlineStr">
        <is>
          <t>Source step text</t>
        </is>
      </c>
      <c r="G335" s="8" t="inlineStr">
        <is>
          <t>Ensure Patient account is unique—no two beneficiaries can use the same bank account.</t>
        </is>
      </c>
      <c r="H335" s="8" t="inlineStr">
        <is>
          <t>en.applicationProcess[0].process[0].children[3].children[1]</t>
        </is>
      </c>
      <c r="I335" s="8" t="inlineStr">
        <is>
          <t>C17@20261028-265c1bfa</t>
        </is>
      </c>
      <c r="J335" s="8" t="inlineStr">
        <is>
          <t>MS-C17</t>
        </is>
      </c>
      <c r="K335" s="8" t="inlineStr">
        <is>
          <t>1/1</t>
        </is>
      </c>
      <c r="L335" s="7" t="inlineStr">
        <is>
          <t>Approved</t>
        </is>
      </c>
      <c r="M335" s="7" t="n"/>
      <c r="N335" s="8" t="inlineStr">
        <is>
          <t>Actor, branch and dependency need review.</t>
        </is>
      </c>
    </row>
    <row r="336" ht="40" customHeight="1">
      <c r="A336" s="4" t="inlineStr">
        <is>
          <t>C17</t>
        </is>
      </c>
      <c r="B336" s="4" t="inlineStr">
        <is>
          <t>Nikshay Poshan Yojana</t>
        </is>
      </c>
      <c r="C336" s="4" t="inlineStr">
        <is>
          <t>C17-P0028</t>
        </is>
      </c>
      <c r="D336" s="4" t="inlineStr">
        <is>
          <t>Online</t>
        </is>
      </c>
      <c r="E336" s="4" t="inlineStr"/>
      <c r="F336" s="4" t="inlineStr">
        <is>
          <t>Source step text</t>
        </is>
      </c>
      <c r="G336" s="4" t="inlineStr">
        <is>
          <t>Nikshay will automatically send the bank details to PFMS for validation.</t>
        </is>
      </c>
      <c r="H336" s="4" t="inlineStr">
        <is>
          <t>en.applicationProcess[0].process[0].children[3].children[2]</t>
        </is>
      </c>
      <c r="I336" s="4" t="inlineStr">
        <is>
          <t>C17@20261028-265c1bfa</t>
        </is>
      </c>
      <c r="J336" s="4" t="inlineStr">
        <is>
          <t>MS-C17</t>
        </is>
      </c>
      <c r="K336" s="4" t="inlineStr">
        <is>
          <t>1/1</t>
        </is>
      </c>
      <c r="L336" s="7" t="inlineStr">
        <is>
          <t>Approved</t>
        </is>
      </c>
      <c r="M336" s="7" t="n"/>
      <c r="N336" s="4" t="inlineStr">
        <is>
          <t>Actor, branch and dependency need review.</t>
        </is>
      </c>
    </row>
    <row r="337" ht="40" customHeight="1">
      <c r="A337" s="8" t="inlineStr">
        <is>
          <t>C17</t>
        </is>
      </c>
      <c r="B337" s="8" t="inlineStr">
        <is>
          <t>Nikshay Poshan Yojana</t>
        </is>
      </c>
      <c r="C337" s="8" t="inlineStr">
        <is>
          <t>C17-P0029</t>
        </is>
      </c>
      <c r="D337" s="8" t="inlineStr">
        <is>
          <t>Online</t>
        </is>
      </c>
      <c r="E337" s="8" t="inlineStr"/>
      <c r="F337" s="8" t="inlineStr">
        <is>
          <t>Source step text</t>
        </is>
      </c>
      <c r="G337" s="8" t="inlineStr">
        <is>
          <t>Bank Account Validation via PFMS</t>
        </is>
      </c>
      <c r="H337" s="8" t="inlineStr">
        <is>
          <t>en.applicationProcess[0].process[0].children[4].children[0]</t>
        </is>
      </c>
      <c r="I337" s="8" t="inlineStr">
        <is>
          <t>C17@20261028-265c1bfa</t>
        </is>
      </c>
      <c r="J337" s="8" t="inlineStr">
        <is>
          <t>MS-C17</t>
        </is>
      </c>
      <c r="K337" s="8" t="inlineStr">
        <is>
          <t>1/1</t>
        </is>
      </c>
      <c r="L337" s="7" t="inlineStr">
        <is>
          <t>Approved</t>
        </is>
      </c>
      <c r="M337" s="7" t="n"/>
      <c r="N337" s="8" t="inlineStr">
        <is>
          <t>Actor, branch and dependency need review.</t>
        </is>
      </c>
    </row>
    <row r="338" ht="40" customHeight="1">
      <c r="A338" s="4" t="inlineStr">
        <is>
          <t>C17</t>
        </is>
      </c>
      <c r="B338" s="4" t="inlineStr">
        <is>
          <t>Nikshay Poshan Yojana</t>
        </is>
      </c>
      <c r="C338" s="4" t="inlineStr">
        <is>
          <t>C17-P0030</t>
        </is>
      </c>
      <c r="D338" s="4" t="inlineStr">
        <is>
          <t>Online</t>
        </is>
      </c>
      <c r="E338" s="4" t="inlineStr"/>
      <c r="F338" s="4" t="inlineStr">
        <is>
          <t>Source step text</t>
        </is>
      </c>
      <c r="G338" s="4" t="inlineStr">
        <is>
          <t>Once validated:</t>
        </is>
      </c>
      <c r="H338" s="4" t="inlineStr">
        <is>
          <t>en.applicationProcess[0].process[0].children[5].children[0]</t>
        </is>
      </c>
      <c r="I338" s="4" t="inlineStr">
        <is>
          <t>C17@20261028-265c1bfa</t>
        </is>
      </c>
      <c r="J338" s="4" t="inlineStr">
        <is>
          <t>MS-C17</t>
        </is>
      </c>
      <c r="K338" s="4" t="inlineStr">
        <is>
          <t>1/1</t>
        </is>
      </c>
      <c r="L338" s="7" t="inlineStr">
        <is>
          <t>Approved</t>
        </is>
      </c>
      <c r="M338" s="7" t="n"/>
      <c r="N338" s="4" t="inlineStr">
        <is>
          <t>Actor, branch and dependency need review.</t>
        </is>
      </c>
    </row>
    <row r="339" ht="40" customHeight="1">
      <c r="A339" s="8" t="inlineStr">
        <is>
          <t>C17</t>
        </is>
      </c>
      <c r="B339" s="8" t="inlineStr">
        <is>
          <t>Nikshay Poshan Yojana</t>
        </is>
      </c>
      <c r="C339" s="8" t="inlineStr">
        <is>
          <t>C17-P0031</t>
        </is>
      </c>
      <c r="D339" s="8" t="inlineStr">
        <is>
          <t>Online</t>
        </is>
      </c>
      <c r="E339" s="8" t="inlineStr"/>
      <c r="F339" s="8" t="inlineStr">
        <is>
          <t>Source step text</t>
        </is>
      </c>
      <c r="G339" s="8" t="inlineStr">
        <is>
          <t>A PFMS Beneficiary ID is assigned.</t>
        </is>
      </c>
      <c r="H339" s="8" t="inlineStr">
        <is>
          <t>en.applicationProcess[0].process[0].children[5].children[1].children[0].children[0]</t>
        </is>
      </c>
      <c r="I339" s="8" t="inlineStr">
        <is>
          <t>C17@20261028-265c1bfa</t>
        </is>
      </c>
      <c r="J339" s="8" t="inlineStr">
        <is>
          <t>MS-C17</t>
        </is>
      </c>
      <c r="K339" s="8" t="inlineStr">
        <is>
          <t>1/1</t>
        </is>
      </c>
      <c r="L339" s="7" t="inlineStr">
        <is>
          <t>Approved</t>
        </is>
      </c>
      <c r="M339" s="7" t="n"/>
      <c r="N339" s="8" t="inlineStr">
        <is>
          <t>Actor, branch and dependency need review.</t>
        </is>
      </c>
    </row>
    <row r="340" ht="40" customHeight="1">
      <c r="A340" s="4" t="inlineStr">
        <is>
          <t>C17</t>
        </is>
      </c>
      <c r="B340" s="4" t="inlineStr">
        <is>
          <t>Nikshay Poshan Yojana</t>
        </is>
      </c>
      <c r="C340" s="4" t="inlineStr">
        <is>
          <t>C17-P0032</t>
        </is>
      </c>
      <c r="D340" s="4" t="inlineStr">
        <is>
          <t>Online</t>
        </is>
      </c>
      <c r="E340" s="4" t="inlineStr"/>
      <c r="F340" s="4" t="inlineStr">
        <is>
          <t>Source step text</t>
        </is>
      </c>
      <c r="G340" s="4" t="inlineStr">
        <is>
          <t>Patient status in Nikshay changes to “Validated”.</t>
        </is>
      </c>
      <c r="H340" s="4" t="inlineStr">
        <is>
          <t>en.applicationProcess[0].process[0].children[5].children[1].children[0].children[1]</t>
        </is>
      </c>
      <c r="I340" s="4" t="inlineStr">
        <is>
          <t>C17@20261028-265c1bfa</t>
        </is>
      </c>
      <c r="J340" s="4" t="inlineStr">
        <is>
          <t>MS-C17</t>
        </is>
      </c>
      <c r="K340" s="4" t="inlineStr">
        <is>
          <t>1/1</t>
        </is>
      </c>
      <c r="L340" s="7" t="inlineStr">
        <is>
          <t>Approved</t>
        </is>
      </c>
      <c r="M340" s="7" t="n"/>
      <c r="N340" s="4" t="inlineStr">
        <is>
          <t>Actor, branch and dependency need review.</t>
        </is>
      </c>
    </row>
    <row r="341" ht="40" customHeight="1">
      <c r="A341" s="8" t="inlineStr">
        <is>
          <t>C17</t>
        </is>
      </c>
      <c r="B341" s="8" t="inlineStr">
        <is>
          <t>Nikshay Poshan Yojana</t>
        </is>
      </c>
      <c r="C341" s="8" t="inlineStr">
        <is>
          <t>C17-P0033</t>
        </is>
      </c>
      <c r="D341" s="8" t="inlineStr">
        <is>
          <t>Online</t>
        </is>
      </c>
      <c r="E341" s="8" t="inlineStr"/>
      <c r="F341" s="8" t="inlineStr">
        <is>
          <t>Source step text</t>
        </is>
      </c>
      <c r="G341" s="8" t="inlineStr">
        <is>
          <t>If rejected:</t>
        </is>
      </c>
      <c r="H341" s="8" t="inlineStr">
        <is>
          <t>en.applicationProcess[0].process[0].children[5].children[2]</t>
        </is>
      </c>
      <c r="I341" s="8" t="inlineStr">
        <is>
          <t>C17@20261028-265c1bfa</t>
        </is>
      </c>
      <c r="J341" s="8" t="inlineStr">
        <is>
          <t>MS-C17</t>
        </is>
      </c>
      <c r="K341" s="8" t="inlineStr">
        <is>
          <t>1/1</t>
        </is>
      </c>
      <c r="L341" s="7" t="inlineStr">
        <is>
          <t>Approved</t>
        </is>
      </c>
      <c r="M341" s="7" t="n"/>
      <c r="N341" s="8" t="inlineStr">
        <is>
          <t>Actor, branch and dependency need review.</t>
        </is>
      </c>
    </row>
    <row r="342" ht="40" customHeight="1">
      <c r="A342" s="4" t="inlineStr">
        <is>
          <t>C17</t>
        </is>
      </c>
      <c r="B342" s="4" t="inlineStr">
        <is>
          <t>Nikshay Poshan Yojana</t>
        </is>
      </c>
      <c r="C342" s="4" t="inlineStr">
        <is>
          <t>C17-P0034</t>
        </is>
      </c>
      <c r="D342" s="4" t="inlineStr">
        <is>
          <t>Online</t>
        </is>
      </c>
      <c r="E342" s="4" t="inlineStr"/>
      <c r="F342" s="4" t="inlineStr">
        <is>
          <t>Source step text</t>
        </is>
      </c>
      <c r="G342" s="4" t="inlineStr">
        <is>
          <t>Patient will receive an SMS asking his/her to contact the health staff to correct the bank details.</t>
        </is>
      </c>
      <c r="H342" s="4" t="inlineStr">
        <is>
          <t>en.applicationProcess[0].process[0].children[5].children[3].children[0].children[0]</t>
        </is>
      </c>
      <c r="I342" s="4" t="inlineStr">
        <is>
          <t>C17@20261028-265c1bfa</t>
        </is>
      </c>
      <c r="J342" s="4" t="inlineStr">
        <is>
          <t>MS-C17</t>
        </is>
      </c>
      <c r="K342" s="4" t="inlineStr">
        <is>
          <t>1/1</t>
        </is>
      </c>
      <c r="L342" s="7" t="inlineStr">
        <is>
          <t>Approved</t>
        </is>
      </c>
      <c r="M342" s="7" t="n"/>
      <c r="N342" s="4" t="inlineStr">
        <is>
          <t>Actor, branch and dependency need review.</t>
        </is>
      </c>
    </row>
    <row r="343" ht="40" customHeight="1">
      <c r="A343" s="8" t="inlineStr">
        <is>
          <t>C18</t>
        </is>
      </c>
      <c r="B343" s="8" t="inlineStr">
        <is>
          <t>Pradhan Mantri Surakshit Matritva Abhiyan</t>
        </is>
      </c>
      <c r="C343" s="8" t="inlineStr">
        <is>
          <t>C18-P0040</t>
        </is>
      </c>
      <c r="D343" s="8" t="inlineStr">
        <is>
          <t>Offline</t>
        </is>
      </c>
      <c r="E343" s="8" t="inlineStr">
        <is>
          <t>Step 1: Identify Nearest Pradhan Mantri Surakshit Matritva Abhiyan Facility</t>
        </is>
      </c>
      <c r="F343" s="8" t="inlineStr">
        <is>
          <t>Heading / phase</t>
        </is>
      </c>
      <c r="G343" s="8" t="inlineStr">
        <is>
          <t>Step 1: Identify Nearest Pradhan Mantri Surakshit Matritva Abhiyan Facility</t>
        </is>
      </c>
      <c r="H343" s="8" t="inlineStr">
        <is>
          <t>en.applicationProcess[0].process[0]</t>
        </is>
      </c>
      <c r="I343" s="8" t="inlineStr">
        <is>
          <t>C18@20261028-4c31c2aa</t>
        </is>
      </c>
      <c r="J343" s="8" t="inlineStr">
        <is>
          <t>MS-C18</t>
        </is>
      </c>
      <c r="K343" s="8" t="inlineStr">
        <is>
          <t>1/1</t>
        </is>
      </c>
      <c r="L343" s="7" t="inlineStr">
        <is>
          <t>Approved</t>
        </is>
      </c>
      <c r="M343" s="7" t="n"/>
      <c r="N343" s="8" t="inlineStr">
        <is>
          <t>Actor, branch and dependency need review.</t>
        </is>
      </c>
    </row>
    <row r="344" ht="54" customHeight="1">
      <c r="A344" s="4" t="inlineStr">
        <is>
          <t>C18</t>
        </is>
      </c>
      <c r="B344" s="4" t="inlineStr">
        <is>
          <t>Pradhan Mantri Surakshit Matritva Abhiyan</t>
        </is>
      </c>
      <c r="C344" s="4" t="inlineStr">
        <is>
          <t>C18-P0041</t>
        </is>
      </c>
      <c r="D344" s="4" t="inlineStr">
        <is>
          <t>Offline</t>
        </is>
      </c>
      <c r="E344" s="4" t="inlineStr">
        <is>
          <t>Step 1: Identify Nearest Pradhan Mantri Surakshit Matritva Abhiyan Facility</t>
        </is>
      </c>
      <c r="F344" s="4" t="inlineStr">
        <is>
          <t>Source step text</t>
        </is>
      </c>
      <c r="G344" s="4" t="inlineStr">
        <is>
          <t>The pregnant woman should visit the Official Portal of PMSMA or download the 'PMSMA' mobile application to find their nearest PMSMA facility using the 'Nearest Facility' search feature.</t>
        </is>
      </c>
      <c r="H344" s="4" t="inlineStr">
        <is>
          <t>en.applicationProcess[0].process[1]</t>
        </is>
      </c>
      <c r="I344" s="4" t="inlineStr">
        <is>
          <t>C18@20261028-4c31c2aa</t>
        </is>
      </c>
      <c r="J344" s="4" t="inlineStr">
        <is>
          <t>MS-C18</t>
        </is>
      </c>
      <c r="K344" s="4" t="inlineStr">
        <is>
          <t>1/1</t>
        </is>
      </c>
      <c r="L344" s="7" t="inlineStr">
        <is>
          <t>Approved</t>
        </is>
      </c>
      <c r="M344" s="7" t="n"/>
      <c r="N344" s="4" t="inlineStr">
        <is>
          <t>Actor, branch and dependency need review.</t>
        </is>
      </c>
    </row>
    <row r="345" ht="40" customHeight="1">
      <c r="A345" s="8" t="inlineStr">
        <is>
          <t>C18</t>
        </is>
      </c>
      <c r="B345" s="8" t="inlineStr">
        <is>
          <t>Pradhan Mantri Surakshit Matritva Abhiyan</t>
        </is>
      </c>
      <c r="C345" s="8" t="inlineStr">
        <is>
          <t>C18-P0042</t>
        </is>
      </c>
      <c r="D345" s="8" t="inlineStr">
        <is>
          <t>Offline</t>
        </is>
      </c>
      <c r="E345" s="8" t="inlineStr">
        <is>
          <t>Step 2: Visit on Designated Day</t>
        </is>
      </c>
      <c r="F345" s="8" t="inlineStr">
        <is>
          <t>Heading / phase</t>
        </is>
      </c>
      <c r="G345" s="8" t="inlineStr">
        <is>
          <t>Step 2: Visit on Designated Day</t>
        </is>
      </c>
      <c r="H345" s="8" t="inlineStr">
        <is>
          <t>en.applicationProcess[0].process[2]</t>
        </is>
      </c>
      <c r="I345" s="8" t="inlineStr">
        <is>
          <t>C18@20261028-4c31c2aa</t>
        </is>
      </c>
      <c r="J345" s="8" t="inlineStr">
        <is>
          <t>MS-C18</t>
        </is>
      </c>
      <c r="K345" s="8" t="inlineStr">
        <is>
          <t>1/1</t>
        </is>
      </c>
      <c r="L345" s="7" t="inlineStr">
        <is>
          <t>Approved</t>
        </is>
      </c>
      <c r="M345" s="7" t="n"/>
      <c r="N345" s="8" t="inlineStr">
        <is>
          <t>Actor, branch and dependency need review.</t>
        </is>
      </c>
    </row>
    <row r="346" ht="68" customHeight="1">
      <c r="A346" s="4" t="inlineStr">
        <is>
          <t>C18</t>
        </is>
      </c>
      <c r="B346" s="4" t="inlineStr">
        <is>
          <t>Pradhan Mantri Surakshit Matritva Abhiyan</t>
        </is>
      </c>
      <c r="C346" s="4" t="inlineStr">
        <is>
          <t>C18-P0043</t>
        </is>
      </c>
      <c r="D346" s="4" t="inlineStr">
        <is>
          <t>Offline</t>
        </is>
      </c>
      <c r="E346" s="4" t="inlineStr">
        <is>
          <t>Step 2: Visit on Designated Day</t>
        </is>
      </c>
      <c r="F346" s="4" t="inlineStr">
        <is>
          <t>Source step text</t>
        </is>
      </c>
      <c r="G346" s="4" t="inlineStr">
        <is>
          <t>The beneficiary must visit the identified government health facility (Primary Health Centre, Community Health Centre, District Hospital, or urban health facility) on the 9th of every month. If the 9th falls on Sunday or holiday, services are provided on the next working day.</t>
        </is>
      </c>
      <c r="H346" s="4" t="inlineStr">
        <is>
          <t>en.applicationProcess[0].process[3]</t>
        </is>
      </c>
      <c r="I346" s="4" t="inlineStr">
        <is>
          <t>C18@20261028-4c31c2aa</t>
        </is>
      </c>
      <c r="J346" s="4" t="inlineStr">
        <is>
          <t>MS-C18</t>
        </is>
      </c>
      <c r="K346" s="4" t="inlineStr">
        <is>
          <t>1/1</t>
        </is>
      </c>
      <c r="L346" s="7" t="inlineStr">
        <is>
          <t>Approved</t>
        </is>
      </c>
      <c r="M346" s="7" t="n"/>
      <c r="N346" s="4" t="inlineStr">
        <is>
          <t>Actor, branch and dependency need review.</t>
        </is>
      </c>
    </row>
    <row r="347" ht="40" customHeight="1">
      <c r="A347" s="8" t="inlineStr">
        <is>
          <t>C18</t>
        </is>
      </c>
      <c r="B347" s="8" t="inlineStr">
        <is>
          <t>Pradhan Mantri Surakshit Matritva Abhiyan</t>
        </is>
      </c>
      <c r="C347" s="8" t="inlineStr">
        <is>
          <t>C18-P0044</t>
        </is>
      </c>
      <c r="D347" s="8" t="inlineStr">
        <is>
          <t>Offline</t>
        </is>
      </c>
      <c r="E347" s="8" t="inlineStr">
        <is>
          <t>Step 3: Registration at Facility</t>
        </is>
      </c>
      <c r="F347" s="8" t="inlineStr">
        <is>
          <t>Heading / phase</t>
        </is>
      </c>
      <c r="G347" s="8" t="inlineStr">
        <is>
          <t>Step 3: Registration at Facility</t>
        </is>
      </c>
      <c r="H347" s="8" t="inlineStr">
        <is>
          <t>en.applicationProcess[0].process[4]</t>
        </is>
      </c>
      <c r="I347" s="8" t="inlineStr">
        <is>
          <t>C18@20261028-4c31c2aa</t>
        </is>
      </c>
      <c r="J347" s="8" t="inlineStr">
        <is>
          <t>MS-C18</t>
        </is>
      </c>
      <c r="K347" s="8" t="inlineStr">
        <is>
          <t>1/1</t>
        </is>
      </c>
      <c r="L347" s="7" t="inlineStr">
        <is>
          <t>Approved</t>
        </is>
      </c>
      <c r="M347" s="7" t="n"/>
      <c r="N347" s="8" t="inlineStr">
        <is>
          <t>Actor, branch and dependency need review.</t>
        </is>
      </c>
    </row>
    <row r="348" ht="40" customHeight="1">
      <c r="A348" s="4" t="inlineStr">
        <is>
          <t>C18</t>
        </is>
      </c>
      <c r="B348" s="4" t="inlineStr">
        <is>
          <t>Pradhan Mantri Surakshit Matritva Abhiyan</t>
        </is>
      </c>
      <c r="C348" s="4" t="inlineStr">
        <is>
          <t>C18-P0045</t>
        </is>
      </c>
      <c r="D348" s="4" t="inlineStr">
        <is>
          <t>Offline</t>
        </is>
      </c>
      <c r="E348" s="4" t="inlineStr">
        <is>
          <t>Step 3: Registration at Facility</t>
        </is>
      </c>
      <c r="F348" s="4" t="inlineStr">
        <is>
          <t>Source step text</t>
        </is>
      </c>
      <c r="G348" s="4" t="inlineStr">
        <is>
          <t>Upon reaching the facility, the pregnant woman should register herself at the PMSMA counter or reception desk by providing basic identity information and contact details.</t>
        </is>
      </c>
      <c r="H348" s="4" t="inlineStr">
        <is>
          <t>en.applicationProcess[0].process[5]</t>
        </is>
      </c>
      <c r="I348" s="4" t="inlineStr">
        <is>
          <t>C18@20261028-4c31c2aa</t>
        </is>
      </c>
      <c r="J348" s="4" t="inlineStr">
        <is>
          <t>MS-C18</t>
        </is>
      </c>
      <c r="K348" s="4" t="inlineStr">
        <is>
          <t>1/1</t>
        </is>
      </c>
      <c r="L348" s="7" t="inlineStr">
        <is>
          <t>Approved</t>
        </is>
      </c>
      <c r="M348" s="7" t="n"/>
      <c r="N348" s="4" t="inlineStr">
        <is>
          <t>Actor, branch and dependency need review.</t>
        </is>
      </c>
    </row>
    <row r="349" ht="40" customHeight="1">
      <c r="A349" s="8" t="inlineStr">
        <is>
          <t>C18</t>
        </is>
      </c>
      <c r="B349" s="8" t="inlineStr">
        <is>
          <t>Pradhan Mantri Surakshit Matritva Abhiyan</t>
        </is>
      </c>
      <c r="C349" s="8" t="inlineStr">
        <is>
          <t>C18-P0046</t>
        </is>
      </c>
      <c r="D349" s="8" t="inlineStr">
        <is>
          <t>Offline</t>
        </is>
      </c>
      <c r="E349" s="8" t="inlineStr">
        <is>
          <t>Step 4: Medical Consultation and Examination</t>
        </is>
      </c>
      <c r="F349" s="8" t="inlineStr">
        <is>
          <t>Heading / phase</t>
        </is>
      </c>
      <c r="G349" s="8" t="inlineStr">
        <is>
          <t>Step 4: Medical Consultation and Examination</t>
        </is>
      </c>
      <c r="H349" s="8" t="inlineStr">
        <is>
          <t>en.applicationProcess[0].process[6]</t>
        </is>
      </c>
      <c r="I349" s="8" t="inlineStr">
        <is>
          <t>C18@20261028-4c31c2aa</t>
        </is>
      </c>
      <c r="J349" s="8" t="inlineStr">
        <is>
          <t>MS-C18</t>
        </is>
      </c>
      <c r="K349" s="8" t="inlineStr">
        <is>
          <t>1/1</t>
        </is>
      </c>
      <c r="L349" s="7" t="inlineStr">
        <is>
          <t>Approved</t>
        </is>
      </c>
      <c r="M349" s="7" t="n"/>
      <c r="N349" s="8" t="inlineStr">
        <is>
          <t>Actor, branch and dependency need review.</t>
        </is>
      </c>
    </row>
    <row r="350" ht="54" customHeight="1">
      <c r="A350" s="4" t="inlineStr">
        <is>
          <t>C18</t>
        </is>
      </c>
      <c r="B350" s="4" t="inlineStr">
        <is>
          <t>Pradhan Mantri Surakshit Matritva Abhiyan</t>
        </is>
      </c>
      <c r="C350" s="4" t="inlineStr">
        <is>
          <t>C18-P0047</t>
        </is>
      </c>
      <c r="D350" s="4" t="inlineStr">
        <is>
          <t>Offline</t>
        </is>
      </c>
      <c r="E350" s="4" t="inlineStr">
        <is>
          <t>Step 4: Medical Consultation and Examination</t>
        </is>
      </c>
      <c r="F350" s="4" t="inlineStr">
        <is>
          <t>Source step text</t>
        </is>
      </c>
      <c r="G350" s="4" t="inlineStr">
        <is>
          <t>The beneficiary will receive comprehensive antenatal care services including medical consultation with Obstetrics and Gynaecology specialists, Radiologists, or Physicians as per the minimum package of services defined under the scheme.</t>
        </is>
      </c>
      <c r="H350" s="4" t="inlineStr">
        <is>
          <t>en.applicationProcess[0].process[7]</t>
        </is>
      </c>
      <c r="I350" s="4" t="inlineStr">
        <is>
          <t>C18@20261028-4c31c2aa</t>
        </is>
      </c>
      <c r="J350" s="4" t="inlineStr">
        <is>
          <t>MS-C18</t>
        </is>
      </c>
      <c r="K350" s="4" t="inlineStr">
        <is>
          <t>1/1</t>
        </is>
      </c>
      <c r="L350" s="7" t="inlineStr">
        <is>
          <t>Approved</t>
        </is>
      </c>
      <c r="M350" s="7" t="n"/>
      <c r="N350" s="4" t="inlineStr">
        <is>
          <t>Actor, branch and dependency need review.</t>
        </is>
      </c>
    </row>
    <row r="351" ht="40" customHeight="1">
      <c r="A351" s="8" t="inlineStr">
        <is>
          <t>C18</t>
        </is>
      </c>
      <c r="B351" s="8" t="inlineStr">
        <is>
          <t>Pradhan Mantri Surakshit Matritva Abhiyan</t>
        </is>
      </c>
      <c r="C351" s="8" t="inlineStr">
        <is>
          <t>C18-P0048</t>
        </is>
      </c>
      <c r="D351" s="8" t="inlineStr">
        <is>
          <t>Offline</t>
        </is>
      </c>
      <c r="E351" s="8" t="inlineStr">
        <is>
          <t>Step 5: Investigation and Tests</t>
        </is>
      </c>
      <c r="F351" s="8" t="inlineStr">
        <is>
          <t>Heading / phase</t>
        </is>
      </c>
      <c r="G351" s="8" t="inlineStr">
        <is>
          <t>Step 5: Investigation and Tests</t>
        </is>
      </c>
      <c r="H351" s="8" t="inlineStr">
        <is>
          <t>en.applicationProcess[0].process[8]</t>
        </is>
      </c>
      <c r="I351" s="8" t="inlineStr">
        <is>
          <t>C18@20261028-4c31c2aa</t>
        </is>
      </c>
      <c r="J351" s="8" t="inlineStr">
        <is>
          <t>MS-C18</t>
        </is>
      </c>
      <c r="K351" s="8" t="inlineStr">
        <is>
          <t>1/1</t>
        </is>
      </c>
      <c r="L351" s="7" t="inlineStr">
        <is>
          <t>Approved</t>
        </is>
      </c>
      <c r="M351" s="7" t="n"/>
      <c r="N351" s="8" t="inlineStr">
        <is>
          <t>Actor, branch and dependency need review.</t>
        </is>
      </c>
    </row>
    <row r="352" ht="54" customHeight="1">
      <c r="A352" s="4" t="inlineStr">
        <is>
          <t>C18</t>
        </is>
      </c>
      <c r="B352" s="4" t="inlineStr">
        <is>
          <t>Pradhan Mantri Surakshit Matritva Abhiyan</t>
        </is>
      </c>
      <c r="C352" s="4" t="inlineStr">
        <is>
          <t>C18-P0049</t>
        </is>
      </c>
      <c r="D352" s="4" t="inlineStr">
        <is>
          <t>Offline</t>
        </is>
      </c>
      <c r="E352" s="4" t="inlineStr">
        <is>
          <t>Step 5: Investigation and Tests</t>
        </is>
      </c>
      <c r="F352" s="4" t="inlineStr">
        <is>
          <t>Source step text</t>
        </is>
      </c>
      <c r="G352" s="4" t="inlineStr">
        <is>
          <t>Required medical investigations, tests, and screening procedures will be conducted as per the standardized protocol for 2nd and 3rd trimester pregnant women under the single window system.</t>
        </is>
      </c>
      <c r="H352" s="4" t="inlineStr">
        <is>
          <t>en.applicationProcess[0].process[9]</t>
        </is>
      </c>
      <c r="I352" s="4" t="inlineStr">
        <is>
          <t>C18@20261028-4c31c2aa</t>
        </is>
      </c>
      <c r="J352" s="4" t="inlineStr">
        <is>
          <t>MS-C18</t>
        </is>
      </c>
      <c r="K352" s="4" t="inlineStr">
        <is>
          <t>1/1</t>
        </is>
      </c>
      <c r="L352" s="7" t="inlineStr">
        <is>
          <t>Approved</t>
        </is>
      </c>
      <c r="M352" s="7" t="n"/>
      <c r="N352" s="4" t="inlineStr">
        <is>
          <t>Actor, branch and dependency need review.</t>
        </is>
      </c>
    </row>
    <row r="353" ht="40" customHeight="1">
      <c r="A353" s="8" t="inlineStr">
        <is>
          <t>C18</t>
        </is>
      </c>
      <c r="B353" s="8" t="inlineStr">
        <is>
          <t>Pradhan Mantri Surakshit Matritva Abhiyan</t>
        </is>
      </c>
      <c r="C353" s="8" t="inlineStr">
        <is>
          <t>C18-P0050</t>
        </is>
      </c>
      <c r="D353" s="8" t="inlineStr">
        <is>
          <t>Offline</t>
        </is>
      </c>
      <c r="E353" s="8" t="inlineStr">
        <is>
          <t>Step 6: Medicine Distribution</t>
        </is>
      </c>
      <c r="F353" s="8" t="inlineStr">
        <is>
          <t>Heading / phase</t>
        </is>
      </c>
      <c r="G353" s="8" t="inlineStr">
        <is>
          <t>Step 6: Medicine Distribution</t>
        </is>
      </c>
      <c r="H353" s="8" t="inlineStr">
        <is>
          <t>en.applicationProcess[0].process[10]</t>
        </is>
      </c>
      <c r="I353" s="8" t="inlineStr">
        <is>
          <t>C18@20261028-4c31c2aa</t>
        </is>
      </c>
      <c r="J353" s="8" t="inlineStr">
        <is>
          <t>MS-C18</t>
        </is>
      </c>
      <c r="K353" s="8" t="inlineStr">
        <is>
          <t>1/1</t>
        </is>
      </c>
      <c r="L353" s="7" t="inlineStr">
        <is>
          <t>Approved</t>
        </is>
      </c>
      <c r="M353" s="7" t="n"/>
      <c r="N353" s="8" t="inlineStr">
        <is>
          <t>Actor, branch and dependency need review.</t>
        </is>
      </c>
    </row>
    <row r="354" ht="54" customHeight="1">
      <c r="A354" s="4" t="inlineStr">
        <is>
          <t>C18</t>
        </is>
      </c>
      <c r="B354" s="4" t="inlineStr">
        <is>
          <t>Pradhan Mantri Surakshit Matritva Abhiyan</t>
        </is>
      </c>
      <c r="C354" s="4" t="inlineStr">
        <is>
          <t>C18-P0051</t>
        </is>
      </c>
      <c r="D354" s="4" t="inlineStr">
        <is>
          <t>Offline</t>
        </is>
      </c>
      <c r="E354" s="4" t="inlineStr">
        <is>
          <t>Step 6: Medicine Distribution</t>
        </is>
      </c>
      <c r="F354" s="4" t="inlineStr">
        <is>
          <t>Source step text</t>
        </is>
      </c>
      <c r="G354" s="4" t="inlineStr">
        <is>
          <t>The beneficiary will receive prescribed medicines including Iron Folic Acid tablets, calcium supplements, and other necessary medications free of cost from the facility pharmacy.</t>
        </is>
      </c>
      <c r="H354" s="4" t="inlineStr">
        <is>
          <t>en.applicationProcess[0].process[11]</t>
        </is>
      </c>
      <c r="I354" s="4" t="inlineStr">
        <is>
          <t>C18@20261028-4c31c2aa</t>
        </is>
      </c>
      <c r="J354" s="4" t="inlineStr">
        <is>
          <t>MS-C18</t>
        </is>
      </c>
      <c r="K354" s="4" t="inlineStr">
        <is>
          <t>1/1</t>
        </is>
      </c>
      <c r="L354" s="7" t="inlineStr">
        <is>
          <t>Approved</t>
        </is>
      </c>
      <c r="M354" s="7" t="n"/>
      <c r="N354" s="4" t="inlineStr">
        <is>
          <t>Actor, branch and dependency need review.</t>
        </is>
      </c>
    </row>
    <row r="355" ht="40" customHeight="1">
      <c r="A355" s="8" t="inlineStr">
        <is>
          <t>C18</t>
        </is>
      </c>
      <c r="B355" s="8" t="inlineStr">
        <is>
          <t>Pradhan Mantri Surakshit Matritva Abhiyan</t>
        </is>
      </c>
      <c r="C355" s="8" t="inlineStr">
        <is>
          <t>C18-P0052</t>
        </is>
      </c>
      <c r="D355" s="8" t="inlineStr">
        <is>
          <t>Offline</t>
        </is>
      </c>
      <c r="E355" s="8" t="inlineStr">
        <is>
          <t>Step 7: Risk Assessment and Follow-up</t>
        </is>
      </c>
      <c r="F355" s="8" t="inlineStr">
        <is>
          <t>Heading / phase</t>
        </is>
      </c>
      <c r="G355" s="8" t="inlineStr">
        <is>
          <t>Step 7: Risk Assessment and Follow-up</t>
        </is>
      </c>
      <c r="H355" s="8" t="inlineStr">
        <is>
          <t>en.applicationProcess[0].process[12]</t>
        </is>
      </c>
      <c r="I355" s="8" t="inlineStr">
        <is>
          <t>C18@20261028-4c31c2aa</t>
        </is>
      </c>
      <c r="J355" s="8" t="inlineStr">
        <is>
          <t>MS-C18</t>
        </is>
      </c>
      <c r="K355" s="8" t="inlineStr">
        <is>
          <t>1/1</t>
        </is>
      </c>
      <c r="L355" s="7" t="inlineStr">
        <is>
          <t>Approved</t>
        </is>
      </c>
      <c r="M355" s="7" t="n"/>
      <c r="N355" s="8" t="inlineStr">
        <is>
          <t>Actor, branch and dependency need review.</t>
        </is>
      </c>
    </row>
    <row r="356" ht="54" customHeight="1">
      <c r="A356" s="4" t="inlineStr">
        <is>
          <t>C18</t>
        </is>
      </c>
      <c r="B356" s="4" t="inlineStr">
        <is>
          <t>Pradhan Mantri Surakshit Matritva Abhiyan</t>
        </is>
      </c>
      <c r="C356" s="4" t="inlineStr">
        <is>
          <t>C18-P0053</t>
        </is>
      </c>
      <c r="D356" s="4" t="inlineStr">
        <is>
          <t>Offline</t>
        </is>
      </c>
      <c r="E356" s="4" t="inlineStr">
        <is>
          <t>Step 7: Risk Assessment and Follow-up</t>
        </is>
      </c>
      <c r="F356" s="4" t="inlineStr">
        <is>
          <t>Source step text</t>
        </is>
      </c>
      <c r="G356" s="4" t="inlineStr">
        <is>
          <t>Healthcare providers will assess pregnancy risk factors and if identified as high-risk, a red sticker will be placed on the Mother and Child Protection card with necessary follow-up instructions.</t>
        </is>
      </c>
      <c r="H356" s="4" t="inlineStr">
        <is>
          <t>en.applicationProcess[0].process[13]</t>
        </is>
      </c>
      <c r="I356" s="4" t="inlineStr">
        <is>
          <t>C18@20261028-4c31c2aa</t>
        </is>
      </c>
      <c r="J356" s="4" t="inlineStr">
        <is>
          <t>MS-C18</t>
        </is>
      </c>
      <c r="K356" s="4" t="inlineStr">
        <is>
          <t>1/1</t>
        </is>
      </c>
      <c r="L356" s="7" t="inlineStr">
        <is>
          <t>Approved</t>
        </is>
      </c>
      <c r="M356" s="7" t="n"/>
      <c r="N356" s="4" t="inlineStr">
        <is>
          <t>Actor, branch and dependency need review.</t>
        </is>
      </c>
    </row>
    <row r="357" ht="40" customHeight="1">
      <c r="A357" s="8" t="inlineStr">
        <is>
          <t>C18</t>
        </is>
      </c>
      <c r="B357" s="8" t="inlineStr">
        <is>
          <t>Pradhan Mantri Surakshit Matritva Abhiyan</t>
        </is>
      </c>
      <c r="C357" s="8" t="inlineStr">
        <is>
          <t>C18-P0054</t>
        </is>
      </c>
      <c r="D357" s="8" t="inlineStr">
        <is>
          <t>Offline</t>
        </is>
      </c>
      <c r="E357" s="8" t="inlineStr">
        <is>
          <t>Step 8: Next Visit Scheduling</t>
        </is>
      </c>
      <c r="F357" s="8" t="inlineStr">
        <is>
          <t>Heading / phase</t>
        </is>
      </c>
      <c r="G357" s="8" t="inlineStr">
        <is>
          <t>Step 8: Next Visit Scheduling</t>
        </is>
      </c>
      <c r="H357" s="8" t="inlineStr">
        <is>
          <t>en.applicationProcess[0].process[14]</t>
        </is>
      </c>
      <c r="I357" s="8" t="inlineStr">
        <is>
          <t>C18@20261028-4c31c2aa</t>
        </is>
      </c>
      <c r="J357" s="8" t="inlineStr">
        <is>
          <t>MS-C18</t>
        </is>
      </c>
      <c r="K357" s="8" t="inlineStr">
        <is>
          <t>1/1</t>
        </is>
      </c>
      <c r="L357" s="7" t="inlineStr">
        <is>
          <t>Approved</t>
        </is>
      </c>
      <c r="M357" s="7" t="n"/>
      <c r="N357" s="8" t="inlineStr">
        <is>
          <t>Actor, branch and dependency need review.</t>
        </is>
      </c>
    </row>
    <row r="358" ht="40" customHeight="1">
      <c r="A358" s="4" t="inlineStr">
        <is>
          <t>C18</t>
        </is>
      </c>
      <c r="B358" s="4" t="inlineStr">
        <is>
          <t>Pradhan Mantri Surakshit Matritva Abhiyan</t>
        </is>
      </c>
      <c r="C358" s="4" t="inlineStr">
        <is>
          <t>C18-P0055</t>
        </is>
      </c>
      <c r="D358" s="4" t="inlineStr">
        <is>
          <t>Offline</t>
        </is>
      </c>
      <c r="E358" s="4" t="inlineStr">
        <is>
          <t>Step 8: Next Visit Scheduling</t>
        </is>
      </c>
      <c r="F358" s="4" t="inlineStr">
        <is>
          <t>Source step text</t>
        </is>
      </c>
      <c r="G358" s="4" t="inlineStr">
        <is>
          <t>The healthcare provider will provide information about the next visit date (9th of following month) and any interim care requirements or emergency contact procedures.</t>
        </is>
      </c>
      <c r="H358" s="4" t="inlineStr">
        <is>
          <t>en.applicationProcess[0].process[15]</t>
        </is>
      </c>
      <c r="I358" s="4" t="inlineStr">
        <is>
          <t>C18@20261028-4c31c2aa</t>
        </is>
      </c>
      <c r="J358" s="4" t="inlineStr">
        <is>
          <t>MS-C18</t>
        </is>
      </c>
      <c r="K358" s="4" t="inlineStr">
        <is>
          <t>1/1</t>
        </is>
      </c>
      <c r="L358" s="7" t="inlineStr">
        <is>
          <t>Approved</t>
        </is>
      </c>
      <c r="M358" s="7" t="n"/>
      <c r="N358" s="4" t="inlineStr">
        <is>
          <t>Actor, branch and dependency need review.</t>
        </is>
      </c>
    </row>
    <row r="359" ht="40" customHeight="1">
      <c r="A359" s="8" t="inlineStr">
        <is>
          <t>C18</t>
        </is>
      </c>
      <c r="B359" s="8" t="inlineStr">
        <is>
          <t>Pradhan Mantri Surakshit Matritva Abhiyan</t>
        </is>
      </c>
      <c r="C359" s="8" t="inlineStr">
        <is>
          <t>C18-P0056</t>
        </is>
      </c>
      <c r="D359" s="8" t="inlineStr">
        <is>
          <t>Offline</t>
        </is>
      </c>
      <c r="E359" s="8" t="inlineStr">
        <is>
          <t>Step 8: Next Visit Scheduling</t>
        </is>
      </c>
      <c r="F359" s="8" t="inlineStr">
        <is>
          <t>Source step text</t>
        </is>
      </c>
      <c r="G359" s="8" t="inlineStr">
        <is>
          <t>*The beneficiary is advised to maintain their Mother and Child Protection card and keep track of visit dates for continuous care throughout pregnancy.</t>
        </is>
      </c>
      <c r="H359" s="8" t="inlineStr">
        <is>
          <t>en.applicationProcess[0].process[16]</t>
        </is>
      </c>
      <c r="I359" s="8" t="inlineStr">
        <is>
          <t>C18@20261028-4c31c2aa</t>
        </is>
      </c>
      <c r="J359" s="8" t="inlineStr">
        <is>
          <t>MS-C18</t>
        </is>
      </c>
      <c r="K359" s="8" t="inlineStr">
        <is>
          <t>1/1</t>
        </is>
      </c>
      <c r="L359" s="7" t="inlineStr">
        <is>
          <t>Approved</t>
        </is>
      </c>
      <c r="M359" s="7" t="n"/>
      <c r="N359" s="8" t="inlineStr">
        <is>
          <t>Actor, branch and dependency need review.</t>
        </is>
      </c>
    </row>
    <row r="360" ht="40" customHeight="1">
      <c r="A360" s="4" t="inlineStr">
        <is>
          <t>C18</t>
        </is>
      </c>
      <c r="B360" s="4" t="inlineStr">
        <is>
          <t>Pradhan Mantri Surakshit Matritva Abhiyan</t>
        </is>
      </c>
      <c r="C360" s="4" t="inlineStr">
        <is>
          <t>C18-P0057</t>
        </is>
      </c>
      <c r="D360" s="4" t="inlineStr">
        <is>
          <t>Offline</t>
        </is>
      </c>
      <c r="E360" s="4" t="inlineStr">
        <is>
          <t>Step 8: Next Visit Scheduling</t>
        </is>
      </c>
      <c r="F360" s="4" t="inlineStr">
        <is>
          <t>Source step text</t>
        </is>
      </c>
      <c r="G360" s="4" t="inlineStr">
        <is>
          <t>Grievance Redressal / Help &amp; Support</t>
        </is>
      </c>
      <c r="H360" s="4" t="inlineStr">
        <is>
          <t>en.applicationProcess[0].process[18].children[0]</t>
        </is>
      </c>
      <c r="I360" s="4" t="inlineStr">
        <is>
          <t>C18@20261028-4c31c2aa</t>
        </is>
      </c>
      <c r="J360" s="4" t="inlineStr">
        <is>
          <t>MS-C18</t>
        </is>
      </c>
      <c r="K360" s="4" t="inlineStr">
        <is>
          <t>1/1</t>
        </is>
      </c>
      <c r="L360" s="7" t="inlineStr">
        <is>
          <t>Approved</t>
        </is>
      </c>
      <c r="M360" s="7" t="n"/>
      <c r="N360" s="4" t="inlineStr">
        <is>
          <t>Actor, branch and dependency need review.</t>
        </is>
      </c>
    </row>
    <row r="361" ht="40" customHeight="1">
      <c r="A361" s="8" t="inlineStr">
        <is>
          <t>C18</t>
        </is>
      </c>
      <c r="B361" s="8" t="inlineStr">
        <is>
          <t>Pradhan Mantri Surakshit Matritva Abhiyan</t>
        </is>
      </c>
      <c r="C361" s="8" t="inlineStr">
        <is>
          <t>C18-P0058</t>
        </is>
      </c>
      <c r="D361" s="8" t="inlineStr">
        <is>
          <t>Offline</t>
        </is>
      </c>
      <c r="E361" s="8" t="inlineStr">
        <is>
          <t>Step 8: Next Visit Scheduling</t>
        </is>
      </c>
      <c r="F361" s="8" t="inlineStr">
        <is>
          <t>Source step text</t>
        </is>
      </c>
      <c r="G361" s="8" t="inlineStr">
        <is>
          <t>National Portal: https://pmsma.nhp.gov.in/.</t>
        </is>
      </c>
      <c r="H361" s="8" t="inlineStr">
        <is>
          <t>en.applicationProcess[0].process[19]</t>
        </is>
      </c>
      <c r="I361" s="8" t="inlineStr">
        <is>
          <t>C18@20261028-4c31c2aa</t>
        </is>
      </c>
      <c r="J361" s="8" t="inlineStr">
        <is>
          <t>MS-C18</t>
        </is>
      </c>
      <c r="K361" s="8" t="inlineStr">
        <is>
          <t>1/1</t>
        </is>
      </c>
      <c r="L361" s="7" t="inlineStr">
        <is>
          <t>Approved</t>
        </is>
      </c>
      <c r="M361" s="7" t="n"/>
      <c r="N361" s="8" t="inlineStr">
        <is>
          <t>Actor, branch and dependency need review.</t>
        </is>
      </c>
    </row>
    <row r="362" ht="40" customHeight="1">
      <c r="A362" s="4" t="inlineStr">
        <is>
          <t>C18</t>
        </is>
      </c>
      <c r="B362" s="4" t="inlineStr">
        <is>
          <t>Pradhan Mantri Surakshit Matritva Abhiyan</t>
        </is>
      </c>
      <c r="C362" s="4" t="inlineStr">
        <is>
          <t>C18-P0059</t>
        </is>
      </c>
      <c r="D362" s="4" t="inlineStr">
        <is>
          <t>Offline</t>
        </is>
      </c>
      <c r="E362" s="4" t="inlineStr">
        <is>
          <t>Step 8: Next Visit Scheduling</t>
        </is>
      </c>
      <c r="F362" s="4" t="inlineStr">
        <is>
          <t>Source step text</t>
        </is>
      </c>
      <c r="G362" s="4" t="inlineStr">
        <is>
          <t>Toll Free Number: 18001801104.</t>
        </is>
      </c>
      <c r="H362" s="4" t="inlineStr">
        <is>
          <t>en.applicationProcess[0].process[20]</t>
        </is>
      </c>
      <c r="I362" s="4" t="inlineStr">
        <is>
          <t>C18@20261028-4c31c2aa</t>
        </is>
      </c>
      <c r="J362" s="4" t="inlineStr">
        <is>
          <t>MS-C18</t>
        </is>
      </c>
      <c r="K362" s="4" t="inlineStr">
        <is>
          <t>1/1</t>
        </is>
      </c>
      <c r="L362" s="7" t="inlineStr">
        <is>
          <t>Approved</t>
        </is>
      </c>
      <c r="M362" s="7" t="n"/>
      <c r="N362" s="4" t="inlineStr">
        <is>
          <t>Actor, branch and dependency need review.</t>
        </is>
      </c>
    </row>
    <row r="363" ht="40" customHeight="1">
      <c r="A363" s="8" t="inlineStr">
        <is>
          <t>C18</t>
        </is>
      </c>
      <c r="B363" s="8" t="inlineStr">
        <is>
          <t>Pradhan Mantri Surakshit Matritva Abhiyan</t>
        </is>
      </c>
      <c r="C363" s="8" t="inlineStr">
        <is>
          <t>C18-P0060</t>
        </is>
      </c>
      <c r="D363" s="8" t="inlineStr">
        <is>
          <t>Offline</t>
        </is>
      </c>
      <c r="E363" s="8" t="inlineStr">
        <is>
          <t>Step 8: Next Visit Scheduling</t>
        </is>
      </c>
      <c r="F363" s="8" t="inlineStr">
        <is>
          <t>Source step text</t>
        </is>
      </c>
      <c r="G363" s="8" t="inlineStr">
        <is>
          <t>Department: Ministry of Health &amp; Family Welfare, Government of India.</t>
        </is>
      </c>
      <c r="H363" s="8" t="inlineStr">
        <is>
          <t>en.applicationProcess[0].process[21]</t>
        </is>
      </c>
      <c r="I363" s="8" t="inlineStr">
        <is>
          <t>C18@20261028-4c31c2aa</t>
        </is>
      </c>
      <c r="J363" s="8" t="inlineStr">
        <is>
          <t>MS-C18</t>
        </is>
      </c>
      <c r="K363" s="8" t="inlineStr">
        <is>
          <t>1/1</t>
        </is>
      </c>
      <c r="L363" s="7" t="inlineStr">
        <is>
          <t>Approved</t>
        </is>
      </c>
      <c r="M363" s="7" t="n"/>
      <c r="N363" s="8" t="inlineStr">
        <is>
          <t>Actor, branch and dependency need review.</t>
        </is>
      </c>
    </row>
    <row r="364" ht="40" customHeight="1">
      <c r="A364" s="4" t="inlineStr">
        <is>
          <t>C18</t>
        </is>
      </c>
      <c r="B364" s="4" t="inlineStr">
        <is>
          <t>Pradhan Mantri Surakshit Matritva Abhiyan</t>
        </is>
      </c>
      <c r="C364" s="4" t="inlineStr">
        <is>
          <t>C18-P0061</t>
        </is>
      </c>
      <c r="D364" s="4" t="inlineStr">
        <is>
          <t>Offline</t>
        </is>
      </c>
      <c r="E364" s="4" t="inlineStr">
        <is>
          <t>Step 8: Next Visit Scheduling</t>
        </is>
      </c>
      <c r="F364" s="4" t="inlineStr">
        <is>
          <t>Source step text</t>
        </is>
      </c>
      <c r="G364" s="4" t="inlineStr">
        <is>
          <t>Local Contact: District Health Officer or Chief Medical Officer of respective district.</t>
        </is>
      </c>
      <c r="H364" s="4" t="inlineStr">
        <is>
          <t>en.applicationProcess[0].process[22]</t>
        </is>
      </c>
      <c r="I364" s="4" t="inlineStr">
        <is>
          <t>C18@20261028-4c31c2aa</t>
        </is>
      </c>
      <c r="J364" s="4" t="inlineStr">
        <is>
          <t>MS-C18</t>
        </is>
      </c>
      <c r="K364" s="4" t="inlineStr">
        <is>
          <t>1/1</t>
        </is>
      </c>
      <c r="L364" s="7" t="inlineStr">
        <is>
          <t>Approved</t>
        </is>
      </c>
      <c r="M364" s="7" t="n"/>
      <c r="N364" s="4" t="inlineStr">
        <is>
          <t>Actor, branch and dependency need review.</t>
        </is>
      </c>
    </row>
    <row r="365" ht="40" customHeight="1">
      <c r="A365" s="8" t="inlineStr">
        <is>
          <t>C18</t>
        </is>
      </c>
      <c r="B365" s="8" t="inlineStr">
        <is>
          <t>Pradhan Mantri Surakshit Matritva Abhiyan</t>
        </is>
      </c>
      <c r="C365" s="8" t="inlineStr">
        <is>
          <t>C18-P0062</t>
        </is>
      </c>
      <c r="D365" s="8" t="inlineStr">
        <is>
          <t>Offline</t>
        </is>
      </c>
      <c r="E365" s="8" t="inlineStr">
        <is>
          <t>Step 8: Next Visit Scheduling</t>
        </is>
      </c>
      <c r="F365" s="8" t="inlineStr">
        <is>
          <t>Source step text</t>
        </is>
      </c>
      <c r="G365" s="8" t="inlineStr">
        <is>
          <t>Escalation: State Health Mission to National Health Mission.</t>
        </is>
      </c>
      <c r="H365" s="8" t="inlineStr">
        <is>
          <t>en.applicationProcess[0].process[23]</t>
        </is>
      </c>
      <c r="I365" s="8" t="inlineStr">
        <is>
          <t>C18@20261028-4c31c2aa</t>
        </is>
      </c>
      <c r="J365" s="8" t="inlineStr">
        <is>
          <t>MS-C18</t>
        </is>
      </c>
      <c r="K365" s="8" t="inlineStr">
        <is>
          <t>1/1</t>
        </is>
      </c>
      <c r="L365" s="7" t="inlineStr">
        <is>
          <t>Approved</t>
        </is>
      </c>
      <c r="M365" s="7" t="n"/>
      <c r="N365" s="8" t="inlineStr">
        <is>
          <t>Actor, branch and dependency need review.</t>
        </is>
      </c>
    </row>
    <row r="366" ht="40" customHeight="1">
      <c r="A366" s="4" t="inlineStr">
        <is>
          <t>C19</t>
        </is>
      </c>
      <c r="B366" s="4" t="inlineStr">
        <is>
          <t>PM POSHAN - Prime Minister's Overarching Scheme For Holistic Nourishment</t>
        </is>
      </c>
      <c r="C366" s="4" t="inlineStr">
        <is>
          <t>C19-P0014</t>
        </is>
      </c>
      <c r="D366" s="4" t="inlineStr">
        <is>
          <t>Offline</t>
        </is>
      </c>
      <c r="E366" s="4" t="inlineStr"/>
      <c r="F366" s="4" t="inlineStr">
        <is>
          <t>Source step text</t>
        </is>
      </c>
      <c r="G366" s="4" t="inlineStr">
        <is>
          <t>There is no application process for this scheme. PM POSHAN is equally applicable to all children who are studying in Government and Government – aided schools.</t>
        </is>
      </c>
      <c r="H366" s="4" t="inlineStr">
        <is>
          <t>en.applicationProcess[0].process[0]</t>
        </is>
      </c>
      <c r="I366" s="4" t="inlineStr">
        <is>
          <t>C19@20261028-2209c130</t>
        </is>
      </c>
      <c r="J366" s="4" t="inlineStr">
        <is>
          <t>MS-C19</t>
        </is>
      </c>
      <c r="K366" s="4" t="inlineStr">
        <is>
          <t>1/1</t>
        </is>
      </c>
      <c r="L366" s="7" t="inlineStr">
        <is>
          <t>Approved</t>
        </is>
      </c>
      <c r="M366" s="7" t="n"/>
      <c r="N366" s="4" t="inlineStr">
        <is>
          <t>Actor, branch and dependency need review.</t>
        </is>
      </c>
    </row>
    <row r="367" ht="40" customHeight="1">
      <c r="A367" s="8" t="inlineStr">
        <is>
          <t>C20</t>
        </is>
      </c>
      <c r="B367" s="8" t="inlineStr">
        <is>
          <t>Youth Hostel Scheme</t>
        </is>
      </c>
      <c r="C367" s="8" t="inlineStr">
        <is>
          <t>C20-P0010</t>
        </is>
      </c>
      <c r="D367" s="8" t="inlineStr">
        <is>
          <t>Online</t>
        </is>
      </c>
      <c r="E367" s="8" t="inlineStr"/>
      <c r="F367" s="8" t="inlineStr">
        <is>
          <t>Source step text</t>
        </is>
      </c>
      <c r="G367" s="8" t="inlineStr">
        <is>
          <t>Applicant must visit the official website.</t>
        </is>
      </c>
      <c r="H367" s="8" t="inlineStr">
        <is>
          <t>en.applicationProcess[0].process[0].children[0]</t>
        </is>
      </c>
      <c r="I367" s="8" t="inlineStr">
        <is>
          <t>C20@20261028-f6115a0f</t>
        </is>
      </c>
      <c r="J367" s="8" t="inlineStr">
        <is>
          <t>MS-C20</t>
        </is>
      </c>
      <c r="K367" s="8" t="inlineStr">
        <is>
          <t>1/1</t>
        </is>
      </c>
      <c r="L367" s="7" t="inlineStr">
        <is>
          <t>Approved</t>
        </is>
      </c>
      <c r="M367" s="7" t="n"/>
      <c r="N367" s="8" t="inlineStr">
        <is>
          <t>Actor, branch and dependency need review.</t>
        </is>
      </c>
    </row>
    <row r="368" ht="40" customHeight="1">
      <c r="A368" s="4" t="inlineStr">
        <is>
          <t>C20</t>
        </is>
      </c>
      <c r="B368" s="4" t="inlineStr">
        <is>
          <t>Youth Hostel Scheme</t>
        </is>
      </c>
      <c r="C368" s="4" t="inlineStr">
        <is>
          <t>C20-P0011</t>
        </is>
      </c>
      <c r="D368" s="4" t="inlineStr">
        <is>
          <t>Online</t>
        </is>
      </c>
      <c r="E368" s="4" t="inlineStr"/>
      <c r="F368" s="4" t="inlineStr">
        <is>
          <t>Source step text</t>
        </is>
      </c>
      <c r="G368" s="4" t="inlineStr">
        <is>
          <t>Click on "Apply Now" under the Youth Hostel scheme.</t>
        </is>
      </c>
      <c r="H368" s="4" t="inlineStr">
        <is>
          <t>en.applicationProcess[0].process[0].children[1]</t>
        </is>
      </c>
      <c r="I368" s="4" t="inlineStr">
        <is>
          <t>C20@20261028-f6115a0f</t>
        </is>
      </c>
      <c r="J368" s="4" t="inlineStr">
        <is>
          <t>MS-C20</t>
        </is>
      </c>
      <c r="K368" s="4" t="inlineStr">
        <is>
          <t>1/1</t>
        </is>
      </c>
      <c r="L368" s="7" t="inlineStr">
        <is>
          <t>Approved</t>
        </is>
      </c>
      <c r="M368" s="7" t="n"/>
      <c r="N368" s="4" t="inlineStr">
        <is>
          <t>Actor, branch and dependency need review.</t>
        </is>
      </c>
    </row>
    <row r="369" ht="40" customHeight="1">
      <c r="A369" s="8" t="inlineStr">
        <is>
          <t>C20</t>
        </is>
      </c>
      <c r="B369" s="8" t="inlineStr">
        <is>
          <t>Youth Hostel Scheme</t>
        </is>
      </c>
      <c r="C369" s="8" t="inlineStr">
        <is>
          <t>C20-P0012</t>
        </is>
      </c>
      <c r="D369" s="8" t="inlineStr">
        <is>
          <t>Online</t>
        </is>
      </c>
      <c r="E369" s="8" t="inlineStr"/>
      <c r="F369" s="8" t="inlineStr">
        <is>
          <t>Source step text</t>
        </is>
      </c>
      <c r="G369" s="8" t="inlineStr">
        <is>
          <t>Select the user type and scheme name.</t>
        </is>
      </c>
      <c r="H369" s="8" t="inlineStr">
        <is>
          <t>en.applicationProcess[0].process[0].children[2]</t>
        </is>
      </c>
      <c r="I369" s="8" t="inlineStr">
        <is>
          <t>C20@20261028-f6115a0f</t>
        </is>
      </c>
      <c r="J369" s="8" t="inlineStr">
        <is>
          <t>MS-C20</t>
        </is>
      </c>
      <c r="K369" s="8" t="inlineStr">
        <is>
          <t>1/1</t>
        </is>
      </c>
      <c r="L369" s="7" t="inlineStr">
        <is>
          <t>Approved</t>
        </is>
      </c>
      <c r="M369" s="7" t="n"/>
      <c r="N369" s="8" t="inlineStr">
        <is>
          <t>Actor, branch and dependency need review.</t>
        </is>
      </c>
    </row>
    <row r="370" ht="40" customHeight="1">
      <c r="A370" s="4" t="inlineStr">
        <is>
          <t>C20</t>
        </is>
      </c>
      <c r="B370" s="4" t="inlineStr">
        <is>
          <t>Youth Hostel Scheme</t>
        </is>
      </c>
      <c r="C370" s="4" t="inlineStr">
        <is>
          <t>C20-P0013</t>
        </is>
      </c>
      <c r="D370" s="4" t="inlineStr">
        <is>
          <t>Online</t>
        </is>
      </c>
      <c r="E370" s="4" t="inlineStr"/>
      <c r="F370" s="4" t="inlineStr">
        <is>
          <t>Source step text</t>
        </is>
      </c>
      <c r="G370" s="4" t="inlineStr">
        <is>
          <t>Now fill out the require details.</t>
        </is>
      </c>
      <c r="H370" s="4" t="inlineStr">
        <is>
          <t>en.applicationProcess[0].process[0].children[3]</t>
        </is>
      </c>
      <c r="I370" s="4" t="inlineStr">
        <is>
          <t>C20@20261028-f6115a0f</t>
        </is>
      </c>
      <c r="J370" s="4" t="inlineStr">
        <is>
          <t>MS-C20</t>
        </is>
      </c>
      <c r="K370" s="4" t="inlineStr">
        <is>
          <t>1/1</t>
        </is>
      </c>
      <c r="L370" s="7" t="inlineStr">
        <is>
          <t>Approved</t>
        </is>
      </c>
      <c r="M370" s="7" t="n"/>
      <c r="N370" s="4" t="inlineStr">
        <is>
          <t>Actor, branch and dependency need review.</t>
        </is>
      </c>
    </row>
    <row r="371" ht="40" customHeight="1">
      <c r="A371" s="8" t="inlineStr">
        <is>
          <t>C20</t>
        </is>
      </c>
      <c r="B371" s="8" t="inlineStr">
        <is>
          <t>Youth Hostel Scheme</t>
        </is>
      </c>
      <c r="C371" s="8" t="inlineStr">
        <is>
          <t>C20-P0014</t>
        </is>
      </c>
      <c r="D371" s="8" t="inlineStr">
        <is>
          <t>Online</t>
        </is>
      </c>
      <c r="E371" s="8" t="inlineStr"/>
      <c r="F371" s="8" t="inlineStr">
        <is>
          <t>Source step text</t>
        </is>
      </c>
      <c r="G371" s="8" t="inlineStr">
        <is>
          <t>Upload the recent photograph.</t>
        </is>
      </c>
      <c r="H371" s="8" t="inlineStr">
        <is>
          <t>en.applicationProcess[0].process[0].children[4]</t>
        </is>
      </c>
      <c r="I371" s="8" t="inlineStr">
        <is>
          <t>C20@20261028-f6115a0f</t>
        </is>
      </c>
      <c r="J371" s="8" t="inlineStr">
        <is>
          <t>MS-C20</t>
        </is>
      </c>
      <c r="K371" s="8" t="inlineStr">
        <is>
          <t>1/1</t>
        </is>
      </c>
      <c r="L371" s="7" t="inlineStr">
        <is>
          <t>Approved</t>
        </is>
      </c>
      <c r="M371" s="7" t="n"/>
      <c r="N371" s="8" t="inlineStr">
        <is>
          <t>Actor, branch and dependency need review.</t>
        </is>
      </c>
    </row>
    <row r="372" ht="40" customHeight="1">
      <c r="A372" s="4" t="inlineStr">
        <is>
          <t>C20</t>
        </is>
      </c>
      <c r="B372" s="4" t="inlineStr">
        <is>
          <t>Youth Hostel Scheme</t>
        </is>
      </c>
      <c r="C372" s="4" t="inlineStr">
        <is>
          <t>C20-P0015</t>
        </is>
      </c>
      <c r="D372" s="4" t="inlineStr">
        <is>
          <t>Online</t>
        </is>
      </c>
      <c r="E372" s="4" t="inlineStr"/>
      <c r="F372" s="4" t="inlineStr">
        <is>
          <t>Source step text</t>
        </is>
      </c>
      <c r="G372" s="4" t="inlineStr">
        <is>
          <t>Give the consent for the Aadhaar to use as biometric and KYC .</t>
        </is>
      </c>
      <c r="H372" s="4" t="inlineStr">
        <is>
          <t>en.applicationProcess[0].process[0].children[5]</t>
        </is>
      </c>
      <c r="I372" s="4" t="inlineStr">
        <is>
          <t>C20@20261028-f6115a0f</t>
        </is>
      </c>
      <c r="J372" s="4" t="inlineStr">
        <is>
          <t>MS-C20</t>
        </is>
      </c>
      <c r="K372" s="4" t="inlineStr">
        <is>
          <t>1/1</t>
        </is>
      </c>
      <c r="L372" s="7" t="inlineStr">
        <is>
          <t>Approved</t>
        </is>
      </c>
      <c r="M372" s="7" t="n"/>
      <c r="N372" s="4" t="inlineStr">
        <is>
          <t>Actor, branch and dependency need review.</t>
        </is>
      </c>
    </row>
    <row r="373" ht="54" customHeight="1">
      <c r="A373" s="8" t="inlineStr">
        <is>
          <t>C21</t>
        </is>
      </c>
      <c r="B373" s="8" t="inlineStr">
        <is>
          <t>AVYAY - National Action Plan for Senior Citizens: Health and Shelter for Senior Citizens</t>
        </is>
      </c>
      <c r="C373" s="8" t="inlineStr">
        <is>
          <t>C21-P0085</t>
        </is>
      </c>
      <c r="D373" s="8" t="inlineStr">
        <is>
          <t>Online</t>
        </is>
      </c>
      <c r="E373" s="8" t="inlineStr"/>
      <c r="F373" s="8" t="inlineStr">
        <is>
          <t>Source step text</t>
        </is>
      </c>
      <c r="G373" s="8" t="inlineStr">
        <is>
          <t>Step 1: Survey and Notification</t>
        </is>
      </c>
      <c r="H373" s="8" t="inlineStr">
        <is>
          <t>en.applicationProcess[0].process[0].children[0]</t>
        </is>
      </c>
      <c r="I373" s="8" t="inlineStr">
        <is>
          <t>C21@20261028-3ca35454</t>
        </is>
      </c>
      <c r="J373" s="8" t="inlineStr">
        <is>
          <t>MS-C21</t>
        </is>
      </c>
      <c r="K373" s="8" t="inlineStr">
        <is>
          <t>1/1</t>
        </is>
      </c>
      <c r="L373" s="7" t="inlineStr">
        <is>
          <t>Approved</t>
        </is>
      </c>
      <c r="M373" s="7" t="n"/>
      <c r="N373" s="8" t="inlineStr">
        <is>
          <t>Actor, branch and dependency need review.</t>
        </is>
      </c>
    </row>
    <row r="374" ht="54" customHeight="1">
      <c r="A374" s="4" t="inlineStr">
        <is>
          <t>C21</t>
        </is>
      </c>
      <c r="B374" s="4" t="inlineStr">
        <is>
          <t>AVYAY - National Action Plan for Senior Citizens: Health and Shelter for Senior Citizens</t>
        </is>
      </c>
      <c r="C374" s="4" t="inlineStr">
        <is>
          <t>C21-P0086</t>
        </is>
      </c>
      <c r="D374" s="4" t="inlineStr">
        <is>
          <t>Online</t>
        </is>
      </c>
      <c r="E374" s="4" t="inlineStr"/>
      <c r="F374" s="4" t="inlineStr">
        <is>
          <t>Source step text</t>
        </is>
      </c>
      <c r="G374" s="4" t="inlineStr">
        <is>
          <t>The State/Union Territory Government must first conduct a district-wise survey of existing homes and upload the details of Gap Districts or Districts of having insufficient capacity onto the E-anudaan Portal.</t>
        </is>
      </c>
      <c r="H374" s="4" t="inlineStr">
        <is>
          <t>en.applicationProcess[0].process[1].children[0]</t>
        </is>
      </c>
      <c r="I374" s="4" t="inlineStr">
        <is>
          <t>C21@20261028-3ca35454</t>
        </is>
      </c>
      <c r="J374" s="4" t="inlineStr">
        <is>
          <t>MS-C21</t>
        </is>
      </c>
      <c r="K374" s="4" t="inlineStr">
        <is>
          <t>1/1</t>
        </is>
      </c>
      <c r="L374" s="7" t="inlineStr">
        <is>
          <t>Approved</t>
        </is>
      </c>
      <c r="M374" s="7" t="n"/>
      <c r="N374" s="4" t="inlineStr">
        <is>
          <t>Actor, branch and dependency need review.</t>
        </is>
      </c>
    </row>
    <row r="375" ht="54" customHeight="1">
      <c r="A375" s="8" t="inlineStr">
        <is>
          <t>C21</t>
        </is>
      </c>
      <c r="B375" s="8" t="inlineStr">
        <is>
          <t>AVYAY - National Action Plan for Senior Citizens: Health and Shelter for Senior Citizens</t>
        </is>
      </c>
      <c r="C375" s="8" t="inlineStr">
        <is>
          <t>C21-P0087</t>
        </is>
      </c>
      <c r="D375" s="8" t="inlineStr">
        <is>
          <t>Online</t>
        </is>
      </c>
      <c r="E375" s="8" t="inlineStr"/>
      <c r="F375" s="8" t="inlineStr">
        <is>
          <t>Source step text</t>
        </is>
      </c>
      <c r="G375" s="8" t="inlineStr">
        <is>
          <t>If the State/Union Territory Government records that it is unable to establish the Home on its own, the Central Government publishes an open notification inviting applications with wide publicity.</t>
        </is>
      </c>
      <c r="H375" s="8" t="inlineStr">
        <is>
          <t>en.applicationProcess[0].process[1].children[1]</t>
        </is>
      </c>
      <c r="I375" s="8" t="inlineStr">
        <is>
          <t>C21@20261028-3ca35454</t>
        </is>
      </c>
      <c r="J375" s="8" t="inlineStr">
        <is>
          <t>MS-C21</t>
        </is>
      </c>
      <c r="K375" s="8" t="inlineStr">
        <is>
          <t>1/1</t>
        </is>
      </c>
      <c r="L375" s="7" t="inlineStr">
        <is>
          <t>Approved</t>
        </is>
      </c>
      <c r="M375" s="7" t="n"/>
      <c r="N375" s="8" t="inlineStr">
        <is>
          <t>Actor, branch and dependency need review.</t>
        </is>
      </c>
    </row>
    <row r="376" ht="54" customHeight="1">
      <c r="A376" s="4" t="inlineStr">
        <is>
          <t>C21</t>
        </is>
      </c>
      <c r="B376" s="4" t="inlineStr">
        <is>
          <t>AVYAY - National Action Plan for Senior Citizens: Health and Shelter for Senior Citizens</t>
        </is>
      </c>
      <c r="C376" s="4" t="inlineStr">
        <is>
          <t>C21-P0088</t>
        </is>
      </c>
      <c r="D376" s="4" t="inlineStr">
        <is>
          <t>Online</t>
        </is>
      </c>
      <c r="E376" s="4" t="inlineStr"/>
      <c r="F376" s="4" t="inlineStr">
        <is>
          <t>Source step text</t>
        </is>
      </c>
      <c r="G376" s="4" t="inlineStr">
        <is>
          <t>Step 2: Submission of Proposal</t>
        </is>
      </c>
      <c r="H376" s="4" t="inlineStr">
        <is>
          <t>en.applicationProcess[0].process[2].children[0]</t>
        </is>
      </c>
      <c r="I376" s="4" t="inlineStr">
        <is>
          <t>C21@20261028-3ca35454</t>
        </is>
      </c>
      <c r="J376" s="4" t="inlineStr">
        <is>
          <t>MS-C21</t>
        </is>
      </c>
      <c r="K376" s="4" t="inlineStr">
        <is>
          <t>1/1</t>
        </is>
      </c>
      <c r="L376" s="7" t="inlineStr">
        <is>
          <t>Approved</t>
        </is>
      </c>
      <c r="M376" s="7" t="n"/>
      <c r="N376" s="4" t="inlineStr">
        <is>
          <t>Actor, branch and dependency need review.</t>
        </is>
      </c>
    </row>
    <row r="377" ht="54" customHeight="1">
      <c r="A377" s="8" t="inlineStr">
        <is>
          <t>C21</t>
        </is>
      </c>
      <c r="B377" s="8" t="inlineStr">
        <is>
          <t>AVYAY - National Action Plan for Senior Citizens: Health and Shelter for Senior Citizens</t>
        </is>
      </c>
      <c r="C377" s="8" t="inlineStr">
        <is>
          <t>C21-P0089</t>
        </is>
      </c>
      <c r="D377" s="8" t="inlineStr">
        <is>
          <t>Online</t>
        </is>
      </c>
      <c r="E377" s="8" t="inlineStr"/>
      <c r="F377" s="8" t="inlineStr">
        <is>
          <t>Source step text</t>
        </is>
      </c>
      <c r="G377" s="8" t="inlineStr">
        <is>
          <t>New Proposals: All fresh proposals for project sanction must be submitted online on the E-anudaan portal in the prescribed proforma along with relevant documents within the stipulated timeline.</t>
        </is>
      </c>
      <c r="H377" s="8" t="inlineStr">
        <is>
          <t>en.applicationProcess[0].process[3].children[0]</t>
        </is>
      </c>
      <c r="I377" s="8" t="inlineStr">
        <is>
          <t>C21@20261028-3ca35454</t>
        </is>
      </c>
      <c r="J377" s="8" t="inlineStr">
        <is>
          <t>MS-C21</t>
        </is>
      </c>
      <c r="K377" s="8" t="inlineStr">
        <is>
          <t>1/1</t>
        </is>
      </c>
      <c r="L377" s="7" t="inlineStr">
        <is>
          <t>Approved</t>
        </is>
      </c>
      <c r="M377" s="7" t="n"/>
      <c r="N377" s="8" t="inlineStr">
        <is>
          <t>Actor, branch and dependency need review.</t>
        </is>
      </c>
    </row>
    <row r="378" ht="54" customHeight="1">
      <c r="A378" s="4" t="inlineStr">
        <is>
          <t>C21</t>
        </is>
      </c>
      <c r="B378" s="4" t="inlineStr">
        <is>
          <t>AVYAY - National Action Plan for Senior Citizens: Health and Shelter for Senior Citizens</t>
        </is>
      </c>
      <c r="C378" s="4" t="inlineStr">
        <is>
          <t>C21-P0090</t>
        </is>
      </c>
      <c r="D378" s="4" t="inlineStr">
        <is>
          <t>Online</t>
        </is>
      </c>
      <c r="E378" s="4" t="inlineStr"/>
      <c r="F378" s="4" t="inlineStr">
        <is>
          <t>Source step text</t>
        </is>
      </c>
      <c r="G378" s="4" t="inlineStr">
        <is>
          <t>On-going/Renewal Proposals: Applications for the release of grants must be made in the prescribed proforma along with relevant documents and the Utilization Certificate of expenditure from the previous Financial Year before April 30th each year.</t>
        </is>
      </c>
      <c r="H378" s="4" t="inlineStr">
        <is>
          <t>en.applicationProcess[0].process[3].children[1]</t>
        </is>
      </c>
      <c r="I378" s="4" t="inlineStr">
        <is>
          <t>C21@20261028-3ca35454</t>
        </is>
      </c>
      <c r="J378" s="4" t="inlineStr">
        <is>
          <t>MS-C21</t>
        </is>
      </c>
      <c r="K378" s="4" t="inlineStr">
        <is>
          <t>1/1</t>
        </is>
      </c>
      <c r="L378" s="7" t="inlineStr">
        <is>
          <t>Approved</t>
        </is>
      </c>
      <c r="M378" s="7" t="n"/>
      <c r="N378" s="4" t="inlineStr">
        <is>
          <t>Actor, branch and dependency need review.</t>
        </is>
      </c>
    </row>
    <row r="379" ht="54" customHeight="1">
      <c r="A379" s="8" t="inlineStr">
        <is>
          <t>C21</t>
        </is>
      </c>
      <c r="B379" s="8" t="inlineStr">
        <is>
          <t>AVYAY - National Action Plan for Senior Citizens: Health and Shelter for Senior Citizens</t>
        </is>
      </c>
      <c r="C379" s="8" t="inlineStr">
        <is>
          <t>C21-P0091</t>
        </is>
      </c>
      <c r="D379" s="8" t="inlineStr">
        <is>
          <t>Online</t>
        </is>
      </c>
      <c r="E379" s="8" t="inlineStr"/>
      <c r="F379" s="8" t="inlineStr">
        <is>
          <t>Source step text</t>
        </is>
      </c>
      <c r="G379" s="8" t="inlineStr">
        <is>
          <t>Step 3: Verification and Approval</t>
        </is>
      </c>
      <c r="H379" s="8" t="inlineStr">
        <is>
          <t>en.applicationProcess[0].process[4].children[0]</t>
        </is>
      </c>
      <c r="I379" s="8" t="inlineStr">
        <is>
          <t>C21@20261028-3ca35454</t>
        </is>
      </c>
      <c r="J379" s="8" t="inlineStr">
        <is>
          <t>MS-C21</t>
        </is>
      </c>
      <c r="K379" s="8" t="inlineStr">
        <is>
          <t>1/1</t>
        </is>
      </c>
      <c r="L379" s="7" t="inlineStr">
        <is>
          <t>Approved</t>
        </is>
      </c>
      <c r="M379" s="7" t="n"/>
      <c r="N379" s="8" t="inlineStr">
        <is>
          <t>Actor, branch and dependency need review.</t>
        </is>
      </c>
    </row>
    <row r="380" ht="68" customHeight="1">
      <c r="A380" s="4" t="inlineStr">
        <is>
          <t>C21</t>
        </is>
      </c>
      <c r="B380" s="4" t="inlineStr">
        <is>
          <t>AVYAY - National Action Plan for Senior Citizens: Health and Shelter for Senior Citizens</t>
        </is>
      </c>
      <c r="C380" s="4" t="inlineStr">
        <is>
          <t>C21-P0092</t>
        </is>
      </c>
      <c r="D380" s="4" t="inlineStr">
        <is>
          <t>Online</t>
        </is>
      </c>
      <c r="E380" s="4" t="inlineStr"/>
      <c r="F380" s="4" t="inlineStr">
        <is>
          <t>Source step text</t>
        </is>
      </c>
      <c r="G380" s="4" t="inlineStr">
        <is>
          <t>District Level Authentication: Once uploaded, the proposal is made available to the Central Ministry and the District Administration/State Government level for examination. The District Collector (or representative) is required to authenticate all certificates submitted by the applicant.</t>
        </is>
      </c>
      <c r="H380" s="4" t="inlineStr">
        <is>
          <t>en.applicationProcess[0].process[5].children[0]</t>
        </is>
      </c>
      <c r="I380" s="4" t="inlineStr">
        <is>
          <t>C21@20261028-3ca35454</t>
        </is>
      </c>
      <c r="J380" s="4" t="inlineStr">
        <is>
          <t>MS-C21</t>
        </is>
      </c>
      <c r="K380" s="4" t="inlineStr">
        <is>
          <t>1/1</t>
        </is>
      </c>
      <c r="L380" s="7" t="inlineStr">
        <is>
          <t>Approved</t>
        </is>
      </c>
      <c r="M380" s="7" t="n"/>
      <c r="N380" s="4" t="inlineStr">
        <is>
          <t>Actor, branch and dependency need review.</t>
        </is>
      </c>
    </row>
    <row r="381" ht="54" customHeight="1">
      <c r="A381" s="8" t="inlineStr">
        <is>
          <t>C21</t>
        </is>
      </c>
      <c r="B381" s="8" t="inlineStr">
        <is>
          <t>AVYAY - National Action Plan for Senior Citizens: Health and Shelter for Senior Citizens</t>
        </is>
      </c>
      <c r="C381" s="8" t="inlineStr">
        <is>
          <t>C21-P0093</t>
        </is>
      </c>
      <c r="D381" s="8" t="inlineStr">
        <is>
          <t>Online</t>
        </is>
      </c>
      <c r="E381" s="8" t="inlineStr"/>
      <c r="F381" s="8" t="inlineStr">
        <is>
          <t>Source step text</t>
        </is>
      </c>
      <c r="G381" s="8" t="inlineStr">
        <is>
          <t>Recommendation: District Administration/State Government shall recommend New/Fresh proposals, along with Inspection reports, by June 15th each year.</t>
        </is>
      </c>
      <c r="H381" s="8" t="inlineStr">
        <is>
          <t>en.applicationProcess[0].process[5].children[1]</t>
        </is>
      </c>
      <c r="I381" s="8" t="inlineStr">
        <is>
          <t>C21@20261028-3ca35454</t>
        </is>
      </c>
      <c r="J381" s="8" t="inlineStr">
        <is>
          <t>MS-C21</t>
        </is>
      </c>
      <c r="K381" s="8" t="inlineStr">
        <is>
          <t>1/1</t>
        </is>
      </c>
      <c r="L381" s="7" t="inlineStr">
        <is>
          <t>Approved</t>
        </is>
      </c>
      <c r="M381" s="7" t="n"/>
      <c r="N381" s="8" t="inlineStr">
        <is>
          <t>Actor, branch and dependency need review.</t>
        </is>
      </c>
    </row>
    <row r="382" ht="82" customHeight="1">
      <c r="A382" s="4" t="inlineStr">
        <is>
          <t>C21</t>
        </is>
      </c>
      <c r="B382" s="4" t="inlineStr">
        <is>
          <t>AVYAY - National Action Plan for Senior Citizens: Health and Shelter for Senior Citizens</t>
        </is>
      </c>
      <c r="C382" s="4" t="inlineStr">
        <is>
          <t>C21-P0094</t>
        </is>
      </c>
      <c r="D382" s="4" t="inlineStr">
        <is>
          <t>Online</t>
        </is>
      </c>
      <c r="E382" s="4" t="inlineStr"/>
      <c r="F382" s="4" t="inlineStr">
        <is>
          <t>Source step text</t>
        </is>
      </c>
      <c r="G382" s="4" t="inlineStr">
        <is>
          <t>Screening and Sanction: The Screening Committee meeting is held by June 20th each year to assess and recommend new proposals based on fund availability. After approval by the Secretary, Department of Social Justice and Empowerment and concurrence of the Finance Division, sanction orders are issued by the programme division in one lot by June 25th each year.</t>
        </is>
      </c>
      <c r="H382" s="4" t="inlineStr">
        <is>
          <t>en.applicationProcess[0].process[5].children[2]</t>
        </is>
      </c>
      <c r="I382" s="4" t="inlineStr">
        <is>
          <t>C21@20261028-3ca35454</t>
        </is>
      </c>
      <c r="J382" s="4" t="inlineStr">
        <is>
          <t>MS-C21</t>
        </is>
      </c>
      <c r="K382" s="4" t="inlineStr">
        <is>
          <t>1/1</t>
        </is>
      </c>
      <c r="L382" s="7" t="inlineStr">
        <is>
          <t>Approved</t>
        </is>
      </c>
      <c r="M382" s="7" t="n"/>
      <c r="N382" s="4" t="inlineStr">
        <is>
          <t>Actor, branch and dependency need review.</t>
        </is>
      </c>
    </row>
    <row r="383" ht="54" customHeight="1">
      <c r="A383" s="8" t="inlineStr">
        <is>
          <t>C21</t>
        </is>
      </c>
      <c r="B383" s="8" t="inlineStr">
        <is>
          <t>AVYAY - National Action Plan for Senior Citizens: Health and Shelter for Senior Citizens</t>
        </is>
      </c>
      <c r="C383" s="8" t="inlineStr">
        <is>
          <t>C21-P0095</t>
        </is>
      </c>
      <c r="D383" s="8" t="inlineStr">
        <is>
          <t>Online</t>
        </is>
      </c>
      <c r="E383" s="8" t="inlineStr"/>
      <c r="F383" s="8" t="inlineStr">
        <is>
          <t>Source step text</t>
        </is>
      </c>
      <c r="G383" s="8" t="inlineStr">
        <is>
          <t>Step 4: Fund Disbursement</t>
        </is>
      </c>
      <c r="H383" s="8" t="inlineStr">
        <is>
          <t>en.applicationProcess[0].process[6].children[0]</t>
        </is>
      </c>
      <c r="I383" s="8" t="inlineStr">
        <is>
          <t>C21@20261028-3ca35454</t>
        </is>
      </c>
      <c r="J383" s="8" t="inlineStr">
        <is>
          <t>MS-C21</t>
        </is>
      </c>
      <c r="K383" s="8" t="inlineStr">
        <is>
          <t>1/1</t>
        </is>
      </c>
      <c r="L383" s="7" t="inlineStr">
        <is>
          <t>Approved</t>
        </is>
      </c>
      <c r="M383" s="7" t="n"/>
      <c r="N383" s="8" t="inlineStr">
        <is>
          <t>Actor, branch and dependency need review.</t>
        </is>
      </c>
    </row>
    <row r="384" ht="54" customHeight="1">
      <c r="A384" s="4" t="inlineStr">
        <is>
          <t>C21</t>
        </is>
      </c>
      <c r="B384" s="4" t="inlineStr">
        <is>
          <t>AVYAY - National Action Plan for Senior Citizens: Health and Shelter for Senior Citizens</t>
        </is>
      </c>
      <c r="C384" s="4" t="inlineStr">
        <is>
          <t>C21-P0096</t>
        </is>
      </c>
      <c r="D384" s="4" t="inlineStr">
        <is>
          <t>Online</t>
        </is>
      </c>
      <c r="E384" s="4" t="inlineStr"/>
      <c r="F384" s="4" t="inlineStr">
        <is>
          <t>Source step text</t>
        </is>
      </c>
      <c r="G384" s="4" t="inlineStr">
        <is>
          <t>First Instalment Release: Grants should be released before June 30th each year. The total annual grant is released in two equal half-yearly instalments.</t>
        </is>
      </c>
      <c r="H384" s="4" t="inlineStr">
        <is>
          <t>en.applicationProcess[0].process[7].children[0]</t>
        </is>
      </c>
      <c r="I384" s="4" t="inlineStr">
        <is>
          <t>C21@20261028-3ca35454</t>
        </is>
      </c>
      <c r="J384" s="4" t="inlineStr">
        <is>
          <t>MS-C21</t>
        </is>
      </c>
      <c r="K384" s="4" t="inlineStr">
        <is>
          <t>1/1</t>
        </is>
      </c>
      <c r="L384" s="7" t="inlineStr">
        <is>
          <t>Approved</t>
        </is>
      </c>
      <c r="M384" s="7" t="n"/>
      <c r="N384" s="4" t="inlineStr">
        <is>
          <t>Actor, branch and dependency need review.</t>
        </is>
      </c>
    </row>
    <row r="385" ht="54" customHeight="1">
      <c r="A385" s="8" t="inlineStr">
        <is>
          <t>C21</t>
        </is>
      </c>
      <c r="B385" s="8" t="inlineStr">
        <is>
          <t>AVYAY - National Action Plan for Senior Citizens: Health and Shelter for Senior Citizens</t>
        </is>
      </c>
      <c r="C385" s="8" t="inlineStr">
        <is>
          <t>C21-P0097</t>
        </is>
      </c>
      <c r="D385" s="8" t="inlineStr">
        <is>
          <t>Online</t>
        </is>
      </c>
      <c r="E385" s="8" t="inlineStr"/>
      <c r="F385" s="8" t="inlineStr">
        <is>
          <t>Source step text</t>
        </is>
      </c>
      <c r="G385" s="8" t="inlineStr">
        <is>
          <t>Recurring Grant Calculation: Recurring Grant-in-aid is calculated based on the number of days of attendance of beneficiaries, using a contactless IT system that seamlessly ports data into the E-anudaan portal.</t>
        </is>
      </c>
      <c r="H385" s="8" t="inlineStr">
        <is>
          <t>en.applicationProcess[0].process[7].children[1]</t>
        </is>
      </c>
      <c r="I385" s="8" t="inlineStr">
        <is>
          <t>C21@20261028-3ca35454</t>
        </is>
      </c>
      <c r="J385" s="8" t="inlineStr">
        <is>
          <t>MS-C21</t>
        </is>
      </c>
      <c r="K385" s="8" t="inlineStr">
        <is>
          <t>1/1</t>
        </is>
      </c>
      <c r="L385" s="7" t="inlineStr">
        <is>
          <t>Approved</t>
        </is>
      </c>
      <c r="M385" s="7" t="n"/>
      <c r="N385" s="8" t="inlineStr">
        <is>
          <t>Actor, branch and dependency need review.</t>
        </is>
      </c>
    </row>
    <row r="386" ht="68" customHeight="1">
      <c r="A386" s="4" t="inlineStr">
        <is>
          <t>C21</t>
        </is>
      </c>
      <c r="B386" s="4" t="inlineStr">
        <is>
          <t>AVYAY - National Action Plan for Senior Citizens: Health and Shelter for Senior Citizens</t>
        </is>
      </c>
      <c r="C386" s="4" t="inlineStr">
        <is>
          <t>C21-P0098</t>
        </is>
      </c>
      <c r="D386" s="4" t="inlineStr">
        <is>
          <t>Online</t>
        </is>
      </c>
      <c r="E386" s="4" t="inlineStr"/>
      <c r="F386" s="4" t="inlineStr">
        <is>
          <t>Source step text</t>
        </is>
      </c>
      <c r="G386" s="4" t="inlineStr">
        <is>
          <t>Second Instalment Release: The second half-yearly instalment (balance based on attendance) is released before December 31st each year, only after the inspection report of the State Government, Central Ministry officers, or the Project Monitoring Unit is received.</t>
        </is>
      </c>
      <c r="H386" s="4" t="inlineStr">
        <is>
          <t>en.applicationProcess[0].process[7].children[2]</t>
        </is>
      </c>
      <c r="I386" s="4" t="inlineStr">
        <is>
          <t>C21@20261028-3ca35454</t>
        </is>
      </c>
      <c r="J386" s="4" t="inlineStr">
        <is>
          <t>MS-C21</t>
        </is>
      </c>
      <c r="K386" s="4" t="inlineStr">
        <is>
          <t>1/1</t>
        </is>
      </c>
      <c r="L386" s="7" t="inlineStr">
        <is>
          <t>Approved</t>
        </is>
      </c>
      <c r="M386" s="7" t="n"/>
      <c r="N386" s="4" t="inlineStr">
        <is>
          <t>Actor, branch and dependency need review.</t>
        </is>
      </c>
    </row>
    <row r="387" ht="68" customHeight="1">
      <c r="A387" s="8" t="inlineStr">
        <is>
          <t>C22</t>
        </is>
      </c>
      <c r="B387" s="8" t="inlineStr">
        <is>
          <t>Nyaya Mitra Scheme</t>
        </is>
      </c>
      <c r="C387" s="8" t="inlineStr">
        <is>
          <t>C22-P0023</t>
        </is>
      </c>
      <c r="D387" s="8" t="inlineStr">
        <is>
          <t>Offline</t>
        </is>
      </c>
      <c r="E387" s="8" t="inlineStr"/>
      <c r="F387" s="8" t="inlineStr">
        <is>
          <t>Source step text</t>
        </is>
      </c>
      <c r="G387" s="8" t="inlineStr">
        <is>
          <t>Step 1: The applicant must visit the designated District Facilitation Centres housed within the Common Service Centers of the selected districts to seek legal assistance. The designated Nyaya Mitra actively identifies pending cases through the National Judicial Data Grid and reaches out to the affected parties to initiate support.</t>
        </is>
      </c>
      <c r="H387" s="8" t="inlineStr">
        <is>
          <t>en.applicationProcess[0].process[0]</t>
        </is>
      </c>
      <c r="I387" s="8" t="inlineStr">
        <is>
          <t>C22@20261028-610abbf9</t>
        </is>
      </c>
      <c r="J387" s="8" t="inlineStr">
        <is>
          <t>MS-C22</t>
        </is>
      </c>
      <c r="K387" s="8" t="inlineStr">
        <is>
          <t>1/1</t>
        </is>
      </c>
      <c r="L387" s="7" t="inlineStr">
        <is>
          <t>Approved</t>
        </is>
      </c>
      <c r="M387" s="7" t="n"/>
      <c r="N387" s="8" t="inlineStr">
        <is>
          <t>Actor, branch and dependency need review.</t>
        </is>
      </c>
    </row>
    <row r="388" ht="68" customHeight="1">
      <c r="A388" s="4" t="inlineStr">
        <is>
          <t>C22</t>
        </is>
      </c>
      <c r="B388" s="4" t="inlineStr">
        <is>
          <t>Nyaya Mitra Scheme</t>
        </is>
      </c>
      <c r="C388" s="4" t="inlineStr">
        <is>
          <t>C22-P0024</t>
        </is>
      </c>
      <c r="D388" s="4" t="inlineStr">
        <is>
          <t>Offline</t>
        </is>
      </c>
      <c r="E388" s="4" t="inlineStr"/>
      <c r="F388" s="4" t="inlineStr">
        <is>
          <t>Source step text</t>
        </is>
      </c>
      <c r="G388" s="4" t="inlineStr">
        <is>
          <t>Step 2: The applicant must interact with the Nyaya Mitra to undergo a critical analysis of their pending case and understand the specific bottlenecks causing the judicial delay. The Nyaya Mitra then provides necessary legal advice and explores practical solutions in coordination with relevant government departments.</t>
        </is>
      </c>
      <c r="H388" s="4" t="inlineStr">
        <is>
          <t>en.applicationProcess[0].process[1]</t>
        </is>
      </c>
      <c r="I388" s="4" t="inlineStr">
        <is>
          <t>C22@20261028-610abbf9</t>
        </is>
      </c>
      <c r="J388" s="4" t="inlineStr">
        <is>
          <t>MS-C22</t>
        </is>
      </c>
      <c r="K388" s="4" t="inlineStr">
        <is>
          <t>1/1</t>
        </is>
      </c>
      <c r="L388" s="7" t="inlineStr">
        <is>
          <t>Approved</t>
        </is>
      </c>
      <c r="M388" s="7" t="n"/>
      <c r="N388" s="4" t="inlineStr">
        <is>
          <t>Actor, branch and dependency need review.</t>
        </is>
      </c>
    </row>
    <row r="389" ht="68" customHeight="1">
      <c r="A389" s="8" t="inlineStr">
        <is>
          <t>C22</t>
        </is>
      </c>
      <c r="B389" s="8" t="inlineStr">
        <is>
          <t>Nyaya Mitra Scheme</t>
        </is>
      </c>
      <c r="C389" s="8" t="inlineStr">
        <is>
          <t>C22-P0025</t>
        </is>
      </c>
      <c r="D389" s="8" t="inlineStr">
        <is>
          <t>Offline</t>
        </is>
      </c>
      <c r="E389" s="8" t="inlineStr"/>
      <c r="F389" s="8" t="inlineStr">
        <is>
          <t>Source step text</t>
        </is>
      </c>
      <c r="G389" s="8" t="inlineStr">
        <is>
          <t>Step 3: The applicant must follow the guidance of the Nyaya Mitra to connect with the District Legal Services Authority, Common Service Centers Tele Law, or other civil society organizations. Cases identified as suitable are systematically referred to Lok Adalats by the Nyaya Mitra for prioritized and expedited dispute resolution.</t>
        </is>
      </c>
      <c r="H389" s="8" t="inlineStr">
        <is>
          <t>en.applicationProcess[0].process[2]</t>
        </is>
      </c>
      <c r="I389" s="8" t="inlineStr">
        <is>
          <t>C22@20261028-610abbf9</t>
        </is>
      </c>
      <c r="J389" s="8" t="inlineStr">
        <is>
          <t>MS-C22</t>
        </is>
      </c>
      <c r="K389" s="8" t="inlineStr">
        <is>
          <t>1/1</t>
        </is>
      </c>
      <c r="L389" s="7" t="inlineStr">
        <is>
          <t>Approved</t>
        </is>
      </c>
      <c r="M389" s="7" t="n"/>
      <c r="N389" s="8" t="inlineStr">
        <is>
          <t>Actor, branch and dependency need review.</t>
        </is>
      </c>
    </row>
    <row r="390" ht="40" customHeight="1">
      <c r="A390" s="4" t="inlineStr">
        <is>
          <t>C22</t>
        </is>
      </c>
      <c r="B390" s="4" t="inlineStr">
        <is>
          <t>Nyaya Mitra Scheme</t>
        </is>
      </c>
      <c r="C390" s="4" t="inlineStr">
        <is>
          <t>C22-P0026</t>
        </is>
      </c>
      <c r="D390" s="4" t="inlineStr">
        <is>
          <t>Offline</t>
        </is>
      </c>
      <c r="E390" s="4" t="inlineStr"/>
      <c r="F390" s="4" t="inlineStr">
        <is>
          <t>Source step text</t>
        </is>
      </c>
      <c r="G390" s="4" t="inlineStr">
        <is>
          <t>Place of Work</t>
        </is>
      </c>
      <c r="H390" s="4" t="inlineStr">
        <is>
          <t>en.applicationProcess[0].process[4].children[0]</t>
        </is>
      </c>
      <c r="I390" s="4" t="inlineStr">
        <is>
          <t>C22@20261028-610abbf9</t>
        </is>
      </c>
      <c r="J390" s="4" t="inlineStr">
        <is>
          <t>MS-C22</t>
        </is>
      </c>
      <c r="K390" s="4" t="inlineStr">
        <is>
          <t>1/1</t>
        </is>
      </c>
      <c r="L390" s="7" t="inlineStr">
        <is>
          <t>Approved</t>
        </is>
      </c>
      <c r="M390" s="7" t="n"/>
      <c r="N390" s="4" t="inlineStr">
        <is>
          <t>Actor, branch and dependency need review.</t>
        </is>
      </c>
    </row>
    <row r="391" ht="40" customHeight="1">
      <c r="A391" s="8" t="inlineStr">
        <is>
          <t>C22</t>
        </is>
      </c>
      <c r="B391" s="8" t="inlineStr">
        <is>
          <t>Nyaya Mitra Scheme</t>
        </is>
      </c>
      <c r="C391" s="8" t="inlineStr">
        <is>
          <t>C22-P0027</t>
        </is>
      </c>
      <c r="D391" s="8" t="inlineStr">
        <is>
          <t>Offline</t>
        </is>
      </c>
      <c r="E391" s="8" t="inlineStr"/>
      <c r="F391" s="8" t="inlineStr">
        <is>
          <t>Source step text</t>
        </is>
      </c>
      <c r="G391" s="8" t="inlineStr">
        <is>
          <t>The sitting space for the Nyaya Mitra placed at the High Court will be allocated by the respective High Court.</t>
        </is>
      </c>
      <c r="H391" s="8" t="inlineStr">
        <is>
          <t>en.applicationProcess[0].process[5].children[0]</t>
        </is>
      </c>
      <c r="I391" s="8" t="inlineStr">
        <is>
          <t>C22@20261028-610abbf9</t>
        </is>
      </c>
      <c r="J391" s="8" t="inlineStr">
        <is>
          <t>MS-C22</t>
        </is>
      </c>
      <c r="K391" s="8" t="inlineStr">
        <is>
          <t>1/1</t>
        </is>
      </c>
      <c r="L391" s="7" t="inlineStr">
        <is>
          <t>Approved</t>
        </is>
      </c>
      <c r="M391" s="7" t="n"/>
      <c r="N391" s="8" t="inlineStr">
        <is>
          <t>Actor, branch and dependency need review.</t>
        </is>
      </c>
    </row>
    <row r="392" ht="40" customHeight="1">
      <c r="A392" s="4" t="inlineStr">
        <is>
          <t>C22</t>
        </is>
      </c>
      <c r="B392" s="4" t="inlineStr">
        <is>
          <t>Nyaya Mitra Scheme</t>
        </is>
      </c>
      <c r="C392" s="4" t="inlineStr">
        <is>
          <t>C22-P0028</t>
        </is>
      </c>
      <c r="D392" s="4" t="inlineStr">
        <is>
          <t>Offline</t>
        </is>
      </c>
      <c r="E392" s="4" t="inlineStr"/>
      <c r="F392" s="4" t="inlineStr">
        <is>
          <t>Source step text</t>
        </is>
      </c>
      <c r="G392" s="4" t="inlineStr">
        <is>
          <t>The Nyaya Mitra will be provided sitting space either at the District Legal Services Authority or the District Court, and no clerical support will be provided.</t>
        </is>
      </c>
      <c r="H392" s="4" t="inlineStr">
        <is>
          <t>en.applicationProcess[0].process[5].children[1]</t>
        </is>
      </c>
      <c r="I392" s="4" t="inlineStr">
        <is>
          <t>C22@20261028-610abbf9</t>
        </is>
      </c>
      <c r="J392" s="4" t="inlineStr">
        <is>
          <t>MS-C22</t>
        </is>
      </c>
      <c r="K392" s="4" t="inlineStr">
        <is>
          <t>1/1</t>
        </is>
      </c>
      <c r="L392" s="7" t="inlineStr">
        <is>
          <t>Approved</t>
        </is>
      </c>
      <c r="M392" s="7" t="n"/>
      <c r="N392" s="4" t="inlineStr">
        <is>
          <t>Actor, branch and dependency need review.</t>
        </is>
      </c>
    </row>
    <row r="393" ht="40" customHeight="1">
      <c r="A393" s="8" t="inlineStr">
        <is>
          <t>C23</t>
        </is>
      </c>
      <c r="B393" s="8" t="inlineStr">
        <is>
          <t>Nari Adalat</t>
        </is>
      </c>
      <c r="C393" s="8" t="inlineStr">
        <is>
          <t>C23-P0011</t>
        </is>
      </c>
      <c r="D393" s="8" t="inlineStr">
        <is>
          <t>Offline</t>
        </is>
      </c>
      <c r="E393" s="8" t="inlineStr"/>
      <c r="F393" s="8" t="inlineStr">
        <is>
          <t>Source step text</t>
        </is>
      </c>
      <c r="G393" s="8" t="inlineStr">
        <is>
          <t>For the application process, please approach the nearest Nari Adalat with your concern. They will guide you through the necessary steps and provide further assistance.</t>
        </is>
      </c>
      <c r="H393" s="8" t="inlineStr">
        <is>
          <t>en.applicationProcess[0].process[0]</t>
        </is>
      </c>
      <c r="I393" s="8" t="inlineStr">
        <is>
          <t>C23@20261028-deb0d84d</t>
        </is>
      </c>
      <c r="J393" s="8" t="inlineStr">
        <is>
          <t>MS-C23</t>
        </is>
      </c>
      <c r="K393" s="8" t="inlineStr">
        <is>
          <t>1/1</t>
        </is>
      </c>
      <c r="L393" s="7" t="inlineStr">
        <is>
          <t>Approved</t>
        </is>
      </c>
      <c r="M393" s="7" t="n"/>
      <c r="N393" s="8" t="inlineStr">
        <is>
          <t>Actor, branch and dependency need review.</t>
        </is>
      </c>
    </row>
    <row r="394" ht="68" customHeight="1">
      <c r="A394" s="4" t="inlineStr">
        <is>
          <t>C23</t>
        </is>
      </c>
      <c r="B394" s="4" t="inlineStr">
        <is>
          <t>Nari Adalat</t>
        </is>
      </c>
      <c r="C394" s="4" t="inlineStr">
        <is>
          <t>C23-P0012</t>
        </is>
      </c>
      <c r="D394" s="4" t="inlineStr">
        <is>
          <t>Offline</t>
        </is>
      </c>
      <c r="E394" s="4" t="inlineStr"/>
      <c r="F394" s="4" t="inlineStr">
        <is>
          <t>Source step text</t>
        </is>
      </c>
      <c r="G394" s="4" t="inlineStr">
        <is>
          <t>The Scheme is being run in 50 Gram Panchayats Each in 11 Districts (Nalbari, Darrang, Morigaon, Dhubri, Udalguri, South Salmara, Goalpara, Kamrup, Barpeta, Tamulpur, and Baksa) of Assam and 2 Districts (Kupwara and Baramulla) of Jammu and Kashmir on pilot basis.</t>
        </is>
      </c>
      <c r="H394" s="4" t="inlineStr">
        <is>
          <t>en.applicationProcess[0].process[1]</t>
        </is>
      </c>
      <c r="I394" s="4" t="inlineStr">
        <is>
          <t>C23@20261028-deb0d84d</t>
        </is>
      </c>
      <c r="J394" s="4" t="inlineStr">
        <is>
          <t>MS-C23</t>
        </is>
      </c>
      <c r="K394" s="4" t="inlineStr">
        <is>
          <t>1/1</t>
        </is>
      </c>
      <c r="L394" s="7" t="inlineStr">
        <is>
          <t>Approved</t>
        </is>
      </c>
      <c r="M394" s="7" t="n"/>
      <c r="N394" s="4" t="inlineStr">
        <is>
          <t>Actor, branch and dependency need review.</t>
        </is>
      </c>
    </row>
    <row r="395" ht="40" customHeight="1">
      <c r="A395" s="8" t="inlineStr">
        <is>
          <t>C24</t>
        </is>
      </c>
      <c r="B395" s="8" t="inlineStr">
        <is>
          <t>National Post Doctoral Fellowship</t>
        </is>
      </c>
      <c r="C395" s="8" t="inlineStr">
        <is>
          <t>C24-P0039</t>
        </is>
      </c>
      <c r="D395" s="8" t="inlineStr">
        <is>
          <t>Online</t>
        </is>
      </c>
      <c r="E395" s="8" t="inlineStr"/>
      <c r="F395" s="8" t="inlineStr">
        <is>
          <t>Source step text</t>
        </is>
      </c>
      <c r="G395" s="8" t="inlineStr">
        <is>
          <t>Application Process:</t>
        </is>
      </c>
      <c r="H395" s="8" t="inlineStr">
        <is>
          <t>en.applicationProcess[0].process[0].children[0]</t>
        </is>
      </c>
      <c r="I395" s="8" t="inlineStr">
        <is>
          <t>C24@20261028-5c066ab4</t>
        </is>
      </c>
      <c r="J395" s="8" t="inlineStr">
        <is>
          <t>MS-C24</t>
        </is>
      </c>
      <c r="K395" s="8" t="inlineStr">
        <is>
          <t>1/1</t>
        </is>
      </c>
      <c r="L395" s="7" t="inlineStr">
        <is>
          <t>Approved</t>
        </is>
      </c>
      <c r="M395" s="7" t="n"/>
      <c r="N395" s="8" t="inlineStr">
        <is>
          <t>Actor, branch and dependency need review.</t>
        </is>
      </c>
    </row>
    <row r="396" ht="40" customHeight="1">
      <c r="A396" s="4" t="inlineStr">
        <is>
          <t>C24</t>
        </is>
      </c>
      <c r="B396" s="4" t="inlineStr">
        <is>
          <t>National Post Doctoral Fellowship</t>
        </is>
      </c>
      <c r="C396" s="4" t="inlineStr">
        <is>
          <t>C24-P0040</t>
        </is>
      </c>
      <c r="D396" s="4" t="inlineStr">
        <is>
          <t>Online</t>
        </is>
      </c>
      <c r="E396" s="4" t="inlineStr"/>
      <c r="F396" s="4" t="inlineStr">
        <is>
          <t>Source step text</t>
        </is>
      </c>
      <c r="G396" s="4" t="inlineStr">
        <is>
          <t>Step 01: The call for applications for SERB-N PDF will be notified through the website www.serbonline.in and https://serb.gov.in/</t>
        </is>
      </c>
      <c r="H396" s="4" t="inlineStr">
        <is>
          <t>en.applicationProcess[0].process[1].children[0]</t>
        </is>
      </c>
      <c r="I396" s="4" t="inlineStr">
        <is>
          <t>C24@20261028-5c066ab4</t>
        </is>
      </c>
      <c r="J396" s="4" t="inlineStr">
        <is>
          <t>MS-C24</t>
        </is>
      </c>
      <c r="K396" s="4" t="inlineStr">
        <is>
          <t>1/1</t>
        </is>
      </c>
      <c r="L396" s="7" t="inlineStr">
        <is>
          <t>Approved</t>
        </is>
      </c>
      <c r="M396" s="7" t="n"/>
      <c r="N396" s="4" t="inlineStr">
        <is>
          <t>Actor, branch and dependency need review.</t>
        </is>
      </c>
    </row>
    <row r="397" ht="54" customHeight="1">
      <c r="A397" s="8" t="inlineStr">
        <is>
          <t>C24</t>
        </is>
      </c>
      <c r="B397" s="8" t="inlineStr">
        <is>
          <t>National Post Doctoral Fellowship</t>
        </is>
      </c>
      <c r="C397" s="8" t="inlineStr">
        <is>
          <t>C24-P0041</t>
        </is>
      </c>
      <c r="D397" s="8" t="inlineStr">
        <is>
          <t>Online</t>
        </is>
      </c>
      <c r="E397" s="8" t="inlineStr"/>
      <c r="F397" s="8" t="inlineStr">
        <is>
          <t>Source step text</t>
        </is>
      </c>
      <c r="G397" s="8" t="inlineStr">
        <is>
          <t>Step 02: The application form along with a research proposal highlighting the objectives of the research work to be undertaken should be submitted online through the website www.serbonline.in</t>
        </is>
      </c>
      <c r="H397" s="8" t="inlineStr">
        <is>
          <t>en.applicationProcess[0].process[1].children[1]</t>
        </is>
      </c>
      <c r="I397" s="8" t="inlineStr">
        <is>
          <t>C24@20261028-5c066ab4</t>
        </is>
      </c>
      <c r="J397" s="8" t="inlineStr">
        <is>
          <t>MS-C24</t>
        </is>
      </c>
      <c r="K397" s="8" t="inlineStr">
        <is>
          <t>1/1</t>
        </is>
      </c>
      <c r="L397" s="7" t="inlineStr">
        <is>
          <t>Approved</t>
        </is>
      </c>
      <c r="M397" s="7" t="n"/>
      <c r="N397" s="8" t="inlineStr">
        <is>
          <t>Actor, branch and dependency need review.</t>
        </is>
      </c>
    </row>
    <row r="398" ht="40" customHeight="1">
      <c r="A398" s="4" t="inlineStr">
        <is>
          <t>C24</t>
        </is>
      </c>
      <c r="B398" s="4" t="inlineStr">
        <is>
          <t>National Post Doctoral Fellowship</t>
        </is>
      </c>
      <c r="C398" s="4" t="inlineStr">
        <is>
          <t>C24-P0042</t>
        </is>
      </c>
      <c r="D398" s="4" t="inlineStr">
        <is>
          <t>Online</t>
        </is>
      </c>
      <c r="E398" s="4" t="inlineStr"/>
      <c r="F398" s="4" t="inlineStr">
        <is>
          <t>Source step text</t>
        </is>
      </c>
      <c r="G398" s="4" t="inlineStr">
        <is>
          <t>Step 03: Applicants should first register on the online website, click here to register</t>
        </is>
      </c>
      <c r="H398" s="4" t="inlineStr">
        <is>
          <t>en.applicationProcess[0].process[1].children[2]</t>
        </is>
      </c>
      <c r="I398" s="4" t="inlineStr">
        <is>
          <t>C24@20261028-5c066ab4</t>
        </is>
      </c>
      <c r="J398" s="4" t="inlineStr">
        <is>
          <t>MS-C24</t>
        </is>
      </c>
      <c r="K398" s="4" t="inlineStr">
        <is>
          <t>1/1</t>
        </is>
      </c>
      <c r="L398" s="7" t="inlineStr">
        <is>
          <t>Approved</t>
        </is>
      </c>
      <c r="M398" s="7" t="n"/>
      <c r="N398" s="4" t="inlineStr">
        <is>
          <t>Actor, branch and dependency need review.</t>
        </is>
      </c>
    </row>
    <row r="399" ht="54" customHeight="1">
      <c r="A399" s="8" t="inlineStr">
        <is>
          <t>C24</t>
        </is>
      </c>
      <c r="B399" s="8" t="inlineStr">
        <is>
          <t>National Post Doctoral Fellowship</t>
        </is>
      </c>
      <c r="C399" s="8" t="inlineStr">
        <is>
          <t>C24-P0043</t>
        </is>
      </c>
      <c r="D399" s="8" t="inlineStr">
        <is>
          <t>Online</t>
        </is>
      </c>
      <c r="E399" s="8" t="inlineStr"/>
      <c r="F399" s="8" t="inlineStr">
        <is>
          <t>Source step text</t>
        </is>
      </c>
      <c r="G399" s="8" t="inlineStr">
        <is>
          <t>Step 04: After login, applicants are required to fill all the mandatory fields in the Profile Detail section under User Profile. which includes Bio-data, Photos, Institute Address, etc.</t>
        </is>
      </c>
      <c r="H399" s="8" t="inlineStr">
        <is>
          <t>en.applicationProcess[0].process[1].children[3]</t>
        </is>
      </c>
      <c r="I399" s="8" t="inlineStr">
        <is>
          <t>C24@20261028-5c066ab4</t>
        </is>
      </c>
      <c r="J399" s="8" t="inlineStr">
        <is>
          <t>MS-C24</t>
        </is>
      </c>
      <c r="K399" s="8" t="inlineStr">
        <is>
          <t>1/1</t>
        </is>
      </c>
      <c r="L399" s="7" t="inlineStr">
        <is>
          <t>Approved</t>
        </is>
      </c>
      <c r="M399" s="7" t="n"/>
      <c r="N399" s="8" t="inlineStr">
        <is>
          <t>Actor, branch and dependency need review.</t>
        </is>
      </c>
    </row>
    <row r="400" ht="68" customHeight="1">
      <c r="A400" s="4" t="inlineStr">
        <is>
          <t>C24</t>
        </is>
      </c>
      <c r="B400" s="4" t="inlineStr">
        <is>
          <t>National Post Doctoral Fellowship</t>
        </is>
      </c>
      <c r="C400" s="4" t="inlineStr">
        <is>
          <t>C24-P0044</t>
        </is>
      </c>
      <c r="D400" s="4" t="inlineStr">
        <is>
          <t>Online</t>
        </is>
      </c>
      <c r="E400" s="4" t="inlineStr"/>
      <c r="F400" s="4" t="inlineStr">
        <is>
          <t>Source step text</t>
        </is>
      </c>
      <c r="G400" s="4" t="inlineStr">
        <is>
          <t>Step 05: Please ensure that your proposed Mentor is registered into the system by following the same procedure. After login, the Mentor is required to fill all the mandatory fields in the Profile Detail section under User Profile. which includes Bio-data, Photo, Institute Address, etc.</t>
        </is>
      </c>
      <c r="H400" s="4" t="inlineStr">
        <is>
          <t>en.applicationProcess[0].process[1].children[4]</t>
        </is>
      </c>
      <c r="I400" s="4" t="inlineStr">
        <is>
          <t>C24@20261028-5c066ab4</t>
        </is>
      </c>
      <c r="J400" s="4" t="inlineStr">
        <is>
          <t>MS-C24</t>
        </is>
      </c>
      <c r="K400" s="4" t="inlineStr">
        <is>
          <t>1/1</t>
        </is>
      </c>
      <c r="L400" s="7" t="inlineStr">
        <is>
          <t>Approved</t>
        </is>
      </c>
      <c r="M400" s="7" t="n"/>
      <c r="N400" s="4" t="inlineStr">
        <is>
          <t>Actor, branch and dependency need review.</t>
        </is>
      </c>
    </row>
    <row r="401" ht="68" customHeight="1">
      <c r="A401" s="8" t="inlineStr">
        <is>
          <t>C24</t>
        </is>
      </c>
      <c r="B401" s="8" t="inlineStr">
        <is>
          <t>National Post Doctoral Fellowship</t>
        </is>
      </c>
      <c r="C401" s="8" t="inlineStr">
        <is>
          <t>C24-P0045</t>
        </is>
      </c>
      <c r="D401" s="8" t="inlineStr">
        <is>
          <t>Online</t>
        </is>
      </c>
      <c r="E401" s="8" t="inlineStr"/>
      <c r="F401" s="8" t="inlineStr">
        <is>
          <t>Source step text</t>
        </is>
      </c>
      <c r="G401" s="8" t="inlineStr">
        <is>
          <t>Step 06: Details including Project Title (max 500 characters), Project summary (max 3000 characters), Keywords (max 6), Objectives of the project (max 1500 characters), Expected output and outcome of the proposal (max 1500 characters) should be provided online at the time of submission of the application.</t>
        </is>
      </c>
      <c r="H401" s="8" t="inlineStr">
        <is>
          <t>en.applicationProcess[0].process[1].children[5]</t>
        </is>
      </c>
      <c r="I401" s="8" t="inlineStr">
        <is>
          <t>C24@20261028-5c066ab4</t>
        </is>
      </c>
      <c r="J401" s="8" t="inlineStr">
        <is>
          <t>MS-C24</t>
        </is>
      </c>
      <c r="K401" s="8" t="inlineStr">
        <is>
          <t>1/1</t>
        </is>
      </c>
      <c r="L401" s="7" t="inlineStr">
        <is>
          <t>Approved</t>
        </is>
      </c>
      <c r="M401" s="7" t="n"/>
      <c r="N401" s="8" t="inlineStr">
        <is>
          <t>Actor, branch and dependency need review.</t>
        </is>
      </c>
    </row>
    <row r="402" ht="40" customHeight="1">
      <c r="A402" s="4" t="inlineStr">
        <is>
          <t>C24</t>
        </is>
      </c>
      <c r="B402" s="4" t="inlineStr">
        <is>
          <t>National Post Doctoral Fellowship</t>
        </is>
      </c>
      <c r="C402" s="4" t="inlineStr">
        <is>
          <t>C24-P0046</t>
        </is>
      </c>
      <c r="D402" s="4" t="inlineStr">
        <is>
          <t>Online</t>
        </is>
      </c>
      <c r="E402" s="4" t="inlineStr"/>
      <c r="F402" s="4" t="inlineStr">
        <is>
          <t>Source step text</t>
        </is>
      </c>
      <c r="G402" s="4" t="inlineStr">
        <is>
          <t>Step 07: Work Methodology and Research plan has to be uploaded in a single PDF file not more than 3 pages (max 10 MB).</t>
        </is>
      </c>
      <c r="H402" s="4" t="inlineStr">
        <is>
          <t>en.applicationProcess[0].process[1].children[6]</t>
        </is>
      </c>
      <c r="I402" s="4" t="inlineStr">
        <is>
          <t>C24@20261028-5c066ab4</t>
        </is>
      </c>
      <c r="J402" s="4" t="inlineStr">
        <is>
          <t>MS-C24</t>
        </is>
      </c>
      <c r="K402" s="4" t="inlineStr">
        <is>
          <t>1/1</t>
        </is>
      </c>
      <c r="L402" s="7" t="inlineStr">
        <is>
          <t>Approved</t>
        </is>
      </c>
      <c r="M402" s="7" t="n"/>
      <c r="N402" s="4" t="inlineStr">
        <is>
          <t>Actor, branch and dependency need review.</t>
        </is>
      </c>
    </row>
    <row r="403" ht="68" customHeight="1">
      <c r="A403" s="8" t="inlineStr">
        <is>
          <t>C24</t>
        </is>
      </c>
      <c r="B403" s="8" t="inlineStr">
        <is>
          <t>National Post Doctoral Fellowship</t>
        </is>
      </c>
      <c r="C403" s="8" t="inlineStr">
        <is>
          <t>C24-P0047</t>
        </is>
      </c>
      <c r="D403" s="8" t="inlineStr">
        <is>
          <t>Online</t>
        </is>
      </c>
      <c r="E403" s="8" t="inlineStr"/>
      <c r="F403" s="8" t="inlineStr">
        <is>
          <t>Source step text</t>
        </is>
      </c>
      <c r="G403" s="8" t="inlineStr">
        <is>
          <t>Note 01: Please ensure that your proposed Mentor is registered into the system by following the same procedure as PI. After login, the Mentor is required to fill all the mandatory fields in the Profile Detail section under User Profile which includes Bio-data, Photo, Institute Address, etc.</t>
        </is>
      </c>
      <c r="H403" s="8" t="inlineStr">
        <is>
          <t>en.applicationProcess[0].process[1].children[7]</t>
        </is>
      </c>
      <c r="I403" s="8" t="inlineStr">
        <is>
          <t>C24@20261028-5c066ab4</t>
        </is>
      </c>
      <c r="J403" s="8" t="inlineStr">
        <is>
          <t>MS-C24</t>
        </is>
      </c>
      <c r="K403" s="8" t="inlineStr">
        <is>
          <t>1/1</t>
        </is>
      </c>
      <c r="L403" s="7" t="inlineStr">
        <is>
          <t>Approved</t>
        </is>
      </c>
      <c r="M403" s="7" t="n"/>
      <c r="N403" s="8" t="inlineStr">
        <is>
          <t>Actor, branch and dependency need review.</t>
        </is>
      </c>
    </row>
    <row r="404" ht="40" customHeight="1">
      <c r="A404" s="4" t="inlineStr">
        <is>
          <t>C24</t>
        </is>
      </c>
      <c r="B404" s="4" t="inlineStr">
        <is>
          <t>National Post Doctoral Fellowship</t>
        </is>
      </c>
      <c r="C404" s="4" t="inlineStr">
        <is>
          <t>C24-P0048</t>
        </is>
      </c>
      <c r="D404" s="4" t="inlineStr">
        <is>
          <t>Online</t>
        </is>
      </c>
      <c r="E404" s="4" t="inlineStr"/>
      <c r="F404" s="4" t="inlineStr">
        <is>
          <t>Source step text</t>
        </is>
      </c>
      <c r="G404" s="4" t="inlineStr">
        <is>
          <t>Note 02: Applicants of NPDF can submit their proposal only once in a calendar year in any of these schemes.</t>
        </is>
      </c>
      <c r="H404" s="4" t="inlineStr">
        <is>
          <t>en.applicationProcess[0].process[1].children[8]</t>
        </is>
      </c>
      <c r="I404" s="4" t="inlineStr">
        <is>
          <t>C24@20261028-5c066ab4</t>
        </is>
      </c>
      <c r="J404" s="4" t="inlineStr">
        <is>
          <t>MS-C24</t>
        </is>
      </c>
      <c r="K404" s="4" t="inlineStr">
        <is>
          <t>1/1</t>
        </is>
      </c>
      <c r="L404" s="7" t="inlineStr">
        <is>
          <t>Approved</t>
        </is>
      </c>
      <c r="M404" s="7" t="n"/>
      <c r="N404" s="4" t="inlineStr">
        <is>
          <t>Actor, branch and dependency need review.</t>
        </is>
      </c>
    </row>
    <row r="405" ht="40" customHeight="1">
      <c r="A405" s="8" t="inlineStr">
        <is>
          <t>C24</t>
        </is>
      </c>
      <c r="B405" s="8" t="inlineStr">
        <is>
          <t>National Post Doctoral Fellowship</t>
        </is>
      </c>
      <c r="C405" s="8" t="inlineStr">
        <is>
          <t>C24-P0049</t>
        </is>
      </c>
      <c r="D405" s="8" t="inlineStr">
        <is>
          <t>Online</t>
        </is>
      </c>
      <c r="E405" s="8" t="inlineStr"/>
      <c r="F405" s="8" t="inlineStr">
        <is>
          <t>Source step text</t>
        </is>
      </c>
      <c r="G405" s="8" t="inlineStr">
        <is>
          <t>Selection Process:</t>
        </is>
      </c>
      <c r="H405" s="8" t="inlineStr">
        <is>
          <t>en.applicationProcess[0].process[1].children[9].children[0]</t>
        </is>
      </c>
      <c r="I405" s="8" t="inlineStr">
        <is>
          <t>C24@20261028-5c066ab4</t>
        </is>
      </c>
      <c r="J405" s="8" t="inlineStr">
        <is>
          <t>MS-C24</t>
        </is>
      </c>
      <c r="K405" s="8" t="inlineStr">
        <is>
          <t>1/1</t>
        </is>
      </c>
      <c r="L405" s="7" t="inlineStr">
        <is>
          <t>Approved</t>
        </is>
      </c>
      <c r="M405" s="7" t="n"/>
      <c r="N405" s="8" t="inlineStr">
        <is>
          <t>Actor, branch and dependency need review.</t>
        </is>
      </c>
    </row>
    <row r="406" ht="54" customHeight="1">
      <c r="A406" s="4" t="inlineStr">
        <is>
          <t>C24</t>
        </is>
      </c>
      <c r="B406" s="4" t="inlineStr">
        <is>
          <t>National Post Doctoral Fellowship</t>
        </is>
      </c>
      <c r="C406" s="4" t="inlineStr">
        <is>
          <t>C24-P0050</t>
        </is>
      </c>
      <c r="D406" s="4" t="inlineStr">
        <is>
          <t>Online</t>
        </is>
      </c>
      <c r="E406" s="4" t="inlineStr"/>
      <c r="F406" s="4" t="inlineStr">
        <is>
          <t>Source step text</t>
        </is>
      </c>
      <c r="G406" s="4" t="inlineStr">
        <is>
          <t>The selection will be based on the recommendations of an Expert Committee that will be constituted by the Board. If required, the applicants may be called for personal interviews.</t>
        </is>
      </c>
      <c r="H406" s="4" t="inlineStr">
        <is>
          <t>en.applicationProcess[0].process[1].children[10]</t>
        </is>
      </c>
      <c r="I406" s="4" t="inlineStr">
        <is>
          <t>C24@20261028-5c066ab4</t>
        </is>
      </c>
      <c r="J406" s="4" t="inlineStr">
        <is>
          <t>MS-C24</t>
        </is>
      </c>
      <c r="K406" s="4" t="inlineStr">
        <is>
          <t>1/1</t>
        </is>
      </c>
      <c r="L406" s="7" t="inlineStr">
        <is>
          <t>Approved</t>
        </is>
      </c>
      <c r="M406" s="7" t="n"/>
      <c r="N406" s="4" t="inlineStr">
        <is>
          <t>Actor, branch and dependency need review.</t>
        </is>
      </c>
    </row>
    <row r="407" ht="40" customHeight="1">
      <c r="A407" s="8" t="inlineStr">
        <is>
          <t>C24</t>
        </is>
      </c>
      <c r="B407" s="8" t="inlineStr">
        <is>
          <t>National Post Doctoral Fellowship</t>
        </is>
      </c>
      <c r="C407" s="8" t="inlineStr">
        <is>
          <t>C24-P0051</t>
        </is>
      </c>
      <c r="D407" s="8" t="inlineStr">
        <is>
          <t>Online</t>
        </is>
      </c>
      <c r="E407" s="8" t="inlineStr"/>
      <c r="F407" s="8" t="inlineStr">
        <is>
          <t>Source step text</t>
        </is>
      </c>
      <c r="G407" s="8" t="inlineStr">
        <is>
          <t>Termination of the Fellowship:</t>
        </is>
      </c>
      <c r="H407" s="8" t="inlineStr">
        <is>
          <t>en.applicationProcess[0].process[1].children[11].children[0]</t>
        </is>
      </c>
      <c r="I407" s="8" t="inlineStr">
        <is>
          <t>C24@20261028-5c066ab4</t>
        </is>
      </c>
      <c r="J407" s="8" t="inlineStr">
        <is>
          <t>MS-C24</t>
        </is>
      </c>
      <c r="K407" s="8" t="inlineStr">
        <is>
          <t>1/1</t>
        </is>
      </c>
      <c r="L407" s="7" t="inlineStr">
        <is>
          <t>Approved</t>
        </is>
      </c>
      <c r="M407" s="7" t="n"/>
      <c r="N407" s="8" t="inlineStr">
        <is>
          <t>Actor, branch and dependency need review.</t>
        </is>
      </c>
    </row>
    <row r="408" ht="82" customHeight="1">
      <c r="A408" s="4" t="inlineStr">
        <is>
          <t>C24</t>
        </is>
      </c>
      <c r="B408" s="4" t="inlineStr">
        <is>
          <t>National Post Doctoral Fellowship</t>
        </is>
      </c>
      <c r="C408" s="4" t="inlineStr">
        <is>
          <t>C24-P0052</t>
        </is>
      </c>
      <c r="D408" s="4" t="inlineStr">
        <is>
          <t>Online</t>
        </is>
      </c>
      <c r="E408" s="4" t="inlineStr"/>
      <c r="F408" s="4" t="inlineStr">
        <is>
          <t>Source step text</t>
        </is>
      </c>
      <c r="G408" s="4" t="inlineStr">
        <is>
          <t>If any fellow wishes to terminate the fellowship, he/she shall inform the SERB through the mentor and host institute immediately. The implementing institute should not incur any expenditure from the date of termination of the project or the date of resignation of the PI. The institute will also arrange for the submission of the documents mentioned above.</t>
        </is>
      </c>
      <c r="H408" s="4" t="inlineStr">
        <is>
          <t>en.applicationProcess[0].process[1].children[12].children[0]</t>
        </is>
      </c>
      <c r="I408" s="4" t="inlineStr">
        <is>
          <t>C24@20261028-5c066ab4</t>
        </is>
      </c>
      <c r="J408" s="4" t="inlineStr">
        <is>
          <t>MS-C24</t>
        </is>
      </c>
      <c r="K408" s="4" t="inlineStr">
        <is>
          <t>1/1</t>
        </is>
      </c>
      <c r="L408" s="7" t="inlineStr">
        <is>
          <t>Approved</t>
        </is>
      </c>
      <c r="M408" s="7" t="n"/>
      <c r="N408" s="4" t="inlineStr">
        <is>
          <t>Actor, branch and dependency need review.</t>
        </is>
      </c>
    </row>
    <row r="409" ht="40" customHeight="1">
      <c r="A409" s="8" t="inlineStr">
        <is>
          <t>C24</t>
        </is>
      </c>
      <c r="B409" s="8" t="inlineStr">
        <is>
          <t>National Post Doctoral Fellowship</t>
        </is>
      </c>
      <c r="C409" s="8" t="inlineStr">
        <is>
          <t>C24-P0053</t>
        </is>
      </c>
      <c r="D409" s="8" t="inlineStr">
        <is>
          <t>Online</t>
        </is>
      </c>
      <c r="E409" s="8" t="inlineStr"/>
      <c r="F409" s="8" t="inlineStr">
        <is>
          <t>Source step text</t>
        </is>
      </c>
      <c r="G409" s="8" t="inlineStr">
        <is>
          <t>SERB reserves the right to terminate the Fellowship at any stage if it is convinced that appropriate progress is not being made or the grant has not been utilized properly.</t>
        </is>
      </c>
      <c r="H409" s="8" t="inlineStr">
        <is>
          <t>en.applicationProcess[0].process[1].children[12].children[1]</t>
        </is>
      </c>
      <c r="I409" s="8" t="inlineStr">
        <is>
          <t>C24@20261028-5c066ab4</t>
        </is>
      </c>
      <c r="J409" s="8" t="inlineStr">
        <is>
          <t>MS-C24</t>
        </is>
      </c>
      <c r="K409" s="8" t="inlineStr">
        <is>
          <t>1/1</t>
        </is>
      </c>
      <c r="L409" s="7" t="inlineStr">
        <is>
          <t>Approved</t>
        </is>
      </c>
      <c r="M409" s="7" t="n"/>
      <c r="N409" s="8" t="inlineStr">
        <is>
          <t>Actor, branch and dependency need review.</t>
        </is>
      </c>
    </row>
    <row r="410" ht="40" customHeight="1">
      <c r="A410" s="4" t="inlineStr">
        <is>
          <t>C24</t>
        </is>
      </c>
      <c r="B410" s="4" t="inlineStr">
        <is>
          <t>National Post Doctoral Fellowship</t>
        </is>
      </c>
      <c r="C410" s="4" t="inlineStr">
        <is>
          <t>C24-P0054</t>
        </is>
      </c>
      <c r="D410" s="4" t="inlineStr">
        <is>
          <t>Online</t>
        </is>
      </c>
      <c r="E410" s="4" t="inlineStr"/>
      <c r="F410" s="4" t="inlineStr">
        <is>
          <t>Source step text</t>
        </is>
      </c>
      <c r="G410" s="4" t="inlineStr">
        <is>
          <t>Complete guidelines for Principal Investigator for SERB-online system</t>
        </is>
      </c>
      <c r="H410" s="4" t="inlineStr">
        <is>
          <t>en.applicationProcess[0].process[1].children[13]</t>
        </is>
      </c>
      <c r="I410" s="4" t="inlineStr">
        <is>
          <t>C24@20261028-5c066ab4</t>
        </is>
      </c>
      <c r="J410" s="4" t="inlineStr">
        <is>
          <t>MS-C24</t>
        </is>
      </c>
      <c r="K410" s="4" t="inlineStr">
        <is>
          <t>1/1</t>
        </is>
      </c>
      <c r="L410" s="7" t="inlineStr">
        <is>
          <t>Approved</t>
        </is>
      </c>
      <c r="M410" s="7" t="n"/>
      <c r="N410" s="4" t="inlineStr">
        <is>
          <t>Actor, branch and dependency need review.</t>
        </is>
      </c>
    </row>
    <row r="411" ht="40" customHeight="1">
      <c r="A411" s="8" t="inlineStr">
        <is>
          <t>C25</t>
        </is>
      </c>
      <c r="B411" s="8" t="inlineStr">
        <is>
          <t>Women’s Instinct for Developing and Ushering in Scientific Heights &amp; Innovation</t>
        </is>
      </c>
      <c r="C411" s="8" t="inlineStr">
        <is>
          <t>C25-P0044</t>
        </is>
      </c>
      <c r="D411" s="8" t="inlineStr">
        <is>
          <t>Online</t>
        </is>
      </c>
      <c r="E411" s="8" t="inlineStr"/>
      <c r="F411" s="8" t="inlineStr">
        <is>
          <t>Source step text</t>
        </is>
      </c>
      <c r="G411" s="8" t="inlineStr">
        <is>
          <t>Registration Process:</t>
        </is>
      </c>
      <c r="H411" s="8" t="inlineStr">
        <is>
          <t>en.applicationProcess[0].process[0].children[0].children[0]</t>
        </is>
      </c>
      <c r="I411" s="8" t="inlineStr">
        <is>
          <t>C25@20261028-281bc008</t>
        </is>
      </c>
      <c r="J411" s="8" t="inlineStr">
        <is>
          <t>MS-C25</t>
        </is>
      </c>
      <c r="K411" s="8" t="inlineStr">
        <is>
          <t>1/1</t>
        </is>
      </c>
      <c r="L411" s="7" t="inlineStr">
        <is>
          <t>Approved</t>
        </is>
      </c>
      <c r="M411" s="7" t="n"/>
      <c r="N411" s="8" t="inlineStr">
        <is>
          <t>Actor, branch and dependency need review.</t>
        </is>
      </c>
    </row>
    <row r="412" ht="40" customHeight="1">
      <c r="A412" s="4" t="inlineStr">
        <is>
          <t>C25</t>
        </is>
      </c>
      <c r="B412" s="4" t="inlineStr">
        <is>
          <t>Women’s Instinct for Developing and Ushering in Scientific Heights &amp; Innovation</t>
        </is>
      </c>
      <c r="C412" s="4" t="inlineStr">
        <is>
          <t>C25-P0045</t>
        </is>
      </c>
      <c r="D412" s="4" t="inlineStr">
        <is>
          <t>Online</t>
        </is>
      </c>
      <c r="E412" s="4" t="inlineStr"/>
      <c r="F412" s="4" t="inlineStr">
        <is>
          <t>Source step text</t>
        </is>
      </c>
      <c r="G412" s="4" t="inlineStr">
        <is>
          <t>Step 01: The proposal submission is open throughout the year.</t>
        </is>
      </c>
      <c r="H412" s="4" t="inlineStr">
        <is>
          <t>en.applicationProcess[0].process[0].children[1]</t>
        </is>
      </c>
      <c r="I412" s="4" t="inlineStr">
        <is>
          <t>C25@20261028-281bc008</t>
        </is>
      </c>
      <c r="J412" s="4" t="inlineStr">
        <is>
          <t>MS-C25</t>
        </is>
      </c>
      <c r="K412" s="4" t="inlineStr">
        <is>
          <t>1/1</t>
        </is>
      </c>
      <c r="L412" s="7" t="inlineStr">
        <is>
          <t>Approved</t>
        </is>
      </c>
      <c r="M412" s="7" t="n"/>
      <c r="N412" s="4" t="inlineStr">
        <is>
          <t>Actor, branch and dependency need review.</t>
        </is>
      </c>
    </row>
    <row r="413" ht="40" customHeight="1">
      <c r="A413" s="8" t="inlineStr">
        <is>
          <t>C25</t>
        </is>
      </c>
      <c r="B413" s="8" t="inlineStr">
        <is>
          <t>Women’s Instinct for Developing and Ushering in Scientific Heights &amp; Innovation</t>
        </is>
      </c>
      <c r="C413" s="8" t="inlineStr">
        <is>
          <t>C25-P0046</t>
        </is>
      </c>
      <c r="D413" s="8" t="inlineStr">
        <is>
          <t>Online</t>
        </is>
      </c>
      <c r="E413" s="8" t="inlineStr"/>
      <c r="F413" s="8" t="inlineStr">
        <is>
          <t>Source step text</t>
        </is>
      </c>
      <c r="G413" s="8" t="inlineStr">
        <is>
          <t>Step 02: The proposal format is available at https://dst.gov.in/, https://onlinedst.gov.in/ and https://online-wosa.gov.in/ under WISE-KIRAN Division.</t>
        </is>
      </c>
      <c r="H413" s="8" t="inlineStr">
        <is>
          <t>en.applicationProcess[0].process[0].children[2]</t>
        </is>
      </c>
      <c r="I413" s="8" t="inlineStr">
        <is>
          <t>C25@20261028-281bc008</t>
        </is>
      </c>
      <c r="J413" s="8" t="inlineStr">
        <is>
          <t>MS-C25</t>
        </is>
      </c>
      <c r="K413" s="8" t="inlineStr">
        <is>
          <t>1/1</t>
        </is>
      </c>
      <c r="L413" s="7" t="inlineStr">
        <is>
          <t>Approved</t>
        </is>
      </c>
      <c r="M413" s="7" t="n"/>
      <c r="N413" s="8" t="inlineStr">
        <is>
          <t>Actor, branch and dependency need review.</t>
        </is>
      </c>
    </row>
    <row r="414" ht="40" customHeight="1">
      <c r="A414" s="4" t="inlineStr">
        <is>
          <t>C25</t>
        </is>
      </c>
      <c r="B414" s="4" t="inlineStr">
        <is>
          <t>Women’s Instinct for Developing and Ushering in Scientific Heights &amp; Innovation</t>
        </is>
      </c>
      <c r="C414" s="4" t="inlineStr">
        <is>
          <t>C25-P0047</t>
        </is>
      </c>
      <c r="D414" s="4" t="inlineStr">
        <is>
          <t>Online</t>
        </is>
      </c>
      <c r="E414" s="4" t="inlineStr"/>
      <c r="F414" s="4" t="inlineStr">
        <is>
          <t>Source step text</t>
        </is>
      </c>
      <c r="G414" s="4" t="inlineStr">
        <is>
          <t>Step 03: Log on to https://onlinedst.gov.in/ to access the home page of the “DST e-PMS Portal”.</t>
        </is>
      </c>
      <c r="H414" s="4" t="inlineStr">
        <is>
          <t>en.applicationProcess[0].process[0].children[3]</t>
        </is>
      </c>
      <c r="I414" s="4" t="inlineStr">
        <is>
          <t>C25@20261028-281bc008</t>
        </is>
      </c>
      <c r="J414" s="4" t="inlineStr">
        <is>
          <t>MS-C25</t>
        </is>
      </c>
      <c r="K414" s="4" t="inlineStr">
        <is>
          <t>1/1</t>
        </is>
      </c>
      <c r="L414" s="7" t="inlineStr">
        <is>
          <t>Approved</t>
        </is>
      </c>
      <c r="M414" s="7" t="n"/>
      <c r="N414" s="4" t="inlineStr">
        <is>
          <t>Actor, branch and dependency need review.</t>
        </is>
      </c>
    </row>
    <row r="415" ht="54" customHeight="1">
      <c r="A415" s="8" t="inlineStr">
        <is>
          <t>C25</t>
        </is>
      </c>
      <c r="B415" s="8" t="inlineStr">
        <is>
          <t>Women’s Instinct for Developing and Ushering in Scientific Heights &amp; Innovation</t>
        </is>
      </c>
      <c r="C415" s="8" t="inlineStr">
        <is>
          <t>C25-P0048</t>
        </is>
      </c>
      <c r="D415" s="8" t="inlineStr">
        <is>
          <t>Online</t>
        </is>
      </c>
      <c r="E415" s="8" t="inlineStr"/>
      <c r="F415" s="8" t="inlineStr">
        <is>
          <t>Source step text</t>
        </is>
      </c>
      <c r="G415" s="8" t="inlineStr">
        <is>
          <t>Step 04: Click on “New PI Registration” and fill in the requisite details for New user registration. In the ‘Personal Information’ section, fill- department, Institute, and Institute Address as per the Host Institute identified for the WIDUSHI programme.</t>
        </is>
      </c>
      <c r="H415" s="8" t="inlineStr">
        <is>
          <t>en.applicationProcess[0].process[0].children[4]</t>
        </is>
      </c>
      <c r="I415" s="8" t="inlineStr">
        <is>
          <t>C25@20261028-281bc008</t>
        </is>
      </c>
      <c r="J415" s="8" t="inlineStr">
        <is>
          <t>MS-C25</t>
        </is>
      </c>
      <c r="K415" s="8" t="inlineStr">
        <is>
          <t>1/1</t>
        </is>
      </c>
      <c r="L415" s="7" t="inlineStr">
        <is>
          <t>Approved</t>
        </is>
      </c>
      <c r="M415" s="7" t="n"/>
      <c r="N415" s="8" t="inlineStr">
        <is>
          <t>Actor, branch and dependency need review.</t>
        </is>
      </c>
    </row>
    <row r="416" ht="40" customHeight="1">
      <c r="A416" s="4" t="inlineStr">
        <is>
          <t>C25</t>
        </is>
      </c>
      <c r="B416" s="4" t="inlineStr">
        <is>
          <t>Women’s Instinct for Developing and Ushering in Scientific Heights &amp; Innovation</t>
        </is>
      </c>
      <c r="C416" s="4" t="inlineStr">
        <is>
          <t>C25-P0049</t>
        </is>
      </c>
      <c r="D416" s="4" t="inlineStr">
        <is>
          <t>Online</t>
        </is>
      </c>
      <c r="E416" s="4" t="inlineStr"/>
      <c r="F416" s="4" t="inlineStr">
        <is>
          <t>Source step text</t>
        </is>
      </c>
      <c r="G416" s="4" t="inlineStr">
        <is>
          <t>Step 05: After logging-in, click on the “Submit proposal” option and then “Initiate New Proposal”. Search the programme by Division Name or Call By Programme/Scheme.</t>
        </is>
      </c>
      <c r="H416" s="4" t="inlineStr">
        <is>
          <t>en.applicationProcess[0].process[0].children[5]</t>
        </is>
      </c>
      <c r="I416" s="4" t="inlineStr">
        <is>
          <t>C25@20261028-281bc008</t>
        </is>
      </c>
      <c r="J416" s="4" t="inlineStr">
        <is>
          <t>MS-C25</t>
        </is>
      </c>
      <c r="K416" s="4" t="inlineStr">
        <is>
          <t>1/1</t>
        </is>
      </c>
      <c r="L416" s="7" t="inlineStr">
        <is>
          <t>Approved</t>
        </is>
      </c>
      <c r="M416" s="7" t="n"/>
      <c r="N416" s="4" t="inlineStr">
        <is>
          <t>Actor, branch and dependency need review.</t>
        </is>
      </c>
    </row>
    <row r="417" ht="40" customHeight="1">
      <c r="A417" s="8" t="inlineStr">
        <is>
          <t>C25</t>
        </is>
      </c>
      <c r="B417" s="8" t="inlineStr">
        <is>
          <t>Women’s Instinct for Developing and Ushering in Scientific Heights &amp; Innovation</t>
        </is>
      </c>
      <c r="C417" s="8" t="inlineStr">
        <is>
          <t>C25-P0050</t>
        </is>
      </c>
      <c r="D417" s="8" t="inlineStr">
        <is>
          <t>Online</t>
        </is>
      </c>
      <c r="E417" s="8" t="inlineStr"/>
      <c r="F417" s="8" t="inlineStr">
        <is>
          <t>Source step text</t>
        </is>
      </c>
      <c r="G417" s="8" t="inlineStr">
        <is>
          <t>Step 06: Select the Programme/Scheme name (WIDUSHI) and then click on “Start Submission”. Select the category and fill in all the information as required in the form.</t>
        </is>
      </c>
      <c r="H417" s="8" t="inlineStr">
        <is>
          <t>en.applicationProcess[0].process[0].children[6]</t>
        </is>
      </c>
      <c r="I417" s="8" t="inlineStr">
        <is>
          <t>C25@20261028-281bc008</t>
        </is>
      </c>
      <c r="J417" s="8" t="inlineStr">
        <is>
          <t>MS-C25</t>
        </is>
      </c>
      <c r="K417" s="8" t="inlineStr">
        <is>
          <t>1/1</t>
        </is>
      </c>
      <c r="L417" s="7" t="inlineStr">
        <is>
          <t>Approved</t>
        </is>
      </c>
      <c r="M417" s="7" t="n"/>
      <c r="N417" s="8" t="inlineStr">
        <is>
          <t>Actor, branch and dependency need review.</t>
        </is>
      </c>
    </row>
    <row r="418" ht="96" customHeight="1">
      <c r="A418" s="4" t="inlineStr">
        <is>
          <t>C25</t>
        </is>
      </c>
      <c r="B418" s="4" t="inlineStr">
        <is>
          <t>Women’s Instinct for Developing and Ushering in Scientific Heights &amp; Innovation</t>
        </is>
      </c>
      <c r="C418" s="4" t="inlineStr">
        <is>
          <t>C25-P0051</t>
        </is>
      </c>
      <c r="D418" s="4" t="inlineStr">
        <is>
          <t>Online</t>
        </is>
      </c>
      <c r="E418" s="4" t="inlineStr"/>
      <c r="F418" s="4" t="inlineStr">
        <is>
          <t>Source step text</t>
        </is>
      </c>
      <c r="G418" s="4" t="inlineStr">
        <is>
          <t>Step 07: After filling in all the particulars, preview your details before the final submission of the application form by clicking on the “Preview” button. The preview page will display all the facts/ particulars that you have mentioned. If there is something that you wish to update, go back and correct the information, or else proceed with the filled details by clicking on the “Submit” button to finally push data into the server.</t>
        </is>
      </c>
      <c r="H418" s="4" t="inlineStr">
        <is>
          <t>en.applicationProcess[0].process[0].children[7]</t>
        </is>
      </c>
      <c r="I418" s="4" t="inlineStr">
        <is>
          <t>C25@20261028-281bc008</t>
        </is>
      </c>
      <c r="J418" s="4" t="inlineStr">
        <is>
          <t>MS-C25</t>
        </is>
      </c>
      <c r="K418" s="4" t="inlineStr">
        <is>
          <t>1/1</t>
        </is>
      </c>
      <c r="L418" s="7" t="inlineStr">
        <is>
          <t>Approved</t>
        </is>
      </c>
      <c r="M418" s="7" t="n"/>
      <c r="N418" s="4" t="inlineStr">
        <is>
          <t>Actor, branch and dependency need review.</t>
        </is>
      </c>
    </row>
    <row r="419" ht="54" customHeight="1">
      <c r="A419" s="8" t="inlineStr">
        <is>
          <t>C25</t>
        </is>
      </c>
      <c r="B419" s="8" t="inlineStr">
        <is>
          <t>Women’s Instinct for Developing and Ushering in Scientific Heights &amp; Innovation</t>
        </is>
      </c>
      <c r="C419" s="8" t="inlineStr">
        <is>
          <t>C25-P0052</t>
        </is>
      </c>
      <c r="D419" s="8" t="inlineStr">
        <is>
          <t>Online</t>
        </is>
      </c>
      <c r="E419" s="8" t="inlineStr"/>
      <c r="F419" s="8" t="inlineStr">
        <is>
          <t>Source step text</t>
        </is>
      </c>
      <c r="G419" s="8" t="inlineStr">
        <is>
          <t>Step 08: Candidates are advised to carefully fill and verify the details filled in the online application themselves as no change will be possible/ entertained after clicking the FINAL SUBMIT BUTTON.</t>
        </is>
      </c>
      <c r="H419" s="8" t="inlineStr">
        <is>
          <t>en.applicationProcess[0].process[0].children[8]</t>
        </is>
      </c>
      <c r="I419" s="8" t="inlineStr">
        <is>
          <t>C25@20261028-281bc008</t>
        </is>
      </c>
      <c r="J419" s="8" t="inlineStr">
        <is>
          <t>MS-C25</t>
        </is>
      </c>
      <c r="K419" s="8" t="inlineStr">
        <is>
          <t>1/1</t>
        </is>
      </c>
      <c r="L419" s="7" t="inlineStr">
        <is>
          <t>Approved</t>
        </is>
      </c>
      <c r="M419" s="7" t="n"/>
      <c r="N419" s="8" t="inlineStr">
        <is>
          <t>Actor, branch and dependency need review.</t>
        </is>
      </c>
    </row>
    <row r="420" ht="40" customHeight="1">
      <c r="A420" s="4" t="inlineStr">
        <is>
          <t>C25</t>
        </is>
      </c>
      <c r="B420" s="4" t="inlineStr">
        <is>
          <t>Women’s Instinct for Developing and Ushering in Scientific Heights &amp; Innovation</t>
        </is>
      </c>
      <c r="C420" s="4" t="inlineStr">
        <is>
          <t>C25-P0053</t>
        </is>
      </c>
      <c r="D420" s="4" t="inlineStr">
        <is>
          <t>Online</t>
        </is>
      </c>
      <c r="E420" s="4" t="inlineStr"/>
      <c r="F420" s="4" t="inlineStr">
        <is>
          <t>Source step text</t>
        </is>
      </c>
      <c r="G420" s="4" t="inlineStr">
        <is>
          <t>Selection Process:</t>
        </is>
      </c>
      <c r="H420" s="4" t="inlineStr">
        <is>
          <t>en.applicationProcess[0].process[0].children[9].children[0]</t>
        </is>
      </c>
      <c r="I420" s="4" t="inlineStr">
        <is>
          <t>C25@20261028-281bc008</t>
        </is>
      </c>
      <c r="J420" s="4" t="inlineStr">
        <is>
          <t>MS-C25</t>
        </is>
      </c>
      <c r="K420" s="4" t="inlineStr">
        <is>
          <t>1/1</t>
        </is>
      </c>
      <c r="L420" s="7" t="inlineStr">
        <is>
          <t>Approved</t>
        </is>
      </c>
      <c r="M420" s="7" t="n"/>
      <c r="N420" s="4" t="inlineStr">
        <is>
          <t>Actor, branch and dependency need review.</t>
        </is>
      </c>
    </row>
    <row r="421" ht="68" customHeight="1">
      <c r="A421" s="8" t="inlineStr">
        <is>
          <t>C25</t>
        </is>
      </c>
      <c r="B421" s="8" t="inlineStr">
        <is>
          <t>Women’s Instinct for Developing and Ushering in Scientific Heights &amp; Innovation</t>
        </is>
      </c>
      <c r="C421" s="8" t="inlineStr">
        <is>
          <t>C25-P0054</t>
        </is>
      </c>
      <c r="D421" s="8" t="inlineStr">
        <is>
          <t>Online</t>
        </is>
      </c>
      <c r="E421" s="8" t="inlineStr"/>
      <c r="F421" s="8" t="inlineStr">
        <is>
          <t>Source step text</t>
        </is>
      </c>
      <c r="G421" s="8" t="inlineStr">
        <is>
          <t>The project proposals received will be screened and the Principal Investigator (PI) of ‘screened-in’ proposals will be called for presentation before Programme Advisory Committee for final recommendation. The final decision of DST will be communicated to the applicants only after obtaining due administrative and financial approvals.</t>
        </is>
      </c>
      <c r="H421" s="8" t="inlineStr">
        <is>
          <t>en.applicationProcess[0].process[0].children[10]</t>
        </is>
      </c>
      <c r="I421" s="8" t="inlineStr">
        <is>
          <t>C25@20261028-281bc008</t>
        </is>
      </c>
      <c r="J421" s="8" t="inlineStr">
        <is>
          <t>MS-C25</t>
        </is>
      </c>
      <c r="K421" s="8" t="inlineStr">
        <is>
          <t>1/1</t>
        </is>
      </c>
      <c r="L421" s="7" t="inlineStr">
        <is>
          <t>Approved</t>
        </is>
      </c>
      <c r="M421" s="7" t="n"/>
      <c r="N421" s="8" t="inlineStr">
        <is>
          <t>Actor, branch and dependency need review.</t>
        </is>
      </c>
    </row>
    <row r="422" ht="40" customHeight="1">
      <c r="A422" s="4" t="inlineStr">
        <is>
          <t>C25</t>
        </is>
      </c>
      <c r="B422" s="4" t="inlineStr">
        <is>
          <t>Women’s Instinct for Developing and Ushering in Scientific Heights &amp; Innovation</t>
        </is>
      </c>
      <c r="C422" s="4" t="inlineStr">
        <is>
          <t>C25-P0055</t>
        </is>
      </c>
      <c r="D422" s="4" t="inlineStr">
        <is>
          <t>Online</t>
        </is>
      </c>
      <c r="E422" s="4" t="inlineStr"/>
      <c r="F422" s="4" t="inlineStr">
        <is>
          <t>Source step text</t>
        </is>
      </c>
      <c r="G422" s="4" t="inlineStr">
        <is>
          <t>For detailed information:</t>
        </is>
      </c>
      <c r="H422" s="4" t="inlineStr">
        <is>
          <t>en.applicationProcess[0].process[0].children[11].children[0]</t>
        </is>
      </c>
      <c r="I422" s="4" t="inlineStr">
        <is>
          <t>C25@20261028-281bc008</t>
        </is>
      </c>
      <c r="J422" s="4" t="inlineStr">
        <is>
          <t>MS-C25</t>
        </is>
      </c>
      <c r="K422" s="4" t="inlineStr">
        <is>
          <t>1/1</t>
        </is>
      </c>
      <c r="L422" s="7" t="inlineStr">
        <is>
          <t>Approved</t>
        </is>
      </c>
      <c r="M422" s="7" t="n"/>
      <c r="N422" s="4" t="inlineStr">
        <is>
          <t>Actor, branch and dependency need review.</t>
        </is>
      </c>
    </row>
    <row r="423" ht="40" customHeight="1">
      <c r="A423" s="8" t="inlineStr">
        <is>
          <t>C25</t>
        </is>
      </c>
      <c r="B423" s="8" t="inlineStr">
        <is>
          <t>Women’s Instinct for Developing and Ushering in Scientific Heights &amp; Innovation</t>
        </is>
      </c>
      <c r="C423" s="8" t="inlineStr">
        <is>
          <t>C25-P0056</t>
        </is>
      </c>
      <c r="D423" s="8" t="inlineStr">
        <is>
          <t>Online</t>
        </is>
      </c>
      <c r="E423" s="8" t="inlineStr"/>
      <c r="F423" s="8" t="inlineStr">
        <is>
          <t>Source step text</t>
        </is>
      </c>
      <c r="G423" s="8" t="inlineStr">
        <is>
          <t>•	Please refer WIDUSHI Guidelines at www.dst.gov.in and online-wosa.gov.in. For further clarification email enquiry-wosdst@gov.in.</t>
        </is>
      </c>
      <c r="H423" s="8" t="inlineStr">
        <is>
          <t>en.applicationProcess[0].process[0].children[12]</t>
        </is>
      </c>
      <c r="I423" s="8" t="inlineStr">
        <is>
          <t>C25@20261028-281bc008</t>
        </is>
      </c>
      <c r="J423" s="8" t="inlineStr">
        <is>
          <t>MS-C25</t>
        </is>
      </c>
      <c r="K423" s="8" t="inlineStr">
        <is>
          <t>1/1</t>
        </is>
      </c>
      <c r="L423" s="7" t="inlineStr">
        <is>
          <t>Approved</t>
        </is>
      </c>
      <c r="M423" s="7" t="n"/>
      <c r="N423" s="8" t="inlineStr">
        <is>
          <t>Actor, branch and dependency need review.</t>
        </is>
      </c>
    </row>
    <row r="424" ht="40" customHeight="1">
      <c r="A424" s="4" t="inlineStr">
        <is>
          <t>C26</t>
        </is>
      </c>
      <c r="B424" s="4" t="inlineStr">
        <is>
          <t>Teachers Associateship for Research Excellence</t>
        </is>
      </c>
      <c r="C424" s="4" t="inlineStr">
        <is>
          <t>C26-P0026</t>
        </is>
      </c>
      <c r="D424" s="4" t="inlineStr">
        <is>
          <t>Online</t>
        </is>
      </c>
      <c r="E424" s="4" t="inlineStr"/>
      <c r="F424" s="4" t="inlineStr">
        <is>
          <t>Source step text</t>
        </is>
      </c>
      <c r="G424" s="4" t="inlineStr">
        <is>
          <t>Step 01: The call for proposals will be notified through the website www.serbonline.in and www.serb.gov.in</t>
        </is>
      </c>
      <c r="H424" s="4" t="inlineStr">
        <is>
          <t>en.applicationProcess[0].process[0].children[0]</t>
        </is>
      </c>
      <c r="I424" s="4" t="inlineStr">
        <is>
          <t>C26@20261028-db2b8659</t>
        </is>
      </c>
      <c r="J424" s="4" t="inlineStr">
        <is>
          <t>MS-C26</t>
        </is>
      </c>
      <c r="K424" s="4" t="inlineStr">
        <is>
          <t>1/1</t>
        </is>
      </c>
      <c r="L424" s="7" t="inlineStr">
        <is>
          <t>Approved</t>
        </is>
      </c>
      <c r="M424" s="7" t="n"/>
      <c r="N424" s="4" t="inlineStr">
        <is>
          <t>Actor, branch and dependency need review.</t>
        </is>
      </c>
    </row>
    <row r="425" ht="40" customHeight="1">
      <c r="A425" s="8" t="inlineStr">
        <is>
          <t>C26</t>
        </is>
      </c>
      <c r="B425" s="8" t="inlineStr">
        <is>
          <t>Teachers Associateship for Research Excellence</t>
        </is>
      </c>
      <c r="C425" s="8" t="inlineStr">
        <is>
          <t>C26-P0027</t>
        </is>
      </c>
      <c r="D425" s="8" t="inlineStr">
        <is>
          <t>Online</t>
        </is>
      </c>
      <c r="E425" s="8" t="inlineStr"/>
      <c r="F425" s="8" t="inlineStr">
        <is>
          <t>Source step text</t>
        </is>
      </c>
      <c r="G425" s="8" t="inlineStr">
        <is>
          <t>Step 02: Applicant(s) should first register on the online website.  Click here to register</t>
        </is>
      </c>
      <c r="H425" s="8" t="inlineStr">
        <is>
          <t>en.applicationProcess[0].process[0].children[1]</t>
        </is>
      </c>
      <c r="I425" s="8" t="inlineStr">
        <is>
          <t>C26@20261028-db2b8659</t>
        </is>
      </c>
      <c r="J425" s="8" t="inlineStr">
        <is>
          <t>MS-C26</t>
        </is>
      </c>
      <c r="K425" s="8" t="inlineStr">
        <is>
          <t>1/1</t>
        </is>
      </c>
      <c r="L425" s="7" t="inlineStr">
        <is>
          <t>Approved</t>
        </is>
      </c>
      <c r="M425" s="7" t="n"/>
      <c r="N425" s="8" t="inlineStr">
        <is>
          <t>Actor, branch and dependency need review.</t>
        </is>
      </c>
    </row>
    <row r="426" ht="54" customHeight="1">
      <c r="A426" s="4" t="inlineStr">
        <is>
          <t>C26</t>
        </is>
      </c>
      <c r="B426" s="4" t="inlineStr">
        <is>
          <t>Teachers Associateship for Research Excellence</t>
        </is>
      </c>
      <c r="C426" s="4" t="inlineStr">
        <is>
          <t>C26-P0028</t>
        </is>
      </c>
      <c r="D426" s="4" t="inlineStr">
        <is>
          <t>Online</t>
        </is>
      </c>
      <c r="E426" s="4" t="inlineStr"/>
      <c r="F426" s="4" t="inlineStr">
        <is>
          <t>Source step text</t>
        </is>
      </c>
      <c r="G426" s="4" t="inlineStr">
        <is>
          <t>Step 03: After login, the applicant(s) are required to fill all the mandatory fields in the Profile Detail section under User Profile, which includes Bio-data, Photo, and Institute Address, etc.</t>
        </is>
      </c>
      <c r="H426" s="4" t="inlineStr">
        <is>
          <t>en.applicationProcess[0].process[0].children[2]</t>
        </is>
      </c>
      <c r="I426" s="4" t="inlineStr">
        <is>
          <t>C26@20261028-db2b8659</t>
        </is>
      </c>
      <c r="J426" s="4" t="inlineStr">
        <is>
          <t>MS-C26</t>
        </is>
      </c>
      <c r="K426" s="4" t="inlineStr">
        <is>
          <t>1/1</t>
        </is>
      </c>
      <c r="L426" s="7" t="inlineStr">
        <is>
          <t>Approved</t>
        </is>
      </c>
      <c r="M426" s="7" t="n"/>
      <c r="N426" s="4" t="inlineStr">
        <is>
          <t>Actor, branch and dependency need review.</t>
        </is>
      </c>
    </row>
    <row r="427" ht="68" customHeight="1">
      <c r="A427" s="8" t="inlineStr">
        <is>
          <t>C26</t>
        </is>
      </c>
      <c r="B427" s="8" t="inlineStr">
        <is>
          <t>Teachers Associateship for Research Excellence</t>
        </is>
      </c>
      <c r="C427" s="8" t="inlineStr">
        <is>
          <t>C26-P0029</t>
        </is>
      </c>
      <c r="D427" s="8" t="inlineStr">
        <is>
          <t>Online</t>
        </is>
      </c>
      <c r="E427" s="8" t="inlineStr"/>
      <c r="F427" s="8" t="inlineStr">
        <is>
          <t>Source step text</t>
        </is>
      </c>
      <c r="G427" s="8" t="inlineStr">
        <is>
          <t>Step 04: Summary of the project proposal; Project Title (max 500 characters), Abstract of the proposed work (max 3000 characters), Keywords (max 6), Objectives of the project (max 1500 characters), Expected output and outcome of the proposal (max 1500 characters), have to be entered at the time of proposal submission.</t>
        </is>
      </c>
      <c r="H427" s="8" t="inlineStr">
        <is>
          <t>en.applicationProcess[0].process[0].children[3]</t>
        </is>
      </c>
      <c r="I427" s="8" t="inlineStr">
        <is>
          <t>C26@20261028-db2b8659</t>
        </is>
      </c>
      <c r="J427" s="8" t="inlineStr">
        <is>
          <t>MS-C26</t>
        </is>
      </c>
      <c r="K427" s="8" t="inlineStr">
        <is>
          <t>1/1</t>
        </is>
      </c>
      <c r="L427" s="7" t="inlineStr">
        <is>
          <t>Approved</t>
        </is>
      </c>
      <c r="M427" s="7" t="n"/>
      <c r="N427" s="8" t="inlineStr">
        <is>
          <t>Actor, branch and dependency need review.</t>
        </is>
      </c>
    </row>
    <row r="428" ht="40" customHeight="1">
      <c r="A428" s="4" t="inlineStr">
        <is>
          <t>C26</t>
        </is>
      </c>
      <c r="B428" s="4" t="inlineStr">
        <is>
          <t>Teachers Associateship for Research Excellence</t>
        </is>
      </c>
      <c r="C428" s="4" t="inlineStr">
        <is>
          <t>C26-P0030</t>
        </is>
      </c>
      <c r="D428" s="4" t="inlineStr">
        <is>
          <t>Online</t>
        </is>
      </c>
      <c r="E428" s="4" t="inlineStr"/>
      <c r="F428" s="4" t="inlineStr">
        <is>
          <t>Source step text</t>
        </is>
      </c>
      <c r="G428" s="4" t="inlineStr">
        <is>
          <t>Step 05: Other relevant information of the proposal must be uploaded in a single PDF file not more than 10 MB as other technical documents (OTD).</t>
        </is>
      </c>
      <c r="H428" s="4" t="inlineStr">
        <is>
          <t>en.applicationProcess[0].process[0].children[4]</t>
        </is>
      </c>
      <c r="I428" s="4" t="inlineStr">
        <is>
          <t>C26@20261028-db2b8659</t>
        </is>
      </c>
      <c r="J428" s="4" t="inlineStr">
        <is>
          <t>MS-C26</t>
        </is>
      </c>
      <c r="K428" s="4" t="inlineStr">
        <is>
          <t>1/1</t>
        </is>
      </c>
      <c r="L428" s="7" t="inlineStr">
        <is>
          <t>Approved</t>
        </is>
      </c>
      <c r="M428" s="7" t="n"/>
      <c r="N428" s="4" t="inlineStr">
        <is>
          <t>Actor, branch and dependency need review.</t>
        </is>
      </c>
    </row>
    <row r="429" ht="40" customHeight="1">
      <c r="A429" s="8" t="inlineStr">
        <is>
          <t>C26</t>
        </is>
      </c>
      <c r="B429" s="8" t="inlineStr">
        <is>
          <t>Teachers Associateship for Research Excellence</t>
        </is>
      </c>
      <c r="C429" s="8" t="inlineStr">
        <is>
          <t>C26-P0031</t>
        </is>
      </c>
      <c r="D429" s="8" t="inlineStr">
        <is>
          <t>Online</t>
        </is>
      </c>
      <c r="E429" s="8" t="inlineStr"/>
      <c r="F429" s="8" t="inlineStr">
        <is>
          <t>Source step text</t>
        </is>
      </c>
      <c r="G429" s="8" t="inlineStr">
        <is>
          <t>Note: The proposals will be evaluated through peer review processes as per SERB guidelines.</t>
        </is>
      </c>
      <c r="H429" s="8" t="inlineStr">
        <is>
          <t>en.applicationProcess[0].process[0].children[5]</t>
        </is>
      </c>
      <c r="I429" s="8" t="inlineStr">
        <is>
          <t>C26@20261028-db2b8659</t>
        </is>
      </c>
      <c r="J429" s="8" t="inlineStr">
        <is>
          <t>MS-C26</t>
        </is>
      </c>
      <c r="K429" s="8" t="inlineStr">
        <is>
          <t>1/1</t>
        </is>
      </c>
      <c r="L429" s="7" t="inlineStr">
        <is>
          <t>Approved</t>
        </is>
      </c>
      <c r="M429" s="7" t="n"/>
      <c r="N429" s="8" t="inlineStr">
        <is>
          <t>Actor, branch and dependency need review.</t>
        </is>
      </c>
    </row>
    <row r="430" ht="40" customHeight="1">
      <c r="A430" s="4" t="inlineStr">
        <is>
          <t>C27</t>
        </is>
      </c>
      <c r="B430" s="4" t="inlineStr">
        <is>
          <t>Pradhan Mantri Virasat ka Samvardhan</t>
        </is>
      </c>
      <c r="C430" s="4" t="inlineStr">
        <is>
          <t>C27-P0038</t>
        </is>
      </c>
      <c r="D430" s="4" t="inlineStr">
        <is>
          <t>Online</t>
        </is>
      </c>
      <c r="E430" s="4" t="inlineStr"/>
      <c r="F430" s="4" t="inlineStr">
        <is>
          <t>Source step text</t>
        </is>
      </c>
      <c r="G430" s="4" t="inlineStr">
        <is>
          <t>Step 01: Register/Login</t>
        </is>
      </c>
      <c r="H430" s="4" t="inlineStr">
        <is>
          <t>en.applicationProcess[0].process[0]</t>
        </is>
      </c>
      <c r="I430" s="4" t="inlineStr">
        <is>
          <t>C27@20261028-7c3ca7ef</t>
        </is>
      </c>
      <c r="J430" s="4" t="inlineStr">
        <is>
          <t>MS-C27</t>
        </is>
      </c>
      <c r="K430" s="4" t="inlineStr">
        <is>
          <t>1/1</t>
        </is>
      </c>
      <c r="L430" s="7" t="inlineStr">
        <is>
          <t>Approved</t>
        </is>
      </c>
      <c r="M430" s="7" t="n"/>
      <c r="N430" s="4" t="inlineStr">
        <is>
          <t>Actor, branch and dependency need review.</t>
        </is>
      </c>
    </row>
    <row r="431" ht="54" customHeight="1">
      <c r="A431" s="8" t="inlineStr">
        <is>
          <t>C27</t>
        </is>
      </c>
      <c r="B431" s="8" t="inlineStr">
        <is>
          <t>Pradhan Mantri Virasat ka Samvardhan</t>
        </is>
      </c>
      <c r="C431" s="8" t="inlineStr">
        <is>
          <t>C27-P0039</t>
        </is>
      </c>
      <c r="D431" s="8" t="inlineStr">
        <is>
          <t>Online</t>
        </is>
      </c>
      <c r="E431" s="8" t="inlineStr"/>
      <c r="F431" s="8" t="inlineStr">
        <is>
          <t>Source step text</t>
        </is>
      </c>
      <c r="G431" s="8" t="inlineStr">
        <is>
          <t>Visit the SIDH Portal (https://www.skillindiadigital.gov.in/), register as a Learner/Participant (Candidate) or log in if already registered, and complete e-KYC using your personal details.</t>
        </is>
      </c>
      <c r="H431" s="8" t="inlineStr">
        <is>
          <t>en.applicationProcess[0].process[1]</t>
        </is>
      </c>
      <c r="I431" s="8" t="inlineStr">
        <is>
          <t>C27@20261028-7c3ca7ef</t>
        </is>
      </c>
      <c r="J431" s="8" t="inlineStr">
        <is>
          <t>MS-C27</t>
        </is>
      </c>
      <c r="K431" s="8" t="inlineStr">
        <is>
          <t>1/1</t>
        </is>
      </c>
      <c r="L431" s="7" t="inlineStr">
        <is>
          <t>Approved</t>
        </is>
      </c>
      <c r="M431" s="7" t="n"/>
      <c r="N431" s="8" t="inlineStr">
        <is>
          <t>Actor, branch and dependency need review.</t>
        </is>
      </c>
    </row>
    <row r="432" ht="40" customHeight="1">
      <c r="A432" s="4" t="inlineStr">
        <is>
          <t>C27</t>
        </is>
      </c>
      <c r="B432" s="4" t="inlineStr">
        <is>
          <t>Pradhan Mantri Virasat ka Samvardhan</t>
        </is>
      </c>
      <c r="C432" s="4" t="inlineStr">
        <is>
          <t>C27-P0040</t>
        </is>
      </c>
      <c r="D432" s="4" t="inlineStr">
        <is>
          <t>Online</t>
        </is>
      </c>
      <c r="E432" s="4" t="inlineStr">
        <is>
          <t>Step 02:Profile Setup</t>
        </is>
      </c>
      <c r="F432" s="4" t="inlineStr">
        <is>
          <t>Heading / phase</t>
        </is>
      </c>
      <c r="G432" s="4" t="inlineStr">
        <is>
          <t>Step 02:Profile Setup</t>
        </is>
      </c>
      <c r="H432" s="4" t="inlineStr">
        <is>
          <t>en.applicationProcess[0].process[3]</t>
        </is>
      </c>
      <c r="I432" s="4" t="inlineStr">
        <is>
          <t>C27@20261028-7c3ca7ef</t>
        </is>
      </c>
      <c r="J432" s="4" t="inlineStr">
        <is>
          <t>MS-C27</t>
        </is>
      </c>
      <c r="K432" s="4" t="inlineStr">
        <is>
          <t>1/1</t>
        </is>
      </c>
      <c r="L432" s="7" t="inlineStr">
        <is>
          <t>Approved</t>
        </is>
      </c>
      <c r="M432" s="7" t="n"/>
      <c r="N432" s="4" t="inlineStr">
        <is>
          <t>Actor, branch and dependency need review.</t>
        </is>
      </c>
    </row>
    <row r="433" ht="40" customHeight="1">
      <c r="A433" s="8" t="inlineStr">
        <is>
          <t>C27</t>
        </is>
      </c>
      <c r="B433" s="8" t="inlineStr">
        <is>
          <t>Pradhan Mantri Virasat ka Samvardhan</t>
        </is>
      </c>
      <c r="C433" s="8" t="inlineStr">
        <is>
          <t>C27-P0041</t>
        </is>
      </c>
      <c r="D433" s="8" t="inlineStr">
        <is>
          <t>Online</t>
        </is>
      </c>
      <c r="E433" s="8" t="inlineStr">
        <is>
          <t>Step 02:Profile Setup</t>
        </is>
      </c>
      <c r="F433" s="8" t="inlineStr">
        <is>
          <t>Source step text</t>
        </is>
      </c>
      <c r="G433" s="8" t="inlineStr">
        <is>
          <t>Create your account password/PIN, verify your mobile number via OTP, and ensure all profile details (name, date of birth, and contact information) are accurate and updated.</t>
        </is>
      </c>
      <c r="H433" s="8" t="inlineStr">
        <is>
          <t>en.applicationProcess[0].process[4]</t>
        </is>
      </c>
      <c r="I433" s="8" t="inlineStr">
        <is>
          <t>C27@20261028-7c3ca7ef</t>
        </is>
      </c>
      <c r="J433" s="8" t="inlineStr">
        <is>
          <t>MS-C27</t>
        </is>
      </c>
      <c r="K433" s="8" t="inlineStr">
        <is>
          <t>1/1</t>
        </is>
      </c>
      <c r="L433" s="7" t="inlineStr">
        <is>
          <t>Approved</t>
        </is>
      </c>
      <c r="M433" s="7" t="n"/>
      <c r="N433" s="8" t="inlineStr">
        <is>
          <t>Actor, branch and dependency need review.</t>
        </is>
      </c>
    </row>
    <row r="434" ht="40" customHeight="1">
      <c r="A434" s="4" t="inlineStr">
        <is>
          <t>C27</t>
        </is>
      </c>
      <c r="B434" s="4" t="inlineStr">
        <is>
          <t>Pradhan Mantri Virasat ka Samvardhan</t>
        </is>
      </c>
      <c r="C434" s="4" t="inlineStr">
        <is>
          <t>C27-P0042</t>
        </is>
      </c>
      <c r="D434" s="4" t="inlineStr">
        <is>
          <t>Online</t>
        </is>
      </c>
      <c r="E434" s="4" t="inlineStr">
        <is>
          <t>Step 03:Explore Schemes &amp; Courses</t>
        </is>
      </c>
      <c r="F434" s="4" t="inlineStr">
        <is>
          <t>Heading / phase</t>
        </is>
      </c>
      <c r="G434" s="4" t="inlineStr">
        <is>
          <t>Step 03:Explore Schemes &amp; Courses</t>
        </is>
      </c>
      <c r="H434" s="4" t="inlineStr">
        <is>
          <t>en.applicationProcess[0].process[6]</t>
        </is>
      </c>
      <c r="I434" s="4" t="inlineStr">
        <is>
          <t>C27@20261028-7c3ca7ef</t>
        </is>
      </c>
      <c r="J434" s="4" t="inlineStr">
        <is>
          <t>MS-C27</t>
        </is>
      </c>
      <c r="K434" s="4" t="inlineStr">
        <is>
          <t>1/1</t>
        </is>
      </c>
      <c r="L434" s="7" t="inlineStr">
        <is>
          <t>Approved</t>
        </is>
      </c>
      <c r="M434" s="7" t="n"/>
      <c r="N434" s="4" t="inlineStr">
        <is>
          <t>Actor, branch and dependency need review.</t>
        </is>
      </c>
    </row>
    <row r="435" ht="40" customHeight="1">
      <c r="A435" s="8" t="inlineStr">
        <is>
          <t>C27</t>
        </is>
      </c>
      <c r="B435" s="8" t="inlineStr">
        <is>
          <t>Pradhan Mantri Virasat ka Samvardhan</t>
        </is>
      </c>
      <c r="C435" s="8" t="inlineStr">
        <is>
          <t>C27-P0043</t>
        </is>
      </c>
      <c r="D435" s="8" t="inlineStr">
        <is>
          <t>Online</t>
        </is>
      </c>
      <c r="E435" s="8" t="inlineStr">
        <is>
          <t>Step 03:Explore Schemes &amp; Courses</t>
        </is>
      </c>
      <c r="F435" s="8" t="inlineStr">
        <is>
          <t>Source step text</t>
        </is>
      </c>
      <c r="G435" s="8" t="inlineStr">
        <is>
          <t>Access your dashboard and search for PM VIKAS and job roles. Use filters such as scheme, mode, and sector to find suitable courses or batches.</t>
        </is>
      </c>
      <c r="H435" s="8" t="inlineStr">
        <is>
          <t>en.applicationProcess[0].process[8]</t>
        </is>
      </c>
      <c r="I435" s="8" t="inlineStr">
        <is>
          <t>C27@20261028-7c3ca7ef</t>
        </is>
      </c>
      <c r="J435" s="8" t="inlineStr">
        <is>
          <t>MS-C27</t>
        </is>
      </c>
      <c r="K435" s="8" t="inlineStr">
        <is>
          <t>1/1</t>
        </is>
      </c>
      <c r="L435" s="7" t="inlineStr">
        <is>
          <t>Approved</t>
        </is>
      </c>
      <c r="M435" s="7" t="n"/>
      <c r="N435" s="8" t="inlineStr">
        <is>
          <t>Actor, branch and dependency need review.</t>
        </is>
      </c>
    </row>
    <row r="436" ht="40" customHeight="1">
      <c r="A436" s="4" t="inlineStr">
        <is>
          <t>C27</t>
        </is>
      </c>
      <c r="B436" s="4" t="inlineStr">
        <is>
          <t>Pradhan Mantri Virasat ka Samvardhan</t>
        </is>
      </c>
      <c r="C436" s="4" t="inlineStr">
        <is>
          <t>C27-P0044</t>
        </is>
      </c>
      <c r="D436" s="4" t="inlineStr">
        <is>
          <t>Online</t>
        </is>
      </c>
      <c r="E436" s="4" t="inlineStr">
        <is>
          <t>Step 04:Show Interest / Apply for a Batch</t>
        </is>
      </c>
      <c r="F436" s="4" t="inlineStr">
        <is>
          <t>Heading / phase</t>
        </is>
      </c>
      <c r="G436" s="4" t="inlineStr">
        <is>
          <t>Step 04:Show Interest / Apply for a Batch</t>
        </is>
      </c>
      <c r="H436" s="4" t="inlineStr">
        <is>
          <t>en.applicationProcess[0].process[10]</t>
        </is>
      </c>
      <c r="I436" s="4" t="inlineStr">
        <is>
          <t>C27@20261028-7c3ca7ef</t>
        </is>
      </c>
      <c r="J436" s="4" t="inlineStr">
        <is>
          <t>MS-C27</t>
        </is>
      </c>
      <c r="K436" s="4" t="inlineStr">
        <is>
          <t>1/1</t>
        </is>
      </c>
      <c r="L436" s="7" t="inlineStr">
        <is>
          <t>Approved</t>
        </is>
      </c>
      <c r="M436" s="7" t="n"/>
      <c r="N436" s="4" t="inlineStr">
        <is>
          <t>Actor, branch and dependency need review.</t>
        </is>
      </c>
    </row>
    <row r="437" ht="54" customHeight="1">
      <c r="A437" s="8" t="inlineStr">
        <is>
          <t>C27</t>
        </is>
      </c>
      <c r="B437" s="8" t="inlineStr">
        <is>
          <t>Pradhan Mantri Virasat ka Samvardhan</t>
        </is>
      </c>
      <c r="C437" s="8" t="inlineStr">
        <is>
          <t>C27-P0045</t>
        </is>
      </c>
      <c r="D437" s="8" t="inlineStr">
        <is>
          <t>Online</t>
        </is>
      </c>
      <c r="E437" s="8" t="inlineStr">
        <is>
          <t>Step 04:Show Interest / Apply for a Batch</t>
        </is>
      </c>
      <c r="F437" s="8" t="inlineStr">
        <is>
          <t>Source step text</t>
        </is>
      </c>
      <c r="G437" s="8" t="inlineStr">
        <is>
          <t>Choose a batch for your preferred job role and submit your interest or application. You may select up to five batches, which will be reviewed by the training partner /training centre.</t>
        </is>
      </c>
      <c r="H437" s="8" t="inlineStr">
        <is>
          <t>en.applicationProcess[0].process[12]</t>
        </is>
      </c>
      <c r="I437" s="8" t="inlineStr">
        <is>
          <t>C27@20261028-7c3ca7ef</t>
        </is>
      </c>
      <c r="J437" s="8" t="inlineStr">
        <is>
          <t>MS-C27</t>
        </is>
      </c>
      <c r="K437" s="8" t="inlineStr">
        <is>
          <t>1/1</t>
        </is>
      </c>
      <c r="L437" s="7" t="inlineStr">
        <is>
          <t>Approved</t>
        </is>
      </c>
      <c r="M437" s="7" t="n"/>
      <c r="N437" s="8" t="inlineStr">
        <is>
          <t>Actor, branch and dependency need review.</t>
        </is>
      </c>
    </row>
    <row r="438" ht="40" customHeight="1">
      <c r="A438" s="4" t="inlineStr">
        <is>
          <t>C27</t>
        </is>
      </c>
      <c r="B438" s="4" t="inlineStr">
        <is>
          <t>Pradhan Mantri Virasat ka Samvardhan</t>
        </is>
      </c>
      <c r="C438" s="4" t="inlineStr">
        <is>
          <t>C27-P0046</t>
        </is>
      </c>
      <c r="D438" s="4" t="inlineStr">
        <is>
          <t>Online</t>
        </is>
      </c>
      <c r="E438" s="4" t="inlineStr">
        <is>
          <t>Step 04:Show Interest / Apply for a Batch</t>
        </is>
      </c>
      <c r="F438" s="4" t="inlineStr">
        <is>
          <t>Source step text</t>
        </is>
      </c>
      <c r="G438" s="4" t="inlineStr">
        <is>
          <t>Step 05:Finalise Enrolment &amp; Status</t>
        </is>
      </c>
      <c r="H438" s="4" t="inlineStr">
        <is>
          <t>en.applicationProcess[0].process[14]</t>
        </is>
      </c>
      <c r="I438" s="4" t="inlineStr">
        <is>
          <t>C27@20261028-7c3ca7ef</t>
        </is>
      </c>
      <c r="J438" s="4" t="inlineStr">
        <is>
          <t>MS-C27</t>
        </is>
      </c>
      <c r="K438" s="4" t="inlineStr">
        <is>
          <t>1/1</t>
        </is>
      </c>
      <c r="L438" s="7" t="inlineStr">
        <is>
          <t>Approved</t>
        </is>
      </c>
      <c r="M438" s="7" t="n"/>
      <c r="N438" s="4" t="inlineStr">
        <is>
          <t>Actor, branch and dependency need review.</t>
        </is>
      </c>
    </row>
    <row r="439" ht="54" customHeight="1">
      <c r="A439" s="8" t="inlineStr">
        <is>
          <t>C27</t>
        </is>
      </c>
      <c r="B439" s="8" t="inlineStr">
        <is>
          <t>Pradhan Mantri Virasat ka Samvardhan</t>
        </is>
      </c>
      <c r="C439" s="8" t="inlineStr">
        <is>
          <t>C27-P0047</t>
        </is>
      </c>
      <c r="D439" s="8" t="inlineStr">
        <is>
          <t>Online</t>
        </is>
      </c>
      <c r="E439" s="8" t="inlineStr">
        <is>
          <t>Step 04:Show Interest / Apply for a Batch</t>
        </is>
      </c>
      <c r="F439" s="8" t="inlineStr">
        <is>
          <t>Source step text</t>
        </is>
      </c>
      <c r="G439" s="8" t="inlineStr">
        <is>
          <t>After approval from the training partner / training centre, accept the invitation through your portal to confirm enrolment. Track your application status under the “Applications” section.</t>
        </is>
      </c>
      <c r="H439" s="8" t="inlineStr">
        <is>
          <t>en.applicationProcess[0].process[15]</t>
        </is>
      </c>
      <c r="I439" s="8" t="inlineStr">
        <is>
          <t>C27@20261028-7c3ca7ef</t>
        </is>
      </c>
      <c r="J439" s="8" t="inlineStr">
        <is>
          <t>MS-C27</t>
        </is>
      </c>
      <c r="K439" s="8" t="inlineStr">
        <is>
          <t>1/1</t>
        </is>
      </c>
      <c r="L439" s="7" t="inlineStr">
        <is>
          <t>Approved</t>
        </is>
      </c>
      <c r="M439" s="7" t="n"/>
      <c r="N439" s="8" t="inlineStr">
        <is>
          <t>Actor, branch and dependency need review.</t>
        </is>
      </c>
    </row>
    <row r="440" ht="68" customHeight="1">
      <c r="A440" s="4" t="inlineStr">
        <is>
          <t>C28</t>
        </is>
      </c>
      <c r="B440" s="4" t="inlineStr">
        <is>
          <t>Agnipath Yojana</t>
        </is>
      </c>
      <c r="C440" s="4" t="inlineStr">
        <is>
          <t>C28-P0062</t>
        </is>
      </c>
      <c r="D440" s="4" t="inlineStr">
        <is>
          <t>Online</t>
        </is>
      </c>
      <c r="E440" s="4" t="inlineStr"/>
      <c r="F440" s="4" t="inlineStr">
        <is>
          <t>Source step text</t>
        </is>
      </c>
      <c r="G440" s="4" t="inlineStr">
        <is>
          <t>Enrolment will be undertaken through an online centralized system for all three services with specialized rallies and campus interviews from recognized technical institutes such as Industrial Training Institutes and National Skills Qualifications Framework, among others.</t>
        </is>
      </c>
      <c r="H440" s="4" t="inlineStr">
        <is>
          <t>en.applicationProcess[0].process[0].children[0].children[0]</t>
        </is>
      </c>
      <c r="I440" s="4" t="inlineStr">
        <is>
          <t>C28@20261028-f53d5aa4</t>
        </is>
      </c>
      <c r="J440" s="4" t="inlineStr">
        <is>
          <t>MS-C28</t>
        </is>
      </c>
      <c r="K440" s="4" t="inlineStr">
        <is>
          <t>1/1</t>
        </is>
      </c>
      <c r="L440" s="7" t="inlineStr">
        <is>
          <t>Approved</t>
        </is>
      </c>
      <c r="M440" s="7" t="n"/>
      <c r="N440" s="4" t="inlineStr">
        <is>
          <t>Actor, branch and dependency need review.</t>
        </is>
      </c>
    </row>
    <row r="441" ht="40" customHeight="1">
      <c r="A441" s="8" t="inlineStr">
        <is>
          <t>C28</t>
        </is>
      </c>
      <c r="B441" s="8" t="inlineStr">
        <is>
          <t>Agnipath Yojana</t>
        </is>
      </c>
      <c r="C441" s="8" t="inlineStr">
        <is>
          <t>C28-P0063</t>
        </is>
      </c>
      <c r="D441" s="8" t="inlineStr">
        <is>
          <t>Online</t>
        </is>
      </c>
      <c r="E441" s="8" t="inlineStr"/>
      <c r="F441" s="8" t="inlineStr">
        <is>
          <t>Source step text</t>
        </is>
      </c>
      <c r="G441" s="8" t="inlineStr">
        <is>
          <t>Enrolment will be based on an ‘All India All Class’ basis.</t>
        </is>
      </c>
      <c r="H441" s="8" t="inlineStr">
        <is>
          <t>en.applicationProcess[0].process[0].children[0].children[1]</t>
        </is>
      </c>
      <c r="I441" s="8" t="inlineStr">
        <is>
          <t>C28@20261028-f53d5aa4</t>
        </is>
      </c>
      <c r="J441" s="8" t="inlineStr">
        <is>
          <t>MS-C28</t>
        </is>
      </c>
      <c r="K441" s="8" t="inlineStr">
        <is>
          <t>1/1</t>
        </is>
      </c>
      <c r="L441" s="7" t="inlineStr">
        <is>
          <t>Approved</t>
        </is>
      </c>
      <c r="M441" s="7" t="n"/>
      <c r="N441" s="8" t="inlineStr">
        <is>
          <t>Actor, branch and dependency need review.</t>
        </is>
      </c>
    </row>
    <row r="442" ht="40" customHeight="1">
      <c r="A442" s="4" t="inlineStr">
        <is>
          <t>C28</t>
        </is>
      </c>
      <c r="B442" s="4" t="inlineStr">
        <is>
          <t>Agnipath Yojana</t>
        </is>
      </c>
      <c r="C442" s="4" t="inlineStr">
        <is>
          <t>C28-P0064</t>
        </is>
      </c>
      <c r="D442" s="4" t="inlineStr">
        <is>
          <t>Online</t>
        </is>
      </c>
      <c r="E442" s="4" t="inlineStr"/>
      <c r="F442" s="4" t="inlineStr">
        <is>
          <t>Source step text</t>
        </is>
      </c>
      <c r="G442" s="4" t="inlineStr">
        <is>
          <t>The candidates will be recruited as per the existing pattern of selection into the Armed Forces.</t>
        </is>
      </c>
      <c r="H442" s="4" t="inlineStr">
        <is>
          <t>en.applicationProcess[0].process[0].children[1]</t>
        </is>
      </c>
      <c r="I442" s="4" t="inlineStr">
        <is>
          <t>C28@20261028-f53d5aa4</t>
        </is>
      </c>
      <c r="J442" s="4" t="inlineStr">
        <is>
          <t>MS-C28</t>
        </is>
      </c>
      <c r="K442" s="4" t="inlineStr">
        <is>
          <t>1/1</t>
        </is>
      </c>
      <c r="L442" s="7" t="inlineStr">
        <is>
          <t>Approved</t>
        </is>
      </c>
      <c r="M442" s="7" t="n"/>
      <c r="N442" s="4" t="inlineStr">
        <is>
          <t>Actor, branch and dependency need review.</t>
        </is>
      </c>
    </row>
    <row r="443" ht="40" customHeight="1">
      <c r="A443" s="8" t="inlineStr">
        <is>
          <t>C28</t>
        </is>
      </c>
      <c r="B443" s="8" t="inlineStr">
        <is>
          <t>Agnipath Yojana</t>
        </is>
      </c>
      <c r="C443" s="8" t="inlineStr">
        <is>
          <t>C28-P0065</t>
        </is>
      </c>
      <c r="D443" s="8" t="inlineStr">
        <is>
          <t>Online</t>
        </is>
      </c>
      <c r="E443" s="8" t="inlineStr"/>
      <c r="F443" s="8" t="inlineStr">
        <is>
          <t>Source step text</t>
        </is>
      </c>
      <c r="G443" s="8" t="inlineStr">
        <is>
          <t>Indian Army: Official Website</t>
        </is>
      </c>
      <c r="H443" s="8" t="inlineStr">
        <is>
          <t>en.applicationProcess[0].process[0].children[2].children[0]</t>
        </is>
      </c>
      <c r="I443" s="8" t="inlineStr">
        <is>
          <t>C28@20261028-f53d5aa4</t>
        </is>
      </c>
      <c r="J443" s="8" t="inlineStr">
        <is>
          <t>MS-C28</t>
        </is>
      </c>
      <c r="K443" s="8" t="inlineStr">
        <is>
          <t>1/1</t>
        </is>
      </c>
      <c r="L443" s="7" t="inlineStr">
        <is>
          <t>Approved</t>
        </is>
      </c>
      <c r="M443" s="7" t="n"/>
      <c r="N443" s="8" t="inlineStr">
        <is>
          <t>Actor, branch and dependency need review.</t>
        </is>
      </c>
    </row>
    <row r="444" ht="40" customHeight="1">
      <c r="A444" s="4" t="inlineStr">
        <is>
          <t>C28</t>
        </is>
      </c>
      <c r="B444" s="4" t="inlineStr">
        <is>
          <t>Agnipath Yojana</t>
        </is>
      </c>
      <c r="C444" s="4" t="inlineStr">
        <is>
          <t>C28-P0066</t>
        </is>
      </c>
      <c r="D444" s="4" t="inlineStr">
        <is>
          <t>Online</t>
        </is>
      </c>
      <c r="E444" s="4" t="inlineStr"/>
      <c r="F444" s="4" t="inlineStr">
        <is>
          <t>Source step text</t>
        </is>
      </c>
      <c r="G444" s="4" t="inlineStr">
        <is>
          <t>Indian Navy: Official Website</t>
        </is>
      </c>
      <c r="H444" s="4" t="inlineStr">
        <is>
          <t>en.applicationProcess[0].process[0].children[2].children[1]</t>
        </is>
      </c>
      <c r="I444" s="4" t="inlineStr">
        <is>
          <t>C28@20261028-f53d5aa4</t>
        </is>
      </c>
      <c r="J444" s="4" t="inlineStr">
        <is>
          <t>MS-C28</t>
        </is>
      </c>
      <c r="K444" s="4" t="inlineStr">
        <is>
          <t>1/1</t>
        </is>
      </c>
      <c r="L444" s="7" t="inlineStr">
        <is>
          <t>Approved</t>
        </is>
      </c>
      <c r="M444" s="7" t="n"/>
      <c r="N444" s="4" t="inlineStr">
        <is>
          <t>Actor, branch and dependency need review.</t>
        </is>
      </c>
    </row>
    <row r="445" ht="40" customHeight="1">
      <c r="A445" s="8" t="inlineStr">
        <is>
          <t>C28</t>
        </is>
      </c>
      <c r="B445" s="8" t="inlineStr">
        <is>
          <t>Agnipath Yojana</t>
        </is>
      </c>
      <c r="C445" s="8" t="inlineStr">
        <is>
          <t>C28-P0067</t>
        </is>
      </c>
      <c r="D445" s="8" t="inlineStr">
        <is>
          <t>Online</t>
        </is>
      </c>
      <c r="E445" s="8" t="inlineStr"/>
      <c r="F445" s="8" t="inlineStr">
        <is>
          <t>Source step text</t>
        </is>
      </c>
      <c r="G445" s="8" t="inlineStr">
        <is>
          <t>Indian Air Force: Official Website</t>
        </is>
      </c>
      <c r="H445" s="8" t="inlineStr">
        <is>
          <t>en.applicationProcess[0].process[0].children[2].children[2]</t>
        </is>
      </c>
      <c r="I445" s="8" t="inlineStr">
        <is>
          <t>C28@20261028-f53d5aa4</t>
        </is>
      </c>
      <c r="J445" s="8" t="inlineStr">
        <is>
          <t>MS-C28</t>
        </is>
      </c>
      <c r="K445" s="8" t="inlineStr">
        <is>
          <t>1/1</t>
        </is>
      </c>
      <c r="L445" s="7" t="inlineStr">
        <is>
          <t>Approved</t>
        </is>
      </c>
      <c r="M445" s="7" t="n"/>
      <c r="N445" s="8" t="inlineStr">
        <is>
          <t>Actor, branch and dependency need review.</t>
        </is>
      </c>
    </row>
    <row r="446" ht="40" customHeight="1">
      <c r="A446" s="4" t="inlineStr">
        <is>
          <t>C29</t>
        </is>
      </c>
      <c r="B446" s="4" t="inlineStr">
        <is>
          <t>Indira Gandhi National Disability Pension Scheme</t>
        </is>
      </c>
      <c r="C446" s="4" t="inlineStr">
        <is>
          <t>C29-P0016</t>
        </is>
      </c>
      <c r="D446" s="4" t="inlineStr">
        <is>
          <t>Online</t>
        </is>
      </c>
      <c r="E446" s="4" t="inlineStr"/>
      <c r="F446" s="4" t="inlineStr">
        <is>
          <t>Source step text</t>
        </is>
      </c>
      <c r="G446" s="4" t="inlineStr">
        <is>
          <t>One can download UMANG App or visit website https://web.umang.gov.in/web_new/home</t>
        </is>
      </c>
      <c r="H446" s="4" t="inlineStr">
        <is>
          <t>en.applicationProcess[0].process[0].children[0]</t>
        </is>
      </c>
      <c r="I446" s="4" t="inlineStr">
        <is>
          <t>C29@20261028-2bdc71e1</t>
        </is>
      </c>
      <c r="J446" s="4" t="inlineStr">
        <is>
          <t>MS-C29</t>
        </is>
      </c>
      <c r="K446" s="4" t="inlineStr">
        <is>
          <t>1/1</t>
        </is>
      </c>
      <c r="L446" s="7" t="inlineStr">
        <is>
          <t>Approved</t>
        </is>
      </c>
      <c r="M446" s="7" t="n"/>
      <c r="N446" s="4" t="inlineStr">
        <is>
          <t>Actor, branch and dependency need review.</t>
        </is>
      </c>
    </row>
    <row r="447" ht="40" customHeight="1">
      <c r="A447" s="8" t="inlineStr">
        <is>
          <t>C29</t>
        </is>
      </c>
      <c r="B447" s="8" t="inlineStr">
        <is>
          <t>Indira Gandhi National Disability Pension Scheme</t>
        </is>
      </c>
      <c r="C447" s="8" t="inlineStr">
        <is>
          <t>C29-P0017</t>
        </is>
      </c>
      <c r="D447" s="8" t="inlineStr">
        <is>
          <t>Online</t>
        </is>
      </c>
      <c r="E447" s="8" t="inlineStr"/>
      <c r="F447" s="8" t="inlineStr">
        <is>
          <t>Source step text</t>
        </is>
      </c>
      <c r="G447" s="8" t="inlineStr">
        <is>
          <t>The citizen can login using mobile number and OTP.</t>
        </is>
      </c>
      <c r="H447" s="8" t="inlineStr">
        <is>
          <t>en.applicationProcess[0].process[0].children[1]</t>
        </is>
      </c>
      <c r="I447" s="8" t="inlineStr">
        <is>
          <t>C29@20261028-2bdc71e1</t>
        </is>
      </c>
      <c r="J447" s="8" t="inlineStr">
        <is>
          <t>MS-C29</t>
        </is>
      </c>
      <c r="K447" s="8" t="inlineStr">
        <is>
          <t>1/1</t>
        </is>
      </c>
      <c r="L447" s="7" t="inlineStr">
        <is>
          <t>Approved</t>
        </is>
      </c>
      <c r="M447" s="7" t="n"/>
      <c r="N447" s="8" t="inlineStr">
        <is>
          <t>Actor, branch and dependency need review.</t>
        </is>
      </c>
    </row>
    <row r="448" ht="40" customHeight="1">
      <c r="A448" s="4" t="inlineStr">
        <is>
          <t>C29</t>
        </is>
      </c>
      <c r="B448" s="4" t="inlineStr">
        <is>
          <t>Indira Gandhi National Disability Pension Scheme</t>
        </is>
      </c>
      <c r="C448" s="4" t="inlineStr">
        <is>
          <t>C29-P0018</t>
        </is>
      </c>
      <c r="D448" s="4" t="inlineStr">
        <is>
          <t>Online</t>
        </is>
      </c>
      <c r="E448" s="4" t="inlineStr"/>
      <c r="F448" s="4" t="inlineStr">
        <is>
          <t>Source step text</t>
        </is>
      </c>
      <c r="G448" s="4" t="inlineStr">
        <is>
          <t>Once logged In, citizen can search for NSAP.</t>
        </is>
      </c>
      <c r="H448" s="4" t="inlineStr">
        <is>
          <t>en.applicationProcess[0].process[0].children[2]</t>
        </is>
      </c>
      <c r="I448" s="4" t="inlineStr">
        <is>
          <t>C29@20261028-2bdc71e1</t>
        </is>
      </c>
      <c r="J448" s="4" t="inlineStr">
        <is>
          <t>MS-C29</t>
        </is>
      </c>
      <c r="K448" s="4" t="inlineStr">
        <is>
          <t>1/1</t>
        </is>
      </c>
      <c r="L448" s="7" t="inlineStr">
        <is>
          <t>Approved</t>
        </is>
      </c>
      <c r="M448" s="7" t="n"/>
      <c r="N448" s="4" t="inlineStr">
        <is>
          <t>Actor, branch and dependency need review.</t>
        </is>
      </c>
    </row>
    <row r="449" ht="40" customHeight="1">
      <c r="A449" s="8" t="inlineStr">
        <is>
          <t>C29</t>
        </is>
      </c>
      <c r="B449" s="8" t="inlineStr">
        <is>
          <t>Indira Gandhi National Disability Pension Scheme</t>
        </is>
      </c>
      <c r="C449" s="8" t="inlineStr">
        <is>
          <t>C29-P0019</t>
        </is>
      </c>
      <c r="D449" s="8" t="inlineStr">
        <is>
          <t>Online</t>
        </is>
      </c>
      <c r="E449" s="8" t="inlineStr"/>
      <c r="F449" s="8" t="inlineStr">
        <is>
          <t>Source step text</t>
        </is>
      </c>
      <c r="G449" s="8" t="inlineStr">
        <is>
          <t>Click on “Apply Online”</t>
        </is>
      </c>
      <c r="H449" s="8" t="inlineStr">
        <is>
          <t>en.applicationProcess[0].process[0].children[3]</t>
        </is>
      </c>
      <c r="I449" s="8" t="inlineStr">
        <is>
          <t>C29@20261028-2bdc71e1</t>
        </is>
      </c>
      <c r="J449" s="8" t="inlineStr">
        <is>
          <t>MS-C29</t>
        </is>
      </c>
      <c r="K449" s="8" t="inlineStr">
        <is>
          <t>1/1</t>
        </is>
      </c>
      <c r="L449" s="7" t="inlineStr">
        <is>
          <t>Approved</t>
        </is>
      </c>
      <c r="M449" s="7" t="n"/>
      <c r="N449" s="8" t="inlineStr">
        <is>
          <t>Actor, branch and dependency need review.</t>
        </is>
      </c>
    </row>
    <row r="450" ht="40" customHeight="1">
      <c r="A450" s="4" t="inlineStr">
        <is>
          <t>C29</t>
        </is>
      </c>
      <c r="B450" s="4" t="inlineStr">
        <is>
          <t>Indira Gandhi National Disability Pension Scheme</t>
        </is>
      </c>
      <c r="C450" s="4" t="inlineStr">
        <is>
          <t>C29-P0020</t>
        </is>
      </c>
      <c r="D450" s="4" t="inlineStr">
        <is>
          <t>Online</t>
        </is>
      </c>
      <c r="E450" s="4" t="inlineStr"/>
      <c r="F450" s="4" t="inlineStr">
        <is>
          <t>Source step text</t>
        </is>
      </c>
      <c r="G450" s="4" t="inlineStr">
        <is>
          <t>Fill the basic details, choose the mode of payment of pension, upload photo and click on “Submit”.</t>
        </is>
      </c>
      <c r="H450" s="4" t="inlineStr">
        <is>
          <t>en.applicationProcess[0].process[0].children[4]</t>
        </is>
      </c>
      <c r="I450" s="4" t="inlineStr">
        <is>
          <t>C29@20261028-2bdc71e1</t>
        </is>
      </c>
      <c r="J450" s="4" t="inlineStr">
        <is>
          <t>MS-C29</t>
        </is>
      </c>
      <c r="K450" s="4" t="inlineStr">
        <is>
          <t>1/1</t>
        </is>
      </c>
      <c r="L450" s="7" t="inlineStr">
        <is>
          <t>Approved</t>
        </is>
      </c>
      <c r="M450" s="7" t="n"/>
      <c r="N450" s="4" t="inlineStr">
        <is>
          <t>Actor, branch and dependency need review.</t>
        </is>
      </c>
    </row>
    <row r="451" ht="54" customHeight="1">
      <c r="A451" s="8" t="inlineStr">
        <is>
          <t>C29</t>
        </is>
      </c>
      <c r="B451" s="8" t="inlineStr">
        <is>
          <t>Indira Gandhi National Disability Pension Scheme</t>
        </is>
      </c>
      <c r="C451" s="8" t="inlineStr">
        <is>
          <t>C29-P0021</t>
        </is>
      </c>
      <c r="D451" s="8" t="inlineStr">
        <is>
          <t>Offline</t>
        </is>
      </c>
      <c r="E451" s="8" t="inlineStr"/>
      <c r="F451" s="8" t="inlineStr">
        <is>
          <t>Source step text</t>
        </is>
      </c>
      <c r="G451" s="8" t="inlineStr">
        <is>
          <t>Individuals can submit completely filled applications to the Gram Panchayat / Block Office in the rural area and the Municipality / Municipal Council in the urban area, as per eligibility.</t>
        </is>
      </c>
      <c r="H451" s="8" t="inlineStr">
        <is>
          <t>en.applicationProcess[1].process[0].children[0]</t>
        </is>
      </c>
      <c r="I451" s="8" t="inlineStr">
        <is>
          <t>C29@20261028-2bdc71e1</t>
        </is>
      </c>
      <c r="J451" s="8" t="inlineStr">
        <is>
          <t>MS-C29</t>
        </is>
      </c>
      <c r="K451" s="8" t="inlineStr">
        <is>
          <t>1/1</t>
        </is>
      </c>
      <c r="L451" s="7" t="inlineStr">
        <is>
          <t>Approved</t>
        </is>
      </c>
      <c r="M451" s="7" t="n"/>
      <c r="N451" s="8" t="inlineStr">
        <is>
          <t>Actor, branch and dependency need review.</t>
        </is>
      </c>
    </row>
    <row r="452" ht="40" customHeight="1">
      <c r="A452" s="4" t="inlineStr">
        <is>
          <t>C29</t>
        </is>
      </c>
      <c r="B452" s="4" t="inlineStr">
        <is>
          <t>Indira Gandhi National Disability Pension Scheme</t>
        </is>
      </c>
      <c r="C452" s="4" t="inlineStr">
        <is>
          <t>C29-P0022</t>
        </is>
      </c>
      <c r="D452" s="4" t="inlineStr">
        <is>
          <t>Offline</t>
        </is>
      </c>
      <c r="E452" s="4" t="inlineStr"/>
      <c r="F452" s="4" t="inlineStr">
        <is>
          <t>Source step text</t>
        </is>
      </c>
      <c r="G452" s="4" t="inlineStr">
        <is>
          <t>A Verification Officer or Verification Team under an authorized officer verifies the applications with reference to facts related to eligibility</t>
        </is>
      </c>
      <c r="H452" s="4" t="inlineStr">
        <is>
          <t>en.applicationProcess[1].process[0].children[1]</t>
        </is>
      </c>
      <c r="I452" s="4" t="inlineStr">
        <is>
          <t>C29@20261028-2bdc71e1</t>
        </is>
      </c>
      <c r="J452" s="4" t="inlineStr">
        <is>
          <t>MS-C29</t>
        </is>
      </c>
      <c r="K452" s="4" t="inlineStr">
        <is>
          <t>1/1</t>
        </is>
      </c>
      <c r="L452" s="7" t="inlineStr">
        <is>
          <t>Approved</t>
        </is>
      </c>
      <c r="M452" s="7" t="n"/>
      <c r="N452" s="4" t="inlineStr">
        <is>
          <t>Actor, branch and dependency need review.</t>
        </is>
      </c>
    </row>
    <row r="453" ht="40" customHeight="1">
      <c r="A453" s="8" t="inlineStr">
        <is>
          <t>C29</t>
        </is>
      </c>
      <c r="B453" s="8" t="inlineStr">
        <is>
          <t>Indira Gandhi National Disability Pension Scheme</t>
        </is>
      </c>
      <c r="C453" s="8" t="inlineStr">
        <is>
          <t>C29-P0023</t>
        </is>
      </c>
      <c r="D453" s="8" t="inlineStr">
        <is>
          <t>Offline</t>
        </is>
      </c>
      <c r="E453" s="8" t="inlineStr"/>
      <c r="F453" s="8" t="inlineStr">
        <is>
          <t>Source step text</t>
        </is>
      </c>
      <c r="G453" s="8" t="inlineStr">
        <is>
          <t>The Verification Officer make the necessary recommendation for sanction or rejection with reasons.</t>
        </is>
      </c>
      <c r="H453" s="8" t="inlineStr">
        <is>
          <t>en.applicationProcess[1].process[0].children[2]</t>
        </is>
      </c>
      <c r="I453" s="8" t="inlineStr">
        <is>
          <t>C29@20261028-2bdc71e1</t>
        </is>
      </c>
      <c r="J453" s="8" t="inlineStr">
        <is>
          <t>MS-C29</t>
        </is>
      </c>
      <c r="K453" s="8" t="inlineStr">
        <is>
          <t>1/1</t>
        </is>
      </c>
      <c r="L453" s="7" t="inlineStr">
        <is>
          <t>Approved</t>
        </is>
      </c>
      <c r="M453" s="7" t="n"/>
      <c r="N453" s="8" t="inlineStr">
        <is>
          <t>Actor, branch and dependency need review.</t>
        </is>
      </c>
    </row>
    <row r="454" ht="54" customHeight="1">
      <c r="A454" s="4" t="inlineStr">
        <is>
          <t>C29</t>
        </is>
      </c>
      <c r="B454" s="4" t="inlineStr">
        <is>
          <t>Indira Gandhi National Disability Pension Scheme</t>
        </is>
      </c>
      <c r="C454" s="4" t="inlineStr">
        <is>
          <t>C29-P0024</t>
        </is>
      </c>
      <c r="D454" s="4" t="inlineStr">
        <is>
          <t>Offline</t>
        </is>
      </c>
      <c r="E454" s="4" t="inlineStr"/>
      <c r="F454" s="4" t="inlineStr">
        <is>
          <t>Source step text</t>
        </is>
      </c>
      <c r="G454" s="4" t="inlineStr">
        <is>
          <t>The list of applicants with the recommendations of the Verifying Authority is discussed in the Gram Sabha in rural areas or Ward Sabha / Area Sabha as designated by the State Government in urban areas and thereafter in the Gram Panchayats and Municipalities.</t>
        </is>
      </c>
      <c r="H454" s="4" t="inlineStr">
        <is>
          <t>en.applicationProcess[1].process[0].children[3]</t>
        </is>
      </c>
      <c r="I454" s="4" t="inlineStr">
        <is>
          <t>C29@20261028-2bdc71e1</t>
        </is>
      </c>
      <c r="J454" s="4" t="inlineStr">
        <is>
          <t>MS-C29</t>
        </is>
      </c>
      <c r="K454" s="4" t="inlineStr">
        <is>
          <t>1/1</t>
        </is>
      </c>
      <c r="L454" s="7" t="inlineStr">
        <is>
          <t>Approved</t>
        </is>
      </c>
      <c r="M454" s="7" t="n"/>
      <c r="N454" s="4" t="inlineStr">
        <is>
          <t>Actor, branch and dependency need review.</t>
        </is>
      </c>
    </row>
    <row r="455" ht="54" customHeight="1">
      <c r="A455" s="8" t="inlineStr">
        <is>
          <t>C29</t>
        </is>
      </c>
      <c r="B455" s="8" t="inlineStr">
        <is>
          <t>Indira Gandhi National Disability Pension Scheme</t>
        </is>
      </c>
      <c r="C455" s="8" t="inlineStr">
        <is>
          <t>C29-P0025</t>
        </is>
      </c>
      <c r="D455" s="8" t="inlineStr">
        <is>
          <t>Offline</t>
        </is>
      </c>
      <c r="E455" s="8" t="inlineStr"/>
      <c r="F455" s="8" t="inlineStr">
        <is>
          <t>Source step text</t>
        </is>
      </c>
      <c r="G455" s="8" t="inlineStr">
        <is>
          <t>If the time limits are not adhered to by Gram Sabha / Ward Sabhas, Gram Panchayats / Municipalities the Verification Officer directly submits his recommendations to the Sanctioning Authority under intimation to the Gram Panchayat / Municipality.</t>
        </is>
      </c>
      <c r="H455" s="8" t="inlineStr">
        <is>
          <t>en.applicationProcess[1].process[0].children[4]</t>
        </is>
      </c>
      <c r="I455" s="8" t="inlineStr">
        <is>
          <t>C29@20261028-2bdc71e1</t>
        </is>
      </c>
      <c r="J455" s="8" t="inlineStr">
        <is>
          <t>MS-C29</t>
        </is>
      </c>
      <c r="K455" s="8" t="inlineStr">
        <is>
          <t>1/1</t>
        </is>
      </c>
      <c r="L455" s="7" t="inlineStr">
        <is>
          <t>Approved</t>
        </is>
      </c>
      <c r="M455" s="7" t="n"/>
      <c r="N455" s="8" t="inlineStr">
        <is>
          <t>Actor, branch and dependency need review.</t>
        </is>
      </c>
    </row>
    <row r="456" ht="68" customHeight="1">
      <c r="A456" s="4" t="inlineStr">
        <is>
          <t>C29</t>
        </is>
      </c>
      <c r="B456" s="4" t="inlineStr">
        <is>
          <t>Indira Gandhi National Disability Pension Scheme</t>
        </is>
      </c>
      <c r="C456" s="4" t="inlineStr">
        <is>
          <t>C29-P0026</t>
        </is>
      </c>
      <c r="D456" s="4" t="inlineStr">
        <is>
          <t>Offline</t>
        </is>
      </c>
      <c r="E456" s="4" t="inlineStr"/>
      <c r="F456" s="4" t="inlineStr">
        <is>
          <t>Source step text</t>
        </is>
      </c>
      <c r="G456" s="4" t="inlineStr">
        <is>
          <t>After receipt of applications which are verified and recommended by the Gram Sabha / Ward Committee / Area Sabha, the Sanctioning Authority convey approval to the applicant in the form of a Sanction Order with a copy to Gram Panchayat / Municipality concerned.</t>
        </is>
      </c>
      <c r="H456" s="4" t="inlineStr">
        <is>
          <t>en.applicationProcess[1].process[0].children[5]</t>
        </is>
      </c>
      <c r="I456" s="4" t="inlineStr">
        <is>
          <t>C29@20261028-2bdc71e1</t>
        </is>
      </c>
      <c r="J456" s="4" t="inlineStr">
        <is>
          <t>MS-C29</t>
        </is>
      </c>
      <c r="K456" s="4" t="inlineStr">
        <is>
          <t>1/1</t>
        </is>
      </c>
      <c r="L456" s="7" t="inlineStr">
        <is>
          <t>Approved</t>
        </is>
      </c>
      <c r="M456" s="7" t="n"/>
      <c r="N456" s="4" t="inlineStr">
        <is>
          <t>Actor, branch and dependency need review.</t>
        </is>
      </c>
    </row>
    <row r="457" ht="40" customHeight="1">
      <c r="A457" s="8" t="inlineStr">
        <is>
          <t>C29</t>
        </is>
      </c>
      <c r="B457" s="8" t="inlineStr">
        <is>
          <t>Indira Gandhi National Disability Pension Scheme</t>
        </is>
      </c>
      <c r="C457" s="8" t="inlineStr">
        <is>
          <t>C29-P0027</t>
        </is>
      </c>
      <c r="D457" s="8" t="inlineStr">
        <is>
          <t>Offline</t>
        </is>
      </c>
      <c r="E457" s="8" t="inlineStr"/>
      <c r="F457" s="8" t="inlineStr">
        <is>
          <t>Source step text</t>
        </is>
      </c>
      <c r="G457" s="8" t="inlineStr">
        <is>
          <t>The Sanctioning Authority issues Sanction Order under his seal</t>
        </is>
      </c>
      <c r="H457" s="8" t="inlineStr">
        <is>
          <t>en.applicationProcess[1].process[0].children[6]</t>
        </is>
      </c>
      <c r="I457" s="8" t="inlineStr">
        <is>
          <t>C29@20261028-2bdc71e1</t>
        </is>
      </c>
      <c r="J457" s="8" t="inlineStr">
        <is>
          <t>MS-C29</t>
        </is>
      </c>
      <c r="K457" s="8" t="inlineStr">
        <is>
          <t>1/1</t>
        </is>
      </c>
      <c r="L457" s="7" t="inlineStr">
        <is>
          <t>Approved</t>
        </is>
      </c>
      <c r="M457" s="7" t="n"/>
      <c r="N457" s="8" t="inlineStr">
        <is>
          <t>Actor, branch and dependency need review.</t>
        </is>
      </c>
    </row>
    <row r="458" ht="54" customHeight="1">
      <c r="A458" s="4" t="inlineStr">
        <is>
          <t>C29</t>
        </is>
      </c>
      <c r="B458" s="4" t="inlineStr">
        <is>
          <t>Indira Gandhi National Disability Pension Scheme</t>
        </is>
      </c>
      <c r="C458" s="4" t="inlineStr">
        <is>
          <t>C29-P0028</t>
        </is>
      </c>
      <c r="D458" s="4" t="inlineStr">
        <is>
          <t>Offline</t>
        </is>
      </c>
      <c r="E458" s="4" t="inlineStr"/>
      <c r="F458" s="4" t="inlineStr">
        <is>
          <t>Source step text</t>
        </is>
      </c>
      <c r="G458" s="4" t="inlineStr">
        <is>
          <t>Every beneficiary who has been sanctioned pension under schemes of NSAP are issued a Pension Passbook. The Passbook contain details of the Sanction Order, particulars of the pensioner and disbursement details</t>
        </is>
      </c>
      <c r="H458" s="4" t="inlineStr">
        <is>
          <t>en.applicationProcess[1].process[0].children[7]</t>
        </is>
      </c>
      <c r="I458" s="4" t="inlineStr">
        <is>
          <t>C29@20261028-2bdc71e1</t>
        </is>
      </c>
      <c r="J458" s="4" t="inlineStr">
        <is>
          <t>MS-C29</t>
        </is>
      </c>
      <c r="K458" s="4" t="inlineStr">
        <is>
          <t>1/1</t>
        </is>
      </c>
      <c r="L458" s="7" t="inlineStr">
        <is>
          <t>Approved</t>
        </is>
      </c>
      <c r="M458" s="7" t="n"/>
      <c r="N458" s="4" t="inlineStr">
        <is>
          <t>Actor, branch and dependency need review.</t>
        </is>
      </c>
    </row>
    <row r="459" ht="40" customHeight="1">
      <c r="A459" s="8" t="inlineStr">
        <is>
          <t>C29</t>
        </is>
      </c>
      <c r="B459" s="8" t="inlineStr">
        <is>
          <t>Indira Gandhi National Disability Pension Scheme</t>
        </is>
      </c>
      <c r="C459" s="8" t="inlineStr">
        <is>
          <t>C29-P0029</t>
        </is>
      </c>
      <c r="D459" s="8" t="inlineStr">
        <is>
          <t>Offline</t>
        </is>
      </c>
      <c r="E459" s="8" t="inlineStr"/>
      <c r="F459" s="8" t="inlineStr">
        <is>
          <t>Source step text</t>
        </is>
      </c>
      <c r="G459" s="8" t="inlineStr">
        <is>
          <t>The list of beneficiaries to whom sanctions are issued is displayed at the Gram Panchayat / Ward / Municipal Office and updated every three months.</t>
        </is>
      </c>
      <c r="H459" s="8" t="inlineStr">
        <is>
          <t>en.applicationProcess[1].process[0].children[8]</t>
        </is>
      </c>
      <c r="I459" s="8" t="inlineStr">
        <is>
          <t>C29@20261028-2bdc71e1</t>
        </is>
      </c>
      <c r="J459" s="8" t="inlineStr">
        <is>
          <t>MS-C29</t>
        </is>
      </c>
      <c r="K459" s="8" t="inlineStr">
        <is>
          <t>1/1</t>
        </is>
      </c>
      <c r="L459" s="7" t="inlineStr">
        <is>
          <t>Approved</t>
        </is>
      </c>
      <c r="M459" s="7" t="n"/>
      <c r="N459" s="8" t="inlineStr">
        <is>
          <t>Actor, branch and dependency need review.</t>
        </is>
      </c>
    </row>
    <row r="460" ht="40" customHeight="1">
      <c r="A460" s="4" t="inlineStr">
        <is>
          <t>C29</t>
        </is>
      </c>
      <c r="B460" s="4" t="inlineStr">
        <is>
          <t>Indira Gandhi National Disability Pension Scheme</t>
        </is>
      </c>
      <c r="C460" s="4" t="inlineStr">
        <is>
          <t>C29-P0030</t>
        </is>
      </c>
      <c r="D460" s="4" t="inlineStr">
        <is>
          <t>Offline</t>
        </is>
      </c>
      <c r="E460" s="4" t="inlineStr"/>
      <c r="F460" s="4" t="inlineStr">
        <is>
          <t>Source step text</t>
        </is>
      </c>
      <c r="G460" s="4" t="inlineStr">
        <is>
          <t>The Pension amount is directly paid to the beneficiaries through the Direct Benefit Transfer (DBT) process to their post office or bank account.</t>
        </is>
      </c>
      <c r="H460" s="4" t="inlineStr">
        <is>
          <t>en.applicationProcess[1].process[0].children[9]</t>
        </is>
      </c>
      <c r="I460" s="4" t="inlineStr">
        <is>
          <t>C29@20261028-2bdc71e1</t>
        </is>
      </c>
      <c r="J460" s="4" t="inlineStr">
        <is>
          <t>MS-C29</t>
        </is>
      </c>
      <c r="K460" s="4" t="inlineStr">
        <is>
          <t>1/1</t>
        </is>
      </c>
      <c r="L460" s="7" t="inlineStr">
        <is>
          <t>Approved</t>
        </is>
      </c>
      <c r="M460" s="7" t="n"/>
      <c r="N460" s="4" t="inlineStr">
        <is>
          <t>Actor, branch and dependency need review.</t>
        </is>
      </c>
    </row>
    <row r="461" ht="54" customHeight="1">
      <c r="A461" s="8" t="inlineStr">
        <is>
          <t>C30</t>
        </is>
      </c>
      <c r="B461" s="8" t="inlineStr">
        <is>
          <t>Persons With Disabilities Scheme In Colleges: Higher Education For Persons With Special Needs</t>
        </is>
      </c>
      <c r="C461" s="8" t="inlineStr">
        <is>
          <t>C30-P0037</t>
        </is>
      </c>
      <c r="D461" s="8" t="inlineStr">
        <is>
          <t>Offline</t>
        </is>
      </c>
      <c r="E461" s="8" t="inlineStr"/>
      <c r="F461" s="8" t="inlineStr">
        <is>
          <t>Source step text</t>
        </is>
      </c>
      <c r="G461" s="8" t="inlineStr">
        <is>
          <t>Application for specific projects should be sent in the prescribed Proforma For financial assistance under the scheme to assist for college to facilitate higher Education for Person (HEPSN) Scheme on Page number 6 along with the College Development proposal.</t>
        </is>
      </c>
      <c r="H461" s="8" t="inlineStr">
        <is>
          <t>en.applicationProcess[0].process[0]</t>
        </is>
      </c>
      <c r="I461" s="8" t="inlineStr">
        <is>
          <t>C30@20261028-a5d3e6b4</t>
        </is>
      </c>
      <c r="J461" s="8" t="inlineStr">
        <is>
          <t>MS-C30</t>
        </is>
      </c>
      <c r="K461" s="8" t="inlineStr">
        <is>
          <t>1/1</t>
        </is>
      </c>
      <c r="L461" s="7" t="inlineStr">
        <is>
          <t>Approved</t>
        </is>
      </c>
      <c r="M461" s="7" t="n"/>
      <c r="N461" s="8" t="inlineStr">
        <is>
          <t>Actor, branch and dependency need review.</t>
        </is>
      </c>
    </row>
    <row r="462" ht="54" customHeight="1">
      <c r="A462" s="4" t="inlineStr">
        <is>
          <t>C30</t>
        </is>
      </c>
      <c r="B462" s="4" t="inlineStr">
        <is>
          <t>Persons With Disabilities Scheme In Colleges: Higher Education For Persons With Special Needs</t>
        </is>
      </c>
      <c r="C462" s="4" t="inlineStr">
        <is>
          <t>C30-P0038</t>
        </is>
      </c>
      <c r="D462" s="4" t="inlineStr">
        <is>
          <t>Offline</t>
        </is>
      </c>
      <c r="E462" s="4" t="inlineStr">
        <is>
          <t>Procedure for release of grant</t>
        </is>
      </c>
      <c r="F462" s="4" t="inlineStr">
        <is>
          <t>Heading / phase</t>
        </is>
      </c>
      <c r="G462" s="4" t="inlineStr">
        <is>
          <t>Procedure for release of grant</t>
        </is>
      </c>
      <c r="H462" s="4" t="inlineStr">
        <is>
          <t>en.applicationProcess[0].process[2]</t>
        </is>
      </c>
      <c r="I462" s="4" t="inlineStr">
        <is>
          <t>C30@20261028-a5d3e6b4</t>
        </is>
      </c>
      <c r="J462" s="4" t="inlineStr">
        <is>
          <t>MS-C30</t>
        </is>
      </c>
      <c r="K462" s="4" t="inlineStr">
        <is>
          <t>1/1</t>
        </is>
      </c>
      <c r="L462" s="7" t="inlineStr">
        <is>
          <t>Approved</t>
        </is>
      </c>
      <c r="M462" s="7" t="n"/>
      <c r="N462" s="4" t="inlineStr">
        <is>
          <t>Actor, branch and dependency need review.</t>
        </is>
      </c>
    </row>
    <row r="463" ht="54" customHeight="1">
      <c r="A463" s="8" t="inlineStr">
        <is>
          <t>C30</t>
        </is>
      </c>
      <c r="B463" s="8" t="inlineStr">
        <is>
          <t>Persons With Disabilities Scheme In Colleges: Higher Education For Persons With Special Needs</t>
        </is>
      </c>
      <c r="C463" s="8" t="inlineStr">
        <is>
          <t>C30-P0039</t>
        </is>
      </c>
      <c r="D463" s="8" t="inlineStr">
        <is>
          <t>Offline</t>
        </is>
      </c>
      <c r="E463" s="8" t="inlineStr">
        <is>
          <t>Procedure for release of grant</t>
        </is>
      </c>
      <c r="F463" s="8" t="inlineStr">
        <is>
          <t>Source step text</t>
        </is>
      </c>
      <c r="G463" s="8" t="inlineStr">
        <is>
          <t xml:space="preserve">Component 1. </t>
        </is>
      </c>
      <c r="H463" s="8" t="inlineStr">
        <is>
          <t>en.applicationProcess[0].process[3].children[0]</t>
        </is>
      </c>
      <c r="I463" s="8" t="inlineStr">
        <is>
          <t>C30@20261028-a5d3e6b4</t>
        </is>
      </c>
      <c r="J463" s="8" t="inlineStr">
        <is>
          <t>MS-C30</t>
        </is>
      </c>
      <c r="K463" s="8" t="inlineStr">
        <is>
          <t>1/1</t>
        </is>
      </c>
      <c r="L463" s="7" t="inlineStr">
        <is>
          <t>Approved</t>
        </is>
      </c>
      <c r="M463" s="7" t="n"/>
      <c r="N463" s="8" t="inlineStr">
        <is>
          <t>Actor, branch and dependency need review.</t>
        </is>
      </c>
    </row>
    <row r="464" ht="68" customHeight="1">
      <c r="A464" s="4" t="inlineStr">
        <is>
          <t>C30</t>
        </is>
      </c>
      <c r="B464" s="4" t="inlineStr">
        <is>
          <t>Persons With Disabilities Scheme In Colleges: Higher Education For Persons With Special Needs</t>
        </is>
      </c>
      <c r="C464" s="4" t="inlineStr">
        <is>
          <t>C30-P0040</t>
        </is>
      </c>
      <c r="D464" s="4" t="inlineStr">
        <is>
          <t>Offline</t>
        </is>
      </c>
      <c r="E464" s="4" t="inlineStr">
        <is>
          <t>Procedure for release of grant</t>
        </is>
      </c>
      <c r="F464" s="4" t="inlineStr">
        <is>
          <t>Source step text</t>
        </is>
      </c>
      <c r="G464" s="4" t="inlineStr">
        <is>
          <t xml:space="preserve">Honorarium to the coordinator and other budgetary provisions @ Rs.50,000/- per year will be released for the 1st year after approval of the proposal. Subsequent grants will be released on the basis of an audited utilization certificate and statement of expenditure. </t>
        </is>
      </c>
      <c r="H464" s="4" t="inlineStr">
        <is>
          <t>en.applicationProcess[0].process[3].children[1]</t>
        </is>
      </c>
      <c r="I464" s="4" t="inlineStr">
        <is>
          <t>C30@20261028-a5d3e6b4</t>
        </is>
      </c>
      <c r="J464" s="4" t="inlineStr">
        <is>
          <t>MS-C30</t>
        </is>
      </c>
      <c r="K464" s="4" t="inlineStr">
        <is>
          <t>1/1</t>
        </is>
      </c>
      <c r="L464" s="7" t="inlineStr">
        <is>
          <t>Approved</t>
        </is>
      </c>
      <c r="M464" s="7" t="n"/>
      <c r="N464" s="4" t="inlineStr">
        <is>
          <t>Actor, branch and dependency need review.</t>
        </is>
      </c>
    </row>
    <row r="465" ht="54" customHeight="1">
      <c r="A465" s="8" t="inlineStr">
        <is>
          <t>C30</t>
        </is>
      </c>
      <c r="B465" s="8" t="inlineStr">
        <is>
          <t>Persons With Disabilities Scheme In Colleges: Higher Education For Persons With Special Needs</t>
        </is>
      </c>
      <c r="C465" s="8" t="inlineStr">
        <is>
          <t>C30-P0041</t>
        </is>
      </c>
      <c r="D465" s="8" t="inlineStr">
        <is>
          <t>Offline</t>
        </is>
      </c>
      <c r="E465" s="8" t="inlineStr">
        <is>
          <t>Procedure for release of grant</t>
        </is>
      </c>
      <c r="F465" s="8" t="inlineStr">
        <is>
          <t>Source step text</t>
        </is>
      </c>
      <c r="G465" s="8" t="inlineStr">
        <is>
          <t>Component 2.</t>
        </is>
      </c>
      <c r="H465" s="8" t="inlineStr">
        <is>
          <t>en.applicationProcess[0].process[5].children[0]</t>
        </is>
      </c>
      <c r="I465" s="8" t="inlineStr">
        <is>
          <t>C30@20261028-a5d3e6b4</t>
        </is>
      </c>
      <c r="J465" s="8" t="inlineStr">
        <is>
          <t>MS-C30</t>
        </is>
      </c>
      <c r="K465" s="8" t="inlineStr">
        <is>
          <t>1/1</t>
        </is>
      </c>
      <c r="L465" s="7" t="inlineStr">
        <is>
          <t>Approved</t>
        </is>
      </c>
      <c r="M465" s="7" t="n"/>
      <c r="N465" s="8" t="inlineStr">
        <is>
          <t>Actor, branch and dependency need review.</t>
        </is>
      </c>
    </row>
    <row r="466" ht="54" customHeight="1">
      <c r="A466" s="4" t="inlineStr">
        <is>
          <t>C30</t>
        </is>
      </c>
      <c r="B466" s="4" t="inlineStr">
        <is>
          <t>Persons With Disabilities Scheme In Colleges: Higher Education For Persons With Special Needs</t>
        </is>
      </c>
      <c r="C466" s="4" t="inlineStr">
        <is>
          <t>C30-P0042</t>
        </is>
      </c>
      <c r="D466" s="4" t="inlineStr">
        <is>
          <t>Offline</t>
        </is>
      </c>
      <c r="E466" s="4" t="inlineStr">
        <is>
          <t>Procedure for release of grant</t>
        </is>
      </c>
      <c r="F466" s="4" t="inlineStr">
        <is>
          <t>Source step text</t>
        </is>
      </c>
      <c r="G466" s="4" t="inlineStr">
        <is>
          <t xml:space="preserve"> The grant will be released upon receipt of detailed plans and estimate as per UGC building guidelines. </t>
        </is>
      </c>
      <c r="H466" s="4" t="inlineStr">
        <is>
          <t>en.applicationProcess[0].process[5].children[1]</t>
        </is>
      </c>
      <c r="I466" s="4" t="inlineStr">
        <is>
          <t>C30@20261028-a5d3e6b4</t>
        </is>
      </c>
      <c r="J466" s="4" t="inlineStr">
        <is>
          <t>MS-C30</t>
        </is>
      </c>
      <c r="K466" s="4" t="inlineStr">
        <is>
          <t>1/1</t>
        </is>
      </c>
      <c r="L466" s="7" t="inlineStr">
        <is>
          <t>Approved</t>
        </is>
      </c>
      <c r="M466" s="7" t="n"/>
      <c r="N466" s="4" t="inlineStr">
        <is>
          <t>Actor, branch and dependency need review.</t>
        </is>
      </c>
    </row>
    <row r="467" ht="54" customHeight="1">
      <c r="A467" s="8" t="inlineStr">
        <is>
          <t>C30</t>
        </is>
      </c>
      <c r="B467" s="8" t="inlineStr">
        <is>
          <t>Persons With Disabilities Scheme In Colleges: Higher Education For Persons With Special Needs</t>
        </is>
      </c>
      <c r="C467" s="8" t="inlineStr">
        <is>
          <t>C30-P0043</t>
        </is>
      </c>
      <c r="D467" s="8" t="inlineStr">
        <is>
          <t>Offline</t>
        </is>
      </c>
      <c r="E467" s="8" t="inlineStr">
        <is>
          <t>Procedure for release of grant</t>
        </is>
      </c>
      <c r="F467" s="8" t="inlineStr">
        <is>
          <t>Source step text</t>
        </is>
      </c>
      <c r="G467" s="8" t="inlineStr">
        <is>
          <t>Component 3.</t>
        </is>
      </c>
      <c r="H467" s="8" t="inlineStr">
        <is>
          <t>en.applicationProcess[0].process[7].children[0]</t>
        </is>
      </c>
      <c r="I467" s="8" t="inlineStr">
        <is>
          <t>C30@20261028-a5d3e6b4</t>
        </is>
      </c>
      <c r="J467" s="8" t="inlineStr">
        <is>
          <t>MS-C30</t>
        </is>
      </c>
      <c r="K467" s="8" t="inlineStr">
        <is>
          <t>1/1</t>
        </is>
      </c>
      <c r="L467" s="7" t="inlineStr">
        <is>
          <t>Approved</t>
        </is>
      </c>
      <c r="M467" s="7" t="n"/>
      <c r="N467" s="8" t="inlineStr">
        <is>
          <t>Actor, branch and dependency need review.</t>
        </is>
      </c>
    </row>
    <row r="468" ht="54" customHeight="1">
      <c r="A468" s="4" t="inlineStr">
        <is>
          <t>C30</t>
        </is>
      </c>
      <c r="B468" s="4" t="inlineStr">
        <is>
          <t>Persons With Disabilities Scheme In Colleges: Higher Education For Persons With Special Needs</t>
        </is>
      </c>
      <c r="C468" s="4" t="inlineStr">
        <is>
          <t>C30-P0044</t>
        </is>
      </c>
      <c r="D468" s="4" t="inlineStr">
        <is>
          <t>Offline</t>
        </is>
      </c>
      <c r="E468" s="4" t="inlineStr">
        <is>
          <t>Procedure for release of grant</t>
        </is>
      </c>
      <c r="F468" s="4" t="inlineStr">
        <is>
          <t>Source step text</t>
        </is>
      </c>
      <c r="G468" s="4" t="inlineStr">
        <is>
          <t xml:space="preserve"> 90% of the grant allocated will be released as 1st installment and the remaining 10% on a reimbursement basis, upon receipt of the audited statement of expenditure and utilization certificate. </t>
        </is>
      </c>
      <c r="H468" s="4" t="inlineStr">
        <is>
          <t>en.applicationProcess[0].process[7].children[1]</t>
        </is>
      </c>
      <c r="I468" s="4" t="inlineStr">
        <is>
          <t>C30@20261028-a5d3e6b4</t>
        </is>
      </c>
      <c r="J468" s="4" t="inlineStr">
        <is>
          <t>MS-C30</t>
        </is>
      </c>
      <c r="K468" s="4" t="inlineStr">
        <is>
          <t>1/1</t>
        </is>
      </c>
      <c r="L468" s="7" t="inlineStr">
        <is>
          <t>Approved</t>
        </is>
      </c>
      <c r="M468" s="7" t="n"/>
      <c r="N468" s="4" t="inlineStr">
        <is>
          <t>Actor, branch and dependency need review.</t>
        </is>
      </c>
    </row>
    <row r="469" ht="40" customHeight="1">
      <c r="A469" s="8" t="inlineStr">
        <is>
          <t>C31</t>
        </is>
      </c>
      <c r="B469" s="8" t="inlineStr">
        <is>
          <t>Scheme For Financial Assistance For Veteran Artists</t>
        </is>
      </c>
      <c r="C469" s="8" t="inlineStr">
        <is>
          <t>C31-P0040</t>
        </is>
      </c>
      <c r="D469" s="8" t="inlineStr">
        <is>
          <t>Online</t>
        </is>
      </c>
      <c r="E469" s="8" t="inlineStr">
        <is>
          <t>Application Procedure:</t>
        </is>
      </c>
      <c r="F469" s="8" t="inlineStr">
        <is>
          <t>Heading / phase</t>
        </is>
      </c>
      <c r="G469" s="8" t="inlineStr">
        <is>
          <t>Application Procedure:</t>
        </is>
      </c>
      <c r="H469" s="8" t="inlineStr">
        <is>
          <t>en.applicationProcess[0].process[0].children[0]</t>
        </is>
      </c>
      <c r="I469" s="8" t="inlineStr">
        <is>
          <t>C31@20261028-f9d1bef9</t>
        </is>
      </c>
      <c r="J469" s="8" t="inlineStr">
        <is>
          <t>MS-C31</t>
        </is>
      </c>
      <c r="K469" s="8" t="inlineStr">
        <is>
          <t>1/1</t>
        </is>
      </c>
      <c r="L469" s="7" t="inlineStr">
        <is>
          <t>Approved</t>
        </is>
      </c>
      <c r="M469" s="7" t="n"/>
      <c r="N469" s="8" t="inlineStr">
        <is>
          <t>Actor, branch and dependency need review.</t>
        </is>
      </c>
    </row>
    <row r="470" ht="54" customHeight="1">
      <c r="A470" s="4" t="inlineStr">
        <is>
          <t>C31</t>
        </is>
      </c>
      <c r="B470" s="4" t="inlineStr">
        <is>
          <t>Scheme For Financial Assistance For Veteran Artists</t>
        </is>
      </c>
      <c r="C470" s="4" t="inlineStr">
        <is>
          <t>C31-P0041</t>
        </is>
      </c>
      <c r="D470" s="4" t="inlineStr">
        <is>
          <t>Online</t>
        </is>
      </c>
      <c r="E470" s="4" t="inlineStr">
        <is>
          <t>Application Procedure:</t>
        </is>
      </c>
      <c r="F470" s="4" t="inlineStr">
        <is>
          <t>Source step text</t>
        </is>
      </c>
      <c r="G470" s="4" t="inlineStr">
        <is>
          <t>The application may be made online through using the Registration/login Page of "Culture Scheme Monitoring System (CSMS)" on the website of the Ministry of Culture under the heading of "MOC Schemes Application".</t>
        </is>
      </c>
      <c r="H470" s="4" t="inlineStr">
        <is>
          <t>en.applicationProcess[0].process[1].children[0]</t>
        </is>
      </c>
      <c r="I470" s="4" t="inlineStr">
        <is>
          <t>C31@20261028-f9d1bef9</t>
        </is>
      </c>
      <c r="J470" s="4" t="inlineStr">
        <is>
          <t>MS-C31</t>
        </is>
      </c>
      <c r="K470" s="4" t="inlineStr">
        <is>
          <t>1/1</t>
        </is>
      </c>
      <c r="L470" s="7" t="inlineStr">
        <is>
          <t>Approved</t>
        </is>
      </c>
      <c r="M470" s="7" t="n"/>
      <c r="N470" s="4" t="inlineStr">
        <is>
          <t>Actor, branch and dependency need review.</t>
        </is>
      </c>
    </row>
    <row r="471" ht="40" customHeight="1">
      <c r="A471" s="8" t="inlineStr">
        <is>
          <t>C31</t>
        </is>
      </c>
      <c r="B471" s="8" t="inlineStr">
        <is>
          <t>Scheme For Financial Assistance For Veteran Artists</t>
        </is>
      </c>
      <c r="C471" s="8" t="inlineStr">
        <is>
          <t>C31-P0042</t>
        </is>
      </c>
      <c r="D471" s="8" t="inlineStr">
        <is>
          <t>Online</t>
        </is>
      </c>
      <c r="E471" s="8" t="inlineStr">
        <is>
          <t>Selection of Applicants for Award of Artists Pension:</t>
        </is>
      </c>
      <c r="F471" s="8" t="inlineStr">
        <is>
          <t>Heading / phase</t>
        </is>
      </c>
      <c r="G471" s="8" t="inlineStr">
        <is>
          <t>Selection of Applicants for Award of Artists Pension:</t>
        </is>
      </c>
      <c r="H471" s="8" t="inlineStr">
        <is>
          <t>en.applicationProcess[0].process[1].children[1]</t>
        </is>
      </c>
      <c r="I471" s="8" t="inlineStr">
        <is>
          <t>C31@20261028-f9d1bef9</t>
        </is>
      </c>
      <c r="J471" s="8" t="inlineStr">
        <is>
          <t>MS-C31</t>
        </is>
      </c>
      <c r="K471" s="8" t="inlineStr">
        <is>
          <t>1/1</t>
        </is>
      </c>
      <c r="L471" s="7" t="inlineStr">
        <is>
          <t>Approved</t>
        </is>
      </c>
      <c r="M471" s="7" t="n"/>
      <c r="N471" s="8" t="inlineStr">
        <is>
          <t>Actor, branch and dependency need review.</t>
        </is>
      </c>
    </row>
    <row r="472" ht="68" customHeight="1">
      <c r="A472" s="4" t="inlineStr">
        <is>
          <t>C31</t>
        </is>
      </c>
      <c r="B472" s="4" t="inlineStr">
        <is>
          <t>Scheme For Financial Assistance For Veteran Artists</t>
        </is>
      </c>
      <c r="C472" s="4" t="inlineStr">
        <is>
          <t>C31-P0043</t>
        </is>
      </c>
      <c r="D472" s="4" t="inlineStr">
        <is>
          <t>Online</t>
        </is>
      </c>
      <c r="E472" s="4" t="inlineStr">
        <is>
          <t>Selection of Applicants for Award of Artists Pension:</t>
        </is>
      </c>
      <c r="F472" s="4" t="inlineStr">
        <is>
          <t>Source step text</t>
        </is>
      </c>
      <c r="G472" s="4" t="inlineStr">
        <is>
          <t>Step 01: The applications of eligible artists found to be complete in all respects will be placed before Expert Committee constituted by the Ministry of Culture under the Scheme after getting physical inspection/verification of the applicants done by officer(s) of the Ministry of Culture or one of the organizations of Ministry of Culture.</t>
        </is>
      </c>
      <c r="H472" s="4" t="inlineStr">
        <is>
          <t>en.applicationProcess[0].process[1].children[2]</t>
        </is>
      </c>
      <c r="I472" s="4" t="inlineStr">
        <is>
          <t>C31@20261028-f9d1bef9</t>
        </is>
      </c>
      <c r="J472" s="4" t="inlineStr">
        <is>
          <t>MS-C31</t>
        </is>
      </c>
      <c r="K472" s="4" t="inlineStr">
        <is>
          <t>1/1</t>
        </is>
      </c>
      <c r="L472" s="7" t="inlineStr">
        <is>
          <t>Approved</t>
        </is>
      </c>
      <c r="M472" s="7" t="n"/>
      <c r="N472" s="4" t="inlineStr">
        <is>
          <t>Actor, branch and dependency need review.</t>
        </is>
      </c>
    </row>
    <row r="473" ht="68" customHeight="1">
      <c r="A473" s="8" t="inlineStr">
        <is>
          <t>C31</t>
        </is>
      </c>
      <c r="B473" s="8" t="inlineStr">
        <is>
          <t>Scheme For Financial Assistance For Veteran Artists</t>
        </is>
      </c>
      <c r="C473" s="8" t="inlineStr">
        <is>
          <t>C31-P0044</t>
        </is>
      </c>
      <c r="D473" s="8" t="inlineStr">
        <is>
          <t>Online</t>
        </is>
      </c>
      <c r="E473" s="8" t="inlineStr">
        <is>
          <t>Selection of Applicants for Award of Artists Pension:</t>
        </is>
      </c>
      <c r="F473" s="8" t="inlineStr">
        <is>
          <t>Source step text</t>
        </is>
      </c>
      <c r="G473" s="8" t="inlineStr">
        <is>
          <t>Step 02: The Expert Committee will consider the applications in terms of extant guidelines of the Scheme and recommend the names of deserving candidates for the award of Artists' Pension solely on merit considering the financial position and eminence etc. of the applicant artist.</t>
        </is>
      </c>
      <c r="H473" s="8" t="inlineStr">
        <is>
          <t>en.applicationProcess[0].process[1].children[3]</t>
        </is>
      </c>
      <c r="I473" s="8" t="inlineStr">
        <is>
          <t>C31@20261028-f9d1bef9</t>
        </is>
      </c>
      <c r="J473" s="8" t="inlineStr">
        <is>
          <t>MS-C31</t>
        </is>
      </c>
      <c r="K473" s="8" t="inlineStr">
        <is>
          <t>1/1</t>
        </is>
      </c>
      <c r="L473" s="7" t="inlineStr">
        <is>
          <t>Approved</t>
        </is>
      </c>
      <c r="M473" s="7" t="n"/>
      <c r="N473" s="8" t="inlineStr">
        <is>
          <t>Actor, branch and dependency need review.</t>
        </is>
      </c>
    </row>
    <row r="474" ht="68" customHeight="1">
      <c r="A474" s="4" t="inlineStr">
        <is>
          <t>C31</t>
        </is>
      </c>
      <c r="B474" s="4" t="inlineStr">
        <is>
          <t>Scheme For Financial Assistance For Veteran Artists</t>
        </is>
      </c>
      <c r="C474" s="4" t="inlineStr">
        <is>
          <t>C31-P0045</t>
        </is>
      </c>
      <c r="D474" s="4" t="inlineStr">
        <is>
          <t>Online</t>
        </is>
      </c>
      <c r="E474" s="4" t="inlineStr">
        <is>
          <t>Selection of Applicants for Award of Artists Pension:</t>
        </is>
      </c>
      <c r="F474" s="4" t="inlineStr">
        <is>
          <t>Source step text</t>
        </is>
      </c>
      <c r="G474" s="4" t="inlineStr">
        <is>
          <t>Step 03: The recommendations of the Expert Committee are to be examined by the Administration Division with reference to the Scheme guidelines and the rules of the Govt. as also the availability of funds under the Scheme to facilitate an appropriate decision by the Competent Authority.</t>
        </is>
      </c>
      <c r="H474" s="4" t="inlineStr">
        <is>
          <t>en.applicationProcess[0].process[1].children[4]</t>
        </is>
      </c>
      <c r="I474" s="4" t="inlineStr">
        <is>
          <t>C31@20261028-f9d1bef9</t>
        </is>
      </c>
      <c r="J474" s="4" t="inlineStr">
        <is>
          <t>MS-C31</t>
        </is>
      </c>
      <c r="K474" s="4" t="inlineStr">
        <is>
          <t>1/1</t>
        </is>
      </c>
      <c r="L474" s="7" t="inlineStr">
        <is>
          <t>Approved</t>
        </is>
      </c>
      <c r="M474" s="7" t="n"/>
      <c r="N474" s="4" t="inlineStr">
        <is>
          <t>Actor, branch and dependency need review.</t>
        </is>
      </c>
    </row>
    <row r="475" ht="68" customHeight="1">
      <c r="A475" s="8" t="inlineStr">
        <is>
          <t>C31</t>
        </is>
      </c>
      <c r="B475" s="8" t="inlineStr">
        <is>
          <t>Scheme For Financial Assistance For Veteran Artists</t>
        </is>
      </c>
      <c r="C475" s="8" t="inlineStr">
        <is>
          <t>C31-P0046</t>
        </is>
      </c>
      <c r="D475" s="8" t="inlineStr">
        <is>
          <t>Online</t>
        </is>
      </c>
      <c r="E475" s="8" t="inlineStr">
        <is>
          <t>Selection of Applicants for Award of Artists Pension:</t>
        </is>
      </c>
      <c r="F475" s="8" t="inlineStr">
        <is>
          <t>Source step text</t>
        </is>
      </c>
      <c r="G475" s="8" t="inlineStr">
        <is>
          <t>Step 04: The cases of all the recommended candidates will be submitted finally for getting approval of the Competent Authority which will be one level above the Chairperson of the Expert Committee. Before the release of financial assistance to the approved candidates, the concurrence of the Internal Finance Division shall be obtained.</t>
        </is>
      </c>
      <c r="H475" s="8" t="inlineStr">
        <is>
          <t>en.applicationProcess[0].process[1].children[5]</t>
        </is>
      </c>
      <c r="I475" s="8" t="inlineStr">
        <is>
          <t>C31@20261028-f9d1bef9</t>
        </is>
      </c>
      <c r="J475" s="8" t="inlineStr">
        <is>
          <t>MS-C31</t>
        </is>
      </c>
      <c r="K475" s="8" t="inlineStr">
        <is>
          <t>1/1</t>
        </is>
      </c>
      <c r="L475" s="7" t="inlineStr">
        <is>
          <t>Approved</t>
        </is>
      </c>
      <c r="M475" s="7" t="n"/>
      <c r="N475" s="8" t="inlineStr">
        <is>
          <t>Actor, branch and dependency need review.</t>
        </is>
      </c>
    </row>
    <row r="476" ht="40" customHeight="1">
      <c r="A476" s="4" t="inlineStr">
        <is>
          <t>C31</t>
        </is>
      </c>
      <c r="B476" s="4" t="inlineStr">
        <is>
          <t>Scheme For Financial Assistance For Veteran Artists</t>
        </is>
      </c>
      <c r="C476" s="4" t="inlineStr">
        <is>
          <t>C31-P0047</t>
        </is>
      </c>
      <c r="D476" s="4" t="inlineStr">
        <is>
          <t>Online</t>
        </is>
      </c>
      <c r="E476" s="4" t="inlineStr">
        <is>
          <t>Disbursement of artist's pension:</t>
        </is>
      </c>
      <c r="F476" s="4" t="inlineStr">
        <is>
          <t>Heading / phase</t>
        </is>
      </c>
      <c r="G476" s="4" t="inlineStr">
        <is>
          <t>Disbursement of artist's pension:</t>
        </is>
      </c>
      <c r="H476" s="4" t="inlineStr">
        <is>
          <t>en.applicationProcess[0].process[1].children[6]</t>
        </is>
      </c>
      <c r="I476" s="4" t="inlineStr">
        <is>
          <t>C31@20261028-f9d1bef9</t>
        </is>
      </c>
      <c r="J476" s="4" t="inlineStr">
        <is>
          <t>MS-C31</t>
        </is>
      </c>
      <c r="K476" s="4" t="inlineStr">
        <is>
          <t>1/1</t>
        </is>
      </c>
      <c r="L476" s="7" t="inlineStr">
        <is>
          <t>Approved</t>
        </is>
      </c>
      <c r="M476" s="7" t="n"/>
      <c r="N476" s="4" t="inlineStr">
        <is>
          <t>Actor, branch and dependency need review.</t>
        </is>
      </c>
    </row>
    <row r="477" ht="138" customHeight="1">
      <c r="A477" s="8" t="inlineStr">
        <is>
          <t>C31</t>
        </is>
      </c>
      <c r="B477" s="8" t="inlineStr">
        <is>
          <t>Scheme For Financial Assistance For Veteran Artists</t>
        </is>
      </c>
      <c r="C477" s="8" t="inlineStr">
        <is>
          <t>C31-P0048</t>
        </is>
      </c>
      <c r="D477" s="8" t="inlineStr">
        <is>
          <t>Online</t>
        </is>
      </c>
      <c r="E477" s="8" t="inlineStr">
        <is>
          <t>Disbursement of artist's pension:</t>
        </is>
      </c>
      <c r="F477" s="8" t="inlineStr">
        <is>
          <t>Source step text</t>
        </is>
      </c>
      <c r="G477" s="8" t="inlineStr">
        <is>
          <t>Monthly Artist Pension to the approved existing beneficiaries (i.e. pensioner) and new artists to be included in the beneficiaries list subsequent to the recommendation of the Expert Committee and thereafter approval of the Competent Authority, will be disbursed by the Ministry of Culture through Public Financial Management System (PFMS)/Direct Benefit Transfer(DBT) or through Service Provider (appointed by Ministry of Culture for disbursement of Artists Pension) directly into their bank account subject to receiving the following documents mandatorily online on the email of Artistes Pension Section of the Ministry i.e. documents.moc@gmail.com or artistspension.moc@gmail.com and after examination/scrutiny, the same are found to be in order:</t>
        </is>
      </c>
      <c r="H477" s="8" t="inlineStr">
        <is>
          <t>en.applicationProcess[0].process[1].children[7]</t>
        </is>
      </c>
      <c r="I477" s="8" t="inlineStr">
        <is>
          <t>C31@20261028-f9d1bef9</t>
        </is>
      </c>
      <c r="J477" s="8" t="inlineStr">
        <is>
          <t>MS-C31</t>
        </is>
      </c>
      <c r="K477" s="8" t="inlineStr">
        <is>
          <t>1/1</t>
        </is>
      </c>
      <c r="L477" s="7" t="inlineStr">
        <is>
          <t>Approved</t>
        </is>
      </c>
      <c r="M477" s="7" t="n"/>
      <c r="N477" s="8" t="inlineStr">
        <is>
          <t>Actor, branch and dependency need review.</t>
        </is>
      </c>
    </row>
    <row r="478" ht="110" customHeight="1">
      <c r="A478" s="4" t="inlineStr">
        <is>
          <t>C31</t>
        </is>
      </c>
      <c r="B478" s="4" t="inlineStr">
        <is>
          <t>Scheme For Financial Assistance For Veteran Artists</t>
        </is>
      </c>
      <c r="C478" s="4" t="inlineStr">
        <is>
          <t>C31-P0049</t>
        </is>
      </c>
      <c r="D478" s="4" t="inlineStr">
        <is>
          <t>Online</t>
        </is>
      </c>
      <c r="E478" s="4" t="inlineStr">
        <is>
          <t>Disbursement of artist's pension:</t>
        </is>
      </c>
      <c r="F478" s="4" t="inlineStr">
        <is>
          <t>Source step text</t>
        </is>
      </c>
      <c r="G478" s="4" t="inlineStr">
        <is>
          <t>Every Year in November, the Digital Life Certificate (DLC) of the beneficiary is processed through the Jeevan Pramaan Portal (https://jeevanpramaan.gov.in) by using necessary information like Aadhaar number, Mobile number, and Pension Payment Order (PPO) displayed by the Ministry on its website [Till the time the Aadhaar Card is made mandatory by the Government for an individual residing in the State of Assam, Meghalaya, and Jammu &amp; Kashmir, they may submit a colored scanned copy of their original Life Certificate]; and</t>
        </is>
      </c>
      <c r="H478" s="4" t="inlineStr">
        <is>
          <t>en.applicationProcess[0].process[1].children[8].children[0]</t>
        </is>
      </c>
      <c r="I478" s="4" t="inlineStr">
        <is>
          <t>C31@20261028-f9d1bef9</t>
        </is>
      </c>
      <c r="J478" s="4" t="inlineStr">
        <is>
          <t>MS-C31</t>
        </is>
      </c>
      <c r="K478" s="4" t="inlineStr">
        <is>
          <t>1/1</t>
        </is>
      </c>
      <c r="L478" s="7" t="inlineStr">
        <is>
          <t>Approved</t>
        </is>
      </c>
      <c r="M478" s="7" t="n"/>
      <c r="N478" s="4" t="inlineStr">
        <is>
          <t>Actor, branch and dependency need review.</t>
        </is>
      </c>
    </row>
    <row r="479" ht="124" customHeight="1">
      <c r="A479" s="8" t="inlineStr">
        <is>
          <t>C31</t>
        </is>
      </c>
      <c r="B479" s="8" t="inlineStr">
        <is>
          <t>Scheme For Financial Assistance For Veteran Artists</t>
        </is>
      </c>
      <c r="C479" s="8" t="inlineStr">
        <is>
          <t>C31-P0050</t>
        </is>
      </c>
      <c r="D479" s="8" t="inlineStr">
        <is>
          <t>Online</t>
        </is>
      </c>
      <c r="E479" s="8" t="inlineStr">
        <is>
          <t>Disbursement of artist's pension:</t>
        </is>
      </c>
      <c r="F479" s="8" t="inlineStr">
        <is>
          <t>Source step text</t>
        </is>
      </c>
      <c r="G479" s="8" t="inlineStr">
        <is>
          <t>Every Five (05) Years, a Coloured scanned copy of the original Income Certificate in the prescribed format is issued by the concerned Competent Authority of the States/UTs. The beneficiaries will have to furnish any other requisite information/document(s) as sought by the Ministry from time to time. In case the requisite documents sought by the Ministry are not received from a beneficiary, the pension will not be released to him/her. Further, if any discrepancy is found in the documents furnished by the beneficiary, the pension may not be released or stopped forthwith till such time the discrepancy is rectified.</t>
        </is>
      </c>
      <c r="H479" s="8" t="inlineStr">
        <is>
          <t>en.applicationProcess[0].process[1].children[8].children[1]</t>
        </is>
      </c>
      <c r="I479" s="8" t="inlineStr">
        <is>
          <t>C31@20261028-f9d1bef9</t>
        </is>
      </c>
      <c r="J479" s="8" t="inlineStr">
        <is>
          <t>MS-C31</t>
        </is>
      </c>
      <c r="K479" s="8" t="inlineStr">
        <is>
          <t>1/1</t>
        </is>
      </c>
      <c r="L479" s="7" t="inlineStr">
        <is>
          <t>Approved</t>
        </is>
      </c>
      <c r="M479" s="7" t="n"/>
      <c r="N479" s="8" t="inlineStr">
        <is>
          <t>Actor, branch and dependency need review.</t>
        </is>
      </c>
    </row>
    <row r="480" ht="40" customHeight="1">
      <c r="A480" s="4" t="inlineStr">
        <is>
          <t>C31</t>
        </is>
      </c>
      <c r="B480" s="4" t="inlineStr">
        <is>
          <t>Scheme For Financial Assistance For Veteran Artists</t>
        </is>
      </c>
      <c r="C480" s="4" t="inlineStr">
        <is>
          <t>C31-P0051</t>
        </is>
      </c>
      <c r="D480" s="4" t="inlineStr">
        <is>
          <t>Online</t>
        </is>
      </c>
      <c r="E480" s="4" t="inlineStr">
        <is>
          <t>Renewal of financial assistance to existing beneficiaries:</t>
        </is>
      </c>
      <c r="F480" s="4" t="inlineStr">
        <is>
          <t>Heading / phase</t>
        </is>
      </c>
      <c r="G480" s="4" t="inlineStr">
        <is>
          <t>Renewal of financial assistance to existing beneficiaries:</t>
        </is>
      </c>
      <c r="H480" s="4" t="inlineStr">
        <is>
          <t>en.applicationProcess[0].process[1].children[9]</t>
        </is>
      </c>
      <c r="I480" s="4" t="inlineStr">
        <is>
          <t>C31@20261028-f9d1bef9</t>
        </is>
      </c>
      <c r="J480" s="4" t="inlineStr">
        <is>
          <t>MS-C31</t>
        </is>
      </c>
      <c r="K480" s="4" t="inlineStr">
        <is>
          <t>1/1</t>
        </is>
      </c>
      <c r="L480" s="7" t="inlineStr">
        <is>
          <t>Approved</t>
        </is>
      </c>
      <c r="M480" s="7" t="n"/>
      <c r="N480" s="4" t="inlineStr">
        <is>
          <t>Actor, branch and dependency need review.</t>
        </is>
      </c>
    </row>
    <row r="481" ht="68" customHeight="1">
      <c r="A481" s="8" t="inlineStr">
        <is>
          <t>C31</t>
        </is>
      </c>
      <c r="B481" s="8" t="inlineStr">
        <is>
          <t>Scheme For Financial Assistance For Veteran Artists</t>
        </is>
      </c>
      <c r="C481" s="8" t="inlineStr">
        <is>
          <t>C31-P0052</t>
        </is>
      </c>
      <c r="D481" s="8" t="inlineStr">
        <is>
          <t>Online</t>
        </is>
      </c>
      <c r="E481" s="8" t="inlineStr">
        <is>
          <t>Renewal of financial assistance to existing beneficiaries:</t>
        </is>
      </c>
      <c r="F481" s="8" t="inlineStr">
        <is>
          <t>Source step text</t>
        </is>
      </c>
      <c r="G481" s="8" t="inlineStr">
        <is>
          <t>Subject to the above provisions the recurring monthly allowance sanctioned under the Scheme to the existing beneficiaries shall be for such period as may be determined by the Central Government and/or may be continued on a year-to-year basis on receipt of Digital Life Certificate (DLC) and Income Certificate from them.</t>
        </is>
      </c>
      <c r="H481" s="8" t="inlineStr">
        <is>
          <t>en.applicationProcess[0].process[1].children[10]</t>
        </is>
      </c>
      <c r="I481" s="8" t="inlineStr">
        <is>
          <t>C31@20261028-f9d1bef9</t>
        </is>
      </c>
      <c r="J481" s="8" t="inlineStr">
        <is>
          <t>MS-C31</t>
        </is>
      </c>
      <c r="K481" s="8" t="inlineStr">
        <is>
          <t>1/1</t>
        </is>
      </c>
      <c r="L481" s="7" t="inlineStr">
        <is>
          <t>Approved</t>
        </is>
      </c>
      <c r="M481" s="7" t="n"/>
      <c r="N481" s="8" t="inlineStr">
        <is>
          <t>Actor, branch and dependency need review.</t>
        </is>
      </c>
    </row>
    <row r="482" ht="40" customHeight="1">
      <c r="A482" s="4" t="inlineStr">
        <is>
          <t>C31</t>
        </is>
      </c>
      <c r="B482" s="4" t="inlineStr">
        <is>
          <t>Scheme For Financial Assistance For Veteran Artists</t>
        </is>
      </c>
      <c r="C482" s="4" t="inlineStr">
        <is>
          <t>C31-P0053</t>
        </is>
      </c>
      <c r="D482" s="4" t="inlineStr">
        <is>
          <t>Online</t>
        </is>
      </c>
      <c r="E482" s="4" t="inlineStr">
        <is>
          <t>Discontinuance of allowance:</t>
        </is>
      </c>
      <c r="F482" s="4" t="inlineStr">
        <is>
          <t>Heading / phase</t>
        </is>
      </c>
      <c r="G482" s="4" t="inlineStr">
        <is>
          <t>Discontinuance of allowance:</t>
        </is>
      </c>
      <c r="H482" s="4" t="inlineStr">
        <is>
          <t>en.applicationProcess[0].process[1].children[11]</t>
        </is>
      </c>
      <c r="I482" s="4" t="inlineStr">
        <is>
          <t>C31@20261028-f9d1bef9</t>
        </is>
      </c>
      <c r="J482" s="4" t="inlineStr">
        <is>
          <t>MS-C31</t>
        </is>
      </c>
      <c r="K482" s="4" t="inlineStr">
        <is>
          <t>1/1</t>
        </is>
      </c>
      <c r="L482" s="7" t="inlineStr">
        <is>
          <t>Approved</t>
        </is>
      </c>
      <c r="M482" s="7" t="n"/>
      <c r="N482" s="4" t="inlineStr">
        <is>
          <t>Actor, branch and dependency need review.</t>
        </is>
      </c>
    </row>
    <row r="483" ht="110" customHeight="1">
      <c r="A483" s="8" t="inlineStr">
        <is>
          <t>C31</t>
        </is>
      </c>
      <c r="B483" s="8" t="inlineStr">
        <is>
          <t>Scheme For Financial Assistance For Veteran Artists</t>
        </is>
      </c>
      <c r="C483" s="8" t="inlineStr">
        <is>
          <t>C31-P0054</t>
        </is>
      </c>
      <c r="D483" s="8" t="inlineStr">
        <is>
          <t>Online</t>
        </is>
      </c>
      <c r="E483" s="8" t="inlineStr">
        <is>
          <t>Discontinuance of allowance:</t>
        </is>
      </c>
      <c r="F483" s="8" t="inlineStr">
        <is>
          <t>Source step text</t>
        </is>
      </c>
      <c r="G483" s="8" t="inlineStr">
        <is>
          <t>If the financial means of a recipient improve beyond ₹4000/- (Rupees four thousand only) per month or annual income of ₹48,000/- (Rupees forty-eight thousand only) [This excludes artiste pension assistance amount already getting by a beneficiary from the Government (i.e. concerned State Govt./UT Administration and/or Ministry of Culture)], allowance under the Scheme will be discontinued forthwith without any notice to the recipient. The government may also at its discretion terminate the allowance after giving three months' notice to the recipient.</t>
        </is>
      </c>
      <c r="H483" s="8" t="inlineStr">
        <is>
          <t>en.applicationProcess[0].process[1].children[12]</t>
        </is>
      </c>
      <c r="I483" s="8" t="inlineStr">
        <is>
          <t>C31@20261028-f9d1bef9</t>
        </is>
      </c>
      <c r="J483" s="8" t="inlineStr">
        <is>
          <t>MS-C31</t>
        </is>
      </c>
      <c r="K483" s="8" t="inlineStr">
        <is>
          <t>1/1</t>
        </is>
      </c>
      <c r="L483" s="7" t="inlineStr">
        <is>
          <t>Approved</t>
        </is>
      </c>
      <c r="M483" s="7" t="n"/>
      <c r="N483" s="8" t="inlineStr">
        <is>
          <t>Actor, branch and dependency need review.</t>
        </is>
      </c>
    </row>
    <row r="484" ht="54" customHeight="1">
      <c r="A484" s="4" t="inlineStr">
        <is>
          <t>C31</t>
        </is>
      </c>
      <c r="B484" s="4" t="inlineStr">
        <is>
          <t>Scheme For Financial Assistance For Veteran Artists</t>
        </is>
      </c>
      <c r="C484" s="4" t="inlineStr">
        <is>
          <t>C31-P0055</t>
        </is>
      </c>
      <c r="D484" s="4" t="inlineStr">
        <is>
          <t>Online</t>
        </is>
      </c>
      <c r="E484" s="4" t="inlineStr">
        <is>
          <t>Discontinuance of allowance:</t>
        </is>
      </c>
      <c r="F484" s="4" t="inlineStr">
        <is>
          <t>Source step text</t>
        </is>
      </c>
      <c r="G484" s="4" t="inlineStr">
        <is>
          <t>Any recipient may also relinquish his/her right to receive allowance by giving written notice to the Government. In such cases, the allowance will be discontinued with effect from the date of his/ her letter of relinquish.</t>
        </is>
      </c>
      <c r="H484" s="4" t="inlineStr">
        <is>
          <t>en.applicationProcess[0].process[1].children[13]</t>
        </is>
      </c>
      <c r="I484" s="4" t="inlineStr">
        <is>
          <t>C31@20261028-f9d1bef9</t>
        </is>
      </c>
      <c r="J484" s="4" t="inlineStr">
        <is>
          <t>MS-C31</t>
        </is>
      </c>
      <c r="K484" s="4" t="inlineStr">
        <is>
          <t>1/1</t>
        </is>
      </c>
      <c r="L484" s="7" t="inlineStr">
        <is>
          <t>Approved</t>
        </is>
      </c>
      <c r="M484" s="7" t="n"/>
      <c r="N484" s="4" t="inlineStr">
        <is>
          <t>Actor, branch and dependency need review.</t>
        </is>
      </c>
    </row>
    <row r="485" ht="40" customHeight="1">
      <c r="A485" s="8" t="inlineStr">
        <is>
          <t>C31</t>
        </is>
      </c>
      <c r="B485" s="8" t="inlineStr">
        <is>
          <t>Scheme For Financial Assistance For Veteran Artists</t>
        </is>
      </c>
      <c r="C485" s="8" t="inlineStr">
        <is>
          <t>C31-P0056</t>
        </is>
      </c>
      <c r="D485" s="8" t="inlineStr">
        <is>
          <t>Online</t>
        </is>
      </c>
      <c r="E485" s="8" t="inlineStr">
        <is>
          <t>Contact Details:</t>
        </is>
      </c>
      <c r="F485" s="8" t="inlineStr">
        <is>
          <t>Heading / phase</t>
        </is>
      </c>
      <c r="G485" s="8" t="inlineStr">
        <is>
          <t>Contact Details:</t>
        </is>
      </c>
      <c r="H485" s="8" t="inlineStr">
        <is>
          <t>en.applicationProcess[0].process[1].children[14]</t>
        </is>
      </c>
      <c r="I485" s="8" t="inlineStr">
        <is>
          <t>C31@20261028-f9d1bef9</t>
        </is>
      </c>
      <c r="J485" s="8" t="inlineStr">
        <is>
          <t>MS-C31</t>
        </is>
      </c>
      <c r="K485" s="8" t="inlineStr">
        <is>
          <t>1/1</t>
        </is>
      </c>
      <c r="L485" s="7" t="inlineStr">
        <is>
          <t>Approved</t>
        </is>
      </c>
      <c r="M485" s="7" t="n"/>
      <c r="N485" s="8" t="inlineStr">
        <is>
          <t>Actor, branch and dependency need review.</t>
        </is>
      </c>
    </row>
    <row r="486" ht="40" customHeight="1">
      <c r="A486" s="4" t="inlineStr">
        <is>
          <t>C31</t>
        </is>
      </c>
      <c r="B486" s="4" t="inlineStr">
        <is>
          <t>Scheme For Financial Assistance For Veteran Artists</t>
        </is>
      </c>
      <c r="C486" s="4" t="inlineStr">
        <is>
          <t>C31-P0057</t>
        </is>
      </c>
      <c r="D486" s="4" t="inlineStr">
        <is>
          <t>Online</t>
        </is>
      </c>
      <c r="E486" s="4" t="inlineStr">
        <is>
          <t>Contact Details:</t>
        </is>
      </c>
      <c r="F486" s="4" t="inlineStr">
        <is>
          <t>Source step text</t>
        </is>
      </c>
      <c r="G486" s="4" t="inlineStr">
        <is>
          <t>Section Officer, 210, IInd, ‘D’Block, Puratatva Bhawan, G.P.O. Complex, I.N.A. New Delhi-110023. : (011)-24642165.</t>
        </is>
      </c>
      <c r="H486" s="4" t="inlineStr">
        <is>
          <t>en.applicationProcess[0].process[1].children[15].children[0]</t>
        </is>
      </c>
      <c r="I486" s="4" t="inlineStr">
        <is>
          <t>C31@20261028-f9d1bef9</t>
        </is>
      </c>
      <c r="J486" s="4" t="inlineStr">
        <is>
          <t>MS-C31</t>
        </is>
      </c>
      <c r="K486" s="4" t="inlineStr">
        <is>
          <t>1/1</t>
        </is>
      </c>
      <c r="L486" s="7" t="inlineStr">
        <is>
          <t>Approved</t>
        </is>
      </c>
      <c r="M486" s="7" t="n"/>
      <c r="N486" s="4" t="inlineStr">
        <is>
          <t>Actor, branch and dependency need review.</t>
        </is>
      </c>
    </row>
    <row r="487" ht="40" customHeight="1">
      <c r="A487" s="8" t="inlineStr">
        <is>
          <t>C31</t>
        </is>
      </c>
      <c r="B487" s="8" t="inlineStr">
        <is>
          <t>Scheme For Financial Assistance For Veteran Artists</t>
        </is>
      </c>
      <c r="C487" s="8" t="inlineStr">
        <is>
          <t>C31-P0058</t>
        </is>
      </c>
      <c r="D487" s="8" t="inlineStr">
        <is>
          <t>Online</t>
        </is>
      </c>
      <c r="E487" s="8" t="inlineStr">
        <is>
          <t>Contact Details:</t>
        </is>
      </c>
      <c r="F487" s="8" t="inlineStr">
        <is>
          <t>Source step text</t>
        </is>
      </c>
      <c r="G487" s="8" t="inlineStr">
        <is>
          <t>Manager (P &amp; GS), Life Insurance Corporation of India (LIC), 6th &amp; 7th Floor, Jeevan Parkash, 25, Kasturba Gandhi Marg, New Delhi- 110001.</t>
        </is>
      </c>
      <c r="H487" s="8" t="inlineStr">
        <is>
          <t>en.applicationProcess[0].process[1].children[15].children[1]</t>
        </is>
      </c>
      <c r="I487" s="8" t="inlineStr">
        <is>
          <t>C31@20261028-f9d1bef9</t>
        </is>
      </c>
      <c r="J487" s="8" t="inlineStr">
        <is>
          <t>MS-C31</t>
        </is>
      </c>
      <c r="K487" s="8" t="inlineStr">
        <is>
          <t>1/1</t>
        </is>
      </c>
      <c r="L487" s="7" t="inlineStr">
        <is>
          <t>Approved</t>
        </is>
      </c>
      <c r="M487" s="7" t="n"/>
      <c r="N487" s="8" t="inlineStr">
        <is>
          <t>Actor, branch and dependency need review.</t>
        </is>
      </c>
    </row>
    <row r="488" ht="40" customHeight="1">
      <c r="A488" s="4" t="inlineStr">
        <is>
          <t>C31</t>
        </is>
      </c>
      <c r="B488" s="4" t="inlineStr">
        <is>
          <t>Scheme For Financial Assistance For Veteran Artists</t>
        </is>
      </c>
      <c r="C488" s="4" t="inlineStr">
        <is>
          <t>C31-P0059</t>
        </is>
      </c>
      <c r="D488" s="4" t="inlineStr">
        <is>
          <t>Online</t>
        </is>
      </c>
      <c r="E488" s="4" t="inlineStr">
        <is>
          <t>Contact Details:</t>
        </is>
      </c>
      <c r="F488" s="4" t="inlineStr">
        <is>
          <t>Source step text</t>
        </is>
      </c>
      <c r="G488" s="4" t="inlineStr">
        <is>
          <t>Contact Nos. for Enquiries: 23708275, 23705953, Fax No. 23350832, Email: bo_g103[at]licindia[dot]com</t>
        </is>
      </c>
      <c r="H488" s="4" t="inlineStr">
        <is>
          <t>en.applicationProcess[0].process[1].children[15].children[2]</t>
        </is>
      </c>
      <c r="I488" s="4" t="inlineStr">
        <is>
          <t>C31@20261028-f9d1bef9</t>
        </is>
      </c>
      <c r="J488" s="4" t="inlineStr">
        <is>
          <t>MS-C31</t>
        </is>
      </c>
      <c r="K488" s="4" t="inlineStr">
        <is>
          <t>1/1</t>
        </is>
      </c>
      <c r="L488" s="7" t="inlineStr">
        <is>
          <t>Approved</t>
        </is>
      </c>
      <c r="M488" s="7" t="n"/>
      <c r="N488" s="4" t="inlineStr">
        <is>
          <t>Actor, branch and dependency need review.</t>
        </is>
      </c>
    </row>
    <row r="489" ht="96" customHeight="1">
      <c r="A489" s="8" t="inlineStr">
        <is>
          <t>C31</t>
        </is>
      </c>
      <c r="B489" s="8" t="inlineStr">
        <is>
          <t>Scheme For Financial Assistance For Veteran Artists</t>
        </is>
      </c>
      <c r="C489" s="8" t="inlineStr">
        <is>
          <t>C31-P0060</t>
        </is>
      </c>
      <c r="D489" s="8" t="inlineStr">
        <is>
          <t>Offline</t>
        </is>
      </c>
      <c r="E489" s="8" t="inlineStr"/>
      <c r="F489" s="8" t="inlineStr">
        <is>
          <t>Source step text</t>
        </is>
      </c>
      <c r="G489" s="8" t="inlineStr">
        <is>
          <t>The hard copy of the duly filled-in application form for the award of Artists' Pension along with all the necessary enclosures as mentioned in the application form may be sent to the following address through respective State Government/UT Administrations with their recommendations in the prescribed format- "The Director, South Central Zonal Cultural Centre, 56/1, Civil Lines, Opposite MLA’s Hostel, Nagpur, Maharashtra - 440001"</t>
        </is>
      </c>
      <c r="H489" s="8" t="inlineStr">
        <is>
          <t>en.applicationProcess[1].process[0].children[0].children[0]</t>
        </is>
      </c>
      <c r="I489" s="8" t="inlineStr">
        <is>
          <t>C31@20261028-f9d1bef9</t>
        </is>
      </c>
      <c r="J489" s="8" t="inlineStr">
        <is>
          <t>MS-C31</t>
        </is>
      </c>
      <c r="K489" s="8" t="inlineStr">
        <is>
          <t>1/1</t>
        </is>
      </c>
      <c r="L489" s="7" t="inlineStr">
        <is>
          <t>Approved</t>
        </is>
      </c>
      <c r="M489" s="7" t="n"/>
      <c r="N489" s="8" t="inlineStr">
        <is>
          <t>Actor, branch and dependency need review.</t>
        </is>
      </c>
    </row>
    <row r="490" ht="68" customHeight="1">
      <c r="A490" s="4" t="inlineStr">
        <is>
          <t>C31</t>
        </is>
      </c>
      <c r="B490" s="4" t="inlineStr">
        <is>
          <t>Scheme For Financial Assistance For Veteran Artists</t>
        </is>
      </c>
      <c r="C490" s="4" t="inlineStr">
        <is>
          <t>C31-P0061</t>
        </is>
      </c>
      <c r="D490" s="4" t="inlineStr">
        <is>
          <t>Offline</t>
        </is>
      </c>
      <c r="E490" s="4" t="inlineStr"/>
      <c r="F490" s="4" t="inlineStr">
        <is>
          <t>Source step text</t>
        </is>
      </c>
      <c r="G490" s="4" t="inlineStr">
        <is>
          <t>All entries in the application form should be legible and filled in clearly. Each page of the application and enclosures should be serially numbered and signed by the applicant. Further, the page number of the relevant document should clearly be indicated on the checklist.</t>
        </is>
      </c>
      <c r="H490" s="4" t="inlineStr">
        <is>
          <t>en.applicationProcess[1].process[0].children[0].children[1]</t>
        </is>
      </c>
      <c r="I490" s="4" t="inlineStr">
        <is>
          <t>C31@20261028-f9d1bef9</t>
        </is>
      </c>
      <c r="J490" s="4" t="inlineStr">
        <is>
          <t>MS-C31</t>
        </is>
      </c>
      <c r="K490" s="4" t="inlineStr">
        <is>
          <t>1/1</t>
        </is>
      </c>
      <c r="L490" s="7" t="inlineStr">
        <is>
          <t>Approved</t>
        </is>
      </c>
      <c r="M490" s="7" t="n"/>
      <c r="N490" s="4" t="inlineStr">
        <is>
          <t>Actor, branch and dependency need review.</t>
        </is>
      </c>
    </row>
    <row r="491" ht="54" customHeight="1">
      <c r="A491" s="8" t="inlineStr">
        <is>
          <t>C32</t>
        </is>
      </c>
      <c r="B491" s="8" t="inlineStr">
        <is>
          <t>Free Education For Sports Medal Winners / Participants Of National/ International Events</t>
        </is>
      </c>
      <c r="C491" s="8" t="inlineStr">
        <is>
          <t>C32-P0056</t>
        </is>
      </c>
      <c r="D491" s="8" t="inlineStr">
        <is>
          <t>Online</t>
        </is>
      </c>
      <c r="E491" s="8" t="inlineStr"/>
      <c r="F491" s="8" t="inlineStr">
        <is>
          <t>Source step text</t>
        </is>
      </c>
      <c r="G491" s="8" t="inlineStr">
        <is>
          <t>Step 1: Download the prescribed application form (Refer Page No. 5 ).</t>
        </is>
      </c>
      <c r="H491" s="8" t="inlineStr">
        <is>
          <t>en.applicationProcess[0].process[0]</t>
        </is>
      </c>
      <c r="I491" s="8" t="inlineStr">
        <is>
          <t>C32@20261028-67ab4e80</t>
        </is>
      </c>
      <c r="J491" s="8" t="inlineStr">
        <is>
          <t>MS-C32</t>
        </is>
      </c>
      <c r="K491" s="8" t="inlineStr">
        <is>
          <t>1/1</t>
        </is>
      </c>
      <c r="L491" s="7" t="inlineStr">
        <is>
          <t>Approved</t>
        </is>
      </c>
      <c r="M491" s="7" t="n"/>
      <c r="N491" s="8" t="inlineStr">
        <is>
          <t>Actor, branch and dependency need review.</t>
        </is>
      </c>
    </row>
    <row r="492" ht="54" customHeight="1">
      <c r="A492" s="4" t="inlineStr">
        <is>
          <t>C32</t>
        </is>
      </c>
      <c r="B492" s="4" t="inlineStr">
        <is>
          <t>Free Education For Sports Medal Winners / Participants Of National/ International Events</t>
        </is>
      </c>
      <c r="C492" s="4" t="inlineStr">
        <is>
          <t>C32-P0057</t>
        </is>
      </c>
      <c r="D492" s="4" t="inlineStr">
        <is>
          <t>Online</t>
        </is>
      </c>
      <c r="E492" s="4" t="inlineStr"/>
      <c r="F492" s="4" t="inlineStr">
        <is>
          <t>Source step text</t>
        </is>
      </c>
      <c r="G492" s="4" t="inlineStr">
        <is>
          <t>Step 2: Fill in the application form with accurate details.</t>
        </is>
      </c>
      <c r="H492" s="4" t="inlineStr">
        <is>
          <t>en.applicationProcess[0].process[1]</t>
        </is>
      </c>
      <c r="I492" s="4" t="inlineStr">
        <is>
          <t>C32@20261028-67ab4e80</t>
        </is>
      </c>
      <c r="J492" s="4" t="inlineStr">
        <is>
          <t>MS-C32</t>
        </is>
      </c>
      <c r="K492" s="4" t="inlineStr">
        <is>
          <t>1/1</t>
        </is>
      </c>
      <c r="L492" s="7" t="inlineStr">
        <is>
          <t>Approved</t>
        </is>
      </c>
      <c r="M492" s="7" t="n"/>
      <c r="N492" s="4" t="inlineStr">
        <is>
          <t>Actor, branch and dependency need review.</t>
        </is>
      </c>
    </row>
    <row r="493" ht="54" customHeight="1">
      <c r="A493" s="8" t="inlineStr">
        <is>
          <t>C32</t>
        </is>
      </c>
      <c r="B493" s="8" t="inlineStr">
        <is>
          <t>Free Education For Sports Medal Winners / Participants Of National/ International Events</t>
        </is>
      </c>
      <c r="C493" s="8" t="inlineStr">
        <is>
          <t>C32-P0058</t>
        </is>
      </c>
      <c r="D493" s="8" t="inlineStr">
        <is>
          <t>Online</t>
        </is>
      </c>
      <c r="E493" s="8" t="inlineStr"/>
      <c r="F493" s="8" t="inlineStr">
        <is>
          <t>Source step text</t>
        </is>
      </c>
      <c r="G493" s="8" t="inlineStr">
        <is>
          <t>Step 3: Attach a certificate of participation or medal-winning as proof of eligibility, attested by the Registrar or Principal of your institution.</t>
        </is>
      </c>
      <c r="H493" s="8" t="inlineStr">
        <is>
          <t>en.applicationProcess[0].process[2]</t>
        </is>
      </c>
      <c r="I493" s="8" t="inlineStr">
        <is>
          <t>C32@20261028-67ab4e80</t>
        </is>
      </c>
      <c r="J493" s="8" t="inlineStr">
        <is>
          <t>MS-C32</t>
        </is>
      </c>
      <c r="K493" s="8" t="inlineStr">
        <is>
          <t>1/1</t>
        </is>
      </c>
      <c r="L493" s="7" t="inlineStr">
        <is>
          <t>Approved</t>
        </is>
      </c>
      <c r="M493" s="7" t="n"/>
      <c r="N493" s="8" t="inlineStr">
        <is>
          <t>Actor, branch and dependency need review.</t>
        </is>
      </c>
    </row>
    <row r="494" ht="54" customHeight="1">
      <c r="A494" s="4" t="inlineStr">
        <is>
          <t>C32</t>
        </is>
      </c>
      <c r="B494" s="4" t="inlineStr">
        <is>
          <t>Free Education For Sports Medal Winners / Participants Of National/ International Events</t>
        </is>
      </c>
      <c r="C494" s="4" t="inlineStr">
        <is>
          <t>C32-P0059</t>
        </is>
      </c>
      <c r="D494" s="4" t="inlineStr">
        <is>
          <t>Online</t>
        </is>
      </c>
      <c r="E494" s="4" t="inlineStr"/>
      <c r="F494" s="4" t="inlineStr">
        <is>
          <t>Source step text</t>
        </is>
      </c>
      <c r="G494" s="4" t="inlineStr">
        <is>
          <t>Step 4: Verify the form and attached documents for completeness and accuracy.</t>
        </is>
      </c>
      <c r="H494" s="4" t="inlineStr">
        <is>
          <t>en.applicationProcess[0].process[3]</t>
        </is>
      </c>
      <c r="I494" s="4" t="inlineStr">
        <is>
          <t>C32@20261028-67ab4e80</t>
        </is>
      </c>
      <c r="J494" s="4" t="inlineStr">
        <is>
          <t>MS-C32</t>
        </is>
      </c>
      <c r="K494" s="4" t="inlineStr">
        <is>
          <t>1/1</t>
        </is>
      </c>
      <c r="L494" s="7" t="inlineStr">
        <is>
          <t>Approved</t>
        </is>
      </c>
      <c r="M494" s="7" t="n"/>
      <c r="N494" s="4" t="inlineStr">
        <is>
          <t>Actor, branch and dependency need review.</t>
        </is>
      </c>
    </row>
    <row r="495" ht="54" customHeight="1">
      <c r="A495" s="8" t="inlineStr">
        <is>
          <t>C32</t>
        </is>
      </c>
      <c r="B495" s="8" t="inlineStr">
        <is>
          <t>Free Education For Sports Medal Winners / Participants Of National/ International Events</t>
        </is>
      </c>
      <c r="C495" s="8" t="inlineStr">
        <is>
          <t>C32-P0060</t>
        </is>
      </c>
      <c r="D495" s="8" t="inlineStr">
        <is>
          <t>Online</t>
        </is>
      </c>
      <c r="E495" s="8" t="inlineStr"/>
      <c r="F495" s="8" t="inlineStr">
        <is>
          <t>Source step text</t>
        </is>
      </c>
      <c r="G495" s="8" t="inlineStr">
        <is>
          <t>Step 5: Submit the completed application form and required documents to the designated authority.</t>
        </is>
      </c>
      <c r="H495" s="8" t="inlineStr">
        <is>
          <t>en.applicationProcess[0].process[4]</t>
        </is>
      </c>
      <c r="I495" s="8" t="inlineStr">
        <is>
          <t>C32@20261028-67ab4e80</t>
        </is>
      </c>
      <c r="J495" s="8" t="inlineStr">
        <is>
          <t>MS-C32</t>
        </is>
      </c>
      <c r="K495" s="8" t="inlineStr">
        <is>
          <t>1/1</t>
        </is>
      </c>
      <c r="L495" s="7" t="inlineStr">
        <is>
          <t>Approved</t>
        </is>
      </c>
      <c r="M495" s="7" t="n"/>
      <c r="N495" s="8" t="inlineStr">
        <is>
          <t>Actor, branch and dependency need review.</t>
        </is>
      </c>
    </row>
    <row r="496" ht="68" customHeight="1">
      <c r="A496" s="4" t="inlineStr">
        <is>
          <t>C33</t>
        </is>
      </c>
      <c r="B496" s="4" t="inlineStr">
        <is>
          <t>GST Exemption Certificate Scheme</t>
        </is>
      </c>
      <c r="C496" s="4" t="inlineStr">
        <is>
          <t>C33-P0015</t>
        </is>
      </c>
      <c r="D496" s="4" t="inlineStr">
        <is>
          <t>Offline</t>
        </is>
      </c>
      <c r="E496" s="4" t="inlineStr"/>
      <c r="F496" s="4" t="inlineStr">
        <is>
          <t>Source step text</t>
        </is>
      </c>
      <c r="G496" s="4" t="inlineStr">
        <is>
          <t>Interested and eligible applicants may send their applications in the prescribed format along with all required documents to the following address: The Under Secretary (AEI Section), Department of Heavy Industry, Udyog Bhavan, Room No 428, New Delhi 110011, Tel: 011-23061490</t>
        </is>
      </c>
      <c r="H496" s="4" t="inlineStr">
        <is>
          <t>en.applicationProcess[0].process[0].children[0]</t>
        </is>
      </c>
      <c r="I496" s="4" t="inlineStr">
        <is>
          <t>C33@20261028-8bc30e69</t>
        </is>
      </c>
      <c r="J496" s="4" t="inlineStr">
        <is>
          <t>MS-C33</t>
        </is>
      </c>
      <c r="K496" s="4" t="inlineStr">
        <is>
          <t>1/1</t>
        </is>
      </c>
      <c r="L496" s="7" t="inlineStr">
        <is>
          <t>Approved</t>
        </is>
      </c>
      <c r="M496" s="7" t="n"/>
      <c r="N496" s="4" t="inlineStr">
        <is>
          <t>Actor, branch and dependency need review.</t>
        </is>
      </c>
    </row>
    <row r="497" ht="54" customHeight="1">
      <c r="A497" s="8" t="inlineStr">
        <is>
          <t>C33</t>
        </is>
      </c>
      <c r="B497" s="8" t="inlineStr">
        <is>
          <t>GST Exemption Certificate Scheme</t>
        </is>
      </c>
      <c r="C497" s="8" t="inlineStr">
        <is>
          <t>C33-P0016</t>
        </is>
      </c>
      <c r="D497" s="8" t="inlineStr">
        <is>
          <t>Offline</t>
        </is>
      </c>
      <c r="E497" s="8" t="inlineStr"/>
      <c r="F497" s="8" t="inlineStr">
        <is>
          <t>Source step text</t>
        </is>
      </c>
      <c r="G497" s="8" t="inlineStr">
        <is>
          <t>The applicant would inform DHI about the purchase of the vehicle and the Registration number of the vehicle to the Department of Heavy Industry within a period of 30 days from the date of registration of the vehicle.</t>
        </is>
      </c>
      <c r="H497" s="8" t="inlineStr">
        <is>
          <t>en.applicationProcess[0].process[0].children[1]</t>
        </is>
      </c>
      <c r="I497" s="8" t="inlineStr">
        <is>
          <t>C33@20261028-8bc30e69</t>
        </is>
      </c>
      <c r="J497" s="8" t="inlineStr">
        <is>
          <t>MS-C33</t>
        </is>
      </c>
      <c r="K497" s="8" t="inlineStr">
        <is>
          <t>1/1</t>
        </is>
      </c>
      <c r="L497" s="7" t="inlineStr">
        <is>
          <t>Approved</t>
        </is>
      </c>
      <c r="M497" s="7" t="n"/>
      <c r="N497" s="8" t="inlineStr">
        <is>
          <t>Actor, branch and dependency need review.</t>
        </is>
      </c>
    </row>
    <row r="498" ht="40" customHeight="1">
      <c r="A498" s="4" t="inlineStr">
        <is>
          <t>C33</t>
        </is>
      </c>
      <c r="B498" s="4" t="inlineStr">
        <is>
          <t>GST Exemption Certificate Scheme</t>
        </is>
      </c>
      <c r="C498" s="4" t="inlineStr">
        <is>
          <t>C33-P0017</t>
        </is>
      </c>
      <c r="D498" s="4" t="inlineStr">
        <is>
          <t>Online</t>
        </is>
      </c>
      <c r="E498" s="4" t="inlineStr"/>
      <c r="F498" s="4" t="inlineStr">
        <is>
          <t>Source step text</t>
        </is>
      </c>
      <c r="G498" s="4" t="inlineStr">
        <is>
          <t>Step 1: Home Page</t>
        </is>
      </c>
      <c r="H498" s="4" t="inlineStr">
        <is>
          <t>en.applicationProcess[1].process[0].children[0]</t>
        </is>
      </c>
      <c r="I498" s="4" t="inlineStr">
        <is>
          <t>C33@20261028-8bc30e69</t>
        </is>
      </c>
      <c r="J498" s="4" t="inlineStr">
        <is>
          <t>MS-C33</t>
        </is>
      </c>
      <c r="K498" s="4" t="inlineStr">
        <is>
          <t>1/1</t>
        </is>
      </c>
      <c r="L498" s="7" t="inlineStr">
        <is>
          <t>Approved</t>
        </is>
      </c>
      <c r="M498" s="7" t="n"/>
      <c r="N498" s="4" t="inlineStr">
        <is>
          <t>Actor, branch and dependency need review.</t>
        </is>
      </c>
    </row>
    <row r="499" ht="40" customHeight="1">
      <c r="A499" s="8" t="inlineStr">
        <is>
          <t>C33</t>
        </is>
      </c>
      <c r="B499" s="8" t="inlineStr">
        <is>
          <t>GST Exemption Certificate Scheme</t>
        </is>
      </c>
      <c r="C499" s="8" t="inlineStr">
        <is>
          <t>C33-P0018</t>
        </is>
      </c>
      <c r="D499" s="8" t="inlineStr">
        <is>
          <t>Online</t>
        </is>
      </c>
      <c r="E499" s="8" t="inlineStr"/>
      <c r="F499" s="8" t="inlineStr">
        <is>
          <t>Source step text</t>
        </is>
      </c>
      <c r="G499" s="8" t="inlineStr">
        <is>
          <t>Visit the official website at https://dhigecs.heavyindustry.gov.in/ using any web browser or device.</t>
        </is>
      </c>
      <c r="H499" s="8" t="inlineStr">
        <is>
          <t>en.applicationProcess[1].process[1]</t>
        </is>
      </c>
      <c r="I499" s="8" t="inlineStr">
        <is>
          <t>C33@20261028-8bc30e69</t>
        </is>
      </c>
      <c r="J499" s="8" t="inlineStr">
        <is>
          <t>MS-C33</t>
        </is>
      </c>
      <c r="K499" s="8" t="inlineStr">
        <is>
          <t>1/1</t>
        </is>
      </c>
      <c r="L499" s="7" t="inlineStr">
        <is>
          <t>Approved</t>
        </is>
      </c>
      <c r="M499" s="7" t="n"/>
      <c r="N499" s="8" t="inlineStr">
        <is>
          <t>Actor, branch and dependency need review.</t>
        </is>
      </c>
    </row>
    <row r="500" ht="40" customHeight="1">
      <c r="A500" s="4" t="inlineStr">
        <is>
          <t>C33</t>
        </is>
      </c>
      <c r="B500" s="4" t="inlineStr">
        <is>
          <t>GST Exemption Certificate Scheme</t>
        </is>
      </c>
      <c r="C500" s="4" t="inlineStr">
        <is>
          <t>C33-P0019</t>
        </is>
      </c>
      <c r="D500" s="4" t="inlineStr">
        <is>
          <t>Online</t>
        </is>
      </c>
      <c r="E500" s="4" t="inlineStr"/>
      <c r="F500" s="4" t="inlineStr">
        <is>
          <t>Source step text</t>
        </is>
      </c>
      <c r="G500" s="4" t="inlineStr">
        <is>
          <t>Step 2: Login and Registration</t>
        </is>
      </c>
      <c r="H500" s="4" t="inlineStr">
        <is>
          <t>en.applicationProcess[1].process[2].children[0]</t>
        </is>
      </c>
      <c r="I500" s="4" t="inlineStr">
        <is>
          <t>C33@20261028-8bc30e69</t>
        </is>
      </c>
      <c r="J500" s="4" t="inlineStr">
        <is>
          <t>MS-C33</t>
        </is>
      </c>
      <c r="K500" s="4" t="inlineStr">
        <is>
          <t>1/1</t>
        </is>
      </c>
      <c r="L500" s="7" t="inlineStr">
        <is>
          <t>Approved</t>
        </is>
      </c>
      <c r="M500" s="7" t="n"/>
      <c r="N500" s="4" t="inlineStr">
        <is>
          <t>Actor, branch and dependency need review.</t>
        </is>
      </c>
    </row>
    <row r="501" ht="82" customHeight="1">
      <c r="A501" s="8" t="inlineStr">
        <is>
          <t>C33</t>
        </is>
      </c>
      <c r="B501" s="8" t="inlineStr">
        <is>
          <t>GST Exemption Certificate Scheme</t>
        </is>
      </c>
      <c r="C501" s="8" t="inlineStr">
        <is>
          <t>C33-P0020</t>
        </is>
      </c>
      <c r="D501" s="8" t="inlineStr">
        <is>
          <t>Online</t>
        </is>
      </c>
      <c r="E501" s="8" t="inlineStr"/>
      <c r="F501" s="8" t="inlineStr">
        <is>
          <t>Source step text</t>
        </is>
      </c>
      <c r="G501" s="8" t="inlineStr">
        <is>
          <t>If you are not registered, click the "REGISTER" button on the home page. Follow the registration process, which includes providing your full name, valid email ID, mobile number, and Aadhar number. An OTP will be sent to your registered mobile number for verification. You will also need to specify if you have a UDID number. If you do, provide the UDID number and validate it.</t>
        </is>
      </c>
      <c r="H501" s="8" t="inlineStr">
        <is>
          <t>en.applicationProcess[1].process[3]</t>
        </is>
      </c>
      <c r="I501" s="8" t="inlineStr">
        <is>
          <t>C33@20261028-8bc30e69</t>
        </is>
      </c>
      <c r="J501" s="8" t="inlineStr">
        <is>
          <t>MS-C33</t>
        </is>
      </c>
      <c r="K501" s="8" t="inlineStr">
        <is>
          <t>1/1</t>
        </is>
      </c>
      <c r="L501" s="7" t="inlineStr">
        <is>
          <t>Approved</t>
        </is>
      </c>
      <c r="M501" s="7" t="n"/>
      <c r="N501" s="8" t="inlineStr">
        <is>
          <t>Actor, branch and dependency need review.</t>
        </is>
      </c>
    </row>
    <row r="502" ht="40" customHeight="1">
      <c r="A502" s="4" t="inlineStr">
        <is>
          <t>C33</t>
        </is>
      </c>
      <c r="B502" s="4" t="inlineStr">
        <is>
          <t>GST Exemption Certificate Scheme</t>
        </is>
      </c>
      <c r="C502" s="4" t="inlineStr">
        <is>
          <t>C33-P0021</t>
        </is>
      </c>
      <c r="D502" s="4" t="inlineStr">
        <is>
          <t>Online</t>
        </is>
      </c>
      <c r="E502" s="4" t="inlineStr"/>
      <c r="F502" s="4" t="inlineStr">
        <is>
          <t>Source step text</t>
        </is>
      </c>
      <c r="G502" s="4" t="inlineStr">
        <is>
          <t>Step 3: Create Password</t>
        </is>
      </c>
      <c r="H502" s="4" t="inlineStr">
        <is>
          <t>en.applicationProcess[1].process[4].children[0]</t>
        </is>
      </c>
      <c r="I502" s="4" t="inlineStr">
        <is>
          <t>C33@20261028-8bc30e69</t>
        </is>
      </c>
      <c r="J502" s="4" t="inlineStr">
        <is>
          <t>MS-C33</t>
        </is>
      </c>
      <c r="K502" s="4" t="inlineStr">
        <is>
          <t>1/1</t>
        </is>
      </c>
      <c r="L502" s="7" t="inlineStr">
        <is>
          <t>Approved</t>
        </is>
      </c>
      <c r="M502" s="7" t="n"/>
      <c r="N502" s="4" t="inlineStr">
        <is>
          <t>Actor, branch and dependency need review.</t>
        </is>
      </c>
    </row>
    <row r="503" ht="68" customHeight="1">
      <c r="A503" s="8" t="inlineStr">
        <is>
          <t>C33</t>
        </is>
      </c>
      <c r="B503" s="8" t="inlineStr">
        <is>
          <t>GST Exemption Certificate Scheme</t>
        </is>
      </c>
      <c r="C503" s="8" t="inlineStr">
        <is>
          <t>C33-P0022</t>
        </is>
      </c>
      <c r="D503" s="8" t="inlineStr">
        <is>
          <t>Online</t>
        </is>
      </c>
      <c r="E503" s="8" t="inlineStr"/>
      <c r="F503" s="8" t="inlineStr">
        <is>
          <t>Source step text</t>
        </is>
      </c>
      <c r="G503" s="8" t="inlineStr">
        <is>
          <t>Create a password that meets the specified criteria (at least one lowercase letter, one uppercase letter, one number, one special character, and a minimum length of 8 characters). Confirm your password and enter the captcha code. Agree to the terms and conditions, and click "REGISTER."</t>
        </is>
      </c>
      <c r="H503" s="8" t="inlineStr">
        <is>
          <t>en.applicationProcess[1].process[5]</t>
        </is>
      </c>
      <c r="I503" s="8" t="inlineStr">
        <is>
          <t>C33@20261028-8bc30e69</t>
        </is>
      </c>
      <c r="J503" s="8" t="inlineStr">
        <is>
          <t>MS-C33</t>
        </is>
      </c>
      <c r="K503" s="8" t="inlineStr">
        <is>
          <t>1/1</t>
        </is>
      </c>
      <c r="L503" s="7" t="inlineStr">
        <is>
          <t>Approved</t>
        </is>
      </c>
      <c r="M503" s="7" t="n"/>
      <c r="N503" s="8" t="inlineStr">
        <is>
          <t>Actor, branch and dependency need review.</t>
        </is>
      </c>
    </row>
    <row r="504" ht="40" customHeight="1">
      <c r="A504" s="4" t="inlineStr">
        <is>
          <t>C33</t>
        </is>
      </c>
      <c r="B504" s="4" t="inlineStr">
        <is>
          <t>GST Exemption Certificate Scheme</t>
        </is>
      </c>
      <c r="C504" s="4" t="inlineStr">
        <is>
          <t>C33-P0023</t>
        </is>
      </c>
      <c r="D504" s="4" t="inlineStr">
        <is>
          <t>Online</t>
        </is>
      </c>
      <c r="E504" s="4" t="inlineStr"/>
      <c r="F504" s="4" t="inlineStr">
        <is>
          <t>Source step text</t>
        </is>
      </c>
      <c r="G504" s="4" t="inlineStr">
        <is>
          <t>Step 4: Activate Your Account</t>
        </is>
      </c>
      <c r="H504" s="4" t="inlineStr">
        <is>
          <t>en.applicationProcess[1].process[6].children[0]</t>
        </is>
      </c>
      <c r="I504" s="4" t="inlineStr">
        <is>
          <t>C33@20261028-8bc30e69</t>
        </is>
      </c>
      <c r="J504" s="4" t="inlineStr">
        <is>
          <t>MS-C33</t>
        </is>
      </c>
      <c r="K504" s="4" t="inlineStr">
        <is>
          <t>1/1</t>
        </is>
      </c>
      <c r="L504" s="7" t="inlineStr">
        <is>
          <t>Approved</t>
        </is>
      </c>
      <c r="M504" s="7" t="n"/>
      <c r="N504" s="4" t="inlineStr">
        <is>
          <t>Actor, branch and dependency need review.</t>
        </is>
      </c>
    </row>
    <row r="505" ht="40" customHeight="1">
      <c r="A505" s="8" t="inlineStr">
        <is>
          <t>C33</t>
        </is>
      </c>
      <c r="B505" s="8" t="inlineStr">
        <is>
          <t>GST Exemption Certificate Scheme</t>
        </is>
      </c>
      <c r="C505" s="8" t="inlineStr">
        <is>
          <t>C33-P0024</t>
        </is>
      </c>
      <c r="D505" s="8" t="inlineStr">
        <is>
          <t>Online</t>
        </is>
      </c>
      <c r="E505" s="8" t="inlineStr"/>
      <c r="F505" s="8" t="inlineStr">
        <is>
          <t>Source step text</t>
        </is>
      </c>
      <c r="G505" s="8" t="inlineStr">
        <is>
          <t>Check your registered email for a 4-digit OTP and click the provided activation link. Enter the OTP to activate your account.</t>
        </is>
      </c>
      <c r="H505" s="8" t="inlineStr">
        <is>
          <t>en.applicationProcess[1].process[7]</t>
        </is>
      </c>
      <c r="I505" s="8" t="inlineStr">
        <is>
          <t>C33@20261028-8bc30e69</t>
        </is>
      </c>
      <c r="J505" s="8" t="inlineStr">
        <is>
          <t>MS-C33</t>
        </is>
      </c>
      <c r="K505" s="8" t="inlineStr">
        <is>
          <t>1/1</t>
        </is>
      </c>
      <c r="L505" s="7" t="inlineStr">
        <is>
          <t>Approved</t>
        </is>
      </c>
      <c r="M505" s="7" t="n"/>
      <c r="N505" s="8" t="inlineStr">
        <is>
          <t>Actor, branch and dependency need review.</t>
        </is>
      </c>
    </row>
    <row r="506" ht="40" customHeight="1">
      <c r="A506" s="4" t="inlineStr">
        <is>
          <t>C33</t>
        </is>
      </c>
      <c r="B506" s="4" t="inlineStr">
        <is>
          <t>GST Exemption Certificate Scheme</t>
        </is>
      </c>
      <c r="C506" s="4" t="inlineStr">
        <is>
          <t>C33-P0025</t>
        </is>
      </c>
      <c r="D506" s="4" t="inlineStr">
        <is>
          <t>Online</t>
        </is>
      </c>
      <c r="E506" s="4" t="inlineStr"/>
      <c r="F506" s="4" t="inlineStr">
        <is>
          <t>Source step text</t>
        </is>
      </c>
      <c r="G506" s="4" t="inlineStr">
        <is>
          <t>Step 5: User Dashboard</t>
        </is>
      </c>
      <c r="H506" s="4" t="inlineStr">
        <is>
          <t>en.applicationProcess[1].process[8].children[0]</t>
        </is>
      </c>
      <c r="I506" s="4" t="inlineStr">
        <is>
          <t>C33@20261028-8bc30e69</t>
        </is>
      </c>
      <c r="J506" s="4" t="inlineStr">
        <is>
          <t>MS-C33</t>
        </is>
      </c>
      <c r="K506" s="4" t="inlineStr">
        <is>
          <t>1/1</t>
        </is>
      </c>
      <c r="L506" s="7" t="inlineStr">
        <is>
          <t>Approved</t>
        </is>
      </c>
      <c r="M506" s="7" t="n"/>
      <c r="N506" s="4" t="inlineStr">
        <is>
          <t>Actor, branch and dependency need review.</t>
        </is>
      </c>
    </row>
    <row r="507" ht="68" customHeight="1">
      <c r="A507" s="8" t="inlineStr">
        <is>
          <t>C33</t>
        </is>
      </c>
      <c r="B507" s="8" t="inlineStr">
        <is>
          <t>GST Exemption Certificate Scheme</t>
        </is>
      </c>
      <c r="C507" s="8" t="inlineStr">
        <is>
          <t>C33-P0026</t>
        </is>
      </c>
      <c r="D507" s="8" t="inlineStr">
        <is>
          <t>Online</t>
        </is>
      </c>
      <c r="E507" s="8" t="inlineStr"/>
      <c r="F507" s="8" t="inlineStr">
        <is>
          <t>Source step text</t>
        </is>
      </c>
      <c r="G507" s="8" t="inlineStr">
        <is>
          <t>After successful registration and activation, log in to the site using your email ID and the password you created. You'll be directed to the User Dashboard, where you can fill in your information. Save your filled information by clicking the "Draft" button and proceed to the next steps.</t>
        </is>
      </c>
      <c r="H507" s="8" t="inlineStr">
        <is>
          <t>en.applicationProcess[1].process[9]</t>
        </is>
      </c>
      <c r="I507" s="8" t="inlineStr">
        <is>
          <t>C33@20261028-8bc30e69</t>
        </is>
      </c>
      <c r="J507" s="8" t="inlineStr">
        <is>
          <t>MS-C33</t>
        </is>
      </c>
      <c r="K507" s="8" t="inlineStr">
        <is>
          <t>1/1</t>
        </is>
      </c>
      <c r="L507" s="7" t="inlineStr">
        <is>
          <t>Approved</t>
        </is>
      </c>
      <c r="M507" s="7" t="n"/>
      <c r="N507" s="8" t="inlineStr">
        <is>
          <t>Actor, branch and dependency need review.</t>
        </is>
      </c>
    </row>
    <row r="508" ht="40" customHeight="1">
      <c r="A508" s="4" t="inlineStr">
        <is>
          <t>C33</t>
        </is>
      </c>
      <c r="B508" s="4" t="inlineStr">
        <is>
          <t>GST Exemption Certificate Scheme</t>
        </is>
      </c>
      <c r="C508" s="4" t="inlineStr">
        <is>
          <t>C33-P0027</t>
        </is>
      </c>
      <c r="D508" s="4" t="inlineStr">
        <is>
          <t>Online</t>
        </is>
      </c>
      <c r="E508" s="4" t="inlineStr"/>
      <c r="F508" s="4" t="inlineStr">
        <is>
          <t>Source step text</t>
        </is>
      </c>
      <c r="G508" s="4" t="inlineStr">
        <is>
          <t>Step 6: Application Submission</t>
        </is>
      </c>
      <c r="H508" s="4" t="inlineStr">
        <is>
          <t>en.applicationProcess[1].process[10].children[0]</t>
        </is>
      </c>
      <c r="I508" s="4" t="inlineStr">
        <is>
          <t>C33@20261028-8bc30e69</t>
        </is>
      </c>
      <c r="J508" s="4" t="inlineStr">
        <is>
          <t>MS-C33</t>
        </is>
      </c>
      <c r="K508" s="4" t="inlineStr">
        <is>
          <t>1/1</t>
        </is>
      </c>
      <c r="L508" s="7" t="inlineStr">
        <is>
          <t>Approved</t>
        </is>
      </c>
      <c r="M508" s="7" t="n"/>
      <c r="N508" s="4" t="inlineStr">
        <is>
          <t>Actor, branch and dependency need review.</t>
        </is>
      </c>
    </row>
    <row r="509" ht="54" customHeight="1">
      <c r="A509" s="8" t="inlineStr">
        <is>
          <t>C33</t>
        </is>
      </c>
      <c r="B509" s="8" t="inlineStr">
        <is>
          <t>GST Exemption Certificate Scheme</t>
        </is>
      </c>
      <c r="C509" s="8" t="inlineStr">
        <is>
          <t>C33-P0028</t>
        </is>
      </c>
      <c r="D509" s="8" t="inlineStr">
        <is>
          <t>Online</t>
        </is>
      </c>
      <c r="E509" s="8" t="inlineStr"/>
      <c r="F509" s="8" t="inlineStr">
        <is>
          <t>Source step text</t>
        </is>
      </c>
      <c r="G509" s="8" t="inlineStr">
        <is>
          <t>Complete all mandatory fields marked with an asterisk (*) in the User Dashboard. Click "Next" to proceed and continue to fill in additional mandatory fields on the subsequent page (SCR-11). Once all information is filled, click "Final Submit."</t>
        </is>
      </c>
      <c r="H509" s="8" t="inlineStr">
        <is>
          <t>en.applicationProcess[1].process[11]</t>
        </is>
      </c>
      <c r="I509" s="8" t="inlineStr">
        <is>
          <t>C33@20261028-8bc30e69</t>
        </is>
      </c>
      <c r="J509" s="8" t="inlineStr">
        <is>
          <t>MS-C33</t>
        </is>
      </c>
      <c r="K509" s="8" t="inlineStr">
        <is>
          <t>1/1</t>
        </is>
      </c>
      <c r="L509" s="7" t="inlineStr">
        <is>
          <t>Approved</t>
        </is>
      </c>
      <c r="M509" s="7" t="n"/>
      <c r="N509" s="8" t="inlineStr">
        <is>
          <t>Actor, branch and dependency need review.</t>
        </is>
      </c>
    </row>
    <row r="510" ht="40" customHeight="1">
      <c r="A510" s="4" t="inlineStr">
        <is>
          <t>C33</t>
        </is>
      </c>
      <c r="B510" s="4" t="inlineStr">
        <is>
          <t>GST Exemption Certificate Scheme</t>
        </is>
      </c>
      <c r="C510" s="4" t="inlineStr">
        <is>
          <t>C33-P0029</t>
        </is>
      </c>
      <c r="D510" s="4" t="inlineStr">
        <is>
          <t>Online</t>
        </is>
      </c>
      <c r="E510" s="4" t="inlineStr"/>
      <c r="F510" s="4" t="inlineStr">
        <is>
          <t>Source step text</t>
        </is>
      </c>
      <c r="G510" s="4" t="inlineStr">
        <is>
          <t>Step 7: Check Application Status</t>
        </is>
      </c>
      <c r="H510" s="4" t="inlineStr">
        <is>
          <t>en.applicationProcess[1].process[12].children[0]</t>
        </is>
      </c>
      <c r="I510" s="4" t="inlineStr">
        <is>
          <t>C33@20261028-8bc30e69</t>
        </is>
      </c>
      <c r="J510" s="4" t="inlineStr">
        <is>
          <t>MS-C33</t>
        </is>
      </c>
      <c r="K510" s="4" t="inlineStr">
        <is>
          <t>1/1</t>
        </is>
      </c>
      <c r="L510" s="7" t="inlineStr">
        <is>
          <t>Approved</t>
        </is>
      </c>
      <c r="M510" s="7" t="n"/>
      <c r="N510" s="4" t="inlineStr">
        <is>
          <t>Actor, branch and dependency need review.</t>
        </is>
      </c>
    </row>
    <row r="511" ht="54" customHeight="1">
      <c r="A511" s="8" t="inlineStr">
        <is>
          <t>C33</t>
        </is>
      </c>
      <c r="B511" s="8" t="inlineStr">
        <is>
          <t>GST Exemption Certificate Scheme</t>
        </is>
      </c>
      <c r="C511" s="8" t="inlineStr">
        <is>
          <t>C33-P0030</t>
        </is>
      </c>
      <c r="D511" s="8" t="inlineStr">
        <is>
          <t>Online</t>
        </is>
      </c>
      <c r="E511" s="8" t="inlineStr"/>
      <c r="F511" s="8" t="inlineStr">
        <is>
          <t>Source step text</t>
        </is>
      </c>
      <c r="G511" s="8" t="inlineStr">
        <is>
          <t>Visit the Application Status page (SCR-12) to track the progress of your GST Exemption Certificate application. When your status shows "Approved," you can click "Download Certificate" to access your certificate.</t>
        </is>
      </c>
      <c r="H511" s="8" t="inlineStr">
        <is>
          <t>en.applicationProcess[1].process[13]</t>
        </is>
      </c>
      <c r="I511" s="8" t="inlineStr">
        <is>
          <t>C33@20261028-8bc30e69</t>
        </is>
      </c>
      <c r="J511" s="8" t="inlineStr">
        <is>
          <t>MS-C33</t>
        </is>
      </c>
      <c r="K511" s="8" t="inlineStr">
        <is>
          <t>1/1</t>
        </is>
      </c>
      <c r="L511" s="7" t="inlineStr">
        <is>
          <t>Approved</t>
        </is>
      </c>
      <c r="M511" s="7" t="n"/>
      <c r="N511" s="8" t="inlineStr">
        <is>
          <t>Actor, branch and dependency need review.</t>
        </is>
      </c>
    </row>
    <row r="512" ht="40" customHeight="1">
      <c r="A512" s="4" t="inlineStr">
        <is>
          <t>C33</t>
        </is>
      </c>
      <c r="B512" s="4" t="inlineStr">
        <is>
          <t>GST Exemption Certificate Scheme</t>
        </is>
      </c>
      <c r="C512" s="4" t="inlineStr">
        <is>
          <t>C33-P0031</t>
        </is>
      </c>
      <c r="D512" s="4" t="inlineStr">
        <is>
          <t>Online</t>
        </is>
      </c>
      <c r="E512" s="4" t="inlineStr"/>
      <c r="F512" s="4" t="inlineStr">
        <is>
          <t>Source step text</t>
        </is>
      </c>
      <c r="G512" s="4" t="inlineStr">
        <is>
          <t>Step 8: Update Vehicle Details</t>
        </is>
      </c>
      <c r="H512" s="4" t="inlineStr">
        <is>
          <t>en.applicationProcess[1].process[14].children[0]</t>
        </is>
      </c>
      <c r="I512" s="4" t="inlineStr">
        <is>
          <t>C33@20261028-8bc30e69</t>
        </is>
      </c>
      <c r="J512" s="4" t="inlineStr">
        <is>
          <t>MS-C33</t>
        </is>
      </c>
      <c r="K512" s="4" t="inlineStr">
        <is>
          <t>1/1</t>
        </is>
      </c>
      <c r="L512" s="7" t="inlineStr">
        <is>
          <t>Approved</t>
        </is>
      </c>
      <c r="M512" s="7" t="n"/>
      <c r="N512" s="4" t="inlineStr">
        <is>
          <t>Actor, branch and dependency need review.</t>
        </is>
      </c>
    </row>
    <row r="513" ht="54" customHeight="1">
      <c r="A513" s="8" t="inlineStr">
        <is>
          <t>C33</t>
        </is>
      </c>
      <c r="B513" s="8" t="inlineStr">
        <is>
          <t>GST Exemption Certificate Scheme</t>
        </is>
      </c>
      <c r="C513" s="8" t="inlineStr">
        <is>
          <t>C33-P0032</t>
        </is>
      </c>
      <c r="D513" s="8" t="inlineStr">
        <is>
          <t>Online</t>
        </is>
      </c>
      <c r="E513" s="8" t="inlineStr"/>
      <c r="F513" s="8" t="inlineStr">
        <is>
          <t>Source step text</t>
        </is>
      </c>
      <c r="G513" s="8" t="inlineStr">
        <is>
          <t>After purchasing a vehicle, it's mandatory to update your vehicle details. Click on "Update Vehicle Details" as displayed in SCR-14. Provide your vehicle number and the date of purchase.</t>
        </is>
      </c>
      <c r="H513" s="8" t="inlineStr">
        <is>
          <t>en.applicationProcess[1].process[15]</t>
        </is>
      </c>
      <c r="I513" s="8" t="inlineStr">
        <is>
          <t>C33@20261028-8bc30e69</t>
        </is>
      </c>
      <c r="J513" s="8" t="inlineStr">
        <is>
          <t>MS-C33</t>
        </is>
      </c>
      <c r="K513" s="8" t="inlineStr">
        <is>
          <t>1/1</t>
        </is>
      </c>
      <c r="L513" s="7" t="inlineStr">
        <is>
          <t>Approved</t>
        </is>
      </c>
      <c r="M513" s="7" t="n"/>
      <c r="N513" s="8" t="inlineStr">
        <is>
          <t>Actor, branch and dependency need review.</t>
        </is>
      </c>
    </row>
    <row r="514" ht="40" customHeight="1">
      <c r="A514" s="4" t="inlineStr">
        <is>
          <t>C33</t>
        </is>
      </c>
      <c r="B514" s="4" t="inlineStr">
        <is>
          <t>GST Exemption Certificate Scheme</t>
        </is>
      </c>
      <c r="C514" s="4" t="inlineStr">
        <is>
          <t>C33-P0033</t>
        </is>
      </c>
      <c r="D514" s="4" t="inlineStr">
        <is>
          <t>Online</t>
        </is>
      </c>
      <c r="E514" s="4" t="inlineStr"/>
      <c r="F514" s="4" t="inlineStr">
        <is>
          <t>Source step text</t>
        </is>
      </c>
      <c r="G514" s="4" t="inlineStr">
        <is>
          <t>Step 9: Request Form for OEM/Company</t>
        </is>
      </c>
      <c r="H514" s="4" t="inlineStr">
        <is>
          <t>en.applicationProcess[1].process[16].children[0]</t>
        </is>
      </c>
      <c r="I514" s="4" t="inlineStr">
        <is>
          <t>C33@20261028-8bc30e69</t>
        </is>
      </c>
      <c r="J514" s="4" t="inlineStr">
        <is>
          <t>MS-C33</t>
        </is>
      </c>
      <c r="K514" s="4" t="inlineStr">
        <is>
          <t>1/1</t>
        </is>
      </c>
      <c r="L514" s="7" t="inlineStr">
        <is>
          <t>Approved</t>
        </is>
      </c>
      <c r="M514" s="7" t="n"/>
      <c r="N514" s="4" t="inlineStr">
        <is>
          <t>Actor, branch and dependency need review.</t>
        </is>
      </c>
    </row>
    <row r="515" ht="54" customHeight="1">
      <c r="A515" s="8" t="inlineStr">
        <is>
          <t>C33</t>
        </is>
      </c>
      <c r="B515" s="8" t="inlineStr">
        <is>
          <t>GST Exemption Certificate Scheme</t>
        </is>
      </c>
      <c r="C515" s="8" t="inlineStr">
        <is>
          <t>C33-P0034</t>
        </is>
      </c>
      <c r="D515" s="8" t="inlineStr">
        <is>
          <t>Online</t>
        </is>
      </c>
      <c r="E515" s="8" t="inlineStr"/>
      <c r="F515" s="8" t="inlineStr">
        <is>
          <t>Source step text</t>
        </is>
      </c>
      <c r="G515" s="8" t="inlineStr">
        <is>
          <t>If the OEM/Company or model of your vehicle is not listed, you can request to add new entries. Click "Add New OEM/Company Request" and provide the relevant information as shown in SCR-15.</t>
        </is>
      </c>
      <c r="H515" s="8" t="inlineStr">
        <is>
          <t>en.applicationProcess[1].process[17]</t>
        </is>
      </c>
      <c r="I515" s="8" t="inlineStr">
        <is>
          <t>C33@20261028-8bc30e69</t>
        </is>
      </c>
      <c r="J515" s="8" t="inlineStr">
        <is>
          <t>MS-C33</t>
        </is>
      </c>
      <c r="K515" s="8" t="inlineStr">
        <is>
          <t>1/1</t>
        </is>
      </c>
      <c r="L515" s="7" t="inlineStr">
        <is>
          <t>Approved</t>
        </is>
      </c>
      <c r="M515" s="7" t="n"/>
      <c r="N515" s="8" t="inlineStr">
        <is>
          <t>Actor, branch and dependency need review.</t>
        </is>
      </c>
    </row>
    <row r="516" ht="40" customHeight="1">
      <c r="A516" s="4" t="inlineStr">
        <is>
          <t>C34</t>
        </is>
      </c>
      <c r="B516" s="4" t="inlineStr">
        <is>
          <t>National Energy Conservation Award</t>
        </is>
      </c>
      <c r="C516" s="4" t="inlineStr">
        <is>
          <t>C34-P0015</t>
        </is>
      </c>
      <c r="D516" s="4" t="inlineStr">
        <is>
          <t>Online</t>
        </is>
      </c>
      <c r="E516" s="4" t="inlineStr">
        <is>
          <t>Registration:</t>
        </is>
      </c>
      <c r="F516" s="4" t="inlineStr">
        <is>
          <t>Heading / phase</t>
        </is>
      </c>
      <c r="G516" s="4" t="inlineStr">
        <is>
          <t>Registration:</t>
        </is>
      </c>
      <c r="H516" s="4" t="inlineStr">
        <is>
          <t>en.applicationProcess[0].process[0]</t>
        </is>
      </c>
      <c r="I516" s="4" t="inlineStr">
        <is>
          <t>C34@20261028-aa340d6f</t>
        </is>
      </c>
      <c r="J516" s="4" t="inlineStr">
        <is>
          <t>MS-C34</t>
        </is>
      </c>
      <c r="K516" s="4" t="inlineStr">
        <is>
          <t>1/1</t>
        </is>
      </c>
      <c r="L516" s="7" t="inlineStr">
        <is>
          <t>Approved</t>
        </is>
      </c>
      <c r="M516" s="7" t="n"/>
      <c r="N516" s="4" t="inlineStr">
        <is>
          <t>Actor, branch and dependency need review.</t>
        </is>
      </c>
    </row>
    <row r="517" ht="40" customHeight="1">
      <c r="A517" s="8" t="inlineStr">
        <is>
          <t>C34</t>
        </is>
      </c>
      <c r="B517" s="8" t="inlineStr">
        <is>
          <t>National Energy Conservation Award</t>
        </is>
      </c>
      <c r="C517" s="8" t="inlineStr">
        <is>
          <t>C34-P0016</t>
        </is>
      </c>
      <c r="D517" s="8" t="inlineStr">
        <is>
          <t>Online</t>
        </is>
      </c>
      <c r="E517" s="8" t="inlineStr">
        <is>
          <t>Registration:</t>
        </is>
      </c>
      <c r="F517" s="8" t="inlineStr">
        <is>
          <t>Source step text</t>
        </is>
      </c>
      <c r="G517" s="8" t="inlineStr">
        <is>
          <t>Step 1: Visit the official website and click on the Registration button.</t>
        </is>
      </c>
      <c r="H517" s="8" t="inlineStr">
        <is>
          <t>en.applicationProcess[0].process[1]</t>
        </is>
      </c>
      <c r="I517" s="8" t="inlineStr">
        <is>
          <t>C34@20261028-aa340d6f</t>
        </is>
      </c>
      <c r="J517" s="8" t="inlineStr">
        <is>
          <t>MS-C34</t>
        </is>
      </c>
      <c r="K517" s="8" t="inlineStr">
        <is>
          <t>1/1</t>
        </is>
      </c>
      <c r="L517" s="7" t="inlineStr">
        <is>
          <t>Approved</t>
        </is>
      </c>
      <c r="M517" s="7" t="n"/>
      <c r="N517" s="8" t="inlineStr">
        <is>
          <t>Actor, branch and dependency need review.</t>
        </is>
      </c>
    </row>
    <row r="518" ht="40" customHeight="1">
      <c r="A518" s="4" t="inlineStr">
        <is>
          <t>C34</t>
        </is>
      </c>
      <c r="B518" s="4" t="inlineStr">
        <is>
          <t>National Energy Conservation Award</t>
        </is>
      </c>
      <c r="C518" s="4" t="inlineStr">
        <is>
          <t>C34-P0017</t>
        </is>
      </c>
      <c r="D518" s="4" t="inlineStr">
        <is>
          <t>Online</t>
        </is>
      </c>
      <c r="E518" s="4" t="inlineStr">
        <is>
          <t>Registration:</t>
        </is>
      </c>
      <c r="F518" s="4" t="inlineStr">
        <is>
          <t>Source step text</t>
        </is>
      </c>
      <c r="G518" s="4" t="inlineStr">
        <is>
          <t>Step 2: Select your category: Individual or Organization.</t>
        </is>
      </c>
      <c r="H518" s="4" t="inlineStr">
        <is>
          <t>en.applicationProcess[0].process[2]</t>
        </is>
      </c>
      <c r="I518" s="4" t="inlineStr">
        <is>
          <t>C34@20261028-aa340d6f</t>
        </is>
      </c>
      <c r="J518" s="4" t="inlineStr">
        <is>
          <t>MS-C34</t>
        </is>
      </c>
      <c r="K518" s="4" t="inlineStr">
        <is>
          <t>1/1</t>
        </is>
      </c>
      <c r="L518" s="7" t="inlineStr">
        <is>
          <t>Approved</t>
        </is>
      </c>
      <c r="M518" s="7" t="n"/>
      <c r="N518" s="4" t="inlineStr">
        <is>
          <t>Actor, branch and dependency need review.</t>
        </is>
      </c>
    </row>
    <row r="519" ht="40" customHeight="1">
      <c r="A519" s="8" t="inlineStr">
        <is>
          <t>C34</t>
        </is>
      </c>
      <c r="B519" s="8" t="inlineStr">
        <is>
          <t>National Energy Conservation Award</t>
        </is>
      </c>
      <c r="C519" s="8" t="inlineStr">
        <is>
          <t>C34-P0018</t>
        </is>
      </c>
      <c r="D519" s="8" t="inlineStr">
        <is>
          <t>Online</t>
        </is>
      </c>
      <c r="E519" s="8" t="inlineStr">
        <is>
          <t>Registration:</t>
        </is>
      </c>
      <c r="F519" s="8" t="inlineStr">
        <is>
          <t>Source step text</t>
        </is>
      </c>
      <c r="G519" s="8" t="inlineStr">
        <is>
          <t>Step 3: Fill in the required details:</t>
        </is>
      </c>
      <c r="H519" s="8" t="inlineStr">
        <is>
          <t>en.applicationProcess[0].process[3]</t>
        </is>
      </c>
      <c r="I519" s="8" t="inlineStr">
        <is>
          <t>C34@20261028-aa340d6f</t>
        </is>
      </c>
      <c r="J519" s="8" t="inlineStr">
        <is>
          <t>MS-C34</t>
        </is>
      </c>
      <c r="K519" s="8" t="inlineStr">
        <is>
          <t>1/1</t>
        </is>
      </c>
      <c r="L519" s="7" t="inlineStr">
        <is>
          <t>Approved</t>
        </is>
      </c>
      <c r="M519" s="7" t="n"/>
      <c r="N519" s="8" t="inlineStr">
        <is>
          <t>Actor, branch and dependency need review.</t>
        </is>
      </c>
    </row>
    <row r="520" ht="40" customHeight="1">
      <c r="A520" s="4" t="inlineStr">
        <is>
          <t>C34</t>
        </is>
      </c>
      <c r="B520" s="4" t="inlineStr">
        <is>
          <t>National Energy Conservation Award</t>
        </is>
      </c>
      <c r="C520" s="4" t="inlineStr">
        <is>
          <t>C34-P0019</t>
        </is>
      </c>
      <c r="D520" s="4" t="inlineStr">
        <is>
          <t>Online</t>
        </is>
      </c>
      <c r="E520" s="4" t="inlineStr">
        <is>
          <t>Registration:</t>
        </is>
      </c>
      <c r="F520" s="4" t="inlineStr">
        <is>
          <t>Source step text</t>
        </is>
      </c>
      <c r="G520" s="4" t="inlineStr">
        <is>
          <t>Individual: Name, Date of Birth, Nominator Type, Mobile, Email, Aadhaar Number.</t>
        </is>
      </c>
      <c r="H520" s="4" t="inlineStr">
        <is>
          <t>en.applicationProcess[0].process[4]</t>
        </is>
      </c>
      <c r="I520" s="4" t="inlineStr">
        <is>
          <t>C34@20261028-aa340d6f</t>
        </is>
      </c>
      <c r="J520" s="4" t="inlineStr">
        <is>
          <t>MS-C34</t>
        </is>
      </c>
      <c r="K520" s="4" t="inlineStr">
        <is>
          <t>1/1</t>
        </is>
      </c>
      <c r="L520" s="7" t="inlineStr">
        <is>
          <t>Approved</t>
        </is>
      </c>
      <c r="M520" s="7" t="n"/>
      <c r="N520" s="4" t="inlineStr">
        <is>
          <t>Actor, branch and dependency need review.</t>
        </is>
      </c>
    </row>
    <row r="521" ht="40" customHeight="1">
      <c r="A521" s="8" t="inlineStr">
        <is>
          <t>C34</t>
        </is>
      </c>
      <c r="B521" s="8" t="inlineStr">
        <is>
          <t>National Energy Conservation Award</t>
        </is>
      </c>
      <c r="C521" s="8" t="inlineStr">
        <is>
          <t>C34-P0020</t>
        </is>
      </c>
      <c r="D521" s="8" t="inlineStr">
        <is>
          <t>Online</t>
        </is>
      </c>
      <c r="E521" s="8" t="inlineStr">
        <is>
          <t>Registration:</t>
        </is>
      </c>
      <c r="F521" s="8" t="inlineStr">
        <is>
          <t>Source step text</t>
        </is>
      </c>
      <c r="G521" s="8" t="inlineStr">
        <is>
          <t>Organization: Type, Authorized Person Name, Date of Birth, Organization Description, Designation, Mobile, Email, Aadhaar Number.</t>
        </is>
      </c>
      <c r="H521" s="8" t="inlineStr">
        <is>
          <t>en.applicationProcess[0].process[5]</t>
        </is>
      </c>
      <c r="I521" s="8" t="inlineStr">
        <is>
          <t>C34@20261028-aa340d6f</t>
        </is>
      </c>
      <c r="J521" s="8" t="inlineStr">
        <is>
          <t>MS-C34</t>
        </is>
      </c>
      <c r="K521" s="8" t="inlineStr">
        <is>
          <t>1/1</t>
        </is>
      </c>
      <c r="L521" s="7" t="inlineStr">
        <is>
          <t>Approved</t>
        </is>
      </c>
      <c r="M521" s="7" t="n"/>
      <c r="N521" s="8" t="inlineStr">
        <is>
          <t>Actor, branch and dependency need review.</t>
        </is>
      </c>
    </row>
    <row r="522" ht="40" customHeight="1">
      <c r="A522" s="4" t="inlineStr">
        <is>
          <t>C34</t>
        </is>
      </c>
      <c r="B522" s="4" t="inlineStr">
        <is>
          <t>National Energy Conservation Award</t>
        </is>
      </c>
      <c r="C522" s="4" t="inlineStr">
        <is>
          <t>C34-P0021</t>
        </is>
      </c>
      <c r="D522" s="4" t="inlineStr">
        <is>
          <t>Online</t>
        </is>
      </c>
      <c r="E522" s="4" t="inlineStr">
        <is>
          <t>Registration:</t>
        </is>
      </c>
      <c r="F522" s="4" t="inlineStr">
        <is>
          <t>Source step text</t>
        </is>
      </c>
      <c r="G522" s="4" t="inlineStr">
        <is>
          <t>Step 4: Click Submit to complete registration.</t>
        </is>
      </c>
      <c r="H522" s="4" t="inlineStr">
        <is>
          <t>en.applicationProcess[0].process[6]</t>
        </is>
      </c>
      <c r="I522" s="4" t="inlineStr">
        <is>
          <t>C34@20261028-aa340d6f</t>
        </is>
      </c>
      <c r="J522" s="4" t="inlineStr">
        <is>
          <t>MS-C34</t>
        </is>
      </c>
      <c r="K522" s="4" t="inlineStr">
        <is>
          <t>1/1</t>
        </is>
      </c>
      <c r="L522" s="7" t="inlineStr">
        <is>
          <t>Approved</t>
        </is>
      </c>
      <c r="M522" s="7" t="n"/>
      <c r="N522" s="4" t="inlineStr">
        <is>
          <t>Actor, branch and dependency need review.</t>
        </is>
      </c>
    </row>
    <row r="523" ht="40" customHeight="1">
      <c r="A523" s="8" t="inlineStr">
        <is>
          <t>C34</t>
        </is>
      </c>
      <c r="B523" s="8" t="inlineStr">
        <is>
          <t>National Energy Conservation Award</t>
        </is>
      </c>
      <c r="C523" s="8" t="inlineStr">
        <is>
          <t>C34-P0022</t>
        </is>
      </c>
      <c r="D523" s="8" t="inlineStr">
        <is>
          <t>Online</t>
        </is>
      </c>
      <c r="E523" s="8" t="inlineStr">
        <is>
          <t>Apply:</t>
        </is>
      </c>
      <c r="F523" s="8" t="inlineStr">
        <is>
          <t>Heading / phase</t>
        </is>
      </c>
      <c r="G523" s="8" t="inlineStr">
        <is>
          <t>Apply:</t>
        </is>
      </c>
      <c r="H523" s="8" t="inlineStr">
        <is>
          <t>en.applicationProcess[0].process[7]</t>
        </is>
      </c>
      <c r="I523" s="8" t="inlineStr">
        <is>
          <t>C34@20261028-aa340d6f</t>
        </is>
      </c>
      <c r="J523" s="8" t="inlineStr">
        <is>
          <t>MS-C34</t>
        </is>
      </c>
      <c r="K523" s="8" t="inlineStr">
        <is>
          <t>1/1</t>
        </is>
      </c>
      <c r="L523" s="7" t="inlineStr">
        <is>
          <t>Approved</t>
        </is>
      </c>
      <c r="M523" s="7" t="n"/>
      <c r="N523" s="8" t="inlineStr">
        <is>
          <t>Actor, branch and dependency need review.</t>
        </is>
      </c>
    </row>
    <row r="524" ht="40" customHeight="1">
      <c r="A524" s="4" t="inlineStr">
        <is>
          <t>C34</t>
        </is>
      </c>
      <c r="B524" s="4" t="inlineStr">
        <is>
          <t>National Energy Conservation Award</t>
        </is>
      </c>
      <c r="C524" s="4" t="inlineStr">
        <is>
          <t>C34-P0023</t>
        </is>
      </c>
      <c r="D524" s="4" t="inlineStr">
        <is>
          <t>Online</t>
        </is>
      </c>
      <c r="E524" s="4" t="inlineStr">
        <is>
          <t>Apply:</t>
        </is>
      </c>
      <c r="F524" s="4" t="inlineStr">
        <is>
          <t>Source step text</t>
        </is>
      </c>
      <c r="G524" s="4" t="inlineStr">
        <is>
          <t>Step 1: Log in to the portal using your registered credentials.</t>
        </is>
      </c>
      <c r="H524" s="4" t="inlineStr">
        <is>
          <t>en.applicationProcess[0].process[8]</t>
        </is>
      </c>
      <c r="I524" s="4" t="inlineStr">
        <is>
          <t>C34@20261028-aa340d6f</t>
        </is>
      </c>
      <c r="J524" s="4" t="inlineStr">
        <is>
          <t>MS-C34</t>
        </is>
      </c>
      <c r="K524" s="4" t="inlineStr">
        <is>
          <t>1/1</t>
        </is>
      </c>
      <c r="L524" s="7" t="inlineStr">
        <is>
          <t>Approved</t>
        </is>
      </c>
      <c r="M524" s="7" t="n"/>
      <c r="N524" s="4" t="inlineStr">
        <is>
          <t>Actor, branch and dependency need review.</t>
        </is>
      </c>
    </row>
    <row r="525" ht="40" customHeight="1">
      <c r="A525" s="8" t="inlineStr">
        <is>
          <t>C34</t>
        </is>
      </c>
      <c r="B525" s="8" t="inlineStr">
        <is>
          <t>National Energy Conservation Award</t>
        </is>
      </c>
      <c r="C525" s="8" t="inlineStr">
        <is>
          <t>C34-P0024</t>
        </is>
      </c>
      <c r="D525" s="8" t="inlineStr">
        <is>
          <t>Online</t>
        </is>
      </c>
      <c r="E525" s="8" t="inlineStr">
        <is>
          <t>Apply:</t>
        </is>
      </c>
      <c r="F525" s="8" t="inlineStr">
        <is>
          <t>Source step text</t>
        </is>
      </c>
      <c r="G525" s="8" t="inlineStr">
        <is>
          <t>Step 2: Select the scheme from the list of awards and click "Nominate / Apply Now".</t>
        </is>
      </c>
      <c r="H525" s="8" t="inlineStr">
        <is>
          <t>en.applicationProcess[0].process[9]</t>
        </is>
      </c>
      <c r="I525" s="8" t="inlineStr">
        <is>
          <t>C34@20261028-aa340d6f</t>
        </is>
      </c>
      <c r="J525" s="8" t="inlineStr">
        <is>
          <t>MS-C34</t>
        </is>
      </c>
      <c r="K525" s="8" t="inlineStr">
        <is>
          <t>1/1</t>
        </is>
      </c>
      <c r="L525" s="7" t="inlineStr">
        <is>
          <t>Approved</t>
        </is>
      </c>
      <c r="M525" s="7" t="n"/>
      <c r="N525" s="8" t="inlineStr">
        <is>
          <t>Actor, branch and dependency need review.</t>
        </is>
      </c>
    </row>
    <row r="526" ht="40" customHeight="1">
      <c r="A526" s="4" t="inlineStr">
        <is>
          <t>C34</t>
        </is>
      </c>
      <c r="B526" s="4" t="inlineStr">
        <is>
          <t>National Energy Conservation Award</t>
        </is>
      </c>
      <c r="C526" s="4" t="inlineStr">
        <is>
          <t>C34-P0025</t>
        </is>
      </c>
      <c r="D526" s="4" t="inlineStr">
        <is>
          <t>Online</t>
        </is>
      </c>
      <c r="E526" s="4" t="inlineStr">
        <is>
          <t>Apply:</t>
        </is>
      </c>
      <c r="F526" s="4" t="inlineStr">
        <is>
          <t>Source step text</t>
        </is>
      </c>
      <c r="G526" s="4" t="inlineStr">
        <is>
          <t>Step 3: Fill in all mandatory fields in the online application form.</t>
        </is>
      </c>
      <c r="H526" s="4" t="inlineStr">
        <is>
          <t>en.applicationProcess[0].process[10]</t>
        </is>
      </c>
      <c r="I526" s="4" t="inlineStr">
        <is>
          <t>C34@20261028-aa340d6f</t>
        </is>
      </c>
      <c r="J526" s="4" t="inlineStr">
        <is>
          <t>MS-C34</t>
        </is>
      </c>
      <c r="K526" s="4" t="inlineStr">
        <is>
          <t>1/1</t>
        </is>
      </c>
      <c r="L526" s="7" t="inlineStr">
        <is>
          <t>Approved</t>
        </is>
      </c>
      <c r="M526" s="7" t="n"/>
      <c r="N526" s="4" t="inlineStr">
        <is>
          <t>Actor, branch and dependency need review.</t>
        </is>
      </c>
    </row>
    <row r="527" ht="40" customHeight="1">
      <c r="A527" s="8" t="inlineStr">
        <is>
          <t>C34</t>
        </is>
      </c>
      <c r="B527" s="8" t="inlineStr">
        <is>
          <t>National Energy Conservation Award</t>
        </is>
      </c>
      <c r="C527" s="8" t="inlineStr">
        <is>
          <t>C34-P0026</t>
        </is>
      </c>
      <c r="D527" s="8" t="inlineStr">
        <is>
          <t>Online</t>
        </is>
      </c>
      <c r="E527" s="8" t="inlineStr">
        <is>
          <t>Apply:</t>
        </is>
      </c>
      <c r="F527" s="8" t="inlineStr">
        <is>
          <t>Source step text</t>
        </is>
      </c>
      <c r="G527" s="8" t="inlineStr">
        <is>
          <t>Step 4: Click Submit to complete your application.</t>
        </is>
      </c>
      <c r="H527" s="8" t="inlineStr">
        <is>
          <t>en.applicationProcess[0].process[11]</t>
        </is>
      </c>
      <c r="I527" s="8" t="inlineStr">
        <is>
          <t>C34@20261028-aa340d6f</t>
        </is>
      </c>
      <c r="J527" s="8" t="inlineStr">
        <is>
          <t>MS-C34</t>
        </is>
      </c>
      <c r="K527" s="8" t="inlineStr">
        <is>
          <t>1/1</t>
        </is>
      </c>
      <c r="L527" s="7" t="inlineStr">
        <is>
          <t>Approved</t>
        </is>
      </c>
      <c r="M527" s="7" t="n"/>
      <c r="N527" s="8" t="inlineStr">
        <is>
          <t>Actor, branch and dependency need review.</t>
        </is>
      </c>
    </row>
    <row r="528" ht="40" customHeight="1">
      <c r="A528" s="4" t="inlineStr">
        <is>
          <t>C35</t>
        </is>
      </c>
      <c r="B528" s="4" t="inlineStr">
        <is>
          <t>Marketing Development Assistance Scheme</t>
        </is>
      </c>
      <c r="C528" s="4" t="inlineStr">
        <is>
          <t>C35-P0052</t>
        </is>
      </c>
      <c r="D528" s="4" t="inlineStr">
        <is>
          <t>Online</t>
        </is>
      </c>
      <c r="E528" s="4" t="inlineStr"/>
      <c r="F528" s="4" t="inlineStr">
        <is>
          <t>Source step text</t>
        </is>
      </c>
      <c r="G528" s="4" t="inlineStr">
        <is>
          <t>Prior Approval:</t>
        </is>
      </c>
      <c r="H528" s="4" t="inlineStr">
        <is>
          <t>en.applicationProcess[0].process[0].children[0]</t>
        </is>
      </c>
      <c r="I528" s="4" t="inlineStr">
        <is>
          <t>C35@20261028-c67e587f</t>
        </is>
      </c>
      <c r="J528" s="4" t="inlineStr">
        <is>
          <t>MS-C35</t>
        </is>
      </c>
      <c r="K528" s="4" t="inlineStr">
        <is>
          <t>1/1</t>
        </is>
      </c>
      <c r="L528" s="7" t="inlineStr">
        <is>
          <t>Approved</t>
        </is>
      </c>
      <c r="M528" s="7" t="n"/>
      <c r="N528" s="4" t="inlineStr">
        <is>
          <t>Actor, branch and dependency need review.</t>
        </is>
      </c>
    </row>
    <row r="529" ht="40" customHeight="1">
      <c r="A529" s="8" t="inlineStr">
        <is>
          <t>C35</t>
        </is>
      </c>
      <c r="B529" s="8" t="inlineStr">
        <is>
          <t>Marketing Development Assistance Scheme</t>
        </is>
      </c>
      <c r="C529" s="8" t="inlineStr">
        <is>
          <t>C35-P0053</t>
        </is>
      </c>
      <c r="D529" s="8" t="inlineStr">
        <is>
          <t>Online</t>
        </is>
      </c>
      <c r="E529" s="8" t="inlineStr"/>
      <c r="F529" s="8" t="inlineStr">
        <is>
          <t>Source step text</t>
        </is>
      </c>
      <c r="G529" s="8" t="inlineStr">
        <is>
          <t>Step 01: The TSP/SG/UT shall obtain Prior Approval from the Ministry of Tourism, Government of India, before undertaking a tour overseas.</t>
        </is>
      </c>
      <c r="H529" s="8" t="inlineStr">
        <is>
          <t>en.applicationProcess[0].process[1]</t>
        </is>
      </c>
      <c r="I529" s="8" t="inlineStr">
        <is>
          <t>C35@20261028-c67e587f</t>
        </is>
      </c>
      <c r="J529" s="8" t="inlineStr">
        <is>
          <t>MS-C35</t>
        </is>
      </c>
      <c r="K529" s="8" t="inlineStr">
        <is>
          <t>1/1</t>
        </is>
      </c>
      <c r="L529" s="7" t="inlineStr">
        <is>
          <t>Approved</t>
        </is>
      </c>
      <c r="M529" s="7" t="n"/>
      <c r="N529" s="8" t="inlineStr">
        <is>
          <t>Actor, branch and dependency need review.</t>
        </is>
      </c>
    </row>
    <row r="530" ht="40" customHeight="1">
      <c r="A530" s="4" t="inlineStr">
        <is>
          <t>C35</t>
        </is>
      </c>
      <c r="B530" s="4" t="inlineStr">
        <is>
          <t>Marketing Development Assistance Scheme</t>
        </is>
      </c>
      <c r="C530" s="4" t="inlineStr">
        <is>
          <t>C35-P0054</t>
        </is>
      </c>
      <c r="D530" s="4" t="inlineStr">
        <is>
          <t>Online</t>
        </is>
      </c>
      <c r="E530" s="4" t="inlineStr"/>
      <c r="F530" s="4" t="inlineStr">
        <is>
          <t>Source step text</t>
        </is>
      </c>
      <c r="G530" s="4" t="inlineStr">
        <is>
          <t>Step 02: The applicants download the prior approval application form Annexure-I.</t>
        </is>
      </c>
      <c r="H530" s="4" t="inlineStr">
        <is>
          <t>en.applicationProcess[0].process[2]</t>
        </is>
      </c>
      <c r="I530" s="4" t="inlineStr">
        <is>
          <t>C35@20261028-c67e587f</t>
        </is>
      </c>
      <c r="J530" s="4" t="inlineStr">
        <is>
          <t>MS-C35</t>
        </is>
      </c>
      <c r="K530" s="4" t="inlineStr">
        <is>
          <t>1/1</t>
        </is>
      </c>
      <c r="L530" s="7" t="inlineStr">
        <is>
          <t>Approved</t>
        </is>
      </c>
      <c r="M530" s="7" t="n"/>
      <c r="N530" s="4" t="inlineStr">
        <is>
          <t>Actor, branch and dependency need review.</t>
        </is>
      </c>
    </row>
    <row r="531" ht="40" customHeight="1">
      <c r="A531" s="8" t="inlineStr">
        <is>
          <t>C35</t>
        </is>
      </c>
      <c r="B531" s="8" t="inlineStr">
        <is>
          <t>Marketing Development Assistance Scheme</t>
        </is>
      </c>
      <c r="C531" s="8" t="inlineStr">
        <is>
          <t>C35-P0055</t>
        </is>
      </c>
      <c r="D531" s="8" t="inlineStr">
        <is>
          <t>Online</t>
        </is>
      </c>
      <c r="E531" s="8" t="inlineStr"/>
      <c r="F531" s="8" t="inlineStr">
        <is>
          <t>Source step text</t>
        </is>
      </c>
      <c r="G531" s="8" t="inlineStr">
        <is>
          <t>Step 03: In the application form, fill in all the mandatory fields, and attach copies of all the mandatory documents (self-attest, if required).</t>
        </is>
      </c>
      <c r="H531" s="8" t="inlineStr">
        <is>
          <t>en.applicationProcess[0].process[3]</t>
        </is>
      </c>
      <c r="I531" s="8" t="inlineStr">
        <is>
          <t>C35@20261028-c67e587f</t>
        </is>
      </c>
      <c r="J531" s="8" t="inlineStr">
        <is>
          <t>MS-C35</t>
        </is>
      </c>
      <c r="K531" s="8" t="inlineStr">
        <is>
          <t>1/1</t>
        </is>
      </c>
      <c r="L531" s="7" t="inlineStr">
        <is>
          <t>Approved</t>
        </is>
      </c>
      <c r="M531" s="7" t="n"/>
      <c r="N531" s="8" t="inlineStr">
        <is>
          <t>Actor, branch and dependency need review.</t>
        </is>
      </c>
    </row>
    <row r="532" ht="54" customHeight="1">
      <c r="A532" s="4" t="inlineStr">
        <is>
          <t>C35</t>
        </is>
      </c>
      <c r="B532" s="4" t="inlineStr">
        <is>
          <t>Marketing Development Assistance Scheme</t>
        </is>
      </c>
      <c r="C532" s="4" t="inlineStr">
        <is>
          <t>C35-P0056</t>
        </is>
      </c>
      <c r="D532" s="4" t="inlineStr">
        <is>
          <t>Online</t>
        </is>
      </c>
      <c r="E532" s="4" t="inlineStr"/>
      <c r="F532" s="4" t="inlineStr">
        <is>
          <t>Source step text</t>
        </is>
      </c>
      <c r="G532" s="4" t="inlineStr">
        <is>
          <t>Step 04: Submit the duly filled and signed application form at least 21 days before the tour to the Assistant Director General (Overseas Marketing) via email at mda-tourism@gov.in.</t>
        </is>
      </c>
      <c r="H532" s="4" t="inlineStr">
        <is>
          <t>en.applicationProcess[0].process[4]</t>
        </is>
      </c>
      <c r="I532" s="4" t="inlineStr">
        <is>
          <t>C35@20261028-c67e587f</t>
        </is>
      </c>
      <c r="J532" s="4" t="inlineStr">
        <is>
          <t>MS-C35</t>
        </is>
      </c>
      <c r="K532" s="4" t="inlineStr">
        <is>
          <t>1/1</t>
        </is>
      </c>
      <c r="L532" s="7" t="inlineStr">
        <is>
          <t>Approved</t>
        </is>
      </c>
      <c r="M532" s="7" t="n"/>
      <c r="N532" s="4" t="inlineStr">
        <is>
          <t>Actor, branch and dependency need review.</t>
        </is>
      </c>
    </row>
    <row r="533" ht="40" customHeight="1">
      <c r="A533" s="8" t="inlineStr">
        <is>
          <t>C35</t>
        </is>
      </c>
      <c r="B533" s="8" t="inlineStr">
        <is>
          <t>Marketing Development Assistance Scheme</t>
        </is>
      </c>
      <c r="C533" s="8" t="inlineStr">
        <is>
          <t>C35-P0057</t>
        </is>
      </c>
      <c r="D533" s="8" t="inlineStr">
        <is>
          <t>Online</t>
        </is>
      </c>
      <c r="E533" s="8" t="inlineStr"/>
      <c r="F533" s="8" t="inlineStr">
        <is>
          <t>Source step text</t>
        </is>
      </c>
      <c r="G533" s="8" t="inlineStr">
        <is>
          <t>Reimbursement Claims:</t>
        </is>
      </c>
      <c r="H533" s="8" t="inlineStr">
        <is>
          <t>en.applicationProcess[0].process[6].children[0]</t>
        </is>
      </c>
      <c r="I533" s="8" t="inlineStr">
        <is>
          <t>C35@20261028-c67e587f</t>
        </is>
      </c>
      <c r="J533" s="8" t="inlineStr">
        <is>
          <t>MS-C35</t>
        </is>
      </c>
      <c r="K533" s="8" t="inlineStr">
        <is>
          <t>1/1</t>
        </is>
      </c>
      <c r="L533" s="7" t="inlineStr">
        <is>
          <t>Approved</t>
        </is>
      </c>
      <c r="M533" s="7" t="n"/>
      <c r="N533" s="8" t="inlineStr">
        <is>
          <t>Actor, branch and dependency need review.</t>
        </is>
      </c>
    </row>
    <row r="534" ht="54" customHeight="1">
      <c r="A534" s="4" t="inlineStr">
        <is>
          <t>C35</t>
        </is>
      </c>
      <c r="B534" s="4" t="inlineStr">
        <is>
          <t>Marketing Development Assistance Scheme</t>
        </is>
      </c>
      <c r="C534" s="4" t="inlineStr">
        <is>
          <t>C35-P0058</t>
        </is>
      </c>
      <c r="D534" s="4" t="inlineStr">
        <is>
          <t>Online</t>
        </is>
      </c>
      <c r="E534" s="4" t="inlineStr"/>
      <c r="F534" s="4" t="inlineStr">
        <is>
          <t>Source step text</t>
        </is>
      </c>
      <c r="G534" s="4" t="inlineStr">
        <is>
          <t>After undertaking the tourism promotional activity/tour abroad for which Prior Approval had been accorded by the Ministry of Tourism the Tourism Service Provider / State Govt./ UT Administration will apply to reimbursement/claim.</t>
        </is>
      </c>
      <c r="H534" s="4" t="inlineStr">
        <is>
          <t>en.applicationProcess[0].process[7]</t>
        </is>
      </c>
      <c r="I534" s="4" t="inlineStr">
        <is>
          <t>C35@20261028-c67e587f</t>
        </is>
      </c>
      <c r="J534" s="4" t="inlineStr">
        <is>
          <t>MS-C35</t>
        </is>
      </c>
      <c r="K534" s="4" t="inlineStr">
        <is>
          <t>1/1</t>
        </is>
      </c>
      <c r="L534" s="7" t="inlineStr">
        <is>
          <t>Approved</t>
        </is>
      </c>
      <c r="M534" s="7" t="n"/>
      <c r="N534" s="4" t="inlineStr">
        <is>
          <t>Actor, branch and dependency need review.</t>
        </is>
      </c>
    </row>
    <row r="535" ht="40" customHeight="1">
      <c r="A535" s="8" t="inlineStr">
        <is>
          <t>C35</t>
        </is>
      </c>
      <c r="B535" s="8" t="inlineStr">
        <is>
          <t>Marketing Development Assistance Scheme</t>
        </is>
      </c>
      <c r="C535" s="8" t="inlineStr">
        <is>
          <t>C35-P0059</t>
        </is>
      </c>
      <c r="D535" s="8" t="inlineStr">
        <is>
          <t>Online</t>
        </is>
      </c>
      <c r="E535" s="8" t="inlineStr"/>
      <c r="F535" s="8" t="inlineStr">
        <is>
          <t>Source step text</t>
        </is>
      </c>
      <c r="G535" s="8" t="inlineStr">
        <is>
          <t>Step 01: The applicants download the claim application form Annexure-II, III &amp; IV.</t>
        </is>
      </c>
      <c r="H535" s="8" t="inlineStr">
        <is>
          <t>en.applicationProcess[0].process[8]</t>
        </is>
      </c>
      <c r="I535" s="8" t="inlineStr">
        <is>
          <t>C35@20261028-c67e587f</t>
        </is>
      </c>
      <c r="J535" s="8" t="inlineStr">
        <is>
          <t>MS-C35</t>
        </is>
      </c>
      <c r="K535" s="8" t="inlineStr">
        <is>
          <t>1/1</t>
        </is>
      </c>
      <c r="L535" s="7" t="inlineStr">
        <is>
          <t>Approved</t>
        </is>
      </c>
      <c r="M535" s="7" t="n"/>
      <c r="N535" s="8" t="inlineStr">
        <is>
          <t>Actor, branch and dependency need review.</t>
        </is>
      </c>
    </row>
    <row r="536" ht="40" customHeight="1">
      <c r="A536" s="4" t="inlineStr">
        <is>
          <t>C35</t>
        </is>
      </c>
      <c r="B536" s="4" t="inlineStr">
        <is>
          <t>Marketing Development Assistance Scheme</t>
        </is>
      </c>
      <c r="C536" s="4" t="inlineStr">
        <is>
          <t>C35-P0060</t>
        </is>
      </c>
      <c r="D536" s="4" t="inlineStr">
        <is>
          <t>Online</t>
        </is>
      </c>
      <c r="E536" s="4" t="inlineStr"/>
      <c r="F536" s="4" t="inlineStr">
        <is>
          <t>Source step text</t>
        </is>
      </c>
      <c r="G536" s="4" t="inlineStr">
        <is>
          <t>Step 02: In the application form, fill in all the mandatory fields, and attach copies of all the mandatory documents (self-attest, if required).</t>
        </is>
      </c>
      <c r="H536" s="4" t="inlineStr">
        <is>
          <t>en.applicationProcess[0].process[9]</t>
        </is>
      </c>
      <c r="I536" s="4" t="inlineStr">
        <is>
          <t>C35@20261028-c67e587f</t>
        </is>
      </c>
      <c r="J536" s="4" t="inlineStr">
        <is>
          <t>MS-C35</t>
        </is>
      </c>
      <c r="K536" s="4" t="inlineStr">
        <is>
          <t>1/1</t>
        </is>
      </c>
      <c r="L536" s="7" t="inlineStr">
        <is>
          <t>Approved</t>
        </is>
      </c>
      <c r="M536" s="7" t="n"/>
      <c r="N536" s="4" t="inlineStr">
        <is>
          <t>Actor, branch and dependency need review.</t>
        </is>
      </c>
    </row>
    <row r="537" ht="54" customHeight="1">
      <c r="A537" s="8" t="inlineStr">
        <is>
          <t>C35</t>
        </is>
      </c>
      <c r="B537" s="8" t="inlineStr">
        <is>
          <t>Marketing Development Assistance Scheme</t>
        </is>
      </c>
      <c r="C537" s="8" t="inlineStr">
        <is>
          <t>C35-P0061</t>
        </is>
      </c>
      <c r="D537" s="8" t="inlineStr">
        <is>
          <t>Online</t>
        </is>
      </c>
      <c r="E537" s="8" t="inlineStr"/>
      <c r="F537" s="8" t="inlineStr">
        <is>
          <t>Source step text</t>
        </is>
      </c>
      <c r="G537" s="8" t="inlineStr">
        <is>
          <t>Step 03: Submit the duly filled and signed application form within 45 days of completion of the activity to the Assistant Director General (Overseas Marketing), Ministry of Tourism via email at mda-tourism@gov.in.</t>
        </is>
      </c>
      <c r="H537" s="8" t="inlineStr">
        <is>
          <t>en.applicationProcess[0].process[10]</t>
        </is>
      </c>
      <c r="I537" s="8" t="inlineStr">
        <is>
          <t>C35@20261028-c67e587f</t>
        </is>
      </c>
      <c r="J537" s="8" t="inlineStr">
        <is>
          <t>MS-C35</t>
        </is>
      </c>
      <c r="K537" s="8" t="inlineStr">
        <is>
          <t>1/1</t>
        </is>
      </c>
      <c r="L537" s="7" t="inlineStr">
        <is>
          <t>Approved</t>
        </is>
      </c>
      <c r="M537" s="7" t="n"/>
      <c r="N537" s="8" t="inlineStr">
        <is>
          <t>Actor, branch and dependency need review.</t>
        </is>
      </c>
    </row>
    <row r="538" ht="40" customHeight="1">
      <c r="A538" s="4" t="inlineStr">
        <is>
          <t>C35</t>
        </is>
      </c>
      <c r="B538" s="4" t="inlineStr">
        <is>
          <t>Marketing Development Assistance Scheme</t>
        </is>
      </c>
      <c r="C538" s="4" t="inlineStr">
        <is>
          <t>C35-P0062</t>
        </is>
      </c>
      <c r="D538" s="4" t="inlineStr">
        <is>
          <t>Online</t>
        </is>
      </c>
      <c r="E538" s="4" t="inlineStr"/>
      <c r="F538" s="4" t="inlineStr">
        <is>
          <t>Source step text</t>
        </is>
      </c>
      <c r="G538" s="4" t="inlineStr">
        <is>
          <t>NOTE: Submission of claims in physical form will not be accepted.</t>
        </is>
      </c>
      <c r="H538" s="4" t="inlineStr">
        <is>
          <t>en.applicationProcess[0].process[12]</t>
        </is>
      </c>
      <c r="I538" s="4" t="inlineStr">
        <is>
          <t>C35@20261028-c67e587f</t>
        </is>
      </c>
      <c r="J538" s="4" t="inlineStr">
        <is>
          <t>MS-C35</t>
        </is>
      </c>
      <c r="K538" s="4" t="inlineStr">
        <is>
          <t>1/1</t>
        </is>
      </c>
      <c r="L538" s="7" t="inlineStr">
        <is>
          <t>Approved</t>
        </is>
      </c>
      <c r="M538" s="7" t="n"/>
      <c r="N538" s="4" t="inlineStr">
        <is>
          <t>Actor, branch and dependency need review.</t>
        </is>
      </c>
    </row>
    <row r="539" ht="54" customHeight="1">
      <c r="A539" s="8" t="inlineStr">
        <is>
          <t>C36</t>
        </is>
      </c>
      <c r="B539" s="8" t="inlineStr">
        <is>
          <t>AICTE-INAE Travel Grant Scheme For Engineering Students From AICTE Approved Engineering College/Institution</t>
        </is>
      </c>
      <c r="C539" s="8" t="inlineStr">
        <is>
          <t>C36-P0020</t>
        </is>
      </c>
      <c r="D539" s="8" t="inlineStr">
        <is>
          <t>Online</t>
        </is>
      </c>
      <c r="E539" s="8" t="inlineStr"/>
      <c r="F539" s="8" t="inlineStr">
        <is>
          <t>Source step text</t>
        </is>
      </c>
      <c r="G539" s="8" t="inlineStr">
        <is>
          <t>Procedure to Apply</t>
        </is>
      </c>
      <c r="H539" s="8" t="inlineStr">
        <is>
          <t>en.applicationProcess[0].process[0].children[0]</t>
        </is>
      </c>
      <c r="I539" s="8" t="inlineStr">
        <is>
          <t>C36@20261028-c9ddf1f8</t>
        </is>
      </c>
      <c r="J539" s="8" t="inlineStr">
        <is>
          <t>MS-C36</t>
        </is>
      </c>
      <c r="K539" s="8" t="inlineStr">
        <is>
          <t>1/1</t>
        </is>
      </c>
      <c r="L539" s="7" t="inlineStr">
        <is>
          <t>Approved</t>
        </is>
      </c>
      <c r="M539" s="7" t="n"/>
      <c r="N539" s="8" t="inlineStr">
        <is>
          <t>Actor, branch and dependency need review.</t>
        </is>
      </c>
    </row>
    <row r="540" ht="54" customHeight="1">
      <c r="A540" s="4" t="inlineStr">
        <is>
          <t>C36</t>
        </is>
      </c>
      <c r="B540" s="4" t="inlineStr">
        <is>
          <t>AICTE-INAE Travel Grant Scheme For Engineering Students From AICTE Approved Engineering College/Institution</t>
        </is>
      </c>
      <c r="C540" s="4" t="inlineStr">
        <is>
          <t>C36-P0021</t>
        </is>
      </c>
      <c r="D540" s="4" t="inlineStr">
        <is>
          <t>Online</t>
        </is>
      </c>
      <c r="E540" s="4" t="inlineStr"/>
      <c r="F540" s="4" t="inlineStr">
        <is>
          <t>Source step text</t>
        </is>
      </c>
      <c r="G540" s="4" t="inlineStr">
        <is>
          <t>The application should be sent at least eight weeks prior to the date of presentation of the research paper through email at inaehq@inae.in and hard copy as well at the following address:</t>
        </is>
      </c>
      <c r="H540" s="4" t="inlineStr">
        <is>
          <t>en.applicationProcess[0].process[2]</t>
        </is>
      </c>
      <c r="I540" s="4" t="inlineStr">
        <is>
          <t>C36@20261028-c9ddf1f8</t>
        </is>
      </c>
      <c r="J540" s="4" t="inlineStr">
        <is>
          <t>MS-C36</t>
        </is>
      </c>
      <c r="K540" s="4" t="inlineStr">
        <is>
          <t>1/1</t>
        </is>
      </c>
      <c r="L540" s="7" t="inlineStr">
        <is>
          <t>Approved</t>
        </is>
      </c>
      <c r="M540" s="7" t="n"/>
      <c r="N540" s="4" t="inlineStr">
        <is>
          <t>Actor, branch and dependency need review.</t>
        </is>
      </c>
    </row>
    <row r="541" ht="54" customHeight="1">
      <c r="A541" s="8" t="inlineStr">
        <is>
          <t>C36</t>
        </is>
      </c>
      <c r="B541" s="8" t="inlineStr">
        <is>
          <t>AICTE-INAE Travel Grant Scheme For Engineering Students From AICTE Approved Engineering College/Institution</t>
        </is>
      </c>
      <c r="C541" s="8" t="inlineStr">
        <is>
          <t>C36-P0022</t>
        </is>
      </c>
      <c r="D541" s="8" t="inlineStr">
        <is>
          <t>Online</t>
        </is>
      </c>
      <c r="E541" s="8" t="inlineStr"/>
      <c r="F541" s="8" t="inlineStr">
        <is>
          <t>Source step text</t>
        </is>
      </c>
      <c r="G541" s="8" t="inlineStr">
        <is>
          <t>Executive Director Indian National Academy of Engineering (INAE) Unit No 604-609</t>
        </is>
      </c>
      <c r="H541" s="8" t="inlineStr">
        <is>
          <t>en.applicationProcess[0].process[3]</t>
        </is>
      </c>
      <c r="I541" s="8" t="inlineStr">
        <is>
          <t>C36@20261028-c9ddf1f8</t>
        </is>
      </c>
      <c r="J541" s="8" t="inlineStr">
        <is>
          <t>MS-C36</t>
        </is>
      </c>
      <c r="K541" s="8" t="inlineStr">
        <is>
          <t>1/1</t>
        </is>
      </c>
      <c r="L541" s="7" t="inlineStr">
        <is>
          <t>Approved</t>
        </is>
      </c>
      <c r="M541" s="7" t="n"/>
      <c r="N541" s="8" t="inlineStr">
        <is>
          <t>Actor, branch and dependency need review.</t>
        </is>
      </c>
    </row>
    <row r="542" ht="54" customHeight="1">
      <c r="A542" s="4" t="inlineStr">
        <is>
          <t>C36</t>
        </is>
      </c>
      <c r="B542" s="4" t="inlineStr">
        <is>
          <t>AICTE-INAE Travel Grant Scheme For Engineering Students From AICTE Approved Engineering College/Institution</t>
        </is>
      </c>
      <c r="C542" s="4" t="inlineStr">
        <is>
          <t>C36-P0023</t>
        </is>
      </c>
      <c r="D542" s="4" t="inlineStr">
        <is>
          <t>Online</t>
        </is>
      </c>
      <c r="E542" s="4" t="inlineStr"/>
      <c r="F542" s="4" t="inlineStr">
        <is>
          <t>Source step text</t>
        </is>
      </c>
      <c r="G542" s="4" t="inlineStr">
        <is>
          <t>6th Floor, Tower A, SPAZE I-Tech Park, Sector-49, Sohna Road, Gurgaon - 122 018</t>
        </is>
      </c>
      <c r="H542" s="4" t="inlineStr">
        <is>
          <t>en.applicationProcess[0].process[4]</t>
        </is>
      </c>
      <c r="I542" s="4" t="inlineStr">
        <is>
          <t>C36@20261028-c9ddf1f8</t>
        </is>
      </c>
      <c r="J542" s="4" t="inlineStr">
        <is>
          <t>MS-C36</t>
        </is>
      </c>
      <c r="K542" s="4" t="inlineStr">
        <is>
          <t>1/1</t>
        </is>
      </c>
      <c r="L542" s="7" t="inlineStr">
        <is>
          <t>Approved</t>
        </is>
      </c>
      <c r="M542" s="7" t="n"/>
      <c r="N542" s="4" t="inlineStr">
        <is>
          <t>Actor, branch and dependency need review.</t>
        </is>
      </c>
    </row>
    <row r="543" ht="54" customHeight="1">
      <c r="A543" s="8" t="inlineStr">
        <is>
          <t>C36</t>
        </is>
      </c>
      <c r="B543" s="8" t="inlineStr">
        <is>
          <t>AICTE-INAE Travel Grant Scheme For Engineering Students From AICTE Approved Engineering College/Institution</t>
        </is>
      </c>
      <c r="C543" s="8" t="inlineStr">
        <is>
          <t>C36-P0024</t>
        </is>
      </c>
      <c r="D543" s="8" t="inlineStr">
        <is>
          <t>Online</t>
        </is>
      </c>
      <c r="E543" s="8" t="inlineStr"/>
      <c r="F543" s="8" t="inlineStr">
        <is>
          <t>Source step text</t>
        </is>
      </c>
      <c r="G543" s="8" t="inlineStr">
        <is>
          <t>Phone: 0124-4239480 Fax: 0124-4239481</t>
        </is>
      </c>
      <c r="H543" s="8" t="inlineStr">
        <is>
          <t>en.applicationProcess[0].process[5]</t>
        </is>
      </c>
      <c r="I543" s="8" t="inlineStr">
        <is>
          <t>C36@20261028-c9ddf1f8</t>
        </is>
      </c>
      <c r="J543" s="8" t="inlineStr">
        <is>
          <t>MS-C36</t>
        </is>
      </c>
      <c r="K543" s="8" t="inlineStr">
        <is>
          <t>1/1</t>
        </is>
      </c>
      <c r="L543" s="7" t="inlineStr">
        <is>
          <t>Approved</t>
        </is>
      </c>
      <c r="M543" s="7" t="n"/>
      <c r="N543" s="8" t="inlineStr">
        <is>
          <t>Actor, branch and dependency need review.</t>
        </is>
      </c>
    </row>
    <row r="544" ht="54" customHeight="1">
      <c r="A544" s="4" t="inlineStr">
        <is>
          <t>C36</t>
        </is>
      </c>
      <c r="B544" s="4" t="inlineStr">
        <is>
          <t>AICTE-INAE Travel Grant Scheme For Engineering Students From AICTE Approved Engineering College/Institution</t>
        </is>
      </c>
      <c r="C544" s="4" t="inlineStr">
        <is>
          <t>C36-P0025</t>
        </is>
      </c>
      <c r="D544" s="4" t="inlineStr">
        <is>
          <t>Online</t>
        </is>
      </c>
      <c r="E544" s="4" t="inlineStr"/>
      <c r="F544" s="4" t="inlineStr">
        <is>
          <t>Source step text</t>
        </is>
      </c>
      <c r="G544" s="4" t="inlineStr">
        <is>
          <t>Website: www.inae.in</t>
        </is>
      </c>
      <c r="H544" s="4" t="inlineStr">
        <is>
          <t>en.applicationProcess[0].process[6]</t>
        </is>
      </c>
      <c r="I544" s="4" t="inlineStr">
        <is>
          <t>C36@20261028-c9ddf1f8</t>
        </is>
      </c>
      <c r="J544" s="4" t="inlineStr">
        <is>
          <t>MS-C36</t>
        </is>
      </c>
      <c r="K544" s="4" t="inlineStr">
        <is>
          <t>1/1</t>
        </is>
      </c>
      <c r="L544" s="7" t="inlineStr">
        <is>
          <t>Approved</t>
        </is>
      </c>
      <c r="M544" s="7" t="n"/>
      <c r="N544" s="4" t="inlineStr">
        <is>
          <t>Actor, branch and dependency need review.</t>
        </is>
      </c>
    </row>
    <row r="545" ht="40" customHeight="1">
      <c r="A545" s="8" t="inlineStr">
        <is>
          <t>C37</t>
        </is>
      </c>
      <c r="B545" s="8" t="inlineStr">
        <is>
          <t>Pilgrimage Rejuvenation and Spiritual Augmentation Drive (PRASHAD)</t>
        </is>
      </c>
      <c r="C545" s="8" t="inlineStr">
        <is>
          <t>C37-P0019</t>
        </is>
      </c>
      <c r="D545" s="8" t="inlineStr">
        <is>
          <t>Offline</t>
        </is>
      </c>
      <c r="E545" s="8" t="inlineStr"/>
      <c r="F545" s="8" t="inlineStr">
        <is>
          <t>Source step text</t>
        </is>
      </c>
      <c r="G545" s="8" t="inlineStr">
        <is>
          <t>The citizens need not apply to this scheme.</t>
        </is>
      </c>
      <c r="H545" s="8" t="inlineStr">
        <is>
          <t>en.applicationProcess[0].process[0]</t>
        </is>
      </c>
      <c r="I545" s="8" t="inlineStr">
        <is>
          <t>C37@20261028-bd74d255</t>
        </is>
      </c>
      <c r="J545" s="8" t="inlineStr">
        <is>
          <t>MS-C37</t>
        </is>
      </c>
      <c r="K545" s="8" t="inlineStr">
        <is>
          <t>1/1</t>
        </is>
      </c>
      <c r="L545" s="7" t="inlineStr">
        <is>
          <t>Approved</t>
        </is>
      </c>
      <c r="M545" s="7" t="n"/>
      <c r="N545" s="8" t="inlineStr">
        <is>
          <t>Actor, branch and dependency need review.</t>
        </is>
      </c>
    </row>
    <row r="546" ht="40" customHeight="1">
      <c r="A546" s="4" t="inlineStr">
        <is>
          <t>C38</t>
        </is>
      </c>
      <c r="B546" s="4" t="inlineStr">
        <is>
          <t>Pratyaksh Hanstantrit Labh / Direct Benefits Transfer For LPG</t>
        </is>
      </c>
      <c r="C546" s="4" t="inlineStr">
        <is>
          <t>C38-P0011</t>
        </is>
      </c>
      <c r="D546" s="4" t="inlineStr">
        <is>
          <t>Offline</t>
        </is>
      </c>
      <c r="E546" s="4" t="inlineStr"/>
      <c r="F546" s="4" t="inlineStr">
        <is>
          <t>Source step text</t>
        </is>
      </c>
      <c r="G546" s="4" t="inlineStr">
        <is>
          <t>Through Bank:</t>
        </is>
      </c>
      <c r="H546" s="4" t="inlineStr">
        <is>
          <t>en.applicationProcess[0].process[0].children[0]</t>
        </is>
      </c>
      <c r="I546" s="4" t="inlineStr">
        <is>
          <t>C38@20261028-483e350c</t>
        </is>
      </c>
      <c r="J546" s="4" t="inlineStr">
        <is>
          <t>MS-C38</t>
        </is>
      </c>
      <c r="K546" s="4" t="inlineStr">
        <is>
          <t>1/1</t>
        </is>
      </c>
      <c r="L546" s="7" t="inlineStr">
        <is>
          <t>Approved</t>
        </is>
      </c>
      <c r="M546" s="7" t="n"/>
      <c r="N546" s="4" t="inlineStr">
        <is>
          <t>Actor, branch and dependency need review.</t>
        </is>
      </c>
    </row>
    <row r="547" ht="40" customHeight="1">
      <c r="A547" s="8" t="inlineStr">
        <is>
          <t>C38</t>
        </is>
      </c>
      <c r="B547" s="8" t="inlineStr">
        <is>
          <t>Pratyaksh Hanstantrit Labh / Direct Benefits Transfer For LPG</t>
        </is>
      </c>
      <c r="C547" s="8" t="inlineStr">
        <is>
          <t>C38-P0012</t>
        </is>
      </c>
      <c r="D547" s="8" t="inlineStr">
        <is>
          <t>Offline</t>
        </is>
      </c>
      <c r="E547" s="8" t="inlineStr"/>
      <c r="F547" s="8" t="inlineStr">
        <is>
          <t>Source step text</t>
        </is>
      </c>
      <c r="G547" s="8" t="inlineStr">
        <is>
          <t>Step 1: Visit your bank branch where you hold an account.</t>
        </is>
      </c>
      <c r="H547" s="8" t="inlineStr">
        <is>
          <t>en.applicationProcess[0].process[1]</t>
        </is>
      </c>
      <c r="I547" s="8" t="inlineStr">
        <is>
          <t>C38@20261028-483e350c</t>
        </is>
      </c>
      <c r="J547" s="8" t="inlineStr">
        <is>
          <t>MS-C38</t>
        </is>
      </c>
      <c r="K547" s="8" t="inlineStr">
        <is>
          <t>1/1</t>
        </is>
      </c>
      <c r="L547" s="7" t="inlineStr">
        <is>
          <t>Approved</t>
        </is>
      </c>
      <c r="M547" s="7" t="n"/>
      <c r="N547" s="8" t="inlineStr">
        <is>
          <t>Actor, branch and dependency need review.</t>
        </is>
      </c>
    </row>
    <row r="548" ht="40" customHeight="1">
      <c r="A548" s="4" t="inlineStr">
        <is>
          <t>C38</t>
        </is>
      </c>
      <c r="B548" s="4" t="inlineStr">
        <is>
          <t>Pratyaksh Hanstantrit Labh / Direct Benefits Transfer For LPG</t>
        </is>
      </c>
      <c r="C548" s="4" t="inlineStr">
        <is>
          <t>C38-P0013</t>
        </is>
      </c>
      <c r="D548" s="4" t="inlineStr">
        <is>
          <t>Offline</t>
        </is>
      </c>
      <c r="E548" s="4" t="inlineStr"/>
      <c r="F548" s="4" t="inlineStr">
        <is>
          <t>Source step text</t>
        </is>
      </c>
      <c r="G548" s="4" t="inlineStr">
        <is>
          <t>Step 2:Carry a copy of your Aadhaar card along with the original for verification.</t>
        </is>
      </c>
      <c r="H548" s="4" t="inlineStr">
        <is>
          <t>en.applicationProcess[0].process[2]</t>
        </is>
      </c>
      <c r="I548" s="4" t="inlineStr">
        <is>
          <t>C38@20261028-483e350c</t>
        </is>
      </c>
      <c r="J548" s="4" t="inlineStr">
        <is>
          <t>MS-C38</t>
        </is>
      </c>
      <c r="K548" s="4" t="inlineStr">
        <is>
          <t>1/1</t>
        </is>
      </c>
      <c r="L548" s="7" t="inlineStr">
        <is>
          <t>Approved</t>
        </is>
      </c>
      <c r="M548" s="7" t="n"/>
      <c r="N548" s="4" t="inlineStr">
        <is>
          <t>Actor, branch and dependency need review.</t>
        </is>
      </c>
    </row>
    <row r="549" ht="40" customHeight="1">
      <c r="A549" s="8" t="inlineStr">
        <is>
          <t>C38</t>
        </is>
      </c>
      <c r="B549" s="8" t="inlineStr">
        <is>
          <t>Pratyaksh Hanstantrit Labh / Direct Benefits Transfer For LPG</t>
        </is>
      </c>
      <c r="C549" s="8" t="inlineStr">
        <is>
          <t>C38-P0014</t>
        </is>
      </c>
      <c r="D549" s="8" t="inlineStr">
        <is>
          <t>Offline</t>
        </is>
      </c>
      <c r="E549" s="8" t="inlineStr"/>
      <c r="F549" s="8" t="inlineStr">
        <is>
          <t>Source step text</t>
        </is>
      </c>
      <c r="G549" s="8" t="inlineStr">
        <is>
          <t>Step 3:Request the bank staff to link your Aadhaar number with your bank account.</t>
        </is>
      </c>
      <c r="H549" s="8" t="inlineStr">
        <is>
          <t>en.applicationProcess[0].process[3]</t>
        </is>
      </c>
      <c r="I549" s="8" t="inlineStr">
        <is>
          <t>C38@20261028-483e350c</t>
        </is>
      </c>
      <c r="J549" s="8" t="inlineStr">
        <is>
          <t>MS-C38</t>
        </is>
      </c>
      <c r="K549" s="8" t="inlineStr">
        <is>
          <t>1/1</t>
        </is>
      </c>
      <c r="L549" s="7" t="inlineStr">
        <is>
          <t>Approved</t>
        </is>
      </c>
      <c r="M549" s="7" t="n"/>
      <c r="N549" s="8" t="inlineStr">
        <is>
          <t>Actor, branch and dependency need review.</t>
        </is>
      </c>
    </row>
    <row r="550" ht="40" customHeight="1">
      <c r="A550" s="4" t="inlineStr">
        <is>
          <t>C38</t>
        </is>
      </c>
      <c r="B550" s="4" t="inlineStr">
        <is>
          <t>Pratyaksh Hanstantrit Labh / Direct Benefits Transfer For LPG</t>
        </is>
      </c>
      <c r="C550" s="4" t="inlineStr">
        <is>
          <t>C38-P0015</t>
        </is>
      </c>
      <c r="D550" s="4" t="inlineStr">
        <is>
          <t>Offline</t>
        </is>
      </c>
      <c r="E550" s="4" t="inlineStr"/>
      <c r="F550" s="4" t="inlineStr">
        <is>
          <t>Source step text</t>
        </is>
      </c>
      <c r="G550" s="4" t="inlineStr">
        <is>
          <t>Step 4:Fill out the Aadhaar linking form provided by the bank and submit it along with a copy of your Aadhaar card.</t>
        </is>
      </c>
      <c r="H550" s="4" t="inlineStr">
        <is>
          <t>en.applicationProcess[0].process[4]</t>
        </is>
      </c>
      <c r="I550" s="4" t="inlineStr">
        <is>
          <t>C38@20261028-483e350c</t>
        </is>
      </c>
      <c r="J550" s="4" t="inlineStr">
        <is>
          <t>MS-C38</t>
        </is>
      </c>
      <c r="K550" s="4" t="inlineStr">
        <is>
          <t>1/1</t>
        </is>
      </c>
      <c r="L550" s="7" t="inlineStr">
        <is>
          <t>Approved</t>
        </is>
      </c>
      <c r="M550" s="7" t="n"/>
      <c r="N550" s="4" t="inlineStr">
        <is>
          <t>Actor, branch and dependency need review.</t>
        </is>
      </c>
    </row>
    <row r="551" ht="40" customHeight="1">
      <c r="A551" s="8" t="inlineStr">
        <is>
          <t>C38</t>
        </is>
      </c>
      <c r="B551" s="8" t="inlineStr">
        <is>
          <t>Pratyaksh Hanstantrit Labh / Direct Benefits Transfer For LPG</t>
        </is>
      </c>
      <c r="C551" s="8" t="inlineStr">
        <is>
          <t>C38-P0016</t>
        </is>
      </c>
      <c r="D551" s="8" t="inlineStr">
        <is>
          <t>Offline</t>
        </is>
      </c>
      <c r="E551" s="8" t="inlineStr"/>
      <c r="F551" s="8" t="inlineStr">
        <is>
          <t>Source step text</t>
        </is>
      </c>
      <c r="G551" s="8" t="inlineStr">
        <is>
          <t>Step 5: The bank will notify you upon successful linking.</t>
        </is>
      </c>
      <c r="H551" s="8" t="inlineStr">
        <is>
          <t>en.applicationProcess[0].process[5]</t>
        </is>
      </c>
      <c r="I551" s="8" t="inlineStr">
        <is>
          <t>C38@20261028-483e350c</t>
        </is>
      </c>
      <c r="J551" s="8" t="inlineStr">
        <is>
          <t>MS-C38</t>
        </is>
      </c>
      <c r="K551" s="8" t="inlineStr">
        <is>
          <t>1/1</t>
        </is>
      </c>
      <c r="L551" s="7" t="inlineStr">
        <is>
          <t>Approved</t>
        </is>
      </c>
      <c r="M551" s="7" t="n"/>
      <c r="N551" s="8" t="inlineStr">
        <is>
          <t>Actor, branch and dependency need review.</t>
        </is>
      </c>
    </row>
    <row r="552" ht="40" customHeight="1">
      <c r="A552" s="4" t="inlineStr">
        <is>
          <t>C38</t>
        </is>
      </c>
      <c r="B552" s="4" t="inlineStr">
        <is>
          <t>Pratyaksh Hanstantrit Labh / Direct Benefits Transfer For LPG</t>
        </is>
      </c>
      <c r="C552" s="4" t="inlineStr">
        <is>
          <t>C38-P0017</t>
        </is>
      </c>
      <c r="D552" s="4" t="inlineStr">
        <is>
          <t>Offline</t>
        </is>
      </c>
      <c r="E552" s="4" t="inlineStr"/>
      <c r="F552" s="4" t="inlineStr">
        <is>
          <t>Source step text</t>
        </is>
      </c>
      <c r="G552" s="4" t="inlineStr">
        <is>
          <t>Through LPG Distributor:</t>
        </is>
      </c>
      <c r="H552" s="4" t="inlineStr">
        <is>
          <t>en.applicationProcess[0].process[6].children[0]</t>
        </is>
      </c>
      <c r="I552" s="4" t="inlineStr">
        <is>
          <t>C38@20261028-483e350c</t>
        </is>
      </c>
      <c r="J552" s="4" t="inlineStr">
        <is>
          <t>MS-C38</t>
        </is>
      </c>
      <c r="K552" s="4" t="inlineStr">
        <is>
          <t>1/1</t>
        </is>
      </c>
      <c r="L552" s="7" t="inlineStr">
        <is>
          <t>Approved</t>
        </is>
      </c>
      <c r="M552" s="7" t="n"/>
      <c r="N552" s="4" t="inlineStr">
        <is>
          <t>Actor, branch and dependency need review.</t>
        </is>
      </c>
    </row>
    <row r="553" ht="40" customHeight="1">
      <c r="A553" s="8" t="inlineStr">
        <is>
          <t>C38</t>
        </is>
      </c>
      <c r="B553" s="8" t="inlineStr">
        <is>
          <t>Pratyaksh Hanstantrit Labh / Direct Benefits Transfer For LPG</t>
        </is>
      </c>
      <c r="C553" s="8" t="inlineStr">
        <is>
          <t>C38-P0018</t>
        </is>
      </c>
      <c r="D553" s="8" t="inlineStr">
        <is>
          <t>Offline</t>
        </is>
      </c>
      <c r="E553" s="8" t="inlineStr"/>
      <c r="F553" s="8" t="inlineStr">
        <is>
          <t>Source step text</t>
        </is>
      </c>
      <c r="G553" s="8" t="inlineStr">
        <is>
          <t>Step 1: Visit your LPG distributor's office.</t>
        </is>
      </c>
      <c r="H553" s="8" t="inlineStr">
        <is>
          <t>en.applicationProcess[0].process[7]</t>
        </is>
      </c>
      <c r="I553" s="8" t="inlineStr">
        <is>
          <t>C38@20261028-483e350c</t>
        </is>
      </c>
      <c r="J553" s="8" t="inlineStr">
        <is>
          <t>MS-C38</t>
        </is>
      </c>
      <c r="K553" s="8" t="inlineStr">
        <is>
          <t>1/1</t>
        </is>
      </c>
      <c r="L553" s="7" t="inlineStr">
        <is>
          <t>Approved</t>
        </is>
      </c>
      <c r="M553" s="7" t="n"/>
      <c r="N553" s="8" t="inlineStr">
        <is>
          <t>Actor, branch and dependency need review.</t>
        </is>
      </c>
    </row>
    <row r="554" ht="40" customHeight="1">
      <c r="A554" s="4" t="inlineStr">
        <is>
          <t>C38</t>
        </is>
      </c>
      <c r="B554" s="4" t="inlineStr">
        <is>
          <t>Pratyaksh Hanstantrit Labh / Direct Benefits Transfer For LPG</t>
        </is>
      </c>
      <c r="C554" s="4" t="inlineStr">
        <is>
          <t>C38-P0019</t>
        </is>
      </c>
      <c r="D554" s="4" t="inlineStr">
        <is>
          <t>Offline</t>
        </is>
      </c>
      <c r="E554" s="4" t="inlineStr"/>
      <c r="F554" s="4" t="inlineStr">
        <is>
          <t>Source step text</t>
        </is>
      </c>
      <c r="G554" s="4" t="inlineStr">
        <is>
          <t>Step 2: Carry a copy of your Aadhaar card and the original for verification.</t>
        </is>
      </c>
      <c r="H554" s="4" t="inlineStr">
        <is>
          <t>en.applicationProcess[0].process[8]</t>
        </is>
      </c>
      <c r="I554" s="4" t="inlineStr">
        <is>
          <t>C38@20261028-483e350c</t>
        </is>
      </c>
      <c r="J554" s="4" t="inlineStr">
        <is>
          <t>MS-C38</t>
        </is>
      </c>
      <c r="K554" s="4" t="inlineStr">
        <is>
          <t>1/1</t>
        </is>
      </c>
      <c r="L554" s="7" t="inlineStr">
        <is>
          <t>Approved</t>
        </is>
      </c>
      <c r="M554" s="7" t="n"/>
      <c r="N554" s="4" t="inlineStr">
        <is>
          <t>Actor, branch and dependency need review.</t>
        </is>
      </c>
    </row>
    <row r="555" ht="40" customHeight="1">
      <c r="A555" s="8" t="inlineStr">
        <is>
          <t>C38</t>
        </is>
      </c>
      <c r="B555" s="8" t="inlineStr">
        <is>
          <t>Pratyaksh Hanstantrit Labh / Direct Benefits Transfer For LPG</t>
        </is>
      </c>
      <c r="C555" s="8" t="inlineStr">
        <is>
          <t>C38-P0020</t>
        </is>
      </c>
      <c r="D555" s="8" t="inlineStr">
        <is>
          <t>Offline</t>
        </is>
      </c>
      <c r="E555" s="8" t="inlineStr"/>
      <c r="F555" s="8" t="inlineStr">
        <is>
          <t>Source step text</t>
        </is>
      </c>
      <c r="G555" s="8" t="inlineStr">
        <is>
          <t>Step 3: Provide your LPG Consumer Number and request Aadhaar linking.</t>
        </is>
      </c>
      <c r="H555" s="8" t="inlineStr">
        <is>
          <t>en.applicationProcess[0].process[9]</t>
        </is>
      </c>
      <c r="I555" s="8" t="inlineStr">
        <is>
          <t>C38@20261028-483e350c</t>
        </is>
      </c>
      <c r="J555" s="8" t="inlineStr">
        <is>
          <t>MS-C38</t>
        </is>
      </c>
      <c r="K555" s="8" t="inlineStr">
        <is>
          <t>1/1</t>
        </is>
      </c>
      <c r="L555" s="7" t="inlineStr">
        <is>
          <t>Approved</t>
        </is>
      </c>
      <c r="M555" s="7" t="n"/>
      <c r="N555" s="8" t="inlineStr">
        <is>
          <t>Actor, branch and dependency need review.</t>
        </is>
      </c>
    </row>
    <row r="556" ht="40" customHeight="1">
      <c r="A556" s="4" t="inlineStr">
        <is>
          <t>C38</t>
        </is>
      </c>
      <c r="B556" s="4" t="inlineStr">
        <is>
          <t>Pratyaksh Hanstantrit Labh / Direct Benefits Transfer For LPG</t>
        </is>
      </c>
      <c r="C556" s="4" t="inlineStr">
        <is>
          <t>C38-P0021</t>
        </is>
      </c>
      <c r="D556" s="4" t="inlineStr">
        <is>
          <t>Offline</t>
        </is>
      </c>
      <c r="E556" s="4" t="inlineStr"/>
      <c r="F556" s="4" t="inlineStr">
        <is>
          <t>Source step text</t>
        </is>
      </c>
      <c r="G556" s="4" t="inlineStr">
        <is>
          <t>Step 4: Fill out the Aadhaar linking form provided by the distributor and submit it along with a copy of your Aadhaar card.</t>
        </is>
      </c>
      <c r="H556" s="4" t="inlineStr">
        <is>
          <t>en.applicationProcess[0].process[10]</t>
        </is>
      </c>
      <c r="I556" s="4" t="inlineStr">
        <is>
          <t>C38@20261028-483e350c</t>
        </is>
      </c>
      <c r="J556" s="4" t="inlineStr">
        <is>
          <t>MS-C38</t>
        </is>
      </c>
      <c r="K556" s="4" t="inlineStr">
        <is>
          <t>1/1</t>
        </is>
      </c>
      <c r="L556" s="7" t="inlineStr">
        <is>
          <t>Approved</t>
        </is>
      </c>
      <c r="M556" s="7" t="n"/>
      <c r="N556" s="4" t="inlineStr">
        <is>
          <t>Actor, branch and dependency need review.</t>
        </is>
      </c>
    </row>
    <row r="557" ht="40" customHeight="1">
      <c r="A557" s="8" t="inlineStr">
        <is>
          <t>C38</t>
        </is>
      </c>
      <c r="B557" s="8" t="inlineStr">
        <is>
          <t>Pratyaksh Hanstantrit Labh / Direct Benefits Transfer For LPG</t>
        </is>
      </c>
      <c r="C557" s="8" t="inlineStr">
        <is>
          <t>C38-P0022</t>
        </is>
      </c>
      <c r="D557" s="8" t="inlineStr">
        <is>
          <t>Offline</t>
        </is>
      </c>
      <c r="E557" s="8" t="inlineStr"/>
      <c r="F557" s="8" t="inlineStr">
        <is>
          <t>Source step text</t>
        </is>
      </c>
      <c r="G557" s="8" t="inlineStr">
        <is>
          <t>Step 5: You will be notified once the linking process is completed successfully.</t>
        </is>
      </c>
      <c r="H557" s="8" t="inlineStr">
        <is>
          <t>en.applicationProcess[0].process[11]</t>
        </is>
      </c>
      <c r="I557" s="8" t="inlineStr">
        <is>
          <t>C38@20261028-483e350c</t>
        </is>
      </c>
      <c r="J557" s="8" t="inlineStr">
        <is>
          <t>MS-C38</t>
        </is>
      </c>
      <c r="K557" s="8" t="inlineStr">
        <is>
          <t>1/1</t>
        </is>
      </c>
      <c r="L557" s="7" t="inlineStr">
        <is>
          <t>Approved</t>
        </is>
      </c>
      <c r="M557" s="7" t="n"/>
      <c r="N557" s="8" t="inlineStr">
        <is>
          <t>Actor, branch and dependency need review.</t>
        </is>
      </c>
    </row>
    <row r="558" ht="40" customHeight="1">
      <c r="A558" s="4" t="inlineStr">
        <is>
          <t>C38</t>
        </is>
      </c>
      <c r="B558" s="4" t="inlineStr">
        <is>
          <t>Pratyaksh Hanstantrit Labh / Direct Benefits Transfer For LPG</t>
        </is>
      </c>
      <c r="C558" s="4" t="inlineStr">
        <is>
          <t>C38-P0023</t>
        </is>
      </c>
      <c r="D558" s="4" t="inlineStr">
        <is>
          <t>Offline</t>
        </is>
      </c>
      <c r="E558" s="4" t="inlineStr"/>
      <c r="F558" s="4" t="inlineStr">
        <is>
          <t>Source step text</t>
        </is>
      </c>
      <c r="G558" s="4" t="inlineStr">
        <is>
          <t xml:space="preserve">Note: </t>
        </is>
      </c>
      <c r="H558" s="4" t="inlineStr">
        <is>
          <t>en.applicationProcess[0].process[12].children[0]</t>
        </is>
      </c>
      <c r="I558" s="4" t="inlineStr">
        <is>
          <t>C38@20261028-483e350c</t>
        </is>
      </c>
      <c r="J558" s="4" t="inlineStr">
        <is>
          <t>MS-C38</t>
        </is>
      </c>
      <c r="K558" s="4" t="inlineStr">
        <is>
          <t>1/1</t>
        </is>
      </c>
      <c r="L558" s="7" t="inlineStr">
        <is>
          <t>Approved</t>
        </is>
      </c>
      <c r="M558" s="7" t="n"/>
      <c r="N558" s="4" t="inlineStr">
        <is>
          <t>Actor, branch and dependency need review.</t>
        </is>
      </c>
    </row>
    <row r="559" ht="54" customHeight="1">
      <c r="A559" s="8" t="inlineStr">
        <is>
          <t>C38</t>
        </is>
      </c>
      <c r="B559" s="8" t="inlineStr">
        <is>
          <t>Pratyaksh Hanstantrit Labh / Direct Benefits Transfer For LPG</t>
        </is>
      </c>
      <c r="C559" s="8" t="inlineStr">
        <is>
          <t>C38-P0024</t>
        </is>
      </c>
      <c r="D559" s="8" t="inlineStr">
        <is>
          <t>Offline</t>
        </is>
      </c>
      <c r="E559" s="8" t="inlineStr"/>
      <c r="F559" s="8" t="inlineStr">
        <is>
          <t>Source step text</t>
        </is>
      </c>
      <c r="G559" s="8" t="inlineStr">
        <is>
          <t>If the applicant does not link their Aadhaar Number to their Bank Account and LPG Consumer Number within 3 months, they will need to purchase cylinders at the market price. Subsidies will no longer be available without Aadhaar linkage.</t>
        </is>
      </c>
      <c r="H559" s="8" t="inlineStr">
        <is>
          <t>en.applicationProcess[0].process[12].children[1]</t>
        </is>
      </c>
      <c r="I559" s="8" t="inlineStr">
        <is>
          <t>C38@20261028-483e350c</t>
        </is>
      </c>
      <c r="J559" s="8" t="inlineStr">
        <is>
          <t>MS-C38</t>
        </is>
      </c>
      <c r="K559" s="8" t="inlineStr">
        <is>
          <t>1/1</t>
        </is>
      </c>
      <c r="L559" s="7" t="inlineStr">
        <is>
          <t>Approved</t>
        </is>
      </c>
      <c r="M559" s="7" t="n"/>
      <c r="N559" s="8" t="inlineStr">
        <is>
          <t>Actor, branch and dependency need review.</t>
        </is>
      </c>
    </row>
    <row r="560" ht="40" customHeight="1">
      <c r="A560" s="4" t="inlineStr">
        <is>
          <t>C39</t>
        </is>
      </c>
      <c r="B560" s="4" t="inlineStr">
        <is>
          <t>Atal Bhujal Yojana</t>
        </is>
      </c>
      <c r="C560" s="4" t="inlineStr">
        <is>
          <t>C39-P0040</t>
        </is>
      </c>
      <c r="D560" s="4" t="inlineStr">
        <is>
          <t>Online</t>
        </is>
      </c>
      <c r="E560" s="4" t="inlineStr"/>
      <c r="F560" s="4" t="inlineStr">
        <is>
          <t>Source step text</t>
        </is>
      </c>
      <c r="G560" s="4" t="inlineStr">
        <is>
          <t>Step 1:</t>
        </is>
      </c>
      <c r="H560" s="4" t="inlineStr">
        <is>
          <t>en.applicationProcess[0].process[0].children[0]</t>
        </is>
      </c>
      <c r="I560" s="4" t="inlineStr">
        <is>
          <t>C39@20261028-5776a732</t>
        </is>
      </c>
      <c r="J560" s="4" t="inlineStr">
        <is>
          <t>MS-C39</t>
        </is>
      </c>
      <c r="K560" s="4" t="inlineStr">
        <is>
          <t>1/1</t>
        </is>
      </c>
      <c r="L560" s="7" t="inlineStr">
        <is>
          <t>Approved</t>
        </is>
      </c>
      <c r="M560" s="7" t="n"/>
      <c r="N560" s="4" t="inlineStr">
        <is>
          <t>Actor, branch and dependency need review.</t>
        </is>
      </c>
    </row>
    <row r="561" ht="40" customHeight="1">
      <c r="A561" s="8" t="inlineStr">
        <is>
          <t>C39</t>
        </is>
      </c>
      <c r="B561" s="8" t="inlineStr">
        <is>
          <t>Atal Bhujal Yojana</t>
        </is>
      </c>
      <c r="C561" s="8" t="inlineStr">
        <is>
          <t>C39-P0042</t>
        </is>
      </c>
      <c r="D561" s="8" t="inlineStr">
        <is>
          <t>Online</t>
        </is>
      </c>
      <c r="E561" s="8" t="inlineStr"/>
      <c r="F561" s="8" t="inlineStr">
        <is>
          <t>Source step text</t>
        </is>
      </c>
      <c r="G561" s="8" t="inlineStr">
        <is>
          <t>Accessing The Portal And Submitting Baseline Data</t>
        </is>
      </c>
      <c r="H561" s="8" t="inlineStr">
        <is>
          <t>en.applicationProcess[0].process[0].children[2]</t>
        </is>
      </c>
      <c r="I561" s="8" t="inlineStr">
        <is>
          <t>C39@20261028-5776a732</t>
        </is>
      </c>
      <c r="J561" s="8" t="inlineStr">
        <is>
          <t>MS-C39</t>
        </is>
      </c>
      <c r="K561" s="8" t="inlineStr">
        <is>
          <t>1/1</t>
        </is>
      </c>
      <c r="L561" s="7" t="inlineStr">
        <is>
          <t>Approved</t>
        </is>
      </c>
      <c r="M561" s="7" t="n"/>
      <c r="N561" s="8" t="inlineStr">
        <is>
          <t>Actor, branch and dependency need review.</t>
        </is>
      </c>
    </row>
    <row r="562" ht="68" customHeight="1">
      <c r="A562" s="4" t="inlineStr">
        <is>
          <t>C39</t>
        </is>
      </c>
      <c r="B562" s="4" t="inlineStr">
        <is>
          <t>Atal Bhujal Yojana</t>
        </is>
      </c>
      <c r="C562" s="4" t="inlineStr">
        <is>
          <t>C39-P0043</t>
        </is>
      </c>
      <c r="D562" s="4" t="inlineStr">
        <is>
          <t>Online</t>
        </is>
      </c>
      <c r="E562" s="4" t="inlineStr"/>
      <c r="F562" s="4" t="inlineStr">
        <is>
          <t>Source step text</t>
        </is>
      </c>
      <c r="G562" s="4" t="inlineStr">
        <is>
          <t>The applicant must access the official Management Information System portal developed for Atal Bhujal Yojana to enter the required baseline data. The designated community resource persons must regularly feed the collected groundwater level, rainfall, and water quality data into the digital application to facilitate accurate water budgeting.</t>
        </is>
      </c>
      <c r="H562" s="4" t="inlineStr">
        <is>
          <t>en.applicationProcess[0].process[1]</t>
        </is>
      </c>
      <c r="I562" s="4" t="inlineStr">
        <is>
          <t>C39@20261028-5776a732</t>
        </is>
      </c>
      <c r="J562" s="4" t="inlineStr">
        <is>
          <t>MS-C39</t>
        </is>
      </c>
      <c r="K562" s="4" t="inlineStr">
        <is>
          <t>1/1</t>
        </is>
      </c>
      <c r="L562" s="7" t="inlineStr">
        <is>
          <t>Approved</t>
        </is>
      </c>
      <c r="M562" s="7" t="n"/>
      <c r="N562" s="4" t="inlineStr">
        <is>
          <t>Actor, branch and dependency need review.</t>
        </is>
      </c>
    </row>
    <row r="563" ht="40" customHeight="1">
      <c r="A563" s="8" t="inlineStr">
        <is>
          <t>C39</t>
        </is>
      </c>
      <c r="B563" s="8" t="inlineStr">
        <is>
          <t>Atal Bhujal Yojana</t>
        </is>
      </c>
      <c r="C563" s="8" t="inlineStr">
        <is>
          <t>C39-P0044</t>
        </is>
      </c>
      <c r="D563" s="8" t="inlineStr">
        <is>
          <t>Online</t>
        </is>
      </c>
      <c r="E563" s="8" t="inlineStr"/>
      <c r="F563" s="8" t="inlineStr">
        <is>
          <t>Source step text</t>
        </is>
      </c>
      <c r="G563" s="8" t="inlineStr">
        <is>
          <t>Step 2:</t>
        </is>
      </c>
      <c r="H563" s="8" t="inlineStr">
        <is>
          <t>en.applicationProcess[0].process[2].children[0]</t>
        </is>
      </c>
      <c r="I563" s="8" t="inlineStr">
        <is>
          <t>C39@20261028-5776a732</t>
        </is>
      </c>
      <c r="J563" s="8" t="inlineStr">
        <is>
          <t>MS-C39</t>
        </is>
      </c>
      <c r="K563" s="8" t="inlineStr">
        <is>
          <t>1/1</t>
        </is>
      </c>
      <c r="L563" s="7" t="inlineStr">
        <is>
          <t>Approved</t>
        </is>
      </c>
      <c r="M563" s="7" t="n"/>
      <c r="N563" s="8" t="inlineStr">
        <is>
          <t>Actor, branch and dependency need review.</t>
        </is>
      </c>
    </row>
    <row r="564" ht="40" customHeight="1">
      <c r="A564" s="4" t="inlineStr">
        <is>
          <t>C39</t>
        </is>
      </c>
      <c r="B564" s="4" t="inlineStr">
        <is>
          <t>Atal Bhujal Yojana</t>
        </is>
      </c>
      <c r="C564" s="4" t="inlineStr">
        <is>
          <t>C39-P0046</t>
        </is>
      </c>
      <c r="D564" s="4" t="inlineStr">
        <is>
          <t>Online</t>
        </is>
      </c>
      <c r="E564" s="4" t="inlineStr"/>
      <c r="F564" s="4" t="inlineStr">
        <is>
          <t>Source step text</t>
        </is>
      </c>
      <c r="G564" s="4" t="inlineStr">
        <is>
          <t>Submitting The Water Security Plan For Approval</t>
        </is>
      </c>
      <c r="H564" s="4" t="inlineStr">
        <is>
          <t>en.applicationProcess[0].process[2].children[2]</t>
        </is>
      </c>
      <c r="I564" s="4" t="inlineStr">
        <is>
          <t>C39@20261028-5776a732</t>
        </is>
      </c>
      <c r="J564" s="4" t="inlineStr">
        <is>
          <t>MS-C39</t>
        </is>
      </c>
      <c r="K564" s="4" t="inlineStr">
        <is>
          <t>1/1</t>
        </is>
      </c>
      <c r="L564" s="7" t="inlineStr">
        <is>
          <t>Approved</t>
        </is>
      </c>
      <c r="M564" s="7" t="n"/>
      <c r="N564" s="4" t="inlineStr">
        <is>
          <t>Actor, branch and dependency need review.</t>
        </is>
      </c>
    </row>
    <row r="565" ht="68" customHeight="1">
      <c r="A565" s="8" t="inlineStr">
        <is>
          <t>C39</t>
        </is>
      </c>
      <c r="B565" s="8" t="inlineStr">
        <is>
          <t>Atal Bhujal Yojana</t>
        </is>
      </c>
      <c r="C565" s="8" t="inlineStr">
        <is>
          <t>C39-P0047</t>
        </is>
      </c>
      <c r="D565" s="8" t="inlineStr">
        <is>
          <t>Online</t>
        </is>
      </c>
      <c r="E565" s="8" t="inlineStr"/>
      <c r="F565" s="8" t="inlineStr">
        <is>
          <t>Source step text</t>
        </is>
      </c>
      <c r="G565" s="8" t="inlineStr">
        <is>
          <t>The applicant must convene a community meeting to review the water budget and pass a formal resolution approving the finalized Water Security Plan. The applicant must then submit the approved Water Security Plan to the District Program Management Unit for further review, allocation, and action.</t>
        </is>
      </c>
      <c r="H565" s="8" t="inlineStr">
        <is>
          <t>en.applicationProcess[0].process[3]</t>
        </is>
      </c>
      <c r="I565" s="8" t="inlineStr">
        <is>
          <t>C39@20261028-5776a732</t>
        </is>
      </c>
      <c r="J565" s="8" t="inlineStr">
        <is>
          <t>MS-C39</t>
        </is>
      </c>
      <c r="K565" s="8" t="inlineStr">
        <is>
          <t>1/1</t>
        </is>
      </c>
      <c r="L565" s="7" t="inlineStr">
        <is>
          <t>Approved</t>
        </is>
      </c>
      <c r="M565" s="7" t="n"/>
      <c r="N565" s="8" t="inlineStr">
        <is>
          <t>Actor, branch and dependency need review.</t>
        </is>
      </c>
    </row>
    <row r="566" ht="40" customHeight="1">
      <c r="A566" s="4" t="inlineStr">
        <is>
          <t>C39</t>
        </is>
      </c>
      <c r="B566" s="4" t="inlineStr">
        <is>
          <t>Atal Bhujal Yojana</t>
        </is>
      </c>
      <c r="C566" s="4" t="inlineStr">
        <is>
          <t>C39-P0048</t>
        </is>
      </c>
      <c r="D566" s="4" t="inlineStr">
        <is>
          <t>Online</t>
        </is>
      </c>
      <c r="E566" s="4" t="inlineStr"/>
      <c r="F566" s="4" t="inlineStr">
        <is>
          <t>Source step text</t>
        </is>
      </c>
      <c r="G566" s="4" t="inlineStr">
        <is>
          <t>Step 3:</t>
        </is>
      </c>
      <c r="H566" s="4" t="inlineStr">
        <is>
          <t>en.applicationProcess[0].process[4].children[0]</t>
        </is>
      </c>
      <c r="I566" s="4" t="inlineStr">
        <is>
          <t>C39@20261028-5776a732</t>
        </is>
      </c>
      <c r="J566" s="4" t="inlineStr">
        <is>
          <t>MS-C39</t>
        </is>
      </c>
      <c r="K566" s="4" t="inlineStr">
        <is>
          <t>1/1</t>
        </is>
      </c>
      <c r="L566" s="7" t="inlineStr">
        <is>
          <t>Approved</t>
        </is>
      </c>
      <c r="M566" s="7" t="n"/>
      <c r="N566" s="4" t="inlineStr">
        <is>
          <t>Actor, branch and dependency need review.</t>
        </is>
      </c>
    </row>
    <row r="567" ht="40" customHeight="1">
      <c r="A567" s="8" t="inlineStr">
        <is>
          <t>C39</t>
        </is>
      </c>
      <c r="B567" s="8" t="inlineStr">
        <is>
          <t>Atal Bhujal Yojana</t>
        </is>
      </c>
      <c r="C567" s="8" t="inlineStr">
        <is>
          <t>C39-P0050</t>
        </is>
      </c>
      <c r="D567" s="8" t="inlineStr">
        <is>
          <t>Online</t>
        </is>
      </c>
      <c r="E567" s="8" t="inlineStr"/>
      <c r="F567" s="8" t="inlineStr">
        <is>
          <t>Source step text</t>
        </is>
      </c>
      <c r="G567" s="8" t="inlineStr">
        <is>
          <t>District And State Level Consolidation</t>
        </is>
      </c>
      <c r="H567" s="8" t="inlineStr">
        <is>
          <t>en.applicationProcess[0].process[4].children[2]</t>
        </is>
      </c>
      <c r="I567" s="8" t="inlineStr">
        <is>
          <t>C39@20261028-5776a732</t>
        </is>
      </c>
      <c r="J567" s="8" t="inlineStr">
        <is>
          <t>MS-C39</t>
        </is>
      </c>
      <c r="K567" s="8" t="inlineStr">
        <is>
          <t>1/1</t>
        </is>
      </c>
      <c r="L567" s="7" t="inlineStr">
        <is>
          <t>Approved</t>
        </is>
      </c>
      <c r="M567" s="7" t="n"/>
      <c r="N567" s="8" t="inlineStr">
        <is>
          <t>Actor, branch and dependency need review.</t>
        </is>
      </c>
    </row>
    <row r="568" ht="82" customHeight="1">
      <c r="A568" s="4" t="inlineStr">
        <is>
          <t>C39</t>
        </is>
      </c>
      <c r="B568" s="4" t="inlineStr">
        <is>
          <t>Atal Bhujal Yojana</t>
        </is>
      </c>
      <c r="C568" s="4" t="inlineStr">
        <is>
          <t>C39-P0051</t>
        </is>
      </c>
      <c r="D568" s="4" t="inlineStr">
        <is>
          <t>Online</t>
        </is>
      </c>
      <c r="E568" s="4" t="inlineStr"/>
      <c r="F568" s="4" t="inlineStr">
        <is>
          <t>Source step text</t>
        </is>
      </c>
      <c r="G568" s="4" t="inlineStr">
        <is>
          <t>The District Program Management Unit must consolidate and validate the submitted plans at the district level before forwarding the recommendations to the State Program Management Unit. The State Program Management Unit must review the state-level plans and submit them to the State Level Steering Committee for final budget allocation, convergence mapping, and approval.</t>
        </is>
      </c>
      <c r="H568" s="4" t="inlineStr">
        <is>
          <t>en.applicationProcess[0].process[5]</t>
        </is>
      </c>
      <c r="I568" s="4" t="inlineStr">
        <is>
          <t>C39@20261028-5776a732</t>
        </is>
      </c>
      <c r="J568" s="4" t="inlineStr">
        <is>
          <t>MS-C39</t>
        </is>
      </c>
      <c r="K568" s="4" t="inlineStr">
        <is>
          <t>1/1</t>
        </is>
      </c>
      <c r="L568" s="7" t="inlineStr">
        <is>
          <t>Approved</t>
        </is>
      </c>
      <c r="M568" s="7" t="n"/>
      <c r="N568" s="4" t="inlineStr">
        <is>
          <t>Actor, branch and dependency need review.</t>
        </is>
      </c>
    </row>
    <row r="569" ht="40" customHeight="1">
      <c r="A569" s="8" t="inlineStr">
        <is>
          <t>C39</t>
        </is>
      </c>
      <c r="B569" s="8" t="inlineStr">
        <is>
          <t>Atal Bhujal Yojana</t>
        </is>
      </c>
      <c r="C569" s="8" t="inlineStr">
        <is>
          <t>C39-P0052</t>
        </is>
      </c>
      <c r="D569" s="8" t="inlineStr">
        <is>
          <t>Online</t>
        </is>
      </c>
      <c r="E569" s="8" t="inlineStr"/>
      <c r="F569" s="8" t="inlineStr">
        <is>
          <t>Source step text</t>
        </is>
      </c>
      <c r="G569" s="8" t="inlineStr">
        <is>
          <t>Grievance Redressal / Help &amp; Support</t>
        </is>
      </c>
      <c r="H569" s="8" t="inlineStr">
        <is>
          <t>en.applicationProcess[0].process[6].children[0]</t>
        </is>
      </c>
      <c r="I569" s="8" t="inlineStr">
        <is>
          <t>C39@20261028-5776a732</t>
        </is>
      </c>
      <c r="J569" s="8" t="inlineStr">
        <is>
          <t>MS-C39</t>
        </is>
      </c>
      <c r="K569" s="8" t="inlineStr">
        <is>
          <t>1/1</t>
        </is>
      </c>
      <c r="L569" s="7" t="inlineStr">
        <is>
          <t>Approved</t>
        </is>
      </c>
      <c r="M569" s="7" t="n"/>
      <c r="N569" s="8" t="inlineStr">
        <is>
          <t>Actor, branch and dependency need review.</t>
        </is>
      </c>
    </row>
    <row r="570" ht="68" customHeight="1">
      <c r="A570" s="4" t="inlineStr">
        <is>
          <t>C39</t>
        </is>
      </c>
      <c r="B570" s="4" t="inlineStr">
        <is>
          <t>Atal Bhujal Yojana</t>
        </is>
      </c>
      <c r="C570" s="4" t="inlineStr">
        <is>
          <t>C39-P0053</t>
        </is>
      </c>
      <c r="D570" s="4" t="inlineStr">
        <is>
          <t>Online</t>
        </is>
      </c>
      <c r="E570" s="4" t="inlineStr"/>
      <c r="F570" s="4" t="inlineStr">
        <is>
          <t>Source step text</t>
        </is>
      </c>
      <c r="G570" s="4" t="inlineStr">
        <is>
          <t>A dedicated online Grievance Redressal Mechanism has been developed and integrated with the Management Information System for the early resolution of complaints. The applicants can utilize the official Toll-Free Number (011-1800110121) allocated for the immediate registration and redressal of grievances and complaints.</t>
        </is>
      </c>
      <c r="H570" s="4" t="inlineStr">
        <is>
          <t>en.applicationProcess[0].process[7]</t>
        </is>
      </c>
      <c r="I570" s="4" t="inlineStr">
        <is>
          <t>C39@20261028-5776a732</t>
        </is>
      </c>
      <c r="J570" s="4" t="inlineStr">
        <is>
          <t>MS-C39</t>
        </is>
      </c>
      <c r="K570" s="4" t="inlineStr">
        <is>
          <t>1/1</t>
        </is>
      </c>
      <c r="L570" s="7" t="inlineStr">
        <is>
          <t>Approved</t>
        </is>
      </c>
      <c r="M570" s="7" t="n"/>
      <c r="N570" s="4" t="inlineStr">
        <is>
          <t>Actor, branch and dependency need review.</t>
        </is>
      </c>
    </row>
    <row r="571" ht="40" customHeight="1">
      <c r="A571" s="8" t="inlineStr">
        <is>
          <t>M05</t>
        </is>
      </c>
      <c r="B571" s="8" t="inlineStr">
        <is>
          <t>State Post-metric Scholarship For Disabled</t>
        </is>
      </c>
      <c r="C571" s="8" t="inlineStr">
        <is>
          <t>M05-P0046</t>
        </is>
      </c>
      <c r="D571" s="8" t="inlineStr">
        <is>
          <t>Offline</t>
        </is>
      </c>
      <c r="E571" s="8" t="inlineStr"/>
      <c r="F571" s="8" t="inlineStr">
        <is>
          <t>Source step text</t>
        </is>
      </c>
      <c r="G571" s="8" t="inlineStr">
        <is>
          <t>Step 1: Request a hard copy of the format of the application form for the scheme from the concerned authority at your school/college.</t>
        </is>
      </c>
      <c r="H571" s="8" t="inlineStr">
        <is>
          <t>en.applicationProcess[0].process[0]</t>
        </is>
      </c>
      <c r="I571" s="8" t="inlineStr">
        <is>
          <t>M05@20261028-b94d6a7d</t>
        </is>
      </c>
      <c r="J571" s="8" t="inlineStr">
        <is>
          <t>MS-M05</t>
        </is>
      </c>
      <c r="K571" s="8" t="inlineStr">
        <is>
          <t>1/1</t>
        </is>
      </c>
      <c r="L571" s="7" t="inlineStr">
        <is>
          <t>Approved</t>
        </is>
      </c>
      <c r="M571" s="7" t="n"/>
      <c r="N571" s="8" t="inlineStr">
        <is>
          <t>Actor, branch and dependency need review.</t>
        </is>
      </c>
    </row>
    <row r="572" ht="54" customHeight="1">
      <c r="A572" s="4" t="inlineStr">
        <is>
          <t>M05</t>
        </is>
      </c>
      <c r="B572" s="4" t="inlineStr">
        <is>
          <t>State Post-metric Scholarship For Disabled</t>
        </is>
      </c>
      <c r="C572" s="4" t="inlineStr">
        <is>
          <t>M05-P0047</t>
        </is>
      </c>
      <c r="D572" s="4" t="inlineStr">
        <is>
          <t>Offline</t>
        </is>
      </c>
      <c r="E572" s="4" t="inlineStr"/>
      <c r="F572" s="4" t="inlineStr">
        <is>
          <t>Source step text</t>
        </is>
      </c>
      <c r="G572" s="4" t="inlineStr">
        <is>
          <t>Step 2: In the application form, fill in all the mandatory fields, paste the passport-sized photograph (signed across), and attach all the (self-attested) mandatory documents.</t>
        </is>
      </c>
      <c r="H572" s="4" t="inlineStr">
        <is>
          <t>en.applicationProcess[0].process[1]</t>
        </is>
      </c>
      <c r="I572" s="4" t="inlineStr">
        <is>
          <t>M05@20261028-b94d6a7d</t>
        </is>
      </c>
      <c r="J572" s="4" t="inlineStr">
        <is>
          <t>MS-M05</t>
        </is>
      </c>
      <c r="K572" s="4" t="inlineStr">
        <is>
          <t>1/1</t>
        </is>
      </c>
      <c r="L572" s="7" t="inlineStr">
        <is>
          <t>Approved</t>
        </is>
      </c>
      <c r="M572" s="7" t="n"/>
      <c r="N572" s="4" t="inlineStr">
        <is>
          <t>Actor, branch and dependency need review.</t>
        </is>
      </c>
    </row>
    <row r="573" ht="40" customHeight="1">
      <c r="A573" s="8" t="inlineStr">
        <is>
          <t>M05</t>
        </is>
      </c>
      <c r="B573" s="8" t="inlineStr">
        <is>
          <t>State Post-metric Scholarship For Disabled</t>
        </is>
      </c>
      <c r="C573" s="8" t="inlineStr">
        <is>
          <t>M05-P0048</t>
        </is>
      </c>
      <c r="D573" s="8" t="inlineStr">
        <is>
          <t>Offline</t>
        </is>
      </c>
      <c r="E573" s="8" t="inlineStr"/>
      <c r="F573" s="8" t="inlineStr">
        <is>
          <t>Source step text</t>
        </is>
      </c>
      <c r="G573" s="8" t="inlineStr">
        <is>
          <t>Step 3: Submit the duly filled and signed application form along with the documents to the concerned authority at your school/college.</t>
        </is>
      </c>
      <c r="H573" s="8" t="inlineStr">
        <is>
          <t>en.applicationProcess[0].process[2]</t>
        </is>
      </c>
      <c r="I573" s="8" t="inlineStr">
        <is>
          <t>M05@20261028-b94d6a7d</t>
        </is>
      </c>
      <c r="J573" s="8" t="inlineStr">
        <is>
          <t>MS-M05</t>
        </is>
      </c>
      <c r="K573" s="8" t="inlineStr">
        <is>
          <t>1/1</t>
        </is>
      </c>
      <c r="L573" s="7" t="inlineStr">
        <is>
          <t>Approved</t>
        </is>
      </c>
      <c r="M573" s="7" t="n"/>
      <c r="N573" s="8" t="inlineStr">
        <is>
          <t>Actor, branch and dependency need review.</t>
        </is>
      </c>
    </row>
    <row r="574" ht="40" customHeight="1">
      <c r="A574" s="4" t="inlineStr">
        <is>
          <t>M05</t>
        </is>
      </c>
      <c r="B574" s="4" t="inlineStr">
        <is>
          <t>State Post-metric Scholarship For Disabled</t>
        </is>
      </c>
      <c r="C574" s="4" t="inlineStr">
        <is>
          <t>M05-P0049</t>
        </is>
      </c>
      <c r="D574" s="4" t="inlineStr">
        <is>
          <t>Offline</t>
        </is>
      </c>
      <c r="E574" s="4" t="inlineStr"/>
      <c r="F574" s="4" t="inlineStr">
        <is>
          <t>Source step text</t>
        </is>
      </c>
      <c r="G574" s="4" t="inlineStr">
        <is>
          <t>Step 4: Acquire the receipt/acknowledgment of the successful submission of the application form from the concerned authority at your school/college.</t>
        </is>
      </c>
      <c r="H574" s="4" t="inlineStr">
        <is>
          <t>en.applicationProcess[0].process[3]</t>
        </is>
      </c>
      <c r="I574" s="4" t="inlineStr">
        <is>
          <t>M05@20261028-b94d6a7d</t>
        </is>
      </c>
      <c r="J574" s="4" t="inlineStr">
        <is>
          <t>MS-M05</t>
        </is>
      </c>
      <c r="K574" s="4" t="inlineStr">
        <is>
          <t>1/1</t>
        </is>
      </c>
      <c r="L574" s="7" t="inlineStr">
        <is>
          <t>Approved</t>
        </is>
      </c>
      <c r="M574" s="7" t="n"/>
      <c r="N574" s="4" t="inlineStr">
        <is>
          <t>Actor, branch and dependency need review.</t>
        </is>
      </c>
    </row>
    <row r="575" ht="40" customHeight="1">
      <c r="A575" s="8" t="inlineStr">
        <is>
          <t>M06</t>
        </is>
      </c>
      <c r="B575" s="8" t="inlineStr">
        <is>
          <t>Homes For Intellectually Impaired Persons</t>
        </is>
      </c>
      <c r="C575" s="8" t="inlineStr">
        <is>
          <t>M06-P0016</t>
        </is>
      </c>
      <c r="D575" s="8" t="inlineStr">
        <is>
          <t>Offline</t>
        </is>
      </c>
      <c r="E575" s="8" t="inlineStr"/>
      <c r="F575" s="8" t="inlineStr">
        <is>
          <t>Source step text</t>
        </is>
      </c>
      <c r="G575" s="8" t="inlineStr">
        <is>
          <t>Step 1: Visit the Child Welfare Committee, and request a hard copy of the format of the application form for the scheme from the concerned authority.</t>
        </is>
      </c>
      <c r="H575" s="8" t="inlineStr">
        <is>
          <t>en.applicationProcess[0].process[0]</t>
        </is>
      </c>
      <c r="I575" s="8" t="inlineStr">
        <is>
          <t>M06@20261028-150cae35</t>
        </is>
      </c>
      <c r="J575" s="8" t="inlineStr">
        <is>
          <t>MS-M06</t>
        </is>
      </c>
      <c r="K575" s="8" t="inlineStr">
        <is>
          <t>1/1</t>
        </is>
      </c>
      <c r="L575" s="7" t="inlineStr">
        <is>
          <t>Approved</t>
        </is>
      </c>
      <c r="M575" s="7" t="n"/>
      <c r="N575" s="8" t="inlineStr">
        <is>
          <t>Actor, branch and dependency need review.</t>
        </is>
      </c>
    </row>
    <row r="576" ht="54" customHeight="1">
      <c r="A576" s="4" t="inlineStr">
        <is>
          <t>M06</t>
        </is>
      </c>
      <c r="B576" s="4" t="inlineStr">
        <is>
          <t>Homes For Intellectually Impaired Persons</t>
        </is>
      </c>
      <c r="C576" s="4" t="inlineStr">
        <is>
          <t>M06-P0017</t>
        </is>
      </c>
      <c r="D576" s="4" t="inlineStr">
        <is>
          <t>Offline</t>
        </is>
      </c>
      <c r="E576" s="4" t="inlineStr"/>
      <c r="F576" s="4" t="inlineStr">
        <is>
          <t>Source step text</t>
        </is>
      </c>
      <c r="G576" s="4" t="inlineStr">
        <is>
          <t>Step 2: In the application form, fill in all the mandatory fields, paste the passport-sized photograph (signed across), and attach all the (self-attested) mandatory documents.</t>
        </is>
      </c>
      <c r="H576" s="4" t="inlineStr">
        <is>
          <t>en.applicationProcess[0].process[1]</t>
        </is>
      </c>
      <c r="I576" s="4" t="inlineStr">
        <is>
          <t>M06@20261028-150cae35</t>
        </is>
      </c>
      <c r="J576" s="4" t="inlineStr">
        <is>
          <t>MS-M06</t>
        </is>
      </c>
      <c r="K576" s="4" t="inlineStr">
        <is>
          <t>1/1</t>
        </is>
      </c>
      <c r="L576" s="7" t="inlineStr">
        <is>
          <t>Approved</t>
        </is>
      </c>
      <c r="M576" s="7" t="n"/>
      <c r="N576" s="4" t="inlineStr">
        <is>
          <t>Actor, branch and dependency need review.</t>
        </is>
      </c>
    </row>
    <row r="577" ht="40" customHeight="1">
      <c r="A577" s="8" t="inlineStr">
        <is>
          <t>M06</t>
        </is>
      </c>
      <c r="B577" s="8" t="inlineStr">
        <is>
          <t>Homes For Intellectually Impaired Persons</t>
        </is>
      </c>
      <c r="C577" s="8" t="inlineStr">
        <is>
          <t>M06-P0018</t>
        </is>
      </c>
      <c r="D577" s="8" t="inlineStr">
        <is>
          <t>Offline</t>
        </is>
      </c>
      <c r="E577" s="8" t="inlineStr"/>
      <c r="F577" s="8" t="inlineStr">
        <is>
          <t>Source step text</t>
        </is>
      </c>
      <c r="G577" s="8" t="inlineStr">
        <is>
          <t>Step 3: Submit the duly filled and signed application form along with the documents at the office of the concerned Child Welfare Committee.</t>
        </is>
      </c>
      <c r="H577" s="8" t="inlineStr">
        <is>
          <t>en.applicationProcess[0].process[2]</t>
        </is>
      </c>
      <c r="I577" s="8" t="inlineStr">
        <is>
          <t>M06@20261028-150cae35</t>
        </is>
      </c>
      <c r="J577" s="8" t="inlineStr">
        <is>
          <t>MS-M06</t>
        </is>
      </c>
      <c r="K577" s="8" t="inlineStr">
        <is>
          <t>1/1</t>
        </is>
      </c>
      <c r="L577" s="7" t="inlineStr">
        <is>
          <t>Approved</t>
        </is>
      </c>
      <c r="M577" s="7" t="n"/>
      <c r="N577" s="8" t="inlineStr">
        <is>
          <t>Actor, branch and dependency need review.</t>
        </is>
      </c>
    </row>
    <row r="578" ht="40" customHeight="1">
      <c r="A578" s="4" t="inlineStr">
        <is>
          <t>M06</t>
        </is>
      </c>
      <c r="B578" s="4" t="inlineStr">
        <is>
          <t>Homes For Intellectually Impaired Persons</t>
        </is>
      </c>
      <c r="C578" s="4" t="inlineStr">
        <is>
          <t>M06-P0019</t>
        </is>
      </c>
      <c r="D578" s="4" t="inlineStr">
        <is>
          <t>Offline</t>
        </is>
      </c>
      <c r="E578" s="4" t="inlineStr"/>
      <c r="F578" s="4" t="inlineStr">
        <is>
          <t>Source step text</t>
        </is>
      </c>
      <c r="G578" s="4" t="inlineStr">
        <is>
          <t>Step 4: Acquire the receipt/acknowledgment of the successful submission of the application form from the office.</t>
        </is>
      </c>
      <c r="H578" s="4" t="inlineStr">
        <is>
          <t>en.applicationProcess[0].process[3]</t>
        </is>
      </c>
      <c r="I578" s="4" t="inlineStr">
        <is>
          <t>M06@20261028-150cae35</t>
        </is>
      </c>
      <c r="J578" s="4" t="inlineStr">
        <is>
          <t>MS-M06</t>
        </is>
      </c>
      <c r="K578" s="4" t="inlineStr">
        <is>
          <t>1/1</t>
        </is>
      </c>
      <c r="L578" s="7" t="inlineStr">
        <is>
          <t>Approved</t>
        </is>
      </c>
      <c r="M578" s="7" t="n"/>
      <c r="N578" s="4" t="inlineStr">
        <is>
          <t>Actor, branch and dependency need review.</t>
        </is>
      </c>
    </row>
    <row r="579" ht="40" customHeight="1">
      <c r="A579" s="8" t="inlineStr">
        <is>
          <t>M07</t>
        </is>
      </c>
      <c r="B579" s="8" t="inlineStr">
        <is>
          <t>LIDCOM Gattai Stall Scheme</t>
        </is>
      </c>
      <c r="C579" s="8" t="inlineStr">
        <is>
          <t>M07-P0019</t>
        </is>
      </c>
      <c r="D579" s="8" t="inlineStr">
        <is>
          <t>Offline</t>
        </is>
      </c>
      <c r="E579" s="8" t="inlineStr"/>
      <c r="F579" s="8" t="inlineStr">
        <is>
          <t>Source step text</t>
        </is>
      </c>
      <c r="G579" s="8" t="inlineStr">
        <is>
          <t>Step 1: Take the format of the application form from the District Office of LIDCOM.</t>
        </is>
      </c>
      <c r="H579" s="8" t="inlineStr">
        <is>
          <t>en.applicationProcess[0].process[0]</t>
        </is>
      </c>
      <c r="I579" s="8" t="inlineStr">
        <is>
          <t>M07@20261028-8461c67b</t>
        </is>
      </c>
      <c r="J579" s="8" t="inlineStr">
        <is>
          <t>MS-M07</t>
        </is>
      </c>
      <c r="K579" s="8" t="inlineStr">
        <is>
          <t>1/1</t>
        </is>
      </c>
      <c r="L579" s="7" t="inlineStr">
        <is>
          <t>Approved</t>
        </is>
      </c>
      <c r="M579" s="7" t="n"/>
      <c r="N579" s="8" t="inlineStr">
        <is>
          <t>Actor, branch and dependency need review.</t>
        </is>
      </c>
    </row>
    <row r="580" ht="40" customHeight="1">
      <c r="A580" s="4" t="inlineStr">
        <is>
          <t>M07</t>
        </is>
      </c>
      <c r="B580" s="4" t="inlineStr">
        <is>
          <t>LIDCOM Gattai Stall Scheme</t>
        </is>
      </c>
      <c r="C580" s="4" t="inlineStr">
        <is>
          <t>M07-P0020</t>
        </is>
      </c>
      <c r="D580" s="4" t="inlineStr">
        <is>
          <t>Offline</t>
        </is>
      </c>
      <c r="E580" s="4" t="inlineStr"/>
      <c r="F580" s="4" t="inlineStr">
        <is>
          <t>Source step text</t>
        </is>
      </c>
      <c r="G580" s="4" t="inlineStr">
        <is>
          <t>Step 2: Fill in all the mandatory fields, paste the passport-sized photograph (signed across), and attach all the (self-attested) mandatory documents.</t>
        </is>
      </c>
      <c r="H580" s="4" t="inlineStr">
        <is>
          <t>en.applicationProcess[0].process[1]</t>
        </is>
      </c>
      <c r="I580" s="4" t="inlineStr">
        <is>
          <t>M07@20261028-8461c67b</t>
        </is>
      </c>
      <c r="J580" s="4" t="inlineStr">
        <is>
          <t>MS-M07</t>
        </is>
      </c>
      <c r="K580" s="4" t="inlineStr">
        <is>
          <t>1/1</t>
        </is>
      </c>
      <c r="L580" s="7" t="inlineStr">
        <is>
          <t>Approved</t>
        </is>
      </c>
      <c r="M580" s="7" t="n"/>
      <c r="N580" s="4" t="inlineStr">
        <is>
          <t>Actor, branch and dependency need review.</t>
        </is>
      </c>
    </row>
    <row r="581" ht="40" customHeight="1">
      <c r="A581" s="8" t="inlineStr">
        <is>
          <t>M07</t>
        </is>
      </c>
      <c r="B581" s="8" t="inlineStr">
        <is>
          <t>LIDCOM Gattai Stall Scheme</t>
        </is>
      </c>
      <c r="C581" s="8" t="inlineStr">
        <is>
          <t>M07-P0021</t>
        </is>
      </c>
      <c r="D581" s="8" t="inlineStr">
        <is>
          <t>Offline</t>
        </is>
      </c>
      <c r="E581" s="8" t="inlineStr"/>
      <c r="F581" s="8" t="inlineStr">
        <is>
          <t>Source step text</t>
        </is>
      </c>
      <c r="G581" s="8" t="inlineStr">
        <is>
          <t>Step 3: Submit the duly filled and signed application form along with the documents to the District Office.</t>
        </is>
      </c>
      <c r="H581" s="8" t="inlineStr">
        <is>
          <t>en.applicationProcess[0].process[2]</t>
        </is>
      </c>
      <c r="I581" s="8" t="inlineStr">
        <is>
          <t>M07@20261028-8461c67b</t>
        </is>
      </c>
      <c r="J581" s="8" t="inlineStr">
        <is>
          <t>MS-M07</t>
        </is>
      </c>
      <c r="K581" s="8" t="inlineStr">
        <is>
          <t>1/1</t>
        </is>
      </c>
      <c r="L581" s="7" t="inlineStr">
        <is>
          <t>Approved</t>
        </is>
      </c>
      <c r="M581" s="7" t="n"/>
      <c r="N581" s="8" t="inlineStr">
        <is>
          <t>Actor, branch and dependency need review.</t>
        </is>
      </c>
    </row>
    <row r="582" ht="40" customHeight="1">
      <c r="A582" s="4" t="inlineStr">
        <is>
          <t>M07</t>
        </is>
      </c>
      <c r="B582" s="4" t="inlineStr">
        <is>
          <t>LIDCOM Gattai Stall Scheme</t>
        </is>
      </c>
      <c r="C582" s="4" t="inlineStr">
        <is>
          <t>M07-P0022</t>
        </is>
      </c>
      <c r="D582" s="4" t="inlineStr">
        <is>
          <t>Offline</t>
        </is>
      </c>
      <c r="E582" s="4" t="inlineStr"/>
      <c r="F582" s="4" t="inlineStr">
        <is>
          <t>Source step text</t>
        </is>
      </c>
      <c r="G582" s="4" t="inlineStr">
        <is>
          <t>Step 4: Acquire the receipt/acknowledgment of the successful submission of the application form from the District Office.</t>
        </is>
      </c>
      <c r="H582" s="4" t="inlineStr">
        <is>
          <t>en.applicationProcess[0].process[3]</t>
        </is>
      </c>
      <c r="I582" s="4" t="inlineStr">
        <is>
          <t>M07@20261028-8461c67b</t>
        </is>
      </c>
      <c r="J582" s="4" t="inlineStr">
        <is>
          <t>MS-M07</t>
        </is>
      </c>
      <c r="K582" s="4" t="inlineStr">
        <is>
          <t>1/1</t>
        </is>
      </c>
      <c r="L582" s="7" t="inlineStr">
        <is>
          <t>Approved</t>
        </is>
      </c>
      <c r="M582" s="7" t="n"/>
      <c r="N582" s="4" t="inlineStr">
        <is>
          <t>Actor, branch and dependency need review.</t>
        </is>
      </c>
    </row>
    <row r="583" ht="68" customHeight="1">
      <c r="A583" s="8" t="inlineStr">
        <is>
          <t>M08</t>
        </is>
      </c>
      <c r="B583" s="8" t="inlineStr">
        <is>
          <t>Mahila Kisan Yojana (Maharashtra)</t>
        </is>
      </c>
      <c r="C583" s="8" t="inlineStr">
        <is>
          <t>M08-P0021</t>
        </is>
      </c>
      <c r="D583" s="8" t="inlineStr">
        <is>
          <t>Offline</t>
        </is>
      </c>
      <c r="E583" s="8" t="inlineStr"/>
      <c r="F583" s="8" t="inlineStr">
        <is>
          <t>Source step text</t>
        </is>
      </c>
      <c r="G583" s="8" t="inlineStr">
        <is>
          <t>Step 1: The interested applicant should visit (during office hours) the District Office of  Leather Industries Development Corporation of Maharashtra (LIDCOM), and request the hard copy of the prescribed format of the application form from the concerned authority.</t>
        </is>
      </c>
      <c r="H583" s="8" t="inlineStr">
        <is>
          <t>en.applicationProcess[0].process[0]</t>
        </is>
      </c>
      <c r="I583" s="8" t="inlineStr">
        <is>
          <t>M08@20261028-c1034a4d</t>
        </is>
      </c>
      <c r="J583" s="8" t="inlineStr">
        <is>
          <t>MS-M08</t>
        </is>
      </c>
      <c r="K583" s="8" t="inlineStr">
        <is>
          <t>1/1</t>
        </is>
      </c>
      <c r="L583" s="7" t="inlineStr">
        <is>
          <t>Approved</t>
        </is>
      </c>
      <c r="M583" s="7" t="n"/>
      <c r="N583" s="8" t="inlineStr">
        <is>
          <t>Actor, branch and dependency need review.</t>
        </is>
      </c>
    </row>
    <row r="584" ht="54" customHeight="1">
      <c r="A584" s="4" t="inlineStr">
        <is>
          <t>M08</t>
        </is>
      </c>
      <c r="B584" s="4" t="inlineStr">
        <is>
          <t>Mahila Kisan Yojana (Maharashtra)</t>
        </is>
      </c>
      <c r="C584" s="4" t="inlineStr">
        <is>
          <t>M08-P0022</t>
        </is>
      </c>
      <c r="D584" s="4" t="inlineStr">
        <is>
          <t>Offline</t>
        </is>
      </c>
      <c r="E584" s="4" t="inlineStr"/>
      <c r="F584" s="4" t="inlineStr">
        <is>
          <t>Source step text</t>
        </is>
      </c>
      <c r="G584" s="4" t="inlineStr">
        <is>
          <t>Step 2: In the application form, fill in all the mandatory fields, paste the passport-sized photograph (signed across, if required), and attach copies of all the mandatory documents (self-attest, if required).</t>
        </is>
      </c>
      <c r="H584" s="4" t="inlineStr">
        <is>
          <t>en.applicationProcess[0].process[1]</t>
        </is>
      </c>
      <c r="I584" s="4" t="inlineStr">
        <is>
          <t>M08@20261028-c1034a4d</t>
        </is>
      </c>
      <c r="J584" s="4" t="inlineStr">
        <is>
          <t>MS-M08</t>
        </is>
      </c>
      <c r="K584" s="4" t="inlineStr">
        <is>
          <t>1/1</t>
        </is>
      </c>
      <c r="L584" s="7" t="inlineStr">
        <is>
          <t>Approved</t>
        </is>
      </c>
      <c r="M584" s="7" t="n"/>
      <c r="N584" s="4" t="inlineStr">
        <is>
          <t>Actor, branch and dependency need review.</t>
        </is>
      </c>
    </row>
    <row r="585" ht="54" customHeight="1">
      <c r="A585" s="8" t="inlineStr">
        <is>
          <t>M08</t>
        </is>
      </c>
      <c r="B585" s="8" t="inlineStr">
        <is>
          <t>Mahila Kisan Yojana (Maharashtra)</t>
        </is>
      </c>
      <c r="C585" s="8" t="inlineStr">
        <is>
          <t>M08-P0023</t>
        </is>
      </c>
      <c r="D585" s="8" t="inlineStr">
        <is>
          <t>Offline</t>
        </is>
      </c>
      <c r="E585" s="8" t="inlineStr"/>
      <c r="F585" s="8" t="inlineStr">
        <is>
          <t>Source step text</t>
        </is>
      </c>
      <c r="G585" s="8" t="inlineStr">
        <is>
          <t>Step 3: Submit the duly filled and signed application form along with the documents, within the prescribed period (if any), to the District Office of  Leather Industries Development Corporation of Maharashtra (LIDCOM).</t>
        </is>
      </c>
      <c r="H585" s="8" t="inlineStr">
        <is>
          <t>en.applicationProcess[0].process[2]</t>
        </is>
      </c>
      <c r="I585" s="8" t="inlineStr">
        <is>
          <t>M08@20261028-c1034a4d</t>
        </is>
      </c>
      <c r="J585" s="8" t="inlineStr">
        <is>
          <t>MS-M08</t>
        </is>
      </c>
      <c r="K585" s="8" t="inlineStr">
        <is>
          <t>1/1</t>
        </is>
      </c>
      <c r="L585" s="7" t="inlineStr">
        <is>
          <t>Approved</t>
        </is>
      </c>
      <c r="M585" s="7" t="n"/>
      <c r="N585" s="8" t="inlineStr">
        <is>
          <t>Actor, branch and dependency need review.</t>
        </is>
      </c>
    </row>
    <row r="586" ht="68" customHeight="1">
      <c r="A586" s="4" t="inlineStr">
        <is>
          <t>M08</t>
        </is>
      </c>
      <c r="B586" s="4" t="inlineStr">
        <is>
          <t>Mahila Kisan Yojana (Maharashtra)</t>
        </is>
      </c>
      <c r="C586" s="4" t="inlineStr">
        <is>
          <t>M08-P0024</t>
        </is>
      </c>
      <c r="D586" s="4" t="inlineStr">
        <is>
          <t>Offline</t>
        </is>
      </c>
      <c r="E586" s="4" t="inlineStr"/>
      <c r="F586" s="4" t="inlineStr">
        <is>
          <t>Source step text</t>
        </is>
      </c>
      <c r="G586" s="4"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H586" s="4" t="inlineStr">
        <is>
          <t>en.applicationProcess[0].process[3]</t>
        </is>
      </c>
      <c r="I586" s="4" t="inlineStr">
        <is>
          <t>M08@20261028-c1034a4d</t>
        </is>
      </c>
      <c r="J586" s="4" t="inlineStr">
        <is>
          <t>MS-M08</t>
        </is>
      </c>
      <c r="K586" s="4" t="inlineStr">
        <is>
          <t>1/1</t>
        </is>
      </c>
      <c r="L586" s="7" t="inlineStr">
        <is>
          <t>Approved</t>
        </is>
      </c>
      <c r="M586" s="7" t="n"/>
      <c r="N586" s="4" t="inlineStr">
        <is>
          <t>Actor, branch and dependency need review.</t>
        </is>
      </c>
    </row>
    <row r="587" ht="40" customHeight="1">
      <c r="A587" s="8" t="inlineStr">
        <is>
          <t>M08</t>
        </is>
      </c>
      <c r="B587" s="8" t="inlineStr">
        <is>
          <t>Mahila Kisan Yojana (Maharashtra)</t>
        </is>
      </c>
      <c r="C587" s="8" t="inlineStr">
        <is>
          <t>M08-P0025</t>
        </is>
      </c>
      <c r="D587" s="8" t="inlineStr">
        <is>
          <t>Offline</t>
        </is>
      </c>
      <c r="E587" s="8" t="inlineStr"/>
      <c r="F587" s="8" t="inlineStr">
        <is>
          <t>Source step text</t>
        </is>
      </c>
      <c r="G587" s="8" t="inlineStr">
        <is>
          <t>NOTE: Ensure that the application is submitted within the prescribed period, if any.</t>
        </is>
      </c>
      <c r="H587" s="8" t="inlineStr">
        <is>
          <t>en.applicationProcess[0].process[4]</t>
        </is>
      </c>
      <c r="I587" s="8" t="inlineStr">
        <is>
          <t>M08@20261028-c1034a4d</t>
        </is>
      </c>
      <c r="J587" s="8" t="inlineStr">
        <is>
          <t>MS-M08</t>
        </is>
      </c>
      <c r="K587" s="8" t="inlineStr">
        <is>
          <t>1/1</t>
        </is>
      </c>
      <c r="L587" s="7" t="inlineStr">
        <is>
          <t>Approved</t>
        </is>
      </c>
      <c r="M587" s="7" t="n"/>
      <c r="N587" s="8" t="inlineStr">
        <is>
          <t>Actor, branch and dependency need review.</t>
        </is>
      </c>
    </row>
    <row r="588" ht="54" customHeight="1">
      <c r="A588" s="4" t="inlineStr">
        <is>
          <t>M09</t>
        </is>
      </c>
      <c r="B588" s="4" t="inlineStr">
        <is>
          <t>Mahila Samridhi Yojana (Maharashtra)</t>
        </is>
      </c>
      <c r="C588" s="4" t="inlineStr">
        <is>
          <t>M09-P0013</t>
        </is>
      </c>
      <c r="D588" s="4" t="inlineStr">
        <is>
          <t>Offline</t>
        </is>
      </c>
      <c r="E588" s="4" t="inlineStr"/>
      <c r="F588" s="4" t="inlineStr">
        <is>
          <t>Source step text</t>
        </is>
      </c>
      <c r="G588" s="4" t="inlineStr">
        <is>
          <t>Step 1: The interested applicant should visit (during office hours) the District Office of LIDCOM and request the hard copy of the prescribed format of the application form from the concerned authority.</t>
        </is>
      </c>
      <c r="H588" s="4" t="inlineStr">
        <is>
          <t>en.applicationProcess[0].process[0]</t>
        </is>
      </c>
      <c r="I588" s="4" t="inlineStr">
        <is>
          <t>M09@20261028-3555bc31</t>
        </is>
      </c>
      <c r="J588" s="4" t="inlineStr">
        <is>
          <t>MS-M09</t>
        </is>
      </c>
      <c r="K588" s="4" t="inlineStr">
        <is>
          <t>1/1</t>
        </is>
      </c>
      <c r="L588" s="7" t="inlineStr">
        <is>
          <t>Approved</t>
        </is>
      </c>
      <c r="M588" s="7" t="n"/>
      <c r="N588" s="4" t="inlineStr">
        <is>
          <t>Actor, branch and dependency need review.</t>
        </is>
      </c>
    </row>
    <row r="589" ht="54" customHeight="1">
      <c r="A589" s="8" t="inlineStr">
        <is>
          <t>M09</t>
        </is>
      </c>
      <c r="B589" s="8" t="inlineStr">
        <is>
          <t>Mahila Samridhi Yojana (Maharashtra)</t>
        </is>
      </c>
      <c r="C589" s="8" t="inlineStr">
        <is>
          <t>M09-P0014</t>
        </is>
      </c>
      <c r="D589" s="8" t="inlineStr">
        <is>
          <t>Offline</t>
        </is>
      </c>
      <c r="E589" s="8" t="inlineStr"/>
      <c r="F589" s="8" t="inlineStr">
        <is>
          <t>Source step text</t>
        </is>
      </c>
      <c r="G589" s="8" t="inlineStr">
        <is>
          <t>Step 2: In the application form, fill in all the mandatory fields, paste the passport-sized photograph (signed across, if required), and attach copies of all the mandatory documents (self-attest, if required).</t>
        </is>
      </c>
      <c r="H589" s="8" t="inlineStr">
        <is>
          <t>en.applicationProcess[0].process[1]</t>
        </is>
      </c>
      <c r="I589" s="8" t="inlineStr">
        <is>
          <t>M09@20261028-3555bc31</t>
        </is>
      </c>
      <c r="J589" s="8" t="inlineStr">
        <is>
          <t>MS-M09</t>
        </is>
      </c>
      <c r="K589" s="8" t="inlineStr">
        <is>
          <t>1/1</t>
        </is>
      </c>
      <c r="L589" s="7" t="inlineStr">
        <is>
          <t>Approved</t>
        </is>
      </c>
      <c r="M589" s="7" t="n"/>
      <c r="N589" s="8" t="inlineStr">
        <is>
          <t>Actor, branch and dependency need review.</t>
        </is>
      </c>
    </row>
    <row r="590" ht="40" customHeight="1">
      <c r="A590" s="4" t="inlineStr">
        <is>
          <t>M09</t>
        </is>
      </c>
      <c r="B590" s="4" t="inlineStr">
        <is>
          <t>Mahila Samridhi Yojana (Maharashtra)</t>
        </is>
      </c>
      <c r="C590" s="4" t="inlineStr">
        <is>
          <t>M09-P0015</t>
        </is>
      </c>
      <c r="D590" s="4" t="inlineStr">
        <is>
          <t>Offline</t>
        </is>
      </c>
      <c r="E590" s="4" t="inlineStr"/>
      <c r="F590" s="4" t="inlineStr">
        <is>
          <t>Source step text</t>
        </is>
      </c>
      <c r="G590" s="4" t="inlineStr">
        <is>
          <t>Step 3: Submit the duly filled and signed application form along with the documents, within the prescribed period (if any), to the District Office of LIDCOM.</t>
        </is>
      </c>
      <c r="H590" s="4" t="inlineStr">
        <is>
          <t>en.applicationProcess[0].process[2]</t>
        </is>
      </c>
      <c r="I590" s="4" t="inlineStr">
        <is>
          <t>M09@20261028-3555bc31</t>
        </is>
      </c>
      <c r="J590" s="4" t="inlineStr">
        <is>
          <t>MS-M09</t>
        </is>
      </c>
      <c r="K590" s="4" t="inlineStr">
        <is>
          <t>1/1</t>
        </is>
      </c>
      <c r="L590" s="7" t="inlineStr">
        <is>
          <t>Approved</t>
        </is>
      </c>
      <c r="M590" s="7" t="n"/>
      <c r="N590" s="4" t="inlineStr">
        <is>
          <t>Actor, branch and dependency need review.</t>
        </is>
      </c>
    </row>
    <row r="591" ht="68" customHeight="1">
      <c r="A591" s="8" t="inlineStr">
        <is>
          <t>M09</t>
        </is>
      </c>
      <c r="B591" s="8" t="inlineStr">
        <is>
          <t>Mahila Samridhi Yojana (Maharashtra)</t>
        </is>
      </c>
      <c r="C591" s="8" t="inlineStr">
        <is>
          <t>M09-P0016</t>
        </is>
      </c>
      <c r="D591" s="8" t="inlineStr">
        <is>
          <t>Offline</t>
        </is>
      </c>
      <c r="E591" s="8" t="inlineStr"/>
      <c r="F591" s="8" t="inlineStr">
        <is>
          <t>Source step text</t>
        </is>
      </c>
      <c r="G591" s="8"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H591" s="8" t="inlineStr">
        <is>
          <t>en.applicationProcess[0].process[3]</t>
        </is>
      </c>
      <c r="I591" s="8" t="inlineStr">
        <is>
          <t>M09@20261028-3555bc31</t>
        </is>
      </c>
      <c r="J591" s="8" t="inlineStr">
        <is>
          <t>MS-M09</t>
        </is>
      </c>
      <c r="K591" s="8" t="inlineStr">
        <is>
          <t>1/1</t>
        </is>
      </c>
      <c r="L591" s="7" t="inlineStr">
        <is>
          <t>Approved</t>
        </is>
      </c>
      <c r="M591" s="7" t="n"/>
      <c r="N591" s="8" t="inlineStr">
        <is>
          <t>Actor, branch and dependency need review.</t>
        </is>
      </c>
    </row>
    <row r="592" ht="40" customHeight="1">
      <c r="A592" s="4" t="inlineStr">
        <is>
          <t>M09</t>
        </is>
      </c>
      <c r="B592" s="4" t="inlineStr">
        <is>
          <t>Mahila Samridhi Yojana (Maharashtra)</t>
        </is>
      </c>
      <c r="C592" s="4" t="inlineStr">
        <is>
          <t>M09-P0017</t>
        </is>
      </c>
      <c r="D592" s="4" t="inlineStr">
        <is>
          <t>Offline</t>
        </is>
      </c>
      <c r="E592" s="4" t="inlineStr"/>
      <c r="F592" s="4" t="inlineStr">
        <is>
          <t>Source step text</t>
        </is>
      </c>
      <c r="G592" s="4" t="inlineStr">
        <is>
          <t>NOTE: Ensure that the application is submitted within the prescribed period, if any.</t>
        </is>
      </c>
      <c r="H592" s="4" t="inlineStr">
        <is>
          <t>en.applicationProcess[0].process[4]</t>
        </is>
      </c>
      <c r="I592" s="4" t="inlineStr">
        <is>
          <t>M09@20261028-3555bc31</t>
        </is>
      </c>
      <c r="J592" s="4" t="inlineStr">
        <is>
          <t>MS-M09</t>
        </is>
      </c>
      <c r="K592" s="4" t="inlineStr">
        <is>
          <t>1/1</t>
        </is>
      </c>
      <c r="L592" s="7" t="inlineStr">
        <is>
          <t>Approved</t>
        </is>
      </c>
      <c r="M592" s="7" t="n"/>
      <c r="N592" s="4" t="inlineStr">
        <is>
          <t>Actor, branch and dependency need review.</t>
        </is>
      </c>
    </row>
    <row r="593" ht="40" customHeight="1">
      <c r="A593" s="8" t="inlineStr">
        <is>
          <t>M10</t>
        </is>
      </c>
      <c r="B593" s="8" t="inlineStr">
        <is>
          <t>Financial Assistance For Aids And Appliances For Disabled Persons</t>
        </is>
      </c>
      <c r="C593" s="8" t="inlineStr">
        <is>
          <t>M10-P0018</t>
        </is>
      </c>
      <c r="D593" s="8" t="inlineStr">
        <is>
          <t>Offline</t>
        </is>
      </c>
      <c r="E593" s="8" t="inlineStr"/>
      <c r="F593" s="8" t="inlineStr">
        <is>
          <t>Source step text</t>
        </is>
      </c>
      <c r="G593" s="8" t="inlineStr">
        <is>
          <t>Step 1: Visit the District Social Welfare Office, and request a hard copy of the format of the application form for the scheme from the concerned authority.</t>
        </is>
      </c>
      <c r="H593" s="8" t="inlineStr">
        <is>
          <t>en.applicationProcess[0].process[0]</t>
        </is>
      </c>
      <c r="I593" s="8" t="inlineStr">
        <is>
          <t>M10@20261028-72a47e36</t>
        </is>
      </c>
      <c r="J593" s="8" t="inlineStr">
        <is>
          <t>MS-M10</t>
        </is>
      </c>
      <c r="K593" s="8" t="inlineStr">
        <is>
          <t>1/1</t>
        </is>
      </c>
      <c r="L593" s="7" t="inlineStr">
        <is>
          <t>Approved</t>
        </is>
      </c>
      <c r="M593" s="7" t="n"/>
      <c r="N593" s="8" t="inlineStr">
        <is>
          <t>Actor, branch and dependency need review.</t>
        </is>
      </c>
    </row>
    <row r="594" ht="54" customHeight="1">
      <c r="A594" s="4" t="inlineStr">
        <is>
          <t>M10</t>
        </is>
      </c>
      <c r="B594" s="4" t="inlineStr">
        <is>
          <t>Financial Assistance For Aids And Appliances For Disabled Persons</t>
        </is>
      </c>
      <c r="C594" s="4" t="inlineStr">
        <is>
          <t>M10-P0019</t>
        </is>
      </c>
      <c r="D594" s="4" t="inlineStr">
        <is>
          <t>Offline</t>
        </is>
      </c>
      <c r="E594" s="4" t="inlineStr"/>
      <c r="F594" s="4" t="inlineStr">
        <is>
          <t>Source step text</t>
        </is>
      </c>
      <c r="G594" s="4" t="inlineStr">
        <is>
          <t>Step 2: In the application form, fill in all the mandatory fields, paste the passport-sized photograph (signed across), and attach all the (self-attested) mandatory documents.</t>
        </is>
      </c>
      <c r="H594" s="4" t="inlineStr">
        <is>
          <t>en.applicationProcess[0].process[1]</t>
        </is>
      </c>
      <c r="I594" s="4" t="inlineStr">
        <is>
          <t>M10@20261028-72a47e36</t>
        </is>
      </c>
      <c r="J594" s="4" t="inlineStr">
        <is>
          <t>MS-M10</t>
        </is>
      </c>
      <c r="K594" s="4" t="inlineStr">
        <is>
          <t>1/1</t>
        </is>
      </c>
      <c r="L594" s="7" t="inlineStr">
        <is>
          <t>Approved</t>
        </is>
      </c>
      <c r="M594" s="7" t="n"/>
      <c r="N594" s="4" t="inlineStr">
        <is>
          <t>Actor, branch and dependency need review.</t>
        </is>
      </c>
    </row>
    <row r="595" ht="40" customHeight="1">
      <c r="A595" s="8" t="inlineStr">
        <is>
          <t>M10</t>
        </is>
      </c>
      <c r="B595" s="8" t="inlineStr">
        <is>
          <t>Financial Assistance For Aids And Appliances For Disabled Persons</t>
        </is>
      </c>
      <c r="C595" s="8" t="inlineStr">
        <is>
          <t>M10-P0020</t>
        </is>
      </c>
      <c r="D595" s="8" t="inlineStr">
        <is>
          <t>Offline</t>
        </is>
      </c>
      <c r="E595" s="8" t="inlineStr"/>
      <c r="F595" s="8" t="inlineStr">
        <is>
          <t>Source step text</t>
        </is>
      </c>
      <c r="G595" s="8" t="inlineStr">
        <is>
          <t>Step 3: Submit the duly filled and signed application form along with the documents to the Assistant Commissioner, District Social Welfare Office.</t>
        </is>
      </c>
      <c r="H595" s="8" t="inlineStr">
        <is>
          <t>en.applicationProcess[0].process[2]</t>
        </is>
      </c>
      <c r="I595" s="8" t="inlineStr">
        <is>
          <t>M10@20261028-72a47e36</t>
        </is>
      </c>
      <c r="J595" s="8" t="inlineStr">
        <is>
          <t>MS-M10</t>
        </is>
      </c>
      <c r="K595" s="8" t="inlineStr">
        <is>
          <t>1/1</t>
        </is>
      </c>
      <c r="L595" s="7" t="inlineStr">
        <is>
          <t>Approved</t>
        </is>
      </c>
      <c r="M595" s="7" t="n"/>
      <c r="N595" s="8" t="inlineStr">
        <is>
          <t>Actor, branch and dependency need review.</t>
        </is>
      </c>
    </row>
    <row r="596" ht="40" customHeight="1">
      <c r="A596" s="4" t="inlineStr">
        <is>
          <t>M10</t>
        </is>
      </c>
      <c r="B596" s="4" t="inlineStr">
        <is>
          <t>Financial Assistance For Aids And Appliances For Disabled Persons</t>
        </is>
      </c>
      <c r="C596" s="4" t="inlineStr">
        <is>
          <t>M10-P0021</t>
        </is>
      </c>
      <c r="D596" s="4" t="inlineStr">
        <is>
          <t>Offline</t>
        </is>
      </c>
      <c r="E596" s="4" t="inlineStr"/>
      <c r="F596" s="4" t="inlineStr">
        <is>
          <t>Source step text</t>
        </is>
      </c>
      <c r="G596" s="4" t="inlineStr">
        <is>
          <t>Step 4: Acquire the receipt/acknowledgment of the successful submission of the application form from the District Social Welfare Office.</t>
        </is>
      </c>
      <c r="H596" s="4" t="inlineStr">
        <is>
          <t>en.applicationProcess[0].process[3]</t>
        </is>
      </c>
      <c r="I596" s="4" t="inlineStr">
        <is>
          <t>M10@20261028-72a47e36</t>
        </is>
      </c>
      <c r="J596" s="4" t="inlineStr">
        <is>
          <t>MS-M10</t>
        </is>
      </c>
      <c r="K596" s="4" t="inlineStr">
        <is>
          <t>1/1</t>
        </is>
      </c>
      <c r="L596" s="7" t="inlineStr">
        <is>
          <t>Approved</t>
        </is>
      </c>
      <c r="M596" s="7" t="n"/>
      <c r="N596" s="4" t="inlineStr">
        <is>
          <t>Actor, branch and dependency need review.</t>
        </is>
      </c>
    </row>
    <row r="597" ht="40" customHeight="1">
      <c r="A597" s="8" t="inlineStr">
        <is>
          <t>M11</t>
        </is>
      </c>
      <c r="B597" s="8" t="inlineStr">
        <is>
          <t>Financial Assistance To Disabled For Self Employment</t>
        </is>
      </c>
      <c r="C597" s="8" t="inlineStr">
        <is>
          <t>M11-P0018</t>
        </is>
      </c>
      <c r="D597" s="8" t="inlineStr">
        <is>
          <t>Offline</t>
        </is>
      </c>
      <c r="E597" s="8" t="inlineStr"/>
      <c r="F597" s="8" t="inlineStr">
        <is>
          <t>Source step text</t>
        </is>
      </c>
      <c r="G597" s="8" t="inlineStr">
        <is>
          <t>Step 1: Visit the District Social Welfare Office, and request a hard copy of the format of the application form for the scheme from the concerned authority.</t>
        </is>
      </c>
      <c r="H597" s="8" t="inlineStr">
        <is>
          <t>en.applicationProcess[0].process[0]</t>
        </is>
      </c>
      <c r="I597" s="8" t="inlineStr">
        <is>
          <t>M11@20261028-8915f15c</t>
        </is>
      </c>
      <c r="J597" s="8" t="inlineStr">
        <is>
          <t>MS-M11</t>
        </is>
      </c>
      <c r="K597" s="8" t="inlineStr">
        <is>
          <t>1/1</t>
        </is>
      </c>
      <c r="L597" s="7" t="inlineStr">
        <is>
          <t>Approved</t>
        </is>
      </c>
      <c r="M597" s="7" t="n"/>
      <c r="N597" s="8" t="inlineStr">
        <is>
          <t>Actor, branch and dependency need review.</t>
        </is>
      </c>
    </row>
    <row r="598" ht="54" customHeight="1">
      <c r="A598" s="4" t="inlineStr">
        <is>
          <t>M11</t>
        </is>
      </c>
      <c r="B598" s="4" t="inlineStr">
        <is>
          <t>Financial Assistance To Disabled For Self Employment</t>
        </is>
      </c>
      <c r="C598" s="4" t="inlineStr">
        <is>
          <t>M11-P0019</t>
        </is>
      </c>
      <c r="D598" s="4" t="inlineStr">
        <is>
          <t>Offline</t>
        </is>
      </c>
      <c r="E598" s="4" t="inlineStr"/>
      <c r="F598" s="4" t="inlineStr">
        <is>
          <t>Source step text</t>
        </is>
      </c>
      <c r="G598" s="4" t="inlineStr">
        <is>
          <t>Step 2: In the application form, fill in all the mandatory fields, paste the passport-sized photograph (signed across), and attach all the (self-attested) mandatory documents.</t>
        </is>
      </c>
      <c r="H598" s="4" t="inlineStr">
        <is>
          <t>en.applicationProcess[0].process[1]</t>
        </is>
      </c>
      <c r="I598" s="4" t="inlineStr">
        <is>
          <t>M11@20261028-8915f15c</t>
        </is>
      </c>
      <c r="J598" s="4" t="inlineStr">
        <is>
          <t>MS-M11</t>
        </is>
      </c>
      <c r="K598" s="4" t="inlineStr">
        <is>
          <t>1/1</t>
        </is>
      </c>
      <c r="L598" s="7" t="inlineStr">
        <is>
          <t>Approved</t>
        </is>
      </c>
      <c r="M598" s="7" t="n"/>
      <c r="N598" s="4" t="inlineStr">
        <is>
          <t>Actor, branch and dependency need review.</t>
        </is>
      </c>
    </row>
    <row r="599" ht="40" customHeight="1">
      <c r="A599" s="8" t="inlineStr">
        <is>
          <t>M11</t>
        </is>
      </c>
      <c r="B599" s="8" t="inlineStr">
        <is>
          <t>Financial Assistance To Disabled For Self Employment</t>
        </is>
      </c>
      <c r="C599" s="8" t="inlineStr">
        <is>
          <t>M11-P0020</t>
        </is>
      </c>
      <c r="D599" s="8" t="inlineStr">
        <is>
          <t>Offline</t>
        </is>
      </c>
      <c r="E599" s="8" t="inlineStr"/>
      <c r="F599" s="8" t="inlineStr">
        <is>
          <t>Source step text</t>
        </is>
      </c>
      <c r="G599" s="8" t="inlineStr">
        <is>
          <t>Step 3: Submit the duly filled and signed application form along with the documents to the Assistant Commissioner, District Social Welfare Office.</t>
        </is>
      </c>
      <c r="H599" s="8" t="inlineStr">
        <is>
          <t>en.applicationProcess[0].process[2]</t>
        </is>
      </c>
      <c r="I599" s="8" t="inlineStr">
        <is>
          <t>M11@20261028-8915f15c</t>
        </is>
      </c>
      <c r="J599" s="8" t="inlineStr">
        <is>
          <t>MS-M11</t>
        </is>
      </c>
      <c r="K599" s="8" t="inlineStr">
        <is>
          <t>1/1</t>
        </is>
      </c>
      <c r="L599" s="7" t="inlineStr">
        <is>
          <t>Approved</t>
        </is>
      </c>
      <c r="M599" s="7" t="n"/>
      <c r="N599" s="8" t="inlineStr">
        <is>
          <t>Actor, branch and dependency need review.</t>
        </is>
      </c>
    </row>
    <row r="600" ht="40" customHeight="1">
      <c r="A600" s="4" t="inlineStr">
        <is>
          <t>M11</t>
        </is>
      </c>
      <c r="B600" s="4" t="inlineStr">
        <is>
          <t>Financial Assistance To Disabled For Self Employment</t>
        </is>
      </c>
      <c r="C600" s="4" t="inlineStr">
        <is>
          <t>M11-P0021</t>
        </is>
      </c>
      <c r="D600" s="4" t="inlineStr">
        <is>
          <t>Offline</t>
        </is>
      </c>
      <c r="E600" s="4" t="inlineStr"/>
      <c r="F600" s="4" t="inlineStr">
        <is>
          <t>Source step text</t>
        </is>
      </c>
      <c r="G600" s="4" t="inlineStr">
        <is>
          <t>Step 4: Acquire the receipt/acknowledgment of the successful submission of the application form from the District Social Welfare Office.</t>
        </is>
      </c>
      <c r="H600" s="4" t="inlineStr">
        <is>
          <t>en.applicationProcess[0].process[3]</t>
        </is>
      </c>
      <c r="I600" s="4" t="inlineStr">
        <is>
          <t>M11@20261028-8915f15c</t>
        </is>
      </c>
      <c r="J600" s="4" t="inlineStr">
        <is>
          <t>MS-M11</t>
        </is>
      </c>
      <c r="K600" s="4" t="inlineStr">
        <is>
          <t>1/1</t>
        </is>
      </c>
      <c r="L600" s="7" t="inlineStr">
        <is>
          <t>Approved</t>
        </is>
      </c>
      <c r="M600" s="7" t="n"/>
      <c r="N600" s="4" t="inlineStr">
        <is>
          <t>Actor, branch and dependency need review.</t>
        </is>
      </c>
    </row>
    <row r="601" ht="54" customHeight="1">
      <c r="A601" s="8" t="inlineStr">
        <is>
          <t>M12</t>
        </is>
      </c>
      <c r="B601" s="8" t="inlineStr">
        <is>
          <t>Ramai Awas (Gharkul) Scheme for SC &amp; Nav-Buddha (Urban and Rural)</t>
        </is>
      </c>
      <c r="C601" s="8" t="inlineStr">
        <is>
          <t>M12-P0022</t>
        </is>
      </c>
      <c r="D601" s="8" t="inlineStr">
        <is>
          <t>Online</t>
        </is>
      </c>
      <c r="E601" s="8" t="inlineStr"/>
      <c r="F601" s="8" t="inlineStr">
        <is>
          <t>Source step text</t>
        </is>
      </c>
      <c r="G601" s="8" t="inlineStr">
        <is>
          <t>Step 1: The interested applicant should visit (during office hours) one of the following officers and request a hard copy of the prescribed format of the application form from the concerned authority -</t>
        </is>
      </c>
      <c r="H601" s="8" t="inlineStr">
        <is>
          <t>en.applicationProcess[0].process[0]</t>
        </is>
      </c>
      <c r="I601" s="8" t="inlineStr">
        <is>
          <t>M12@20261028-70d4cb3b</t>
        </is>
      </c>
      <c r="J601" s="8" t="inlineStr">
        <is>
          <t>MS-M12</t>
        </is>
      </c>
      <c r="K601" s="8" t="inlineStr">
        <is>
          <t>1/1</t>
        </is>
      </c>
      <c r="L601" s="7" t="inlineStr">
        <is>
          <t>Approved</t>
        </is>
      </c>
      <c r="M601" s="7" t="n"/>
      <c r="N601" s="8" t="inlineStr">
        <is>
          <t>Actor, branch and dependency need review.</t>
        </is>
      </c>
    </row>
    <row r="602" ht="40" customHeight="1">
      <c r="A602" s="4" t="inlineStr">
        <is>
          <t>M12</t>
        </is>
      </c>
      <c r="B602" s="4" t="inlineStr">
        <is>
          <t>Ramai Awas (Gharkul) Scheme for SC &amp; Nav-Buddha (Urban and Rural)</t>
        </is>
      </c>
      <c r="C602" s="4" t="inlineStr">
        <is>
          <t>M12-P0023</t>
        </is>
      </c>
      <c r="D602" s="4" t="inlineStr">
        <is>
          <t>Online</t>
        </is>
      </c>
      <c r="E602" s="4" t="inlineStr"/>
      <c r="F602" s="4" t="inlineStr">
        <is>
          <t>Source step text</t>
        </is>
      </c>
      <c r="G602" s="4" t="inlineStr">
        <is>
          <t>Assistant Commissioner, Social Welfare Office</t>
        </is>
      </c>
      <c r="H602" s="4" t="inlineStr">
        <is>
          <t>en.applicationProcess[0].process[1].children[0]</t>
        </is>
      </c>
      <c r="I602" s="4" t="inlineStr">
        <is>
          <t>M12@20261028-70d4cb3b</t>
        </is>
      </c>
      <c r="J602" s="4" t="inlineStr">
        <is>
          <t>MS-M12</t>
        </is>
      </c>
      <c r="K602" s="4" t="inlineStr">
        <is>
          <t>1/1</t>
        </is>
      </c>
      <c r="L602" s="7" t="inlineStr">
        <is>
          <t>Approved</t>
        </is>
      </c>
      <c r="M602" s="7" t="n"/>
      <c r="N602" s="4" t="inlineStr">
        <is>
          <t>Actor, branch and dependency need review.</t>
        </is>
      </c>
    </row>
    <row r="603" ht="40" customHeight="1">
      <c r="A603" s="8" t="inlineStr">
        <is>
          <t>M12</t>
        </is>
      </c>
      <c r="B603" s="8" t="inlineStr">
        <is>
          <t>Ramai Awas (Gharkul) Scheme for SC &amp; Nav-Buddha (Urban and Rural)</t>
        </is>
      </c>
      <c r="C603" s="8" t="inlineStr">
        <is>
          <t>M12-P0024</t>
        </is>
      </c>
      <c r="D603" s="8" t="inlineStr">
        <is>
          <t>Online</t>
        </is>
      </c>
      <c r="E603" s="8" t="inlineStr"/>
      <c r="F603" s="8" t="inlineStr">
        <is>
          <t>Source step text</t>
        </is>
      </c>
      <c r="G603" s="8" t="inlineStr">
        <is>
          <t>Project Director, District Rural Development Agency</t>
        </is>
      </c>
      <c r="H603" s="8" t="inlineStr">
        <is>
          <t>en.applicationProcess[0].process[1].children[1]</t>
        </is>
      </c>
      <c r="I603" s="8" t="inlineStr">
        <is>
          <t>M12@20261028-70d4cb3b</t>
        </is>
      </c>
      <c r="J603" s="8" t="inlineStr">
        <is>
          <t>MS-M12</t>
        </is>
      </c>
      <c r="K603" s="8" t="inlineStr">
        <is>
          <t>1/1</t>
        </is>
      </c>
      <c r="L603" s="7" t="inlineStr">
        <is>
          <t>Approved</t>
        </is>
      </c>
      <c r="M603" s="7" t="n"/>
      <c r="N603" s="8" t="inlineStr">
        <is>
          <t>Actor, branch and dependency need review.</t>
        </is>
      </c>
    </row>
    <row r="604" ht="40" customHeight="1">
      <c r="A604" s="4" t="inlineStr">
        <is>
          <t>M12</t>
        </is>
      </c>
      <c r="B604" s="4" t="inlineStr">
        <is>
          <t>Ramai Awas (Gharkul) Scheme for SC &amp; Nav-Buddha (Urban and Rural)</t>
        </is>
      </c>
      <c r="C604" s="4" t="inlineStr">
        <is>
          <t>M12-P0025</t>
        </is>
      </c>
      <c r="D604" s="4" t="inlineStr">
        <is>
          <t>Online</t>
        </is>
      </c>
      <c r="E604" s="4" t="inlineStr"/>
      <c r="F604" s="4" t="inlineStr">
        <is>
          <t>Source step text</t>
        </is>
      </c>
      <c r="G604" s="4" t="inlineStr">
        <is>
          <t>District Council / Municipal Commissioner</t>
        </is>
      </c>
      <c r="H604" s="4" t="inlineStr">
        <is>
          <t>en.applicationProcess[0].process[1].children[2]</t>
        </is>
      </c>
      <c r="I604" s="4" t="inlineStr">
        <is>
          <t>M12@20261028-70d4cb3b</t>
        </is>
      </c>
      <c r="J604" s="4" t="inlineStr">
        <is>
          <t>MS-M12</t>
        </is>
      </c>
      <c r="K604" s="4" t="inlineStr">
        <is>
          <t>1/1</t>
        </is>
      </c>
      <c r="L604" s="7" t="inlineStr">
        <is>
          <t>Approved</t>
        </is>
      </c>
      <c r="M604" s="7" t="n"/>
      <c r="N604" s="4" t="inlineStr">
        <is>
          <t>Actor, branch and dependency need review.</t>
        </is>
      </c>
    </row>
    <row r="605" ht="54" customHeight="1">
      <c r="A605" s="8" t="inlineStr">
        <is>
          <t>M12</t>
        </is>
      </c>
      <c r="B605" s="8" t="inlineStr">
        <is>
          <t>Ramai Awas (Gharkul) Scheme for SC &amp; Nav-Buddha (Urban and Rural)</t>
        </is>
      </c>
      <c r="C605" s="8" t="inlineStr">
        <is>
          <t>M12-P0026</t>
        </is>
      </c>
      <c r="D605" s="8" t="inlineStr">
        <is>
          <t>Online</t>
        </is>
      </c>
      <c r="E605" s="8" t="inlineStr"/>
      <c r="F605" s="8" t="inlineStr">
        <is>
          <t>Source step text</t>
        </is>
      </c>
      <c r="G605" s="8" t="inlineStr">
        <is>
          <t>Step 2: In the application form, fill in all the mandatory fields, paste the passport-sized photograph (signed across, if required), and attach copies of all the mandatory documents (self-attest, if required).</t>
        </is>
      </c>
      <c r="H605" s="8" t="inlineStr">
        <is>
          <t>en.applicationProcess[0].process[2]</t>
        </is>
      </c>
      <c r="I605" s="8" t="inlineStr">
        <is>
          <t>M12@20261028-70d4cb3b</t>
        </is>
      </c>
      <c r="J605" s="8" t="inlineStr">
        <is>
          <t>MS-M12</t>
        </is>
      </c>
      <c r="K605" s="8" t="inlineStr">
        <is>
          <t>1/1</t>
        </is>
      </c>
      <c r="L605" s="7" t="inlineStr">
        <is>
          <t>Approved</t>
        </is>
      </c>
      <c r="M605" s="7" t="n"/>
      <c r="N605" s="8" t="inlineStr">
        <is>
          <t>Actor, branch and dependency need review.</t>
        </is>
      </c>
    </row>
    <row r="606" ht="40" customHeight="1">
      <c r="A606" s="4" t="inlineStr">
        <is>
          <t>M12</t>
        </is>
      </c>
      <c r="B606" s="4" t="inlineStr">
        <is>
          <t>Ramai Awas (Gharkul) Scheme for SC &amp; Nav-Buddha (Urban and Rural)</t>
        </is>
      </c>
      <c r="C606" s="4" t="inlineStr">
        <is>
          <t>M12-P0027</t>
        </is>
      </c>
      <c r="D606" s="4" t="inlineStr">
        <is>
          <t>Online</t>
        </is>
      </c>
      <c r="E606" s="4" t="inlineStr"/>
      <c r="F606" s="4" t="inlineStr">
        <is>
          <t>Source step text</t>
        </is>
      </c>
      <c r="G606" s="4" t="inlineStr">
        <is>
          <t>Step 3: Submit the duly filled and signed application form along with the documents, within the prescribed period (if any), to the concerned authority.</t>
        </is>
      </c>
      <c r="H606" s="4" t="inlineStr">
        <is>
          <t>en.applicationProcess[0].process[3]</t>
        </is>
      </c>
      <c r="I606" s="4" t="inlineStr">
        <is>
          <t>M12@20261028-70d4cb3b</t>
        </is>
      </c>
      <c r="J606" s="4" t="inlineStr">
        <is>
          <t>MS-M12</t>
        </is>
      </c>
      <c r="K606" s="4" t="inlineStr">
        <is>
          <t>1/1</t>
        </is>
      </c>
      <c r="L606" s="7" t="inlineStr">
        <is>
          <t>Approved</t>
        </is>
      </c>
      <c r="M606" s="7" t="n"/>
      <c r="N606" s="4" t="inlineStr">
        <is>
          <t>Actor, branch and dependency need review.</t>
        </is>
      </c>
    </row>
    <row r="607" ht="68" customHeight="1">
      <c r="A607" s="8" t="inlineStr">
        <is>
          <t>M12</t>
        </is>
      </c>
      <c r="B607" s="8" t="inlineStr">
        <is>
          <t>Ramai Awas (Gharkul) Scheme for SC &amp; Nav-Buddha (Urban and Rural)</t>
        </is>
      </c>
      <c r="C607" s="8" t="inlineStr">
        <is>
          <t>M12-P0028</t>
        </is>
      </c>
      <c r="D607" s="8" t="inlineStr">
        <is>
          <t>Online</t>
        </is>
      </c>
      <c r="E607" s="8" t="inlineStr"/>
      <c r="F607" s="8" t="inlineStr">
        <is>
          <t>Source step text</t>
        </is>
      </c>
      <c r="G607" s="8"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H607" s="8" t="inlineStr">
        <is>
          <t>en.applicationProcess[0].process[4]</t>
        </is>
      </c>
      <c r="I607" s="8" t="inlineStr">
        <is>
          <t>M12@20261028-70d4cb3b</t>
        </is>
      </c>
      <c r="J607" s="8" t="inlineStr">
        <is>
          <t>MS-M12</t>
        </is>
      </c>
      <c r="K607" s="8" t="inlineStr">
        <is>
          <t>1/1</t>
        </is>
      </c>
      <c r="L607" s="7" t="inlineStr">
        <is>
          <t>Approved</t>
        </is>
      </c>
      <c r="M607" s="7" t="n"/>
      <c r="N607" s="8" t="inlineStr">
        <is>
          <t>Actor, branch and dependency need review.</t>
        </is>
      </c>
    </row>
    <row r="608" ht="40" customHeight="1">
      <c r="A608" s="4" t="inlineStr">
        <is>
          <t>M12</t>
        </is>
      </c>
      <c r="B608" s="4" t="inlineStr">
        <is>
          <t>Ramai Awas (Gharkul) Scheme for SC &amp; Nav-Buddha (Urban and Rural)</t>
        </is>
      </c>
      <c r="C608" s="4" t="inlineStr">
        <is>
          <t>M12-P0029</t>
        </is>
      </c>
      <c r="D608" s="4" t="inlineStr">
        <is>
          <t>Online</t>
        </is>
      </c>
      <c r="E608" s="4" t="inlineStr"/>
      <c r="F608" s="4" t="inlineStr">
        <is>
          <t>Source step text</t>
        </is>
      </c>
      <c r="G608" s="4" t="inlineStr">
        <is>
          <t>NOTE: Ensure that the application is submitted within the prescribed period, if any.</t>
        </is>
      </c>
      <c r="H608" s="4" t="inlineStr">
        <is>
          <t>en.applicationProcess[0].process[5]</t>
        </is>
      </c>
      <c r="I608" s="4" t="inlineStr">
        <is>
          <t>M12@20261028-70d4cb3b</t>
        </is>
      </c>
      <c r="J608" s="4" t="inlineStr">
        <is>
          <t>MS-M12</t>
        </is>
      </c>
      <c r="K608" s="4" t="inlineStr">
        <is>
          <t>1/1</t>
        </is>
      </c>
      <c r="L608" s="7" t="inlineStr">
        <is>
          <t>Approved</t>
        </is>
      </c>
      <c r="M608" s="7" t="n"/>
      <c r="N608" s="4" t="inlineStr">
        <is>
          <t>Actor, branch and dependency need review.</t>
        </is>
      </c>
    </row>
    <row r="609" ht="40" customHeight="1">
      <c r="A609" s="8" t="inlineStr">
        <is>
          <t>M13</t>
        </is>
      </c>
      <c r="B609" s="8" t="inlineStr">
        <is>
          <t>Namo Shetkari Mahasanman Nidhi Yojana</t>
        </is>
      </c>
      <c r="C609" s="8" t="inlineStr">
        <is>
          <t>M13-P0029</t>
        </is>
      </c>
      <c r="D609" s="8" t="inlineStr">
        <is>
          <t>Online</t>
        </is>
      </c>
      <c r="E609" s="8" t="inlineStr"/>
      <c r="F609" s="8" t="inlineStr">
        <is>
          <t>Source step text</t>
        </is>
      </c>
      <c r="G609" s="8" t="inlineStr">
        <is>
          <t>Step 01: Self Registration on PMKISAN Portal</t>
        </is>
      </c>
      <c r="H609" s="8" t="inlineStr">
        <is>
          <t>en.applicationProcess[0].process[0]</t>
        </is>
      </c>
      <c r="I609" s="8" t="inlineStr">
        <is>
          <t>M13@20261028-01fda9a0</t>
        </is>
      </c>
      <c r="J609" s="8" t="inlineStr">
        <is>
          <t>MS-M13</t>
        </is>
      </c>
      <c r="K609" s="8" t="inlineStr">
        <is>
          <t>1/1</t>
        </is>
      </c>
      <c r="L609" s="7" t="inlineStr">
        <is>
          <t>Approved</t>
        </is>
      </c>
      <c r="M609" s="7" t="n"/>
      <c r="N609" s="8" t="inlineStr">
        <is>
          <t>Actor, branch and dependency need review.</t>
        </is>
      </c>
    </row>
    <row r="610" ht="40" customHeight="1">
      <c r="A610" s="4" t="inlineStr">
        <is>
          <t>M13</t>
        </is>
      </c>
      <c r="B610" s="4" t="inlineStr">
        <is>
          <t>Namo Shetkari Mahasanman Nidhi Yojana</t>
        </is>
      </c>
      <c r="C610" s="4" t="inlineStr">
        <is>
          <t>M13-P0030</t>
        </is>
      </c>
      <c r="D610" s="4" t="inlineStr">
        <is>
          <t>Online</t>
        </is>
      </c>
      <c r="E610" s="4" t="inlineStr"/>
      <c r="F610" s="4" t="inlineStr">
        <is>
          <t>Source step text</t>
        </is>
      </c>
      <c r="G610" s="4" t="inlineStr">
        <is>
          <t>Step 02: Verification of eligibility of registered beneficiary.</t>
        </is>
      </c>
      <c r="H610" s="4" t="inlineStr">
        <is>
          <t>en.applicationProcess[0].process[1]</t>
        </is>
      </c>
      <c r="I610" s="4" t="inlineStr">
        <is>
          <t>M13@20261028-01fda9a0</t>
        </is>
      </c>
      <c r="J610" s="4" t="inlineStr">
        <is>
          <t>MS-M13</t>
        </is>
      </c>
      <c r="K610" s="4" t="inlineStr">
        <is>
          <t>1/1</t>
        </is>
      </c>
      <c r="L610" s="7" t="inlineStr">
        <is>
          <t>Approved</t>
        </is>
      </c>
      <c r="M610" s="7" t="n"/>
      <c r="N610" s="4" t="inlineStr">
        <is>
          <t>Actor, branch and dependency need review.</t>
        </is>
      </c>
    </row>
    <row r="611" ht="40" customHeight="1">
      <c r="A611" s="8" t="inlineStr">
        <is>
          <t>M13</t>
        </is>
      </c>
      <c r="B611" s="8" t="inlineStr">
        <is>
          <t>Namo Shetkari Mahasanman Nidhi Yojana</t>
        </is>
      </c>
      <c r="C611" s="8" t="inlineStr">
        <is>
          <t>M13-P0031</t>
        </is>
      </c>
      <c r="D611" s="8" t="inlineStr">
        <is>
          <t>Online</t>
        </is>
      </c>
      <c r="E611" s="8" t="inlineStr"/>
      <c r="F611" s="8" t="inlineStr">
        <is>
          <t>Source step text</t>
        </is>
      </c>
      <c r="G611" s="8" t="inlineStr">
        <is>
          <t>Step 03: Approval at Taluka Nodal Officer level.</t>
        </is>
      </c>
      <c r="H611" s="8" t="inlineStr">
        <is>
          <t>en.applicationProcess[0].process[2]</t>
        </is>
      </c>
      <c r="I611" s="8" t="inlineStr">
        <is>
          <t>M13@20261028-01fda9a0</t>
        </is>
      </c>
      <c r="J611" s="8" t="inlineStr">
        <is>
          <t>MS-M13</t>
        </is>
      </c>
      <c r="K611" s="8" t="inlineStr">
        <is>
          <t>1/1</t>
        </is>
      </c>
      <c r="L611" s="7" t="inlineStr">
        <is>
          <t>Approved</t>
        </is>
      </c>
      <c r="M611" s="7" t="n"/>
      <c r="N611" s="8" t="inlineStr">
        <is>
          <t>Actor, branch and dependency need review.</t>
        </is>
      </c>
    </row>
    <row r="612" ht="40" customHeight="1">
      <c r="A612" s="4" t="inlineStr">
        <is>
          <t>M13</t>
        </is>
      </c>
      <c r="B612" s="4" t="inlineStr">
        <is>
          <t>Namo Shetkari Mahasanman Nidhi Yojana</t>
        </is>
      </c>
      <c r="C612" s="4" t="inlineStr">
        <is>
          <t>M13-P0032</t>
        </is>
      </c>
      <c r="D612" s="4" t="inlineStr">
        <is>
          <t>Online</t>
        </is>
      </c>
      <c r="E612" s="4" t="inlineStr"/>
      <c r="F612" s="4" t="inlineStr">
        <is>
          <t>Source step text</t>
        </is>
      </c>
      <c r="G612" s="4" t="inlineStr">
        <is>
          <t>Step 04: Approval at District Nodal Officer level.</t>
        </is>
      </c>
      <c r="H612" s="4" t="inlineStr">
        <is>
          <t>en.applicationProcess[0].process[3]</t>
        </is>
      </c>
      <c r="I612" s="4" t="inlineStr">
        <is>
          <t>M13@20261028-01fda9a0</t>
        </is>
      </c>
      <c r="J612" s="4" t="inlineStr">
        <is>
          <t>MS-M13</t>
        </is>
      </c>
      <c r="K612" s="4" t="inlineStr">
        <is>
          <t>1/1</t>
        </is>
      </c>
      <c r="L612" s="7" t="inlineStr">
        <is>
          <t>Approved</t>
        </is>
      </c>
      <c r="M612" s="7" t="n"/>
      <c r="N612" s="4" t="inlineStr">
        <is>
          <t>Actor, branch and dependency need review.</t>
        </is>
      </c>
    </row>
    <row r="613" ht="40" customHeight="1">
      <c r="A613" s="8" t="inlineStr">
        <is>
          <t>M13</t>
        </is>
      </c>
      <c r="B613" s="8" t="inlineStr">
        <is>
          <t>Namo Shetkari Mahasanman Nidhi Yojana</t>
        </is>
      </c>
      <c r="C613" s="8" t="inlineStr">
        <is>
          <t>M13-P0033</t>
        </is>
      </c>
      <c r="D613" s="8" t="inlineStr">
        <is>
          <t>Online</t>
        </is>
      </c>
      <c r="E613" s="8" t="inlineStr"/>
      <c r="F613" s="8" t="inlineStr">
        <is>
          <t>Source step text</t>
        </is>
      </c>
      <c r="G613" s="8" t="inlineStr">
        <is>
          <t>Step 05: Final Approval at State Nodal Officer level.</t>
        </is>
      </c>
      <c r="H613" s="8" t="inlineStr">
        <is>
          <t>en.applicationProcess[0].process[4]</t>
        </is>
      </c>
      <c r="I613" s="8" t="inlineStr">
        <is>
          <t>M13@20261028-01fda9a0</t>
        </is>
      </c>
      <c r="J613" s="8" t="inlineStr">
        <is>
          <t>MS-M13</t>
        </is>
      </c>
      <c r="K613" s="8" t="inlineStr">
        <is>
          <t>1/1</t>
        </is>
      </c>
      <c r="L613" s="7" t="inlineStr">
        <is>
          <t>Approved</t>
        </is>
      </c>
      <c r="M613" s="7" t="n"/>
      <c r="N613" s="8" t="inlineStr">
        <is>
          <t>Actor, branch and dependency need review.</t>
        </is>
      </c>
    </row>
    <row r="614" ht="40" customHeight="1">
      <c r="A614" s="4" t="inlineStr">
        <is>
          <t>M13</t>
        </is>
      </c>
      <c r="B614" s="4" t="inlineStr">
        <is>
          <t>Namo Shetkari Mahasanman Nidhi Yojana</t>
        </is>
      </c>
      <c r="C614" s="4" t="inlineStr">
        <is>
          <t>M13-P0034</t>
        </is>
      </c>
      <c r="D614" s="4" t="inlineStr">
        <is>
          <t>Online</t>
        </is>
      </c>
      <c r="E614" s="4" t="inlineStr"/>
      <c r="F614" s="4" t="inlineStr">
        <is>
          <t>Source step text</t>
        </is>
      </c>
      <c r="G614" s="4" t="inlineStr">
        <is>
          <t>Note : - No need of approval at district and state level in case of direct registration at TNO login.</t>
        </is>
      </c>
      <c r="H614" s="4" t="inlineStr">
        <is>
          <t>en.applicationProcess[0].process[5]</t>
        </is>
      </c>
      <c r="I614" s="4" t="inlineStr">
        <is>
          <t>M13@20261028-01fda9a0</t>
        </is>
      </c>
      <c r="J614" s="4" t="inlineStr">
        <is>
          <t>MS-M13</t>
        </is>
      </c>
      <c r="K614" s="4" t="inlineStr">
        <is>
          <t>1/1</t>
        </is>
      </c>
      <c r="L614" s="7" t="inlineStr">
        <is>
          <t>Approved</t>
        </is>
      </c>
      <c r="M614" s="7" t="n"/>
      <c r="N614" s="4" t="inlineStr">
        <is>
          <t>Actor, branch and dependency need review.</t>
        </is>
      </c>
    </row>
    <row r="615" ht="40" customHeight="1">
      <c r="A615" s="8" t="inlineStr">
        <is>
          <t>M14</t>
        </is>
      </c>
      <c r="B615" s="8" t="inlineStr">
        <is>
          <t>CHIEF MINISTER  EMPLOYMENT GENERATION  PROGRAMME (CMEGP)</t>
        </is>
      </c>
      <c r="C615" s="8" t="inlineStr">
        <is>
          <t>M14-P0038</t>
        </is>
      </c>
      <c r="D615" s="8" t="inlineStr">
        <is>
          <t>Online</t>
        </is>
      </c>
      <c r="E615" s="8" t="inlineStr"/>
      <c r="F615" s="8" t="inlineStr">
        <is>
          <t>Source step text</t>
        </is>
      </c>
      <c r="G615" s="8" t="inlineStr">
        <is>
          <t>Step 01:  Fill online application on portal https://maha-cmegp.gov.in</t>
        </is>
      </c>
      <c r="H615" s="8" t="inlineStr">
        <is>
          <t>en.applicationProcess[0].process[0].children[0]</t>
        </is>
      </c>
      <c r="I615" s="8" t="inlineStr">
        <is>
          <t>M14@20261028-57cd7d50</t>
        </is>
      </c>
      <c r="J615" s="8" t="inlineStr">
        <is>
          <t>MS-M14</t>
        </is>
      </c>
      <c r="K615" s="8" t="inlineStr">
        <is>
          <t>1/1</t>
        </is>
      </c>
      <c r="L615" s="7" t="inlineStr">
        <is>
          <t>Approved</t>
        </is>
      </c>
      <c r="M615" s="7" t="n"/>
      <c r="N615" s="8" t="inlineStr">
        <is>
          <t>Actor, branch and dependency need review.</t>
        </is>
      </c>
    </row>
    <row r="616" ht="54" customHeight="1">
      <c r="A616" s="4" t="inlineStr">
        <is>
          <t>M14</t>
        </is>
      </c>
      <c r="B616" s="4" t="inlineStr">
        <is>
          <t>CHIEF MINISTER  EMPLOYMENT GENERATION  PROGRAMME (CMEGP)</t>
        </is>
      </c>
      <c r="C616" s="4" t="inlineStr">
        <is>
          <t>M14-P0039</t>
        </is>
      </c>
      <c r="D616" s="4" t="inlineStr">
        <is>
          <t>Online</t>
        </is>
      </c>
      <c r="E616" s="4" t="inlineStr"/>
      <c r="F616" s="4" t="inlineStr">
        <is>
          <t>Source step text</t>
        </is>
      </c>
      <c r="G616" s="4" t="inlineStr">
        <is>
          <t>Step 02: District level Scrutiny and Coordination Sub-Committee (DLSCC) constituted under the Chairmanship of respective GM, DICs will scrutinize the applications and prepare a primary list of eligible applicants.</t>
        </is>
      </c>
      <c r="H616" s="4" t="inlineStr">
        <is>
          <t>en.applicationProcess[0].process[0].children[2]</t>
        </is>
      </c>
      <c r="I616" s="4" t="inlineStr">
        <is>
          <t>M14@20261028-57cd7d50</t>
        </is>
      </c>
      <c r="J616" s="4" t="inlineStr">
        <is>
          <t>MS-M14</t>
        </is>
      </c>
      <c r="K616" s="4" t="inlineStr">
        <is>
          <t>1/1</t>
        </is>
      </c>
      <c r="L616" s="7" t="inlineStr">
        <is>
          <t>Approved</t>
        </is>
      </c>
      <c r="M616" s="7" t="n"/>
      <c r="N616" s="4" t="inlineStr">
        <is>
          <t>Actor, branch and dependency need review.</t>
        </is>
      </c>
    </row>
    <row r="617" ht="40" customHeight="1">
      <c r="A617" s="8" t="inlineStr">
        <is>
          <t>M14</t>
        </is>
      </c>
      <c r="B617" s="8" t="inlineStr">
        <is>
          <t>CHIEF MINISTER  EMPLOYMENT GENERATION  PROGRAMME (CMEGP)</t>
        </is>
      </c>
      <c r="C617" s="8" t="inlineStr">
        <is>
          <t>M14-P0040</t>
        </is>
      </c>
      <c r="D617" s="8" t="inlineStr">
        <is>
          <t>Online</t>
        </is>
      </c>
      <c r="E617" s="8" t="inlineStr"/>
      <c r="F617" s="8" t="inlineStr">
        <is>
          <t>Source step text</t>
        </is>
      </c>
      <c r="G617" s="8" t="inlineStr">
        <is>
          <t>Step 03: primary eligible applicants list will be approved by DLTFC and then forwarded to bank.</t>
        </is>
      </c>
      <c r="H617" s="8" t="inlineStr">
        <is>
          <t>en.applicationProcess[0].process[0].children[4]</t>
        </is>
      </c>
      <c r="I617" s="8" t="inlineStr">
        <is>
          <t>M14@20261028-57cd7d50</t>
        </is>
      </c>
      <c r="J617" s="8" t="inlineStr">
        <is>
          <t>MS-M14</t>
        </is>
      </c>
      <c r="K617" s="8" t="inlineStr">
        <is>
          <t>1/1</t>
        </is>
      </c>
      <c r="L617" s="7" t="inlineStr">
        <is>
          <t>Approved</t>
        </is>
      </c>
      <c r="M617" s="7" t="n"/>
      <c r="N617" s="8" t="inlineStr">
        <is>
          <t>Actor, branch and dependency need review.</t>
        </is>
      </c>
    </row>
    <row r="618" ht="40" customHeight="1">
      <c r="A618" s="4" t="inlineStr">
        <is>
          <t>M14</t>
        </is>
      </c>
      <c r="B618" s="4" t="inlineStr">
        <is>
          <t>CHIEF MINISTER  EMPLOYMENT GENERATION  PROGRAMME (CMEGP)</t>
        </is>
      </c>
      <c r="C618" s="4" t="inlineStr">
        <is>
          <t>M14-P0041</t>
        </is>
      </c>
      <c r="D618" s="4" t="inlineStr">
        <is>
          <t>Online</t>
        </is>
      </c>
      <c r="E618" s="4" t="inlineStr"/>
      <c r="F618" s="4" t="inlineStr">
        <is>
          <t>Source step text</t>
        </is>
      </c>
      <c r="G618" s="4" t="inlineStr">
        <is>
          <t>Step 04: Bank Sanctioning &amp;  Entrepreneurship Development Programme (EDP)  training &amp;  Disbursment</t>
        </is>
      </c>
      <c r="H618" s="4" t="inlineStr">
        <is>
          <t>en.applicationProcess[0].process[0].children[6]</t>
        </is>
      </c>
      <c r="I618" s="4" t="inlineStr">
        <is>
          <t>M14@20261028-57cd7d50</t>
        </is>
      </c>
      <c r="J618" s="4" t="inlineStr">
        <is>
          <t>MS-M14</t>
        </is>
      </c>
      <c r="K618" s="4" t="inlineStr">
        <is>
          <t>1/1</t>
        </is>
      </c>
      <c r="L618" s="7" t="inlineStr">
        <is>
          <t>Approved</t>
        </is>
      </c>
      <c r="M618" s="7" t="n"/>
      <c r="N618" s="4" t="inlineStr">
        <is>
          <t>Actor, branch and dependency need review.</t>
        </is>
      </c>
    </row>
    <row r="619" ht="40" customHeight="1">
      <c r="A619" s="8" t="inlineStr">
        <is>
          <t>M14</t>
        </is>
      </c>
      <c r="B619" s="8" t="inlineStr">
        <is>
          <t>CHIEF MINISTER  EMPLOYMENT GENERATION  PROGRAMME (CMEGP)</t>
        </is>
      </c>
      <c r="C619" s="8" t="inlineStr">
        <is>
          <t>M14-P0042</t>
        </is>
      </c>
      <c r="D619" s="8" t="inlineStr">
        <is>
          <t>Online</t>
        </is>
      </c>
      <c r="E619" s="8" t="inlineStr"/>
      <c r="F619" s="8" t="inlineStr">
        <is>
          <t>Source step text</t>
        </is>
      </c>
      <c r="G619" s="8" t="inlineStr">
        <is>
          <t>Step 05: Subsidy claim by Bank to GM</t>
        </is>
      </c>
      <c r="H619" s="8" t="inlineStr">
        <is>
          <t>en.applicationProcess[0].process[0].children[8]</t>
        </is>
      </c>
      <c r="I619" s="8" t="inlineStr">
        <is>
          <t>M14@20261028-57cd7d50</t>
        </is>
      </c>
      <c r="J619" s="8" t="inlineStr">
        <is>
          <t>MS-M14</t>
        </is>
      </c>
      <c r="K619" s="8" t="inlineStr">
        <is>
          <t>1/1</t>
        </is>
      </c>
      <c r="L619" s="7" t="inlineStr">
        <is>
          <t>Approved</t>
        </is>
      </c>
      <c r="M619" s="7" t="n"/>
      <c r="N619" s="8" t="inlineStr">
        <is>
          <t>Actor, branch and dependency need review.</t>
        </is>
      </c>
    </row>
    <row r="620" ht="40" customHeight="1">
      <c r="A620" s="4" t="inlineStr">
        <is>
          <t>M14</t>
        </is>
      </c>
      <c r="B620" s="4" t="inlineStr">
        <is>
          <t>CHIEF MINISTER  EMPLOYMENT GENERATION  PROGRAMME (CMEGP)</t>
        </is>
      </c>
      <c r="C620" s="4" t="inlineStr">
        <is>
          <t>M14-P0043</t>
        </is>
      </c>
      <c r="D620" s="4" t="inlineStr">
        <is>
          <t>Online</t>
        </is>
      </c>
      <c r="E620" s="4" t="inlineStr"/>
      <c r="F620" s="4" t="inlineStr">
        <is>
          <t>Source step text</t>
        </is>
      </c>
      <c r="G620" s="4" t="inlineStr">
        <is>
          <t>Step 06: Approval of claim by HO and disbursement of margin money viz. nodal bank</t>
        </is>
      </c>
      <c r="H620" s="4" t="inlineStr">
        <is>
          <t>en.applicationProcess[0].process[0].children[10]</t>
        </is>
      </c>
      <c r="I620" s="4" t="inlineStr">
        <is>
          <t>M14@20261028-57cd7d50</t>
        </is>
      </c>
      <c r="J620" s="4" t="inlineStr">
        <is>
          <t>MS-M14</t>
        </is>
      </c>
      <c r="K620" s="4" t="inlineStr">
        <is>
          <t>1/1</t>
        </is>
      </c>
      <c r="L620" s="7" t="inlineStr">
        <is>
          <t>Approved</t>
        </is>
      </c>
      <c r="M620" s="7" t="n"/>
      <c r="N620" s="4" t="inlineStr">
        <is>
          <t>Actor, branch and dependency need review.</t>
        </is>
      </c>
    </row>
    <row r="621" ht="68" customHeight="1">
      <c r="A621" s="8" t="inlineStr">
        <is>
          <t>M14</t>
        </is>
      </c>
      <c r="B621" s="8" t="inlineStr">
        <is>
          <t>CHIEF MINISTER  EMPLOYMENT GENERATION  PROGRAMME (CMEGP)</t>
        </is>
      </c>
      <c r="C621" s="8" t="inlineStr">
        <is>
          <t>M14-P0044</t>
        </is>
      </c>
      <c r="D621" s="8" t="inlineStr">
        <is>
          <t>Online</t>
        </is>
      </c>
      <c r="E621" s="8" t="inlineStr"/>
      <c r="F621" s="8" t="inlineStr">
        <is>
          <t>Source step text</t>
        </is>
      </c>
      <c r="G621" s="8" t="inlineStr">
        <is>
          <t>Step 07: completion of three successful years of activity and following the timely repayment schedule as informed by the bank, the margin money in the form of grant-in-aid will be re-appropriated in the applicant’s loan account after confirmation / necessary validation from GM, DIC.</t>
        </is>
      </c>
      <c r="H621" s="8" t="inlineStr">
        <is>
          <t>en.applicationProcess[0].process[0].children[12]</t>
        </is>
      </c>
      <c r="I621" s="8" t="inlineStr">
        <is>
          <t>M14@20261028-57cd7d50</t>
        </is>
      </c>
      <c r="J621" s="8" t="inlineStr">
        <is>
          <t>MS-M14</t>
        </is>
      </c>
      <c r="K621" s="8" t="inlineStr">
        <is>
          <t>1/1</t>
        </is>
      </c>
      <c r="L621" s="7" t="inlineStr">
        <is>
          <t>Approved</t>
        </is>
      </c>
      <c r="M621" s="7" t="n"/>
      <c r="N621" s="8" t="inlineStr">
        <is>
          <t>Actor, branch and dependency need review.</t>
        </is>
      </c>
    </row>
    <row r="622" ht="40" customHeight="1">
      <c r="A622" s="4" t="inlineStr">
        <is>
          <t>M15</t>
        </is>
      </c>
      <c r="B622" s="4" t="inlineStr">
        <is>
          <t>Nanaji Deshmukh Krishi Sanjivani Prakalp</t>
        </is>
      </c>
      <c r="C622" s="4" t="inlineStr">
        <is>
          <t>M15-P0025</t>
        </is>
      </c>
      <c r="D622" s="4" t="inlineStr">
        <is>
          <t>Online</t>
        </is>
      </c>
      <c r="E622" s="4" t="inlineStr"/>
      <c r="F622" s="4" t="inlineStr">
        <is>
          <t>Source step text</t>
        </is>
      </c>
      <c r="G622" s="4" t="inlineStr">
        <is>
          <t>Application Link: https://dbt.mahapocra.gov.in</t>
        </is>
      </c>
      <c r="H622" s="4" t="inlineStr">
        <is>
          <t>en.applicationProcess[0].process[0]</t>
        </is>
      </c>
      <c r="I622" s="4" t="inlineStr">
        <is>
          <t>M15@20261028-58f85607</t>
        </is>
      </c>
      <c r="J622" s="4" t="inlineStr">
        <is>
          <t>MS-M15</t>
        </is>
      </c>
      <c r="K622" s="4" t="inlineStr">
        <is>
          <t>1/1</t>
        </is>
      </c>
      <c r="L622" s="7" t="inlineStr">
        <is>
          <t>Approved</t>
        </is>
      </c>
      <c r="M622" s="7" t="n"/>
      <c r="N622" s="4" t="inlineStr">
        <is>
          <t>Actor, branch and dependency need review.</t>
        </is>
      </c>
    </row>
    <row r="623" ht="40" customHeight="1">
      <c r="A623" s="8" t="inlineStr">
        <is>
          <t>M15</t>
        </is>
      </c>
      <c r="B623" s="8" t="inlineStr">
        <is>
          <t>Nanaji Deshmukh Krishi Sanjivani Prakalp</t>
        </is>
      </c>
      <c r="C623" s="8" t="inlineStr">
        <is>
          <t>M15-P0026</t>
        </is>
      </c>
      <c r="D623" s="8" t="inlineStr">
        <is>
          <t>Online</t>
        </is>
      </c>
      <c r="E623" s="8" t="inlineStr"/>
      <c r="F623" s="8" t="inlineStr">
        <is>
          <t>Source step text</t>
        </is>
      </c>
      <c r="G623" s="8" t="inlineStr">
        <is>
          <t>Step 01: Registration</t>
        </is>
      </c>
      <c r="H623" s="8" t="inlineStr">
        <is>
          <t>en.applicationProcess[0].process[2]</t>
        </is>
      </c>
      <c r="I623" s="8" t="inlineStr">
        <is>
          <t>M15@20261028-58f85607</t>
        </is>
      </c>
      <c r="J623" s="8" t="inlineStr">
        <is>
          <t>MS-M15</t>
        </is>
      </c>
      <c r="K623" s="8" t="inlineStr">
        <is>
          <t>1/1</t>
        </is>
      </c>
      <c r="L623" s="7" t="inlineStr">
        <is>
          <t>Approved</t>
        </is>
      </c>
      <c r="M623" s="7" t="n"/>
      <c r="N623" s="8" t="inlineStr">
        <is>
          <t>Actor, branch and dependency need review.</t>
        </is>
      </c>
    </row>
    <row r="624" ht="40" customHeight="1">
      <c r="A624" s="4" t="inlineStr">
        <is>
          <t>M15</t>
        </is>
      </c>
      <c r="B624" s="4" t="inlineStr">
        <is>
          <t>Nanaji Deshmukh Krishi Sanjivani Prakalp</t>
        </is>
      </c>
      <c r="C624" s="4" t="inlineStr">
        <is>
          <t>M15-P0027</t>
        </is>
      </c>
      <c r="D624" s="4" t="inlineStr">
        <is>
          <t>Online</t>
        </is>
      </c>
      <c r="E624" s="4" t="inlineStr"/>
      <c r="F624" s="4" t="inlineStr">
        <is>
          <t>Source step text</t>
        </is>
      </c>
      <c r="G624" s="4" t="inlineStr">
        <is>
          <t>Step 02: Application</t>
        </is>
      </c>
      <c r="H624" s="4" t="inlineStr">
        <is>
          <t>en.applicationProcess[0].process[4]</t>
        </is>
      </c>
      <c r="I624" s="4" t="inlineStr">
        <is>
          <t>M15@20261028-58f85607</t>
        </is>
      </c>
      <c r="J624" s="4" t="inlineStr">
        <is>
          <t>MS-M15</t>
        </is>
      </c>
      <c r="K624" s="4" t="inlineStr">
        <is>
          <t>1/1</t>
        </is>
      </c>
      <c r="L624" s="7" t="inlineStr">
        <is>
          <t>Approved</t>
        </is>
      </c>
      <c r="M624" s="7" t="n"/>
      <c r="N624" s="4" t="inlineStr">
        <is>
          <t>Actor, branch and dependency need review.</t>
        </is>
      </c>
    </row>
    <row r="625" ht="40" customHeight="1">
      <c r="A625" s="8" t="inlineStr">
        <is>
          <t>M15</t>
        </is>
      </c>
      <c r="B625" s="8" t="inlineStr">
        <is>
          <t>Nanaji Deshmukh Krishi Sanjivani Prakalp</t>
        </is>
      </c>
      <c r="C625" s="8" t="inlineStr">
        <is>
          <t>M15-P0028</t>
        </is>
      </c>
      <c r="D625" s="8" t="inlineStr">
        <is>
          <t>Online</t>
        </is>
      </c>
      <c r="E625" s="8" t="inlineStr"/>
      <c r="F625" s="8" t="inlineStr">
        <is>
          <t>Source step text</t>
        </is>
      </c>
      <c r="G625" s="8" t="inlineStr">
        <is>
          <t>Step 03: Pre-sanction by Agriculture officer</t>
        </is>
      </c>
      <c r="H625" s="8" t="inlineStr">
        <is>
          <t>en.applicationProcess[0].process[6]</t>
        </is>
      </c>
      <c r="I625" s="8" t="inlineStr">
        <is>
          <t>M15@20261028-58f85607</t>
        </is>
      </c>
      <c r="J625" s="8" t="inlineStr">
        <is>
          <t>MS-M15</t>
        </is>
      </c>
      <c r="K625" s="8" t="inlineStr">
        <is>
          <t>1/1</t>
        </is>
      </c>
      <c r="L625" s="7" t="inlineStr">
        <is>
          <t>Approved</t>
        </is>
      </c>
      <c r="M625" s="7" t="n"/>
      <c r="N625" s="8" t="inlineStr">
        <is>
          <t>Actor, branch and dependency need review.</t>
        </is>
      </c>
    </row>
    <row r="626" ht="40" customHeight="1">
      <c r="A626" s="4" t="inlineStr">
        <is>
          <t>M15</t>
        </is>
      </c>
      <c r="B626" s="4" t="inlineStr">
        <is>
          <t>Nanaji Deshmukh Krishi Sanjivani Prakalp</t>
        </is>
      </c>
      <c r="C626" s="4" t="inlineStr">
        <is>
          <t>M15-P0029</t>
        </is>
      </c>
      <c r="D626" s="4" t="inlineStr">
        <is>
          <t>Online</t>
        </is>
      </c>
      <c r="E626" s="4" t="inlineStr"/>
      <c r="F626" s="4" t="inlineStr">
        <is>
          <t>Source step text</t>
        </is>
      </c>
      <c r="G626" s="4" t="inlineStr">
        <is>
          <t>Step 04: Work completion by farmer</t>
        </is>
      </c>
      <c r="H626" s="4" t="inlineStr">
        <is>
          <t>en.applicationProcess[0].process[8]</t>
        </is>
      </c>
      <c r="I626" s="4" t="inlineStr">
        <is>
          <t>M15@20261028-58f85607</t>
        </is>
      </c>
      <c r="J626" s="4" t="inlineStr">
        <is>
          <t>MS-M15</t>
        </is>
      </c>
      <c r="K626" s="4" t="inlineStr">
        <is>
          <t>1/1</t>
        </is>
      </c>
      <c r="L626" s="7" t="inlineStr">
        <is>
          <t>Approved</t>
        </is>
      </c>
      <c r="M626" s="7" t="n"/>
      <c r="N626" s="4" t="inlineStr">
        <is>
          <t>Actor, branch and dependency need review.</t>
        </is>
      </c>
    </row>
    <row r="627" ht="40" customHeight="1">
      <c r="A627" s="8" t="inlineStr">
        <is>
          <t>M15</t>
        </is>
      </c>
      <c r="B627" s="8" t="inlineStr">
        <is>
          <t>Nanaji Deshmukh Krishi Sanjivani Prakalp</t>
        </is>
      </c>
      <c r="C627" s="8" t="inlineStr">
        <is>
          <t>M15-P0030</t>
        </is>
      </c>
      <c r="D627" s="8" t="inlineStr">
        <is>
          <t>Online</t>
        </is>
      </c>
      <c r="E627" s="8" t="inlineStr"/>
      <c r="F627" s="8" t="inlineStr">
        <is>
          <t>Source step text</t>
        </is>
      </c>
      <c r="G627" s="8" t="inlineStr">
        <is>
          <t>Step 05: Payment request by farmer</t>
        </is>
      </c>
      <c r="H627" s="8" t="inlineStr">
        <is>
          <t>en.applicationProcess[0].process[10]</t>
        </is>
      </c>
      <c r="I627" s="8" t="inlineStr">
        <is>
          <t>M15@20261028-58f85607</t>
        </is>
      </c>
      <c r="J627" s="8" t="inlineStr">
        <is>
          <t>MS-M15</t>
        </is>
      </c>
      <c r="K627" s="8" t="inlineStr">
        <is>
          <t>1/1</t>
        </is>
      </c>
      <c r="L627" s="7" t="inlineStr">
        <is>
          <t>Approved</t>
        </is>
      </c>
      <c r="M627" s="7" t="n"/>
      <c r="N627" s="8" t="inlineStr">
        <is>
          <t>Actor, branch and dependency need review.</t>
        </is>
      </c>
    </row>
    <row r="628" ht="40" customHeight="1">
      <c r="A628" s="4" t="inlineStr">
        <is>
          <t>M15</t>
        </is>
      </c>
      <c r="B628" s="4" t="inlineStr">
        <is>
          <t>Nanaji Deshmukh Krishi Sanjivani Prakalp</t>
        </is>
      </c>
      <c r="C628" s="4" t="inlineStr">
        <is>
          <t>M15-P0031</t>
        </is>
      </c>
      <c r="D628" s="4" t="inlineStr">
        <is>
          <t>Online</t>
        </is>
      </c>
      <c r="E628" s="4" t="inlineStr"/>
      <c r="F628" s="4" t="inlineStr">
        <is>
          <t>Source step text</t>
        </is>
      </c>
      <c r="G628" s="4" t="inlineStr">
        <is>
          <t>Step 06: Payment approval by the project</t>
        </is>
      </c>
      <c r="H628" s="4" t="inlineStr">
        <is>
          <t>en.applicationProcess[0].process[12]</t>
        </is>
      </c>
      <c r="I628" s="4" t="inlineStr">
        <is>
          <t>M15@20261028-58f85607</t>
        </is>
      </c>
      <c r="J628" s="4" t="inlineStr">
        <is>
          <t>MS-M15</t>
        </is>
      </c>
      <c r="K628" s="4" t="inlineStr">
        <is>
          <t>1/1</t>
        </is>
      </c>
      <c r="L628" s="7" t="inlineStr">
        <is>
          <t>Approved</t>
        </is>
      </c>
      <c r="M628" s="7" t="n"/>
      <c r="N628" s="4" t="inlineStr">
        <is>
          <t>Actor, branch and dependency need review.</t>
        </is>
      </c>
    </row>
    <row r="629" ht="40" customHeight="1">
      <c r="A629" s="8" t="inlineStr">
        <is>
          <t>M15</t>
        </is>
      </c>
      <c r="B629" s="8" t="inlineStr">
        <is>
          <t>Nanaji Deshmukh Krishi Sanjivani Prakalp</t>
        </is>
      </c>
      <c r="C629" s="8" t="inlineStr">
        <is>
          <t>M15-P0032</t>
        </is>
      </c>
      <c r="D629" s="8" t="inlineStr">
        <is>
          <t>Online</t>
        </is>
      </c>
      <c r="E629" s="8" t="inlineStr"/>
      <c r="F629" s="8" t="inlineStr">
        <is>
          <t>Source step text</t>
        </is>
      </c>
      <c r="G629" s="8" t="inlineStr">
        <is>
          <t>Step 07: Payment disbursement in Aadhaar linked bank account of the beneficiary farmer</t>
        </is>
      </c>
      <c r="H629" s="8" t="inlineStr">
        <is>
          <t>en.applicationProcess[0].process[14]</t>
        </is>
      </c>
      <c r="I629" s="8" t="inlineStr">
        <is>
          <t>M15@20261028-58f85607</t>
        </is>
      </c>
      <c r="J629" s="8" t="inlineStr">
        <is>
          <t>MS-M15</t>
        </is>
      </c>
      <c r="K629" s="8" t="inlineStr">
        <is>
          <t>1/1</t>
        </is>
      </c>
      <c r="L629" s="7" t="inlineStr">
        <is>
          <t>Approved</t>
        </is>
      </c>
      <c r="M629" s="7" t="n"/>
      <c r="N629" s="8" t="inlineStr">
        <is>
          <t>Actor, branch and dependency need review.</t>
        </is>
      </c>
    </row>
    <row r="630" ht="40" customHeight="1">
      <c r="A630" s="4" t="inlineStr">
        <is>
          <t>M16</t>
        </is>
      </c>
      <c r="B630" s="4" t="inlineStr">
        <is>
          <t>Medical Assistance for the Treatment of Critical Illness</t>
        </is>
      </c>
      <c r="C630" s="4" t="inlineStr">
        <is>
          <t>M16-P0013</t>
        </is>
      </c>
      <c r="D630" s="4" t="inlineStr">
        <is>
          <t>Offline</t>
        </is>
      </c>
      <c r="E630" s="4" t="inlineStr"/>
      <c r="F630" s="4" t="inlineStr">
        <is>
          <t>Source step text</t>
        </is>
      </c>
      <c r="G630" s="4" t="inlineStr">
        <is>
          <t>Step-1: The interested applicant downloads the application form from the MBOCWW official website.</t>
        </is>
      </c>
      <c r="H630" s="4" t="inlineStr">
        <is>
          <t>en.applicationProcess[0].process[0]</t>
        </is>
      </c>
      <c r="I630" s="4" t="inlineStr">
        <is>
          <t>M16@20261028-bf3cf03f</t>
        </is>
      </c>
      <c r="J630" s="4" t="inlineStr">
        <is>
          <t>MS-M16</t>
        </is>
      </c>
      <c r="K630" s="4" t="inlineStr">
        <is>
          <t>1/1</t>
        </is>
      </c>
      <c r="L630" s="7" t="inlineStr">
        <is>
          <t>Approved</t>
        </is>
      </c>
      <c r="M630" s="7" t="n"/>
      <c r="N630" s="4" t="inlineStr">
        <is>
          <t>Actor, branch and dependency need review.</t>
        </is>
      </c>
    </row>
    <row r="631" ht="40" customHeight="1">
      <c r="A631" s="8" t="inlineStr">
        <is>
          <t>M16</t>
        </is>
      </c>
      <c r="B631" s="8" t="inlineStr">
        <is>
          <t>Medical Assistance for the Treatment of Critical Illness</t>
        </is>
      </c>
      <c r="C631" s="8" t="inlineStr">
        <is>
          <t>M16-P0014</t>
        </is>
      </c>
      <c r="D631" s="8" t="inlineStr">
        <is>
          <t>Offline</t>
        </is>
      </c>
      <c r="E631" s="8" t="inlineStr"/>
      <c r="F631" s="8" t="inlineStr">
        <is>
          <t>Source step text</t>
        </is>
      </c>
      <c r="G631" s="8" t="inlineStr">
        <is>
          <t>Step-2: In the application form, fill in all the mandatory fields, and attach copies of all the mandatory documents (self-attest, if required).</t>
        </is>
      </c>
      <c r="H631" s="8" t="inlineStr">
        <is>
          <t>en.applicationProcess[0].process[1]</t>
        </is>
      </c>
      <c r="I631" s="8" t="inlineStr">
        <is>
          <t>M16@20261028-bf3cf03f</t>
        </is>
      </c>
      <c r="J631" s="8" t="inlineStr">
        <is>
          <t>MS-M16</t>
        </is>
      </c>
      <c r="K631" s="8" t="inlineStr">
        <is>
          <t>1/1</t>
        </is>
      </c>
      <c r="L631" s="7" t="inlineStr">
        <is>
          <t>Approved</t>
        </is>
      </c>
      <c r="M631" s="7" t="n"/>
      <c r="N631" s="8" t="inlineStr">
        <is>
          <t>Actor, branch and dependency need review.</t>
        </is>
      </c>
    </row>
    <row r="632" ht="40" customHeight="1">
      <c r="A632" s="4" t="inlineStr">
        <is>
          <t>M16</t>
        </is>
      </c>
      <c r="B632" s="4" t="inlineStr">
        <is>
          <t>Medical Assistance for the Treatment of Critical Illness</t>
        </is>
      </c>
      <c r="C632" s="4" t="inlineStr">
        <is>
          <t>M16-P0015</t>
        </is>
      </c>
      <c r="D632" s="4" t="inlineStr">
        <is>
          <t>Offline</t>
        </is>
      </c>
      <c r="E632" s="4" t="inlineStr"/>
      <c r="F632" s="4" t="inlineStr">
        <is>
          <t>Source step text</t>
        </is>
      </c>
      <c r="G632" s="4" t="inlineStr">
        <is>
          <t>Step-3: Submit the duly filled and signed application form along with the documents to the Labor Commissioner / Government Labor Officer.</t>
        </is>
      </c>
      <c r="H632" s="4" t="inlineStr">
        <is>
          <t>en.applicationProcess[0].process[2]</t>
        </is>
      </c>
      <c r="I632" s="4" t="inlineStr">
        <is>
          <t>M16@20261028-bf3cf03f</t>
        </is>
      </c>
      <c r="J632" s="4" t="inlineStr">
        <is>
          <t>MS-M16</t>
        </is>
      </c>
      <c r="K632" s="4" t="inlineStr">
        <is>
          <t>1/1</t>
        </is>
      </c>
      <c r="L632" s="7" t="inlineStr">
        <is>
          <t>Approved</t>
        </is>
      </c>
      <c r="M632" s="7" t="n"/>
      <c r="N632" s="4" t="inlineStr">
        <is>
          <t>Actor, branch and dependency need review.</t>
        </is>
      </c>
    </row>
    <row r="633" ht="68" customHeight="1">
      <c r="A633" s="8" t="inlineStr">
        <is>
          <t>M16</t>
        </is>
      </c>
      <c r="B633" s="8" t="inlineStr">
        <is>
          <t>Medical Assistance for the Treatment of Critical Illness</t>
        </is>
      </c>
      <c r="C633" s="8" t="inlineStr">
        <is>
          <t>M16-P0016</t>
        </is>
      </c>
      <c r="D633" s="8" t="inlineStr">
        <is>
          <t>Offline</t>
        </is>
      </c>
      <c r="E633" s="8" t="inlineStr"/>
      <c r="F633" s="8" t="inlineStr">
        <is>
          <t>Source step text</t>
        </is>
      </c>
      <c r="G633" s="8" t="inlineStr">
        <is>
          <t>Step-4: Request a receipt or acknowledgment from the concerned authority to whom the application has been submitted. Ensure that the receipt contains essential details such as the date and time of submission, and a unique identification number (if applicable).</t>
        </is>
      </c>
      <c r="H633" s="8" t="inlineStr">
        <is>
          <t>en.applicationProcess[0].process[3]</t>
        </is>
      </c>
      <c r="I633" s="8" t="inlineStr">
        <is>
          <t>M16@20261028-bf3cf03f</t>
        </is>
      </c>
      <c r="J633" s="8" t="inlineStr">
        <is>
          <t>MS-M16</t>
        </is>
      </c>
      <c r="K633" s="8" t="inlineStr">
        <is>
          <t>1/1</t>
        </is>
      </c>
      <c r="L633" s="7" t="inlineStr">
        <is>
          <t>Approved</t>
        </is>
      </c>
      <c r="M633" s="7" t="n"/>
      <c r="N633" s="8" t="inlineStr">
        <is>
          <t>Actor, branch and dependency need review.</t>
        </is>
      </c>
    </row>
    <row r="634" ht="40" customHeight="1">
      <c r="A634" s="4" t="inlineStr">
        <is>
          <t>M17</t>
        </is>
      </c>
      <c r="B634" s="4" t="inlineStr">
        <is>
          <t>Grant In Aid To Old Age Home</t>
        </is>
      </c>
      <c r="C634" s="4" t="inlineStr">
        <is>
          <t>M17-P0014</t>
        </is>
      </c>
      <c r="D634" s="4" t="inlineStr">
        <is>
          <t>Offline</t>
        </is>
      </c>
      <c r="E634" s="4" t="inlineStr"/>
      <c r="F634" s="4" t="inlineStr">
        <is>
          <t>Source step text</t>
        </is>
      </c>
      <c r="G634" s="4" t="inlineStr">
        <is>
          <t>Step 1: Visit the District Social Welfare Office, and request a hard copy of the format of the application form for the scheme from the concerned authority.</t>
        </is>
      </c>
      <c r="H634" s="4" t="inlineStr">
        <is>
          <t>en.applicationProcess[0].process[0]</t>
        </is>
      </c>
      <c r="I634" s="4" t="inlineStr">
        <is>
          <t>M17@20261028-cc52e2ad</t>
        </is>
      </c>
      <c r="J634" s="4" t="inlineStr">
        <is>
          <t>MS-M17</t>
        </is>
      </c>
      <c r="K634" s="4" t="inlineStr">
        <is>
          <t>1/1</t>
        </is>
      </c>
      <c r="L634" s="7" t="inlineStr">
        <is>
          <t>Approved</t>
        </is>
      </c>
      <c r="M634" s="7" t="n"/>
      <c r="N634" s="4" t="inlineStr">
        <is>
          <t>Actor, branch and dependency need review.</t>
        </is>
      </c>
    </row>
    <row r="635" ht="54" customHeight="1">
      <c r="A635" s="8" t="inlineStr">
        <is>
          <t>M17</t>
        </is>
      </c>
      <c r="B635" s="8" t="inlineStr">
        <is>
          <t>Grant In Aid To Old Age Home</t>
        </is>
      </c>
      <c r="C635" s="8" t="inlineStr">
        <is>
          <t>M17-P0015</t>
        </is>
      </c>
      <c r="D635" s="8" t="inlineStr">
        <is>
          <t>Offline</t>
        </is>
      </c>
      <c r="E635" s="8" t="inlineStr"/>
      <c r="F635" s="8" t="inlineStr">
        <is>
          <t>Source step text</t>
        </is>
      </c>
      <c r="G635" s="8" t="inlineStr">
        <is>
          <t>Step 2: In the application form, fill in all the mandatory fields, paste the passport-sized photograph (signed across), and attach all the (self-attested) mandatory documents.</t>
        </is>
      </c>
      <c r="H635" s="8" t="inlineStr">
        <is>
          <t>en.applicationProcess[0].process[1]</t>
        </is>
      </c>
      <c r="I635" s="8" t="inlineStr">
        <is>
          <t>M17@20261028-cc52e2ad</t>
        </is>
      </c>
      <c r="J635" s="8" t="inlineStr">
        <is>
          <t>MS-M17</t>
        </is>
      </c>
      <c r="K635" s="8" t="inlineStr">
        <is>
          <t>1/1</t>
        </is>
      </c>
      <c r="L635" s="7" t="inlineStr">
        <is>
          <t>Approved</t>
        </is>
      </c>
      <c r="M635" s="7" t="n"/>
      <c r="N635" s="8" t="inlineStr">
        <is>
          <t>Actor, branch and dependency need review.</t>
        </is>
      </c>
    </row>
    <row r="636" ht="40" customHeight="1">
      <c r="A636" s="4" t="inlineStr">
        <is>
          <t>M17</t>
        </is>
      </c>
      <c r="B636" s="4" t="inlineStr">
        <is>
          <t>Grant In Aid To Old Age Home</t>
        </is>
      </c>
      <c r="C636" s="4" t="inlineStr">
        <is>
          <t>M17-P0016</t>
        </is>
      </c>
      <c r="D636" s="4" t="inlineStr">
        <is>
          <t>Offline</t>
        </is>
      </c>
      <c r="E636" s="4" t="inlineStr"/>
      <c r="F636" s="4" t="inlineStr">
        <is>
          <t>Source step text</t>
        </is>
      </c>
      <c r="G636" s="4" t="inlineStr">
        <is>
          <t>Step 3: Submit the duly filled and signed application form along with the documents to the Assistant Commissioner, District Social Welfare Office.</t>
        </is>
      </c>
      <c r="H636" s="4" t="inlineStr">
        <is>
          <t>en.applicationProcess[0].process[2]</t>
        </is>
      </c>
      <c r="I636" s="4" t="inlineStr">
        <is>
          <t>M17@20261028-cc52e2ad</t>
        </is>
      </c>
      <c r="J636" s="4" t="inlineStr">
        <is>
          <t>MS-M17</t>
        </is>
      </c>
      <c r="K636" s="4" t="inlineStr">
        <is>
          <t>1/1</t>
        </is>
      </c>
      <c r="L636" s="7" t="inlineStr">
        <is>
          <t>Approved</t>
        </is>
      </c>
      <c r="M636" s="7" t="n"/>
      <c r="N636" s="4" t="inlineStr">
        <is>
          <t>Actor, branch and dependency need review.</t>
        </is>
      </c>
    </row>
    <row r="637" ht="40" customHeight="1">
      <c r="A637" s="8" t="inlineStr">
        <is>
          <t>M17</t>
        </is>
      </c>
      <c r="B637" s="8" t="inlineStr">
        <is>
          <t>Grant In Aid To Old Age Home</t>
        </is>
      </c>
      <c r="C637" s="8" t="inlineStr">
        <is>
          <t>M17-P0017</t>
        </is>
      </c>
      <c r="D637" s="8" t="inlineStr">
        <is>
          <t>Offline</t>
        </is>
      </c>
      <c r="E637" s="8" t="inlineStr"/>
      <c r="F637" s="8" t="inlineStr">
        <is>
          <t>Source step text</t>
        </is>
      </c>
      <c r="G637" s="8" t="inlineStr">
        <is>
          <t>Step 4: Acquire the receipt/acknowledgment of the successful submission of the application form from the District Social Welfare Office.</t>
        </is>
      </c>
      <c r="H637" s="8" t="inlineStr">
        <is>
          <t>en.applicationProcess[0].process[3]</t>
        </is>
      </c>
      <c r="I637" s="8" t="inlineStr">
        <is>
          <t>M17@20261028-cc52e2ad</t>
        </is>
      </c>
      <c r="J637" s="8" t="inlineStr">
        <is>
          <t>MS-M17</t>
        </is>
      </c>
      <c r="K637" s="8" t="inlineStr">
        <is>
          <t>1/1</t>
        </is>
      </c>
      <c r="L637" s="7" t="inlineStr">
        <is>
          <t>Approved</t>
        </is>
      </c>
      <c r="M637" s="7" t="n"/>
      <c r="N637" s="8" t="inlineStr">
        <is>
          <t>Actor, branch and dependency need review.</t>
        </is>
      </c>
    </row>
    <row r="638" ht="40" customHeight="1">
      <c r="A638" s="4" t="inlineStr">
        <is>
          <t>M18</t>
        </is>
      </c>
      <c r="B638" s="4" t="inlineStr">
        <is>
          <t>Training Of Motor Driving To VJNT, SBS &amp; OBC</t>
        </is>
      </c>
      <c r="C638" s="4" t="inlineStr">
        <is>
          <t>M18-P0019</t>
        </is>
      </c>
      <c r="D638" s="4" t="inlineStr">
        <is>
          <t>Online</t>
        </is>
      </c>
      <c r="E638" s="4" t="inlineStr"/>
      <c r="F638" s="4" t="inlineStr">
        <is>
          <t>Source step text</t>
        </is>
      </c>
      <c r="G638" s="4" t="inlineStr">
        <is>
          <t>Step 1: Visit the Official Website of Mahadbt Portal.</t>
        </is>
      </c>
      <c r="H638" s="4" t="inlineStr">
        <is>
          <t>en.applicationProcess[0].process[0]</t>
        </is>
      </c>
      <c r="I638" s="4" t="inlineStr">
        <is>
          <t>M18@20261028-ef817fa6</t>
        </is>
      </c>
      <c r="J638" s="4" t="inlineStr">
        <is>
          <t>MS-M18</t>
        </is>
      </c>
      <c r="K638" s="4" t="inlineStr">
        <is>
          <t>1/1</t>
        </is>
      </c>
      <c r="L638" s="7" t="inlineStr">
        <is>
          <t>Approved</t>
        </is>
      </c>
      <c r="M638" s="7" t="n"/>
      <c r="N638" s="4" t="inlineStr">
        <is>
          <t>Actor, branch and dependency need review.</t>
        </is>
      </c>
    </row>
    <row r="639" ht="54" customHeight="1">
      <c r="A639" s="8" t="inlineStr">
        <is>
          <t>M18</t>
        </is>
      </c>
      <c r="B639" s="8" t="inlineStr">
        <is>
          <t>Training Of Motor Driving To VJNT, SBS &amp; OBC</t>
        </is>
      </c>
      <c r="C639" s="8" t="inlineStr">
        <is>
          <t>M18-P0020</t>
        </is>
      </c>
      <c r="D639" s="8" t="inlineStr">
        <is>
          <t>Online</t>
        </is>
      </c>
      <c r="E639" s="8" t="inlineStr"/>
      <c r="F639" s="8" t="inlineStr">
        <is>
          <t>Source step text</t>
        </is>
      </c>
      <c r="G639" s="8" t="inlineStr">
        <is>
          <t>Step 2: Click on "New Applicant Registration". Register using your Name, Mobile Number, and Email ID. Create a Username and Password. Your Mobile Number and Email ID will be verified via OTP.</t>
        </is>
      </c>
      <c r="H639" s="8" t="inlineStr">
        <is>
          <t>en.applicationProcess[0].process[2]</t>
        </is>
      </c>
      <c r="I639" s="8" t="inlineStr">
        <is>
          <t>M18@20261028-ef817fa6</t>
        </is>
      </c>
      <c r="J639" s="8" t="inlineStr">
        <is>
          <t>MS-M18</t>
        </is>
      </c>
      <c r="K639" s="8" t="inlineStr">
        <is>
          <t>1/1</t>
        </is>
      </c>
      <c r="L639" s="7" t="inlineStr">
        <is>
          <t>Approved</t>
        </is>
      </c>
      <c r="M639" s="7" t="n"/>
      <c r="N639" s="8" t="inlineStr">
        <is>
          <t>Actor, branch and dependency need review.</t>
        </is>
      </c>
    </row>
    <row r="640" ht="40" customHeight="1">
      <c r="A640" s="4" t="inlineStr">
        <is>
          <t>M18</t>
        </is>
      </c>
      <c r="B640" s="4" t="inlineStr">
        <is>
          <t>Training Of Motor Driving To VJNT, SBS &amp; OBC</t>
        </is>
      </c>
      <c r="C640" s="4" t="inlineStr">
        <is>
          <t>M18-P0021</t>
        </is>
      </c>
      <c r="D640" s="4" t="inlineStr">
        <is>
          <t>Online</t>
        </is>
      </c>
      <c r="E640" s="4" t="inlineStr"/>
      <c r="F640" s="4" t="inlineStr">
        <is>
          <t>Source step text</t>
        </is>
      </c>
      <c r="G640" s="4" t="inlineStr">
        <is>
          <t>Note: The username should contain only alphabets and numbers. The username should be greater than 4 characters and less than 15 characters.</t>
        </is>
      </c>
      <c r="H640" s="4" t="inlineStr">
        <is>
          <t>en.applicationProcess[0].process[4]</t>
        </is>
      </c>
      <c r="I640" s="4" t="inlineStr">
        <is>
          <t>M18@20261028-ef817fa6</t>
        </is>
      </c>
      <c r="J640" s="4" t="inlineStr">
        <is>
          <t>MS-M18</t>
        </is>
      </c>
      <c r="K640" s="4" t="inlineStr">
        <is>
          <t>1/1</t>
        </is>
      </c>
      <c r="L640" s="7" t="inlineStr">
        <is>
          <t>Approved</t>
        </is>
      </c>
      <c r="M640" s="7" t="n"/>
      <c r="N640" s="4" t="inlineStr">
        <is>
          <t>Actor, branch and dependency need review.</t>
        </is>
      </c>
    </row>
    <row r="641" ht="54" customHeight="1">
      <c r="A641" s="8" t="inlineStr">
        <is>
          <t>M18</t>
        </is>
      </c>
      <c r="B641" s="8" t="inlineStr">
        <is>
          <t>Training Of Motor Driving To VJNT, SBS &amp; OBC</t>
        </is>
      </c>
      <c r="C641" s="8" t="inlineStr">
        <is>
          <t>M18-P0022</t>
        </is>
      </c>
      <c r="D641" s="8" t="inlineStr">
        <is>
          <t>Online</t>
        </is>
      </c>
      <c r="E641" s="8" t="inlineStr"/>
      <c r="F641" s="8" t="inlineStr">
        <is>
          <t>Source step text</t>
        </is>
      </c>
      <c r="G641" s="8" t="inlineStr">
        <is>
          <t>Note: Password Length should be a minimum of 8 characters and a maximum of 20 characters. Password must contain at least 1 UpperCase Alphabet, 1 Lowercase Alphabet, 1 Number, and 1 Special Character.</t>
        </is>
      </c>
      <c r="H641" s="8" t="inlineStr">
        <is>
          <t>en.applicationProcess[0].process[6]</t>
        </is>
      </c>
      <c r="I641" s="8" t="inlineStr">
        <is>
          <t>M18@20261028-ef817fa6</t>
        </is>
      </c>
      <c r="J641" s="8" t="inlineStr">
        <is>
          <t>MS-M18</t>
        </is>
      </c>
      <c r="K641" s="8" t="inlineStr">
        <is>
          <t>1/1</t>
        </is>
      </c>
      <c r="L641" s="7" t="inlineStr">
        <is>
          <t>Approved</t>
        </is>
      </c>
      <c r="M641" s="7" t="n"/>
      <c r="N641" s="8" t="inlineStr">
        <is>
          <t>Actor, branch and dependency need review.</t>
        </is>
      </c>
    </row>
    <row r="642" ht="40" customHeight="1">
      <c r="A642" s="4" t="inlineStr">
        <is>
          <t>M18</t>
        </is>
      </c>
      <c r="B642" s="4" t="inlineStr">
        <is>
          <t>Training Of Motor Driving To VJNT, SBS &amp; OBC</t>
        </is>
      </c>
      <c r="C642" s="4" t="inlineStr">
        <is>
          <t>M18-P0023</t>
        </is>
      </c>
      <c r="D642" s="4" t="inlineStr">
        <is>
          <t>Online</t>
        </is>
      </c>
      <c r="E642" s="4" t="inlineStr"/>
      <c r="F642" s="4" t="inlineStr">
        <is>
          <t>Source step text</t>
        </is>
      </c>
      <c r="G642" s="4" t="inlineStr">
        <is>
          <t>Step 3: Now visit to Login Page and log in using your Username and Password. You will be directed to Home Page.</t>
        </is>
      </c>
      <c r="H642" s="4" t="inlineStr">
        <is>
          <t>en.applicationProcess[0].process[8]</t>
        </is>
      </c>
      <c r="I642" s="4" t="inlineStr">
        <is>
          <t>M18@20261028-ef817fa6</t>
        </is>
      </c>
      <c r="J642" s="4" t="inlineStr">
        <is>
          <t>MS-M18</t>
        </is>
      </c>
      <c r="K642" s="4" t="inlineStr">
        <is>
          <t>1/1</t>
        </is>
      </c>
      <c r="L642" s="7" t="inlineStr">
        <is>
          <t>Approved</t>
        </is>
      </c>
      <c r="M642" s="7" t="n"/>
      <c r="N642" s="4" t="inlineStr">
        <is>
          <t>Actor, branch and dependency need review.</t>
        </is>
      </c>
    </row>
    <row r="643" ht="40" customHeight="1">
      <c r="A643" s="8" t="inlineStr">
        <is>
          <t>M18</t>
        </is>
      </c>
      <c r="B643" s="8" t="inlineStr">
        <is>
          <t>Training Of Motor Driving To VJNT, SBS &amp; OBC</t>
        </is>
      </c>
      <c r="C643" s="8" t="inlineStr">
        <is>
          <t>M18-P0024</t>
        </is>
      </c>
      <c r="D643" s="8" t="inlineStr">
        <is>
          <t>Online</t>
        </is>
      </c>
      <c r="E643" s="8" t="inlineStr"/>
      <c r="F643" s="8" t="inlineStr">
        <is>
          <t>Source step text</t>
        </is>
      </c>
      <c r="G643" s="8" t="inlineStr">
        <is>
          <t>In the left pane, click "Aadhaar Bank Link" to link your Aadhaar with your Bank Account.</t>
        </is>
      </c>
      <c r="H643" s="8" t="inlineStr">
        <is>
          <t>en.applicationProcess[0].process[9]</t>
        </is>
      </c>
      <c r="I643" s="8" t="inlineStr">
        <is>
          <t>M18@20261028-ef817fa6</t>
        </is>
      </c>
      <c r="J643" s="8" t="inlineStr">
        <is>
          <t>MS-M18</t>
        </is>
      </c>
      <c r="K643" s="8" t="inlineStr">
        <is>
          <t>1/1</t>
        </is>
      </c>
      <c r="L643" s="7" t="inlineStr">
        <is>
          <t>Approved</t>
        </is>
      </c>
      <c r="M643" s="7" t="n"/>
      <c r="N643" s="8" t="inlineStr">
        <is>
          <t>Actor, branch and dependency need review.</t>
        </is>
      </c>
    </row>
    <row r="644" ht="54" customHeight="1">
      <c r="A644" s="4" t="inlineStr">
        <is>
          <t>M18</t>
        </is>
      </c>
      <c r="B644" s="4" t="inlineStr">
        <is>
          <t>Training Of Motor Driving To VJNT, SBS &amp; OBC</t>
        </is>
      </c>
      <c r="C644" s="4" t="inlineStr">
        <is>
          <t>M18-P0025</t>
        </is>
      </c>
      <c r="D644" s="4" t="inlineStr">
        <is>
          <t>Online</t>
        </is>
      </c>
      <c r="E644" s="4" t="inlineStr"/>
      <c r="F644" s="4" t="inlineStr">
        <is>
          <t>Source step text</t>
        </is>
      </c>
      <c r="G644" s="4" t="inlineStr">
        <is>
          <t>Step 4: In the left pane, click "Profile". Fill in all the mandatory details and upload the mandatory documents (Personal Details, Address Information, Other Information, Current Course, Past Qualification, and Hostel Details). Click "Save".</t>
        </is>
      </c>
      <c r="H644" s="4" t="inlineStr">
        <is>
          <t>en.applicationProcess[0].process[11]</t>
        </is>
      </c>
      <c r="I644" s="4" t="inlineStr">
        <is>
          <t>M18@20261028-ef817fa6</t>
        </is>
      </c>
      <c r="J644" s="4" t="inlineStr">
        <is>
          <t>MS-M18</t>
        </is>
      </c>
      <c r="K644" s="4" t="inlineStr">
        <is>
          <t>1/1</t>
        </is>
      </c>
      <c r="L644" s="7" t="inlineStr">
        <is>
          <t>Approved</t>
        </is>
      </c>
      <c r="M644" s="7" t="n"/>
      <c r="N644" s="4" t="inlineStr">
        <is>
          <t>Actor, branch and dependency need review.</t>
        </is>
      </c>
    </row>
    <row r="645" ht="40" customHeight="1">
      <c r="A645" s="8" t="inlineStr">
        <is>
          <t>M18</t>
        </is>
      </c>
      <c r="B645" s="8" t="inlineStr">
        <is>
          <t>Training Of Motor Driving To VJNT, SBS &amp; OBC</t>
        </is>
      </c>
      <c r="C645" s="8" t="inlineStr">
        <is>
          <t>M18-P0026</t>
        </is>
      </c>
      <c r="D645" s="8" t="inlineStr">
        <is>
          <t>Online</t>
        </is>
      </c>
      <c r="E645" s="8" t="inlineStr"/>
      <c r="F645" s="8" t="inlineStr">
        <is>
          <t>Source step text</t>
        </is>
      </c>
      <c r="G645" s="8" t="inlineStr">
        <is>
          <t>Step 5: In the left pane, click "All Schemes". A list of schemes will appear. Click on "Training of Motor Driving To VJNT, SBC &amp; OBCS.</t>
        </is>
      </c>
      <c r="H645" s="8" t="inlineStr">
        <is>
          <t>en.applicationProcess[0].process[13]</t>
        </is>
      </c>
      <c r="I645" s="8" t="inlineStr">
        <is>
          <t>M18@20261028-ef817fa6</t>
        </is>
      </c>
      <c r="J645" s="8" t="inlineStr">
        <is>
          <t>MS-M18</t>
        </is>
      </c>
      <c r="K645" s="8" t="inlineStr">
        <is>
          <t>1/1</t>
        </is>
      </c>
      <c r="L645" s="7" t="inlineStr">
        <is>
          <t>Approved</t>
        </is>
      </c>
      <c r="M645" s="7" t="n"/>
      <c r="N645" s="8" t="inlineStr">
        <is>
          <t>Actor, branch and dependency need review.</t>
        </is>
      </c>
    </row>
    <row r="646" ht="54" customHeight="1">
      <c r="A646" s="4" t="inlineStr">
        <is>
          <t>M18</t>
        </is>
      </c>
      <c r="B646" s="4" t="inlineStr">
        <is>
          <t>Training Of Motor Driving To VJNT, SBS &amp; OBC</t>
        </is>
      </c>
      <c r="C646" s="4" t="inlineStr">
        <is>
          <t>M18-P0027</t>
        </is>
      </c>
      <c r="D646" s="4" t="inlineStr">
        <is>
          <t>Online</t>
        </is>
      </c>
      <c r="E646" s="4" t="inlineStr"/>
      <c r="F646" s="4" t="inlineStr">
        <is>
          <t>Source step text</t>
        </is>
      </c>
      <c r="G646" s="4" t="inlineStr">
        <is>
          <t>Step 6: Fill in all the additional information and upload the mandatory documents. Click "Submit" to submit your application. A pop-up will appear, displaying your Application ID. Save the Application ID for future reference. Click "OK".</t>
        </is>
      </c>
      <c r="H646" s="4" t="inlineStr">
        <is>
          <t>en.applicationProcess[0].process[15]</t>
        </is>
      </c>
      <c r="I646" s="4" t="inlineStr">
        <is>
          <t>M18@20261028-ef817fa6</t>
        </is>
      </c>
      <c r="J646" s="4" t="inlineStr">
        <is>
          <t>MS-M18</t>
        </is>
      </c>
      <c r="K646" s="4" t="inlineStr">
        <is>
          <t>1/1</t>
        </is>
      </c>
      <c r="L646" s="7" t="inlineStr">
        <is>
          <t>Approved</t>
        </is>
      </c>
      <c r="M646" s="7" t="n"/>
      <c r="N646" s="4" t="inlineStr">
        <is>
          <t>Actor, branch and dependency need review.</t>
        </is>
      </c>
    </row>
    <row r="647" ht="40" customHeight="1">
      <c r="A647" s="8" t="inlineStr">
        <is>
          <t>M18</t>
        </is>
      </c>
      <c r="B647" s="8" t="inlineStr">
        <is>
          <t>Training Of Motor Driving To VJNT, SBS &amp; OBC</t>
        </is>
      </c>
      <c r="C647" s="8" t="inlineStr">
        <is>
          <t>M18-P0028</t>
        </is>
      </c>
      <c r="D647" s="8" t="inlineStr">
        <is>
          <t>Online</t>
        </is>
      </c>
      <c r="E647" s="8" t="inlineStr"/>
      <c r="F647" s="8" t="inlineStr">
        <is>
          <t>Source step text</t>
        </is>
      </c>
      <c r="G647" s="8" t="inlineStr">
        <is>
          <t>Optional: You can track the status of your application (Under Scrutiny / Approved / Rejected / Fund Disbursed) by clicking on "My Applied Scheme History" in the left pane.</t>
        </is>
      </c>
      <c r="H647" s="8" t="inlineStr">
        <is>
          <t>en.applicationProcess[0].process[17]</t>
        </is>
      </c>
      <c r="I647" s="8" t="inlineStr">
        <is>
          <t>M18@20261028-ef817fa6</t>
        </is>
      </c>
      <c r="J647" s="8" t="inlineStr">
        <is>
          <t>MS-M18</t>
        </is>
      </c>
      <c r="K647" s="8" t="inlineStr">
        <is>
          <t>1/1</t>
        </is>
      </c>
      <c r="L647" s="7" t="inlineStr">
        <is>
          <t>Approved</t>
        </is>
      </c>
      <c r="M647" s="7" t="n"/>
      <c r="N647" s="8" t="inlineStr">
        <is>
          <t>Actor, branch and dependency need review.</t>
        </is>
      </c>
    </row>
    <row r="648" ht="40" customHeight="1">
      <c r="A648" s="4" t="inlineStr">
        <is>
          <t>M19</t>
        </is>
      </c>
      <c r="B648" s="4" t="inlineStr">
        <is>
          <t>Mukhyamantri - Majhi Ladki Bahin Yojana</t>
        </is>
      </c>
      <c r="C648" s="4" t="inlineStr">
        <is>
          <t>M19-P0030</t>
        </is>
      </c>
      <c r="D648" s="4" t="inlineStr">
        <is>
          <t>Online</t>
        </is>
      </c>
      <c r="E648" s="4" t="inlineStr">
        <is>
          <t>Registration Process:</t>
        </is>
      </c>
      <c r="F648" s="4" t="inlineStr">
        <is>
          <t>Heading / phase</t>
        </is>
      </c>
      <c r="G648" s="4" t="inlineStr">
        <is>
          <t>Registration Process:</t>
        </is>
      </c>
      <c r="H648" s="4" t="inlineStr">
        <is>
          <t>en.applicationProcess[0].process[0]</t>
        </is>
      </c>
      <c r="I648" s="4" t="inlineStr">
        <is>
          <t>M19@20261028-8107d501</t>
        </is>
      </c>
      <c r="J648" s="4" t="inlineStr">
        <is>
          <t>MS-M19</t>
        </is>
      </c>
      <c r="K648" s="4" t="inlineStr">
        <is>
          <t>1/1</t>
        </is>
      </c>
      <c r="L648" s="7" t="inlineStr">
        <is>
          <t>Approved</t>
        </is>
      </c>
      <c r="M648" s="7" t="n"/>
      <c r="N648" s="4" t="inlineStr">
        <is>
          <t>Actor, branch and dependency need review.</t>
        </is>
      </c>
    </row>
    <row r="649" ht="40" customHeight="1">
      <c r="A649" s="8" t="inlineStr">
        <is>
          <t>M19</t>
        </is>
      </c>
      <c r="B649" s="8" t="inlineStr">
        <is>
          <t>Mukhyamantri - Majhi Ladki Bahin Yojana</t>
        </is>
      </c>
      <c r="C649" s="8" t="inlineStr">
        <is>
          <t>M19-P0031</t>
        </is>
      </c>
      <c r="D649" s="8" t="inlineStr">
        <is>
          <t>Online</t>
        </is>
      </c>
      <c r="E649" s="8" t="inlineStr">
        <is>
          <t>Registration Process:</t>
        </is>
      </c>
      <c r="F649" s="8" t="inlineStr">
        <is>
          <t>Source step text</t>
        </is>
      </c>
      <c r="G649" s="8" t="inlineStr">
        <is>
          <t>Step 01: The interested applicant visit the official website.</t>
        </is>
      </c>
      <c r="H649" s="8" t="inlineStr">
        <is>
          <t>en.applicationProcess[0].process[1]</t>
        </is>
      </c>
      <c r="I649" s="8" t="inlineStr">
        <is>
          <t>M19@20261028-8107d501</t>
        </is>
      </c>
      <c r="J649" s="8" t="inlineStr">
        <is>
          <t>MS-M19</t>
        </is>
      </c>
      <c r="K649" s="8" t="inlineStr">
        <is>
          <t>1/1</t>
        </is>
      </c>
      <c r="L649" s="7" t="inlineStr">
        <is>
          <t>Approved</t>
        </is>
      </c>
      <c r="M649" s="7" t="n"/>
      <c r="N649" s="8" t="inlineStr">
        <is>
          <t>Actor, branch and dependency need review.</t>
        </is>
      </c>
    </row>
    <row r="650" ht="40" customHeight="1">
      <c r="A650" s="4" t="inlineStr">
        <is>
          <t>M19</t>
        </is>
      </c>
      <c r="B650" s="4" t="inlineStr">
        <is>
          <t>Mukhyamantri - Majhi Ladki Bahin Yojana</t>
        </is>
      </c>
      <c r="C650" s="4" t="inlineStr">
        <is>
          <t>M19-P0032</t>
        </is>
      </c>
      <c r="D650" s="4" t="inlineStr">
        <is>
          <t>Online</t>
        </is>
      </c>
      <c r="E650" s="4" t="inlineStr">
        <is>
          <t>Registration Process:</t>
        </is>
      </c>
      <c r="F650" s="4" t="inlineStr">
        <is>
          <t>Source step text</t>
        </is>
      </c>
      <c r="G650" s="4" t="inlineStr">
        <is>
          <t>Step 02: Select "Applicant Login" and click on "Create Account."</t>
        </is>
      </c>
      <c r="H650" s="4" t="inlineStr">
        <is>
          <t>en.applicationProcess[0].process[2]</t>
        </is>
      </c>
      <c r="I650" s="4" t="inlineStr">
        <is>
          <t>M19@20261028-8107d501</t>
        </is>
      </c>
      <c r="J650" s="4" t="inlineStr">
        <is>
          <t>MS-M19</t>
        </is>
      </c>
      <c r="K650" s="4" t="inlineStr">
        <is>
          <t>1/1</t>
        </is>
      </c>
      <c r="L650" s="7" t="inlineStr">
        <is>
          <t>Approved</t>
        </is>
      </c>
      <c r="M650" s="7" t="n"/>
      <c r="N650" s="4" t="inlineStr">
        <is>
          <t>Actor, branch and dependency need review.</t>
        </is>
      </c>
    </row>
    <row r="651" ht="54" customHeight="1">
      <c r="A651" s="8" t="inlineStr">
        <is>
          <t>M19</t>
        </is>
      </c>
      <c r="B651" s="8" t="inlineStr">
        <is>
          <t>Mukhyamantri - Majhi Ladki Bahin Yojana</t>
        </is>
      </c>
      <c r="C651" s="8" t="inlineStr">
        <is>
          <t>M19-P0033</t>
        </is>
      </c>
      <c r="D651" s="8" t="inlineStr">
        <is>
          <t>Online</t>
        </is>
      </c>
      <c r="E651" s="8" t="inlineStr">
        <is>
          <t>Registration Process:</t>
        </is>
      </c>
      <c r="F651" s="8" t="inlineStr">
        <is>
          <t>Source step text</t>
        </is>
      </c>
      <c r="G651" s="8" t="inlineStr">
        <is>
          <t>Step 03: Complete the registration form with the following details: Full Name as per Aadhaar, Mobile No, Password, Confirm Password, District, Taluka, Village, Municipal Corporation / Council, Authorized Person &amp; Accept Terms and Conditions.</t>
        </is>
      </c>
      <c r="H651" s="8" t="inlineStr">
        <is>
          <t>en.applicationProcess[0].process[3]</t>
        </is>
      </c>
      <c r="I651" s="8" t="inlineStr">
        <is>
          <t>M19@20261028-8107d501</t>
        </is>
      </c>
      <c r="J651" s="8" t="inlineStr">
        <is>
          <t>MS-M19</t>
        </is>
      </c>
      <c r="K651" s="8" t="inlineStr">
        <is>
          <t>1/1</t>
        </is>
      </c>
      <c r="L651" s="7" t="inlineStr">
        <is>
          <t>Approved</t>
        </is>
      </c>
      <c r="M651" s="7" t="n"/>
      <c r="N651" s="8" t="inlineStr">
        <is>
          <t>Actor, branch and dependency need review.</t>
        </is>
      </c>
    </row>
    <row r="652" ht="40" customHeight="1">
      <c r="A652" s="4" t="inlineStr">
        <is>
          <t>M19</t>
        </is>
      </c>
      <c r="B652" s="4" t="inlineStr">
        <is>
          <t>Mukhyamantri - Majhi Ladki Bahin Yojana</t>
        </is>
      </c>
      <c r="C652" s="4" t="inlineStr">
        <is>
          <t>M19-P0034</t>
        </is>
      </c>
      <c r="D652" s="4" t="inlineStr">
        <is>
          <t>Online</t>
        </is>
      </c>
      <c r="E652" s="4" t="inlineStr">
        <is>
          <t>Registration Process:</t>
        </is>
      </c>
      <c r="F652" s="4" t="inlineStr">
        <is>
          <t>Source step text</t>
        </is>
      </c>
      <c r="G652" s="4" t="inlineStr">
        <is>
          <t>Step 04: Enter the Captcha code and click "Sign-up." You will receive an OTP.</t>
        </is>
      </c>
      <c r="H652" s="4" t="inlineStr">
        <is>
          <t>en.applicationProcess[0].process[4]</t>
        </is>
      </c>
      <c r="I652" s="4" t="inlineStr">
        <is>
          <t>M19@20261028-8107d501</t>
        </is>
      </c>
      <c r="J652" s="4" t="inlineStr">
        <is>
          <t>MS-M19</t>
        </is>
      </c>
      <c r="K652" s="4" t="inlineStr">
        <is>
          <t>1/1</t>
        </is>
      </c>
      <c r="L652" s="7" t="inlineStr">
        <is>
          <t>Approved</t>
        </is>
      </c>
      <c r="M652" s="7" t="n"/>
      <c r="N652" s="4" t="inlineStr">
        <is>
          <t>Actor, branch and dependency need review.</t>
        </is>
      </c>
    </row>
    <row r="653" ht="40" customHeight="1">
      <c r="A653" s="8" t="inlineStr">
        <is>
          <t>M19</t>
        </is>
      </c>
      <c r="B653" s="8" t="inlineStr">
        <is>
          <t>Mukhyamantri - Majhi Ladki Bahin Yojana</t>
        </is>
      </c>
      <c r="C653" s="8" t="inlineStr">
        <is>
          <t>M19-P0035</t>
        </is>
      </c>
      <c r="D653" s="8" t="inlineStr">
        <is>
          <t>Online</t>
        </is>
      </c>
      <c r="E653" s="8" t="inlineStr">
        <is>
          <t>Registration Process:</t>
        </is>
      </c>
      <c r="F653" s="8" t="inlineStr">
        <is>
          <t>Source step text</t>
        </is>
      </c>
      <c r="G653" s="8" t="inlineStr">
        <is>
          <t>Step 05: Enter the OTP and the Captcha code again.</t>
        </is>
      </c>
      <c r="H653" s="8" t="inlineStr">
        <is>
          <t>en.applicationProcess[0].process[5]</t>
        </is>
      </c>
      <c r="I653" s="8" t="inlineStr">
        <is>
          <t>M19@20261028-8107d501</t>
        </is>
      </c>
      <c r="J653" s="8" t="inlineStr">
        <is>
          <t>MS-M19</t>
        </is>
      </c>
      <c r="K653" s="8" t="inlineStr">
        <is>
          <t>1/1</t>
        </is>
      </c>
      <c r="L653" s="7" t="inlineStr">
        <is>
          <t>Approved</t>
        </is>
      </c>
      <c r="M653" s="7" t="n"/>
      <c r="N653" s="8" t="inlineStr">
        <is>
          <t>Actor, branch and dependency need review.</t>
        </is>
      </c>
    </row>
    <row r="654" ht="40" customHeight="1">
      <c r="A654" s="4" t="inlineStr">
        <is>
          <t>M19</t>
        </is>
      </c>
      <c r="B654" s="4" t="inlineStr">
        <is>
          <t>Mukhyamantri - Majhi Ladki Bahin Yojana</t>
        </is>
      </c>
      <c r="C654" s="4" t="inlineStr">
        <is>
          <t>M19-P0036</t>
        </is>
      </c>
      <c r="D654" s="4" t="inlineStr">
        <is>
          <t>Online</t>
        </is>
      </c>
      <c r="E654" s="4" t="inlineStr">
        <is>
          <t>Registration Process:</t>
        </is>
      </c>
      <c r="F654" s="4" t="inlineStr">
        <is>
          <t>Source step text</t>
        </is>
      </c>
      <c r="G654" s="4" t="inlineStr">
        <is>
          <t>Step 06: Click "Verify the OTP" to receive a message confirming that your login was successful.</t>
        </is>
      </c>
      <c r="H654" s="4" t="inlineStr">
        <is>
          <t>en.applicationProcess[0].process[6]</t>
        </is>
      </c>
      <c r="I654" s="4" t="inlineStr">
        <is>
          <t>M19@20261028-8107d501</t>
        </is>
      </c>
      <c r="J654" s="4" t="inlineStr">
        <is>
          <t>MS-M19</t>
        </is>
      </c>
      <c r="K654" s="4" t="inlineStr">
        <is>
          <t>1/1</t>
        </is>
      </c>
      <c r="L654" s="7" t="inlineStr">
        <is>
          <t>Approved</t>
        </is>
      </c>
      <c r="M654" s="7" t="n"/>
      <c r="N654" s="4" t="inlineStr">
        <is>
          <t>Actor, branch and dependency need review.</t>
        </is>
      </c>
    </row>
    <row r="655" ht="40" customHeight="1">
      <c r="A655" s="8" t="inlineStr">
        <is>
          <t>M19</t>
        </is>
      </c>
      <c r="B655" s="8" t="inlineStr">
        <is>
          <t>Mukhyamantri - Majhi Ladki Bahin Yojana</t>
        </is>
      </c>
      <c r="C655" s="8" t="inlineStr">
        <is>
          <t>M19-P0037</t>
        </is>
      </c>
      <c r="D655" s="8" t="inlineStr">
        <is>
          <t>Online</t>
        </is>
      </c>
      <c r="E655" s="8" t="inlineStr">
        <is>
          <t>Application Process:</t>
        </is>
      </c>
      <c r="F655" s="8" t="inlineStr">
        <is>
          <t>Heading / phase</t>
        </is>
      </c>
      <c r="G655" s="8" t="inlineStr">
        <is>
          <t>Application Process:</t>
        </is>
      </c>
      <c r="H655" s="8" t="inlineStr">
        <is>
          <t>en.applicationProcess[0].process[8]</t>
        </is>
      </c>
      <c r="I655" s="8" t="inlineStr">
        <is>
          <t>M19@20261028-8107d501</t>
        </is>
      </c>
      <c r="J655" s="8" t="inlineStr">
        <is>
          <t>MS-M19</t>
        </is>
      </c>
      <c r="K655" s="8" t="inlineStr">
        <is>
          <t>1/1</t>
        </is>
      </c>
      <c r="L655" s="7" t="inlineStr">
        <is>
          <t>Approved</t>
        </is>
      </c>
      <c r="M655" s="7" t="n"/>
      <c r="N655" s="8" t="inlineStr">
        <is>
          <t>Actor, branch and dependency need review.</t>
        </is>
      </c>
    </row>
    <row r="656" ht="40" customHeight="1">
      <c r="A656" s="4" t="inlineStr">
        <is>
          <t>M19</t>
        </is>
      </c>
      <c r="B656" s="4" t="inlineStr">
        <is>
          <t>Mukhyamantri - Majhi Ladki Bahin Yojana</t>
        </is>
      </c>
      <c r="C656" s="4" t="inlineStr">
        <is>
          <t>M19-P0038</t>
        </is>
      </c>
      <c r="D656" s="4" t="inlineStr">
        <is>
          <t>Online</t>
        </is>
      </c>
      <c r="E656" s="4" t="inlineStr">
        <is>
          <t>Application Process:</t>
        </is>
      </c>
      <c r="F656" s="4" t="inlineStr">
        <is>
          <t>Source step text</t>
        </is>
      </c>
      <c r="G656" s="4" t="inlineStr">
        <is>
          <t>Step 01: Log in to the portal using your Mobile number, Password, and Captcha to log in.</t>
        </is>
      </c>
      <c r="H656" s="4" t="inlineStr">
        <is>
          <t>en.applicationProcess[0].process[9]</t>
        </is>
      </c>
      <c r="I656" s="4" t="inlineStr">
        <is>
          <t>M19@20261028-8107d501</t>
        </is>
      </c>
      <c r="J656" s="4" t="inlineStr">
        <is>
          <t>MS-M19</t>
        </is>
      </c>
      <c r="K656" s="4" t="inlineStr">
        <is>
          <t>1/1</t>
        </is>
      </c>
      <c r="L656" s="7" t="inlineStr">
        <is>
          <t>Approved</t>
        </is>
      </c>
      <c r="M656" s="7" t="n"/>
      <c r="N656" s="4" t="inlineStr">
        <is>
          <t>Actor, branch and dependency need review.</t>
        </is>
      </c>
    </row>
    <row r="657" ht="40" customHeight="1">
      <c r="A657" s="8" t="inlineStr">
        <is>
          <t>M19</t>
        </is>
      </c>
      <c r="B657" s="8" t="inlineStr">
        <is>
          <t>Mukhyamantri - Majhi Ladki Bahin Yojana</t>
        </is>
      </c>
      <c r="C657" s="8" t="inlineStr">
        <is>
          <t>M19-P0039</t>
        </is>
      </c>
      <c r="D657" s="8" t="inlineStr">
        <is>
          <t>Online</t>
        </is>
      </c>
      <c r="E657" s="8" t="inlineStr">
        <is>
          <t>Application Process:</t>
        </is>
      </c>
      <c r="F657" s="8" t="inlineStr">
        <is>
          <t>Source step text</t>
        </is>
      </c>
      <c r="G657" s="8" t="inlineStr">
        <is>
          <t>Step 02: Click on "Application of Mukhyamantri - Majhi Ladki Bahin Yojana" and enter your Aadhaar Number and Captcha.</t>
        </is>
      </c>
      <c r="H657" s="8" t="inlineStr">
        <is>
          <t>en.applicationProcess[0].process[10]</t>
        </is>
      </c>
      <c r="I657" s="8" t="inlineStr">
        <is>
          <t>M19@20261028-8107d501</t>
        </is>
      </c>
      <c r="J657" s="8" t="inlineStr">
        <is>
          <t>MS-M19</t>
        </is>
      </c>
      <c r="K657" s="8" t="inlineStr">
        <is>
          <t>1/1</t>
        </is>
      </c>
      <c r="L657" s="7" t="inlineStr">
        <is>
          <t>Approved</t>
        </is>
      </c>
      <c r="M657" s="7" t="n"/>
      <c r="N657" s="8" t="inlineStr">
        <is>
          <t>Actor, branch and dependency need review.</t>
        </is>
      </c>
    </row>
    <row r="658" ht="40" customHeight="1">
      <c r="A658" s="4" t="inlineStr">
        <is>
          <t>M19</t>
        </is>
      </c>
      <c r="B658" s="4" t="inlineStr">
        <is>
          <t>Mukhyamantri - Majhi Ladki Bahin Yojana</t>
        </is>
      </c>
      <c r="C658" s="4" t="inlineStr">
        <is>
          <t>M19-P0040</t>
        </is>
      </c>
      <c r="D658" s="4" t="inlineStr">
        <is>
          <t>Online</t>
        </is>
      </c>
      <c r="E658" s="4" t="inlineStr">
        <is>
          <t>Application Process:</t>
        </is>
      </c>
      <c r="F658" s="4" t="inlineStr">
        <is>
          <t>Source step text</t>
        </is>
      </c>
      <c r="G658" s="4" t="inlineStr">
        <is>
          <t>Step 03: Click on "Valid Aadhaar" and complete the registration form with the applicant's name, bank details, and permanent address.</t>
        </is>
      </c>
      <c r="H658" s="4" t="inlineStr">
        <is>
          <t>en.applicationProcess[0].process[11]</t>
        </is>
      </c>
      <c r="I658" s="4" t="inlineStr">
        <is>
          <t>M19@20261028-8107d501</t>
        </is>
      </c>
      <c r="J658" s="4" t="inlineStr">
        <is>
          <t>MS-M19</t>
        </is>
      </c>
      <c r="K658" s="4" t="inlineStr">
        <is>
          <t>1/1</t>
        </is>
      </c>
      <c r="L658" s="7" t="inlineStr">
        <is>
          <t>Approved</t>
        </is>
      </c>
      <c r="M658" s="7" t="n"/>
      <c r="N658" s="4" t="inlineStr">
        <is>
          <t>Actor, branch and dependency need review.</t>
        </is>
      </c>
    </row>
    <row r="659" ht="40" customHeight="1">
      <c r="A659" s="8" t="inlineStr">
        <is>
          <t>M19</t>
        </is>
      </c>
      <c r="B659" s="8" t="inlineStr">
        <is>
          <t>Mukhyamantri - Majhi Ladki Bahin Yojana</t>
        </is>
      </c>
      <c r="C659" s="8" t="inlineStr">
        <is>
          <t>M19-P0041</t>
        </is>
      </c>
      <c r="D659" s="8" t="inlineStr">
        <is>
          <t>Online</t>
        </is>
      </c>
      <c r="E659" s="8" t="inlineStr">
        <is>
          <t>Application Process:</t>
        </is>
      </c>
      <c r="F659" s="8" t="inlineStr">
        <is>
          <t>Source step text</t>
        </is>
      </c>
      <c r="G659" s="8" t="inlineStr">
        <is>
          <t>Step 04: Upload relevant documents such as an Aadhaar card, Domicile certificate, Ration card, etc.</t>
        </is>
      </c>
      <c r="H659" s="8" t="inlineStr">
        <is>
          <t>en.applicationProcess[0].process[12]</t>
        </is>
      </c>
      <c r="I659" s="8" t="inlineStr">
        <is>
          <t>M19@20261028-8107d501</t>
        </is>
      </c>
      <c r="J659" s="8" t="inlineStr">
        <is>
          <t>MS-M19</t>
        </is>
      </c>
      <c r="K659" s="8" t="inlineStr">
        <is>
          <t>1/1</t>
        </is>
      </c>
      <c r="L659" s="7" t="inlineStr">
        <is>
          <t>Approved</t>
        </is>
      </c>
      <c r="M659" s="7" t="n"/>
      <c r="N659" s="8" t="inlineStr">
        <is>
          <t>Actor, branch and dependency need review.</t>
        </is>
      </c>
    </row>
    <row r="660" ht="40" customHeight="1">
      <c r="A660" s="4" t="inlineStr">
        <is>
          <t>M19</t>
        </is>
      </c>
      <c r="B660" s="4" t="inlineStr">
        <is>
          <t>Mukhyamantri - Majhi Ladki Bahin Yojana</t>
        </is>
      </c>
      <c r="C660" s="4" t="inlineStr">
        <is>
          <t>M19-P0042</t>
        </is>
      </c>
      <c r="D660" s="4" t="inlineStr">
        <is>
          <t>Online</t>
        </is>
      </c>
      <c r="E660" s="4" t="inlineStr">
        <is>
          <t>Application Process:</t>
        </is>
      </c>
      <c r="F660" s="4" t="inlineStr">
        <is>
          <t>Source step text</t>
        </is>
      </c>
      <c r="G660" s="4" t="inlineStr">
        <is>
          <t>Step 05: Click "Submit" to receive your application ID via SMS.</t>
        </is>
      </c>
      <c r="H660" s="4" t="inlineStr">
        <is>
          <t>en.applicationProcess[0].process[13]</t>
        </is>
      </c>
      <c r="I660" s="4" t="inlineStr">
        <is>
          <t>M19@20261028-8107d501</t>
        </is>
      </c>
      <c r="J660" s="4" t="inlineStr">
        <is>
          <t>MS-M19</t>
        </is>
      </c>
      <c r="K660" s="4" t="inlineStr">
        <is>
          <t>1/1</t>
        </is>
      </c>
      <c r="L660" s="7" t="inlineStr">
        <is>
          <t>Approved</t>
        </is>
      </c>
      <c r="M660" s="7" t="n"/>
      <c r="N660" s="4" t="inlineStr">
        <is>
          <t>Actor, branch and dependency need review.</t>
        </is>
      </c>
    </row>
    <row r="661" ht="40" customHeight="1">
      <c r="A661" s="8" t="inlineStr">
        <is>
          <t>M19</t>
        </is>
      </c>
      <c r="B661" s="8" t="inlineStr">
        <is>
          <t>Mukhyamantri - Majhi Ladki Bahin Yojana</t>
        </is>
      </c>
      <c r="C661" s="8" t="inlineStr">
        <is>
          <t>M19-P0043</t>
        </is>
      </c>
      <c r="D661" s="8" t="inlineStr">
        <is>
          <t>Online</t>
        </is>
      </c>
      <c r="E661" s="8" t="inlineStr">
        <is>
          <t>Check the Status:</t>
        </is>
      </c>
      <c r="F661" s="8" t="inlineStr">
        <is>
          <t>Heading / phase</t>
        </is>
      </c>
      <c r="G661" s="8" t="inlineStr">
        <is>
          <t>Check the Status:</t>
        </is>
      </c>
      <c r="H661" s="8" t="inlineStr">
        <is>
          <t>en.applicationProcess[0].process[15]</t>
        </is>
      </c>
      <c r="I661" s="8" t="inlineStr">
        <is>
          <t>M19@20261028-8107d501</t>
        </is>
      </c>
      <c r="J661" s="8" t="inlineStr">
        <is>
          <t>MS-M19</t>
        </is>
      </c>
      <c r="K661" s="8" t="inlineStr">
        <is>
          <t>1/1</t>
        </is>
      </c>
      <c r="L661" s="7" t="inlineStr">
        <is>
          <t>Approved</t>
        </is>
      </c>
      <c r="M661" s="7" t="n"/>
      <c r="N661" s="8" t="inlineStr">
        <is>
          <t>Actor, branch and dependency need review.</t>
        </is>
      </c>
    </row>
    <row r="662" ht="40" customHeight="1">
      <c r="A662" s="4" t="inlineStr">
        <is>
          <t>M19</t>
        </is>
      </c>
      <c r="B662" s="4" t="inlineStr">
        <is>
          <t>Mukhyamantri - Majhi Ladki Bahin Yojana</t>
        </is>
      </c>
      <c r="C662" s="4" t="inlineStr">
        <is>
          <t>M19-P0044</t>
        </is>
      </c>
      <c r="D662" s="4" t="inlineStr">
        <is>
          <t>Online</t>
        </is>
      </c>
      <c r="E662" s="4" t="inlineStr">
        <is>
          <t>Check the Status:</t>
        </is>
      </c>
      <c r="F662" s="4" t="inlineStr">
        <is>
          <t>Source step text</t>
        </is>
      </c>
      <c r="G662" s="4" t="inlineStr">
        <is>
          <t>Step 01: Log in to the portal using your Mobile number, Password, and Captcha to log in.</t>
        </is>
      </c>
      <c r="H662" s="4" t="inlineStr">
        <is>
          <t>en.applicationProcess[0].process[16]</t>
        </is>
      </c>
      <c r="I662" s="4" t="inlineStr">
        <is>
          <t>M19@20261028-8107d501</t>
        </is>
      </c>
      <c r="J662" s="4" t="inlineStr">
        <is>
          <t>MS-M19</t>
        </is>
      </c>
      <c r="K662" s="4" t="inlineStr">
        <is>
          <t>1/1</t>
        </is>
      </c>
      <c r="L662" s="7" t="inlineStr">
        <is>
          <t>Approved</t>
        </is>
      </c>
      <c r="M662" s="7" t="n"/>
      <c r="N662" s="4" t="inlineStr">
        <is>
          <t>Actor, branch and dependency need review.</t>
        </is>
      </c>
    </row>
    <row r="663" ht="40" customHeight="1">
      <c r="A663" s="8" t="inlineStr">
        <is>
          <t>M19</t>
        </is>
      </c>
      <c r="B663" s="8" t="inlineStr">
        <is>
          <t>Mukhyamantri - Majhi Ladki Bahin Yojana</t>
        </is>
      </c>
      <c r="C663" s="8" t="inlineStr">
        <is>
          <t>M19-P0045</t>
        </is>
      </c>
      <c r="D663" s="8" t="inlineStr">
        <is>
          <t>Online</t>
        </is>
      </c>
      <c r="E663" s="8" t="inlineStr">
        <is>
          <t>Check the Status:</t>
        </is>
      </c>
      <c r="F663" s="8" t="inlineStr">
        <is>
          <t>Source step text</t>
        </is>
      </c>
      <c r="G663" s="8" t="inlineStr">
        <is>
          <t>Step 02: Click on "Applications Made Earlier" to view the status of your applications.</t>
        </is>
      </c>
      <c r="H663" s="8" t="inlineStr">
        <is>
          <t>en.applicationProcess[0].process[17]</t>
        </is>
      </c>
      <c r="I663" s="8" t="inlineStr">
        <is>
          <t>M19@20261028-8107d501</t>
        </is>
      </c>
      <c r="J663" s="8" t="inlineStr">
        <is>
          <t>MS-M19</t>
        </is>
      </c>
      <c r="K663" s="8" t="inlineStr">
        <is>
          <t>1/1</t>
        </is>
      </c>
      <c r="L663" s="7" t="inlineStr">
        <is>
          <t>Approved</t>
        </is>
      </c>
      <c r="M663" s="7" t="n"/>
      <c r="N663" s="8" t="inlineStr">
        <is>
          <t>Actor, branch and dependency need review.</t>
        </is>
      </c>
    </row>
    <row r="664" ht="54" customHeight="1">
      <c r="A664" s="4" t="inlineStr">
        <is>
          <t>M20</t>
        </is>
      </c>
      <c r="B664" s="4" t="inlineStr">
        <is>
          <t>Mahatma Jyotirao Phule Jan Arogya Yojana</t>
        </is>
      </c>
      <c r="C664" s="4" t="inlineStr">
        <is>
          <t>M20-P0063</t>
        </is>
      </c>
      <c r="D664" s="4" t="inlineStr">
        <is>
          <t>Offline</t>
        </is>
      </c>
      <c r="E664" s="4" t="inlineStr"/>
      <c r="F664" s="4" t="inlineStr">
        <is>
          <t>Source step text</t>
        </is>
      </c>
      <c r="G664" s="4" t="inlineStr">
        <is>
          <t>Step 1: The interested applicant should visit the  any Govt./Pvt. network hospital in State, and request the hard copy of the prescribed format of the application form from the concerned authority.</t>
        </is>
      </c>
      <c r="H664" s="4" t="inlineStr">
        <is>
          <t>en.applicationProcess[0].process[0].children[0]</t>
        </is>
      </c>
      <c r="I664" s="4" t="inlineStr">
        <is>
          <t>M20@20261028-dcae286f</t>
        </is>
      </c>
      <c r="J664" s="4" t="inlineStr">
        <is>
          <t>MS-M20</t>
        </is>
      </c>
      <c r="K664" s="4" t="inlineStr">
        <is>
          <t>1/1</t>
        </is>
      </c>
      <c r="L664" s="7" t="inlineStr">
        <is>
          <t>Approved</t>
        </is>
      </c>
      <c r="M664" s="7" t="n"/>
      <c r="N664" s="4" t="inlineStr">
        <is>
          <t>Actor, branch and dependency need review.</t>
        </is>
      </c>
    </row>
    <row r="665" ht="54" customHeight="1">
      <c r="A665" s="8" t="inlineStr">
        <is>
          <t>M20</t>
        </is>
      </c>
      <c r="B665" s="8" t="inlineStr">
        <is>
          <t>Mahatma Jyotirao Phule Jan Arogya Yojana</t>
        </is>
      </c>
      <c r="C665" s="8" t="inlineStr">
        <is>
          <t>M20-P0064</t>
        </is>
      </c>
      <c r="D665" s="8" t="inlineStr">
        <is>
          <t>Offline</t>
        </is>
      </c>
      <c r="E665" s="8" t="inlineStr"/>
      <c r="F665" s="8" t="inlineStr">
        <is>
          <t>Source step text</t>
        </is>
      </c>
      <c r="G665" s="8" t="inlineStr">
        <is>
          <t>Step 2: In the application form, fill in all the mandatory fields, paste the passport-sized photograph (signed across, if required), and attach copies of all the mandatory documents (self-attest, if required).</t>
        </is>
      </c>
      <c r="H665" s="8" t="inlineStr">
        <is>
          <t>en.applicationProcess[0].process[0].children[1]</t>
        </is>
      </c>
      <c r="I665" s="8" t="inlineStr">
        <is>
          <t>M20@20261028-dcae286f</t>
        </is>
      </c>
      <c r="J665" s="8" t="inlineStr">
        <is>
          <t>MS-M20</t>
        </is>
      </c>
      <c r="K665" s="8" t="inlineStr">
        <is>
          <t>1/1</t>
        </is>
      </c>
      <c r="L665" s="7" t="inlineStr">
        <is>
          <t>Approved</t>
        </is>
      </c>
      <c r="M665" s="7" t="n"/>
      <c r="N665" s="8" t="inlineStr">
        <is>
          <t>Actor, branch and dependency need review.</t>
        </is>
      </c>
    </row>
    <row r="666" ht="40" customHeight="1">
      <c r="A666" s="4" t="inlineStr">
        <is>
          <t>M20</t>
        </is>
      </c>
      <c r="B666" s="4" t="inlineStr">
        <is>
          <t>Mahatma Jyotirao Phule Jan Arogya Yojana</t>
        </is>
      </c>
      <c r="C666" s="4" t="inlineStr">
        <is>
          <t>M20-P0065</t>
        </is>
      </c>
      <c r="D666" s="4" t="inlineStr">
        <is>
          <t>Offline</t>
        </is>
      </c>
      <c r="E666" s="4" t="inlineStr"/>
      <c r="F666" s="4" t="inlineStr">
        <is>
          <t>Source step text</t>
        </is>
      </c>
      <c r="G666" s="4" t="inlineStr">
        <is>
          <t>Step 3: Submit the duly filled and signed application form along with the documents, within the prescribed period (if any), to the authority.</t>
        </is>
      </c>
      <c r="H666" s="4" t="inlineStr">
        <is>
          <t>en.applicationProcess[0].process[0].children[2]</t>
        </is>
      </c>
      <c r="I666" s="4" t="inlineStr">
        <is>
          <t>M20@20261028-dcae286f</t>
        </is>
      </c>
      <c r="J666" s="4" t="inlineStr">
        <is>
          <t>MS-M20</t>
        </is>
      </c>
      <c r="K666" s="4" t="inlineStr">
        <is>
          <t>1/1</t>
        </is>
      </c>
      <c r="L666" s="7" t="inlineStr">
        <is>
          <t>Approved</t>
        </is>
      </c>
      <c r="M666" s="7" t="n"/>
      <c r="N666" s="4" t="inlineStr">
        <is>
          <t>Actor, branch and dependency need review.</t>
        </is>
      </c>
    </row>
    <row r="667" ht="68" customHeight="1">
      <c r="A667" s="8" t="inlineStr">
        <is>
          <t>M20</t>
        </is>
      </c>
      <c r="B667" s="8" t="inlineStr">
        <is>
          <t>Mahatma Jyotirao Phule Jan Arogya Yojana</t>
        </is>
      </c>
      <c r="C667" s="8" t="inlineStr">
        <is>
          <t>M20-P0066</t>
        </is>
      </c>
      <c r="D667" s="8" t="inlineStr">
        <is>
          <t>Offline</t>
        </is>
      </c>
      <c r="E667" s="8" t="inlineStr"/>
      <c r="F667" s="8" t="inlineStr">
        <is>
          <t>Source step text</t>
        </is>
      </c>
      <c r="G667" s="8"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H667" s="8" t="inlineStr">
        <is>
          <t>en.applicationProcess[0].process[0].children[3]</t>
        </is>
      </c>
      <c r="I667" s="8" t="inlineStr">
        <is>
          <t>M20@20261028-dcae286f</t>
        </is>
      </c>
      <c r="J667" s="8" t="inlineStr">
        <is>
          <t>MS-M20</t>
        </is>
      </c>
      <c r="K667" s="8" t="inlineStr">
        <is>
          <t>1/1</t>
        </is>
      </c>
      <c r="L667" s="7" t="inlineStr">
        <is>
          <t>Approved</t>
        </is>
      </c>
      <c r="M667" s="7" t="n"/>
      <c r="N667" s="8" t="inlineStr">
        <is>
          <t>Actor, branch and dependency need review.</t>
        </is>
      </c>
    </row>
    <row r="668" ht="40" customHeight="1">
      <c r="A668" s="4" t="inlineStr">
        <is>
          <t>M20</t>
        </is>
      </c>
      <c r="B668" s="4" t="inlineStr">
        <is>
          <t>Mahatma Jyotirao Phule Jan Arogya Yojana</t>
        </is>
      </c>
      <c r="C668" s="4" t="inlineStr">
        <is>
          <t>M20-P0067</t>
        </is>
      </c>
      <c r="D668" s="4" t="inlineStr">
        <is>
          <t>Offline</t>
        </is>
      </c>
      <c r="E668" s="4" t="inlineStr"/>
      <c r="F668" s="4" t="inlineStr">
        <is>
          <t>Source step text</t>
        </is>
      </c>
      <c r="G668" s="4" t="inlineStr">
        <is>
          <t>NOTE: Ensure that the application is submitted within the prescribed period, if any.</t>
        </is>
      </c>
      <c r="H668" s="4" t="inlineStr">
        <is>
          <t>en.applicationProcess[0].process[0].children[4]</t>
        </is>
      </c>
      <c r="I668" s="4" t="inlineStr">
        <is>
          <t>M20@20261028-dcae286f</t>
        </is>
      </c>
      <c r="J668" s="4" t="inlineStr">
        <is>
          <t>MS-M20</t>
        </is>
      </c>
      <c r="K668" s="4" t="inlineStr">
        <is>
          <t>1/1</t>
        </is>
      </c>
      <c r="L668" s="7" t="inlineStr">
        <is>
          <t>Approved</t>
        </is>
      </c>
      <c r="M668" s="7" t="n"/>
      <c r="N668" s="4" t="inlineStr">
        <is>
          <t>Actor, branch and dependency need review.</t>
        </is>
      </c>
    </row>
    <row r="669" ht="40" customHeight="1">
      <c r="A669" s="8" t="inlineStr">
        <is>
          <t>M20</t>
        </is>
      </c>
      <c r="B669" s="8" t="inlineStr">
        <is>
          <t>Mahatma Jyotirao Phule Jan Arogya Yojana</t>
        </is>
      </c>
      <c r="C669" s="8" t="inlineStr">
        <is>
          <t>M20-P0068</t>
        </is>
      </c>
      <c r="D669" s="8" t="inlineStr">
        <is>
          <t>Offline</t>
        </is>
      </c>
      <c r="E669" s="8" t="inlineStr"/>
      <c r="F669" s="8" t="inlineStr">
        <is>
          <t>Source step text</t>
        </is>
      </c>
      <c r="G669" s="8" t="inlineStr">
        <is>
          <t>Note 1:</t>
        </is>
      </c>
      <c r="H669" s="8" t="inlineStr">
        <is>
          <t>en.applicationProcess[0].process[0].children[5].children[0].children[0]</t>
        </is>
      </c>
      <c r="I669" s="8" t="inlineStr">
        <is>
          <t>M20@20261028-dcae286f</t>
        </is>
      </c>
      <c r="J669" s="8" t="inlineStr">
        <is>
          <t>MS-M20</t>
        </is>
      </c>
      <c r="K669" s="8" t="inlineStr">
        <is>
          <t>1/1</t>
        </is>
      </c>
      <c r="L669" s="7" t="inlineStr">
        <is>
          <t>Approved</t>
        </is>
      </c>
      <c r="M669" s="7" t="n"/>
      <c r="N669" s="8" t="inlineStr">
        <is>
          <t>Actor, branch and dependency need review.</t>
        </is>
      </c>
    </row>
    <row r="670" ht="54" customHeight="1">
      <c r="A670" s="4" t="inlineStr">
        <is>
          <t>M20</t>
        </is>
      </c>
      <c r="B670" s="4" t="inlineStr">
        <is>
          <t>Mahatma Jyotirao Phule Jan Arogya Yojana</t>
        </is>
      </c>
      <c r="C670" s="4" t="inlineStr">
        <is>
          <t>M20-P0069</t>
        </is>
      </c>
      <c r="D670" s="4" t="inlineStr">
        <is>
          <t>Offline</t>
        </is>
      </c>
      <c r="E670" s="4" t="inlineStr"/>
      <c r="F670" s="4" t="inlineStr">
        <is>
          <t>Source step text</t>
        </is>
      </c>
      <c r="G670" s="4" t="inlineStr">
        <is>
          <t xml:space="preserve"> The claim settlement module along with electronic clearance and the payment gateway will be part of the workflow in the State Health Assurance Society (SHAS) portal and will be operated by the Insurer.</t>
        </is>
      </c>
      <c r="H670" s="4" t="inlineStr">
        <is>
          <t>en.applicationProcess[0].process[0].children[5].children[0].children[1]</t>
        </is>
      </c>
      <c r="I670" s="4" t="inlineStr">
        <is>
          <t>M20@20261028-dcae286f</t>
        </is>
      </c>
      <c r="J670" s="4" t="inlineStr">
        <is>
          <t>MS-M20</t>
        </is>
      </c>
      <c r="K670" s="4" t="inlineStr">
        <is>
          <t>1/1</t>
        </is>
      </c>
      <c r="L670" s="7" t="inlineStr">
        <is>
          <t>Approved</t>
        </is>
      </c>
      <c r="M670" s="7" t="n"/>
      <c r="N670" s="4" t="inlineStr">
        <is>
          <t>Actor, branch and dependency need review.</t>
        </is>
      </c>
    </row>
    <row r="671" ht="40" customHeight="1">
      <c r="A671" s="8" t="inlineStr">
        <is>
          <t>M20</t>
        </is>
      </c>
      <c r="B671" s="8" t="inlineStr">
        <is>
          <t>Mahatma Jyotirao Phule Jan Arogya Yojana</t>
        </is>
      </c>
      <c r="C671" s="8" t="inlineStr">
        <is>
          <t>M20-P0070</t>
        </is>
      </c>
      <c r="D671" s="8" t="inlineStr">
        <is>
          <t>Offline</t>
        </is>
      </c>
      <c r="E671" s="8" t="inlineStr"/>
      <c r="F671" s="8" t="inlineStr">
        <is>
          <t>Source step text</t>
        </is>
      </c>
      <c r="G671" s="8" t="inlineStr">
        <is>
          <t>Note 2:</t>
        </is>
      </c>
      <c r="H671" s="8" t="inlineStr">
        <is>
          <t>en.applicationProcess[0].process[0].children[5].children[1].children[0]</t>
        </is>
      </c>
      <c r="I671" s="8" t="inlineStr">
        <is>
          <t>M20@20261028-dcae286f</t>
        </is>
      </c>
      <c r="J671" s="8" t="inlineStr">
        <is>
          <t>MS-M20</t>
        </is>
      </c>
      <c r="K671" s="8" t="inlineStr">
        <is>
          <t>1/1</t>
        </is>
      </c>
      <c r="L671" s="7" t="inlineStr">
        <is>
          <t>Approved</t>
        </is>
      </c>
      <c r="M671" s="7" t="n"/>
      <c r="N671" s="8" t="inlineStr">
        <is>
          <t>Actor, branch and dependency need review.</t>
        </is>
      </c>
    </row>
    <row r="672" ht="40" customHeight="1">
      <c r="A672" s="4" t="inlineStr">
        <is>
          <t>M20</t>
        </is>
      </c>
      <c r="B672" s="4" t="inlineStr">
        <is>
          <t>Mahatma Jyotirao Phule Jan Arogya Yojana</t>
        </is>
      </c>
      <c r="C672" s="4" t="inlineStr">
        <is>
          <t>M20-P0071</t>
        </is>
      </c>
      <c r="D672" s="4" t="inlineStr">
        <is>
          <t>Offline</t>
        </is>
      </c>
      <c r="E672" s="4" t="inlineStr"/>
      <c r="F672" s="4" t="inlineStr">
        <is>
          <t>Source step text</t>
        </is>
      </c>
      <c r="G672" s="4" t="inlineStr">
        <is>
          <t xml:space="preserve"> The reports will be available for scrutiny on the State Health Assurance Society (SHAS) </t>
        </is>
      </c>
      <c r="H672" s="4" t="inlineStr">
        <is>
          <t>en.applicationProcess[0].process[0].children[5].children[1].children[1]</t>
        </is>
      </c>
      <c r="I672" s="4" t="inlineStr">
        <is>
          <t>M20@20261028-dcae286f</t>
        </is>
      </c>
      <c r="J672" s="4" t="inlineStr">
        <is>
          <t>MS-M20</t>
        </is>
      </c>
      <c r="K672" s="4" t="inlineStr">
        <is>
          <t>1/1</t>
        </is>
      </c>
      <c r="L672" s="7" t="inlineStr">
        <is>
          <t>Approved</t>
        </is>
      </c>
      <c r="M672" s="7" t="n"/>
      <c r="N672" s="4" t="inlineStr">
        <is>
          <t>Actor, branch and dependency need review.</t>
        </is>
      </c>
    </row>
    <row r="673" ht="40" customHeight="1">
      <c r="A673" s="8" t="inlineStr">
        <is>
          <t>M20</t>
        </is>
      </c>
      <c r="B673" s="8" t="inlineStr">
        <is>
          <t>Mahatma Jyotirao Phule Jan Arogya Yojana</t>
        </is>
      </c>
      <c r="C673" s="8" t="inlineStr">
        <is>
          <t>M20-P0072</t>
        </is>
      </c>
      <c r="D673" s="8" t="inlineStr">
        <is>
          <t>Offline</t>
        </is>
      </c>
      <c r="E673" s="8" t="inlineStr"/>
      <c r="F673" s="8" t="inlineStr">
        <is>
          <t>Source step text</t>
        </is>
      </c>
      <c r="G673" s="8" t="inlineStr">
        <is>
          <t>login.</t>
        </is>
      </c>
      <c r="H673" s="8" t="inlineStr">
        <is>
          <t>en.applicationProcess[0].process[0].children[5].children[1].children[2].children[0]</t>
        </is>
      </c>
      <c r="I673" s="8" t="inlineStr">
        <is>
          <t>M20@20261028-dcae286f</t>
        </is>
      </c>
      <c r="J673" s="8" t="inlineStr">
        <is>
          <t>MS-M20</t>
        </is>
      </c>
      <c r="K673" s="8" t="inlineStr">
        <is>
          <t>1/1</t>
        </is>
      </c>
      <c r="L673" s="7" t="inlineStr">
        <is>
          <t>Approved</t>
        </is>
      </c>
      <c r="M673" s="7" t="n"/>
      <c r="N673" s="8" t="inlineStr">
        <is>
          <t>Actor, branch and dependency need review.</t>
        </is>
      </c>
    </row>
    <row r="674" ht="40" customHeight="1">
      <c r="A674" s="4" t="inlineStr">
        <is>
          <t>M21</t>
        </is>
      </c>
      <c r="B674" s="4" t="inlineStr">
        <is>
          <t>Mukhyamantri Yuva Karya Prashikshan Yojana</t>
        </is>
      </c>
      <c r="C674" s="4" t="inlineStr">
        <is>
          <t>M21-P0020</t>
        </is>
      </c>
      <c r="D674" s="4" t="inlineStr">
        <is>
          <t>Online</t>
        </is>
      </c>
      <c r="E674" s="4" t="inlineStr">
        <is>
          <t>Registration Process for Candidate:</t>
        </is>
      </c>
      <c r="F674" s="4" t="inlineStr">
        <is>
          <t>Heading / phase</t>
        </is>
      </c>
      <c r="G674" s="4" t="inlineStr">
        <is>
          <t>Registration Process for Candidate:</t>
        </is>
      </c>
      <c r="H674" s="4" t="inlineStr">
        <is>
          <t>en.applicationProcess[0].process[0]</t>
        </is>
      </c>
      <c r="I674" s="4" t="inlineStr">
        <is>
          <t>M21@20261028-91a37a49</t>
        </is>
      </c>
      <c r="J674" s="4" t="inlineStr">
        <is>
          <t>MS-M21</t>
        </is>
      </c>
      <c r="K674" s="4" t="inlineStr">
        <is>
          <t>1/1</t>
        </is>
      </c>
      <c r="L674" s="7" t="inlineStr">
        <is>
          <t>Approved</t>
        </is>
      </c>
      <c r="M674" s="7" t="n"/>
      <c r="N674" s="4" t="inlineStr">
        <is>
          <t>Actor, branch and dependency need review.</t>
        </is>
      </c>
    </row>
    <row r="675" ht="40" customHeight="1">
      <c r="A675" s="8" t="inlineStr">
        <is>
          <t>M21</t>
        </is>
      </c>
      <c r="B675" s="8" t="inlineStr">
        <is>
          <t>Mukhyamantri Yuva Karya Prashikshan Yojana</t>
        </is>
      </c>
      <c r="C675" s="8" t="inlineStr">
        <is>
          <t>M21-P0021</t>
        </is>
      </c>
      <c r="D675" s="8" t="inlineStr">
        <is>
          <t>Online</t>
        </is>
      </c>
      <c r="E675" s="8" t="inlineStr">
        <is>
          <t>Registration Process for Candidate:</t>
        </is>
      </c>
      <c r="F675" s="8" t="inlineStr">
        <is>
          <t>Source step text</t>
        </is>
      </c>
      <c r="G675" s="8" t="inlineStr">
        <is>
          <t>Go to the official CMYKPY website for job seeker registration and click on “Intern Login”.</t>
        </is>
      </c>
      <c r="H675" s="8" t="inlineStr">
        <is>
          <t>en.applicationProcess[0].process[1].children[0]</t>
        </is>
      </c>
      <c r="I675" s="8" t="inlineStr">
        <is>
          <t>M21@20261028-91a37a49</t>
        </is>
      </c>
      <c r="J675" s="8" t="inlineStr">
        <is>
          <t>MS-M21</t>
        </is>
      </c>
      <c r="K675" s="8" t="inlineStr">
        <is>
          <t>1/1</t>
        </is>
      </c>
      <c r="L675" s="7" t="inlineStr">
        <is>
          <t>Approved</t>
        </is>
      </c>
      <c r="M675" s="7" t="n"/>
      <c r="N675" s="8" t="inlineStr">
        <is>
          <t>Actor, branch and dependency need review.</t>
        </is>
      </c>
    </row>
    <row r="676" ht="40" customHeight="1">
      <c r="A676" s="4" t="inlineStr">
        <is>
          <t>M21</t>
        </is>
      </c>
      <c r="B676" s="4" t="inlineStr">
        <is>
          <t>Mukhyamantri Yuva Karya Prashikshan Yojana</t>
        </is>
      </c>
      <c r="C676" s="4" t="inlineStr">
        <is>
          <t>M21-P0022</t>
        </is>
      </c>
      <c r="D676" s="4" t="inlineStr">
        <is>
          <t>Online</t>
        </is>
      </c>
      <c r="E676" s="4" t="inlineStr">
        <is>
          <t>Registration Process for Candidate:</t>
        </is>
      </c>
      <c r="F676" s="4" t="inlineStr">
        <is>
          <t>Source step text</t>
        </is>
      </c>
      <c r="G676" s="4" t="inlineStr">
        <is>
          <t>Use your Aadhaar number as the username for your account.</t>
        </is>
      </c>
      <c r="H676" s="4" t="inlineStr">
        <is>
          <t>en.applicationProcess[0].process[1].children[1]</t>
        </is>
      </c>
      <c r="I676" s="4" t="inlineStr">
        <is>
          <t>M21@20261028-91a37a49</t>
        </is>
      </c>
      <c r="J676" s="4" t="inlineStr">
        <is>
          <t>MS-M21</t>
        </is>
      </c>
      <c r="K676" s="4" t="inlineStr">
        <is>
          <t>1/1</t>
        </is>
      </c>
      <c r="L676" s="7" t="inlineStr">
        <is>
          <t>Approved</t>
        </is>
      </c>
      <c r="M676" s="7" t="n"/>
      <c r="N676" s="4" t="inlineStr">
        <is>
          <t>Actor, branch and dependency need review.</t>
        </is>
      </c>
    </row>
    <row r="677" ht="40" customHeight="1">
      <c r="A677" s="8" t="inlineStr">
        <is>
          <t>M21</t>
        </is>
      </c>
      <c r="B677" s="8" t="inlineStr">
        <is>
          <t>Mukhyamantri Yuva Karya Prashikshan Yojana</t>
        </is>
      </c>
      <c r="C677" s="8" t="inlineStr">
        <is>
          <t>M21-P0023</t>
        </is>
      </c>
      <c r="D677" s="8" t="inlineStr">
        <is>
          <t>Online</t>
        </is>
      </c>
      <c r="E677" s="8" t="inlineStr">
        <is>
          <t>Registration Process for Candidate:</t>
        </is>
      </c>
      <c r="F677" s="8" t="inlineStr">
        <is>
          <t>Source step text</t>
        </is>
      </c>
      <c r="G677" s="8" t="inlineStr">
        <is>
          <t>Fill in your full name, date of birth, gender, email, and mobile number.</t>
        </is>
      </c>
      <c r="H677" s="8" t="inlineStr">
        <is>
          <t>en.applicationProcess[0].process[1].children[2]</t>
        </is>
      </c>
      <c r="I677" s="8" t="inlineStr">
        <is>
          <t>M21@20261028-91a37a49</t>
        </is>
      </c>
      <c r="J677" s="8" t="inlineStr">
        <is>
          <t>MS-M21</t>
        </is>
      </c>
      <c r="K677" s="8" t="inlineStr">
        <is>
          <t>1/1</t>
        </is>
      </c>
      <c r="L677" s="7" t="inlineStr">
        <is>
          <t>Approved</t>
        </is>
      </c>
      <c r="M677" s="7" t="n"/>
      <c r="N677" s="8" t="inlineStr">
        <is>
          <t>Actor, branch and dependency need review.</t>
        </is>
      </c>
    </row>
    <row r="678" ht="40" customHeight="1">
      <c r="A678" s="4" t="inlineStr">
        <is>
          <t>M21</t>
        </is>
      </c>
      <c r="B678" s="4" t="inlineStr">
        <is>
          <t>Mukhyamantri Yuva Karya Prashikshan Yojana</t>
        </is>
      </c>
      <c r="C678" s="4" t="inlineStr">
        <is>
          <t>M21-P0024</t>
        </is>
      </c>
      <c r="D678" s="4" t="inlineStr">
        <is>
          <t>Online</t>
        </is>
      </c>
      <c r="E678" s="4" t="inlineStr">
        <is>
          <t>Registration Process for Candidate:</t>
        </is>
      </c>
      <c r="F678" s="4" t="inlineStr">
        <is>
          <t>Source step text</t>
        </is>
      </c>
      <c r="G678" s="4" t="inlineStr">
        <is>
          <t>Create a secure password and confirm it.</t>
        </is>
      </c>
      <c r="H678" s="4" t="inlineStr">
        <is>
          <t>en.applicationProcess[0].process[1].children[3]</t>
        </is>
      </c>
      <c r="I678" s="4" t="inlineStr">
        <is>
          <t>M21@20261028-91a37a49</t>
        </is>
      </c>
      <c r="J678" s="4" t="inlineStr">
        <is>
          <t>MS-M21</t>
        </is>
      </c>
      <c r="K678" s="4" t="inlineStr">
        <is>
          <t>1/1</t>
        </is>
      </c>
      <c r="L678" s="7" t="inlineStr">
        <is>
          <t>Approved</t>
        </is>
      </c>
      <c r="M678" s="7" t="n"/>
      <c r="N678" s="4" t="inlineStr">
        <is>
          <t>Actor, branch and dependency need review.</t>
        </is>
      </c>
    </row>
    <row r="679" ht="40" customHeight="1">
      <c r="A679" s="8" t="inlineStr">
        <is>
          <t>M21</t>
        </is>
      </c>
      <c r="B679" s="8" t="inlineStr">
        <is>
          <t>Mukhyamantri Yuva Karya Prashikshan Yojana</t>
        </is>
      </c>
      <c r="C679" s="8" t="inlineStr">
        <is>
          <t>M21-P0025</t>
        </is>
      </c>
      <c r="D679" s="8" t="inlineStr">
        <is>
          <t>Online</t>
        </is>
      </c>
      <c r="E679" s="8" t="inlineStr">
        <is>
          <t>Registration Process for Candidate:</t>
        </is>
      </c>
      <c r="F679" s="8" t="inlineStr">
        <is>
          <t>Source step text</t>
        </is>
      </c>
      <c r="G679" s="8" t="inlineStr">
        <is>
          <t>After completing all required fields, submit the registration form to finish the process.</t>
        </is>
      </c>
      <c r="H679" s="8" t="inlineStr">
        <is>
          <t>en.applicationProcess[0].process[1].children[4]</t>
        </is>
      </c>
      <c r="I679" s="8" t="inlineStr">
        <is>
          <t>M21@20261028-91a37a49</t>
        </is>
      </c>
      <c r="J679" s="8" t="inlineStr">
        <is>
          <t>MS-M21</t>
        </is>
      </c>
      <c r="K679" s="8" t="inlineStr">
        <is>
          <t>1/1</t>
        </is>
      </c>
      <c r="L679" s="7" t="inlineStr">
        <is>
          <t>Approved</t>
        </is>
      </c>
      <c r="M679" s="7" t="n"/>
      <c r="N679" s="8" t="inlineStr">
        <is>
          <t>Actor, branch and dependency need review.</t>
        </is>
      </c>
    </row>
    <row r="680" ht="40" customHeight="1">
      <c r="A680" s="4" t="inlineStr">
        <is>
          <t>M21</t>
        </is>
      </c>
      <c r="B680" s="4" t="inlineStr">
        <is>
          <t>Mukhyamantri Yuva Karya Prashikshan Yojana</t>
        </is>
      </c>
      <c r="C680" s="4" t="inlineStr">
        <is>
          <t>M21-P0026</t>
        </is>
      </c>
      <c r="D680" s="4" t="inlineStr">
        <is>
          <t>Online</t>
        </is>
      </c>
      <c r="E680" s="4" t="inlineStr">
        <is>
          <t>Log In Process:</t>
        </is>
      </c>
      <c r="F680" s="4" t="inlineStr">
        <is>
          <t>Heading / phase</t>
        </is>
      </c>
      <c r="G680" s="4" t="inlineStr">
        <is>
          <t>Log In Process:</t>
        </is>
      </c>
      <c r="H680" s="4" t="inlineStr">
        <is>
          <t>en.applicationProcess[0].process[3]</t>
        </is>
      </c>
      <c r="I680" s="4" t="inlineStr">
        <is>
          <t>M21@20261028-91a37a49</t>
        </is>
      </c>
      <c r="J680" s="4" t="inlineStr">
        <is>
          <t>MS-M21</t>
        </is>
      </c>
      <c r="K680" s="4" t="inlineStr">
        <is>
          <t>1/1</t>
        </is>
      </c>
      <c r="L680" s="7" t="inlineStr">
        <is>
          <t>Approved</t>
        </is>
      </c>
      <c r="M680" s="7" t="n"/>
      <c r="N680" s="4" t="inlineStr">
        <is>
          <t>Actor, branch and dependency need review.</t>
        </is>
      </c>
    </row>
    <row r="681" ht="40" customHeight="1">
      <c r="A681" s="8" t="inlineStr">
        <is>
          <t>M21</t>
        </is>
      </c>
      <c r="B681" s="8" t="inlineStr">
        <is>
          <t>Mukhyamantri Yuva Karya Prashikshan Yojana</t>
        </is>
      </c>
      <c r="C681" s="8" t="inlineStr">
        <is>
          <t>M21-P0027</t>
        </is>
      </c>
      <c r="D681" s="8" t="inlineStr">
        <is>
          <t>Online</t>
        </is>
      </c>
      <c r="E681" s="8" t="inlineStr">
        <is>
          <t>Log In Process:</t>
        </is>
      </c>
      <c r="F681" s="8" t="inlineStr">
        <is>
          <t>Source step text</t>
        </is>
      </c>
      <c r="G681" s="8" t="inlineStr">
        <is>
          <t>Fill Your Aadhar Number as a User Name and Password.</t>
        </is>
      </c>
      <c r="H681" s="8" t="inlineStr">
        <is>
          <t>en.applicationProcess[0].process[4].children[0]</t>
        </is>
      </c>
      <c r="I681" s="8" t="inlineStr">
        <is>
          <t>M21@20261028-91a37a49</t>
        </is>
      </c>
      <c r="J681" s="8" t="inlineStr">
        <is>
          <t>MS-M21</t>
        </is>
      </c>
      <c r="K681" s="8" t="inlineStr">
        <is>
          <t>1/1</t>
        </is>
      </c>
      <c r="L681" s="7" t="inlineStr">
        <is>
          <t>Approved</t>
        </is>
      </c>
      <c r="M681" s="7" t="n"/>
      <c r="N681" s="8" t="inlineStr">
        <is>
          <t>Actor, branch and dependency need review.</t>
        </is>
      </c>
    </row>
    <row r="682" ht="40" customHeight="1">
      <c r="A682" s="4" t="inlineStr">
        <is>
          <t>M21</t>
        </is>
      </c>
      <c r="B682" s="4" t="inlineStr">
        <is>
          <t>Mukhyamantri Yuva Karya Prashikshan Yojana</t>
        </is>
      </c>
      <c r="C682" s="4" t="inlineStr">
        <is>
          <t>M21-P0028</t>
        </is>
      </c>
      <c r="D682" s="4" t="inlineStr">
        <is>
          <t>Online</t>
        </is>
      </c>
      <c r="E682" s="4" t="inlineStr">
        <is>
          <t>Log In Process:</t>
        </is>
      </c>
      <c r="F682" s="4" t="inlineStr">
        <is>
          <t>Source step text</t>
        </is>
      </c>
      <c r="G682" s="4" t="inlineStr">
        <is>
          <t>Complete your profile details, and fill in the personal, address, qualification, and bank details.</t>
        </is>
      </c>
      <c r="H682" s="4" t="inlineStr">
        <is>
          <t>en.applicationProcess[0].process[4].children[1]</t>
        </is>
      </c>
      <c r="I682" s="4" t="inlineStr">
        <is>
          <t>M21@20261028-91a37a49</t>
        </is>
      </c>
      <c r="J682" s="4" t="inlineStr">
        <is>
          <t>MS-M21</t>
        </is>
      </c>
      <c r="K682" s="4" t="inlineStr">
        <is>
          <t>1/1</t>
        </is>
      </c>
      <c r="L682" s="7" t="inlineStr">
        <is>
          <t>Approved</t>
        </is>
      </c>
      <c r="M682" s="7" t="n"/>
      <c r="N682" s="4" t="inlineStr">
        <is>
          <t>Actor, branch and dependency need review.</t>
        </is>
      </c>
    </row>
    <row r="683" ht="40" customHeight="1">
      <c r="A683" s="8" t="inlineStr">
        <is>
          <t>M21</t>
        </is>
      </c>
      <c r="B683" s="8" t="inlineStr">
        <is>
          <t>Mukhyamantri Yuva Karya Prashikshan Yojana</t>
        </is>
      </c>
      <c r="C683" s="8" t="inlineStr">
        <is>
          <t>M21-P0029</t>
        </is>
      </c>
      <c r="D683" s="8" t="inlineStr">
        <is>
          <t>Online</t>
        </is>
      </c>
      <c r="E683" s="8" t="inlineStr">
        <is>
          <t>Log In Process:</t>
        </is>
      </c>
      <c r="F683" s="8" t="inlineStr">
        <is>
          <t>Source step text</t>
        </is>
      </c>
      <c r="G683" s="8" t="inlineStr">
        <is>
          <t>Upload the photo, qualification document, birth certificate, etc.</t>
        </is>
      </c>
      <c r="H683" s="8" t="inlineStr">
        <is>
          <t>en.applicationProcess[0].process[4].children[2]</t>
        </is>
      </c>
      <c r="I683" s="8" t="inlineStr">
        <is>
          <t>M21@20261028-91a37a49</t>
        </is>
      </c>
      <c r="J683" s="8" t="inlineStr">
        <is>
          <t>MS-M21</t>
        </is>
      </c>
      <c r="K683" s="8" t="inlineStr">
        <is>
          <t>1/1</t>
        </is>
      </c>
      <c r="L683" s="7" t="inlineStr">
        <is>
          <t>Approved</t>
        </is>
      </c>
      <c r="M683" s="7" t="n"/>
      <c r="N683" s="8" t="inlineStr">
        <is>
          <t>Actor, branch and dependency need review.</t>
        </is>
      </c>
    </row>
    <row r="684" ht="40" customHeight="1">
      <c r="A684" s="4" t="inlineStr">
        <is>
          <t>M21</t>
        </is>
      </c>
      <c r="B684" s="4" t="inlineStr">
        <is>
          <t>Mukhyamantri Yuva Karya Prashikshan Yojana</t>
        </is>
      </c>
      <c r="C684" s="4" t="inlineStr">
        <is>
          <t>M21-P0030</t>
        </is>
      </c>
      <c r="D684" s="4" t="inlineStr">
        <is>
          <t>Online</t>
        </is>
      </c>
      <c r="E684" s="4" t="inlineStr">
        <is>
          <t>Log In Process:</t>
        </is>
      </c>
      <c r="F684" s="4" t="inlineStr">
        <is>
          <t>Source step text</t>
        </is>
      </c>
      <c r="G684" s="4" t="inlineStr">
        <is>
          <t>Click on “Submit” and apply for the job.</t>
        </is>
      </c>
      <c r="H684" s="4" t="inlineStr">
        <is>
          <t>en.applicationProcess[0].process[4].children[3]</t>
        </is>
      </c>
      <c r="I684" s="4" t="inlineStr">
        <is>
          <t>M21@20261028-91a37a49</t>
        </is>
      </c>
      <c r="J684" s="4" t="inlineStr">
        <is>
          <t>MS-M21</t>
        </is>
      </c>
      <c r="K684" s="4" t="inlineStr">
        <is>
          <t>1/1</t>
        </is>
      </c>
      <c r="L684" s="7" t="inlineStr">
        <is>
          <t>Approved</t>
        </is>
      </c>
      <c r="M684" s="7" t="n"/>
      <c r="N684" s="4" t="inlineStr">
        <is>
          <t>Actor, branch and dependency need review.</t>
        </is>
      </c>
    </row>
  </sheetData>
  <conditionalFormatting sqref="L6:L684">
    <cfRule type="containsText" priority="1" operator="containsText" dxfId="0" stopIfTrue="1" text="Approved">
      <formula>NOT(ISERROR(SEARCH("Approved",L6)))</formula>
    </cfRule>
  </conditionalFormatting>
  <dataValidations count="1">
    <dataValidation sqref="L6:L684" showDropDown="0" showInputMessage="1" showErrorMessage="1" allowBlank="1" type="list">
      <formula1>"Not started,In review,Approved,Needs correction,Not applicable,Excluded"</formula1>
    </dataValidation>
  </dataValidations>
  <pageMargins left="0.7" right="0.7" top="0.75" bottom="0.75" header="0.3" footer="0.3"/>
  <pageSetup orientation="landscape" paperSize="9" fitToHeight="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2:J485"/>
  <sheetViews>
    <sheetView showGridLines="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3.7109375" customWidth="1" min="1" max="1"/>
    <col width="48.7109375" customWidth="1" min="2" max="2"/>
    <col width="25.7109375" customWidth="1" min="3" max="3"/>
    <col width="100.7109375" customWidth="1" min="4" max="4"/>
    <col width="60.7109375" customWidth="1" min="5" max="5"/>
    <col width="20.7109375" customWidth="1" min="6" max="6"/>
    <col width="50.7109375" customWidth="1" min="7" max="7"/>
    <col width="22.7109375" customWidth="1" min="8" max="8"/>
    <col width="70.7109375" customWidth="1" min="9" max="10"/>
  </cols>
  <sheetData>
    <row r="2" ht="28" customHeight="1">
      <c r="A2" s="1" t="inlineStr">
        <is>
          <t>Applicant document requirements</t>
        </is>
      </c>
    </row>
    <row r="3" ht="22" customHeight="1">
      <c r="A3" s="2" t="inlineStr">
        <is>
          <t>Full source list where provided. Missing sections are explicit gaps; document alternatives and stage conditions need review.</t>
        </is>
      </c>
    </row>
    <row r="5" ht="45" customHeight="1">
      <c r="A5" s="3" t="inlineStr">
        <is>
          <t>Scheme ID</t>
        </is>
      </c>
      <c r="B5" s="3" t="inlineStr">
        <is>
          <t>Scheme</t>
        </is>
      </c>
      <c r="C5" s="3" t="inlineStr">
        <is>
          <t>Passage / row ID</t>
        </is>
      </c>
      <c r="D5" s="3" t="inlineStr">
        <is>
          <t>Applicant document / source text</t>
        </is>
      </c>
      <c r="E5" s="3" t="inlineStr">
        <is>
          <t>Source context</t>
        </is>
      </c>
      <c r="F5" s="3" t="inlineStr">
        <is>
          <t>Source ID</t>
        </is>
      </c>
      <c r="G5" s="3" t="inlineStr">
        <is>
          <t>Version ID</t>
        </is>
      </c>
      <c r="H5" s="3" t="inlineStr">
        <is>
          <t>Review status</t>
        </is>
      </c>
      <c r="I5" s="3" t="inlineStr">
        <is>
          <t>Reviewer corrections</t>
        </is>
      </c>
      <c r="J5" s="3" t="inlineStr">
        <is>
          <t>Applicability / completeness</t>
        </is>
      </c>
    </row>
    <row r="6" ht="40" customHeight="1">
      <c r="A6" s="4" t="inlineStr">
        <is>
          <t>C01</t>
        </is>
      </c>
      <c r="B6" s="4" t="inlineStr">
        <is>
          <t>Pradhan Mantri Jeevan Jyoti Bima Yojana</t>
        </is>
      </c>
      <c r="C6" s="4" t="inlineStr">
        <is>
          <t>C01-DOC-EMPTY</t>
        </is>
      </c>
      <c r="D6" s="4" t="inlineStr">
        <is>
          <t>Not stated in captured section</t>
        </is>
      </c>
      <c r="E6" s="4" t="inlineStr"/>
      <c r="F6" s="4" t="inlineStr">
        <is>
          <t>MS-C01</t>
        </is>
      </c>
      <c r="G6" s="4" t="inlineStr">
        <is>
          <t>C01@20261028-6a583ea3</t>
        </is>
      </c>
      <c r="H6" s="7" t="inlineStr">
        <is>
          <t>Approved</t>
        </is>
      </c>
      <c r="I6" s="7" t="n"/>
      <c r="J6" s="4" t="inlineStr">
        <is>
          <t>No document requirement inferred.</t>
        </is>
      </c>
    </row>
    <row r="7" ht="40" customHeight="1">
      <c r="A7" s="8" t="inlineStr">
        <is>
          <t>C02</t>
        </is>
      </c>
      <c r="B7" s="8" t="inlineStr">
        <is>
          <t>Pradhan Mantri Suraksha Bima Yojana</t>
        </is>
      </c>
      <c r="C7" s="8" t="inlineStr">
        <is>
          <t>C02-DOC-EMPTY</t>
        </is>
      </c>
      <c r="D7" s="8" t="inlineStr">
        <is>
          <t>Not stated in captured section</t>
        </is>
      </c>
      <c r="E7" s="8" t="inlineStr"/>
      <c r="F7" s="8" t="inlineStr">
        <is>
          <t>MS-C02</t>
        </is>
      </c>
      <c r="G7" s="8" t="inlineStr">
        <is>
          <t>C02@20261028-35fcf7ad</t>
        </is>
      </c>
      <c r="H7" s="7" t="inlineStr">
        <is>
          <t>Approved</t>
        </is>
      </c>
      <c r="I7" s="7" t="n"/>
      <c r="J7" s="8" t="inlineStr">
        <is>
          <t>No document requirement inferred.</t>
        </is>
      </c>
    </row>
    <row r="8" ht="40" customHeight="1">
      <c r="A8" s="4" t="inlineStr">
        <is>
          <t>C03</t>
        </is>
      </c>
      <c r="B8" s="4" t="inlineStr">
        <is>
          <t>Pradhan Mantri Kisan Maandhan Yojana</t>
        </is>
      </c>
      <c r="C8" s="4" t="inlineStr">
        <is>
          <t>C03-P0031</t>
        </is>
      </c>
      <c r="D8" s="4" t="inlineStr">
        <is>
          <t>Aadhaar Card</t>
        </is>
      </c>
      <c r="E8" s="4" t="inlineStr"/>
      <c r="F8" s="4" t="inlineStr">
        <is>
          <t>MS-C03</t>
        </is>
      </c>
      <c r="G8" s="4" t="inlineStr">
        <is>
          <t>C03@20261028-b25487a7</t>
        </is>
      </c>
      <c r="H8" s="7" t="inlineStr">
        <is>
          <t>Approved</t>
        </is>
      </c>
      <c r="I8" s="7" t="n"/>
      <c r="J8" s="4" t="inlineStr">
        <is>
          <t>Source document text 1/1. Conditional applicability not yet encoded.</t>
        </is>
      </c>
    </row>
    <row r="9" ht="40" customHeight="1">
      <c r="A9" s="8" t="inlineStr">
        <is>
          <t>C03</t>
        </is>
      </c>
      <c r="B9" s="8" t="inlineStr">
        <is>
          <t>Pradhan Mantri Kisan Maandhan Yojana</t>
        </is>
      </c>
      <c r="C9" s="8" t="inlineStr">
        <is>
          <t>C03-P0032</t>
        </is>
      </c>
      <c r="D9" s="8" t="inlineStr">
        <is>
          <t>Savings Bank Account Number along with IFSC Code ( Bank Passbook or Cheque Leaf/book or copy of bank statement as evidence of bank account).</t>
        </is>
      </c>
      <c r="E9" s="8" t="inlineStr"/>
      <c r="F9" s="8" t="inlineStr">
        <is>
          <t>MS-C03</t>
        </is>
      </c>
      <c r="G9" s="8" t="inlineStr">
        <is>
          <t>C03@20261028-b25487a7</t>
        </is>
      </c>
      <c r="H9" s="7" t="inlineStr">
        <is>
          <t>Approved</t>
        </is>
      </c>
      <c r="I9" s="7" t="n"/>
      <c r="J9" s="8" t="inlineStr">
        <is>
          <t>Source document text 1/1. Conditional applicability not yet encoded.</t>
        </is>
      </c>
    </row>
    <row r="10" ht="40" customHeight="1">
      <c r="A10" s="4" t="inlineStr">
        <is>
          <t>C04</t>
        </is>
      </c>
      <c r="B10" s="4" t="inlineStr">
        <is>
          <t>Atal Pension Yojana</t>
        </is>
      </c>
      <c r="C10" s="4" t="inlineStr">
        <is>
          <t>C04-P0030</t>
        </is>
      </c>
      <c r="D10" s="4" t="inlineStr">
        <is>
          <t>KYC details are fetched from active Bank/Post Office Savings account.</t>
        </is>
      </c>
      <c r="E10" s="4" t="inlineStr">
        <is>
          <t>KYC details are fetched from active Bank/Post Office Savings account.</t>
        </is>
      </c>
      <c r="F10" s="4" t="inlineStr">
        <is>
          <t>MS-C04</t>
        </is>
      </c>
      <c r="G10" s="4" t="inlineStr">
        <is>
          <t>C04@20261028-8f3b40d0</t>
        </is>
      </c>
      <c r="H10" s="7" t="inlineStr">
        <is>
          <t>Approved</t>
        </is>
      </c>
      <c r="I10" s="7" t="n"/>
      <c r="J10" s="4" t="inlineStr">
        <is>
          <t>Source heading</t>
        </is>
      </c>
    </row>
    <row r="11" ht="40" customHeight="1">
      <c r="A11" s="8" t="inlineStr">
        <is>
          <t>C05</t>
        </is>
      </c>
      <c r="B11" s="8" t="inlineStr">
        <is>
          <t>Pradhan Mantri Shram Yogi Maan-dhan</t>
        </is>
      </c>
      <c r="C11" s="8" t="inlineStr">
        <is>
          <t>C05-P0023</t>
        </is>
      </c>
      <c r="D11" s="8" t="inlineStr">
        <is>
          <t>Aadhaar Card</t>
        </is>
      </c>
      <c r="E11" s="8" t="inlineStr"/>
      <c r="F11" s="8" t="inlineStr">
        <is>
          <t>MS-C05</t>
        </is>
      </c>
      <c r="G11" s="8" t="inlineStr">
        <is>
          <t>C05@20261028-fc4e9a2d</t>
        </is>
      </c>
      <c r="H11" s="7" t="inlineStr">
        <is>
          <t>Approved</t>
        </is>
      </c>
      <c r="I11" s="7" t="n"/>
      <c r="J11" s="8" t="inlineStr">
        <is>
          <t>Source document text 1/1. Conditional applicability not yet encoded.</t>
        </is>
      </c>
    </row>
    <row r="12" ht="40" customHeight="1">
      <c r="A12" s="4" t="inlineStr">
        <is>
          <t>C05</t>
        </is>
      </c>
      <c r="B12" s="4" t="inlineStr">
        <is>
          <t>Pradhan Mantri Shram Yogi Maan-dhan</t>
        </is>
      </c>
      <c r="C12" s="4" t="inlineStr">
        <is>
          <t>C05-P0024</t>
        </is>
      </c>
      <c r="D12" s="4" t="inlineStr">
        <is>
          <t>Savings Bank Account Passbook / Jan-Dhan Account Passbook</t>
        </is>
      </c>
      <c r="E12" s="4" t="inlineStr"/>
      <c r="F12" s="4" t="inlineStr">
        <is>
          <t>MS-C05</t>
        </is>
      </c>
      <c r="G12" s="4" t="inlineStr">
        <is>
          <t>C05@20261028-fc4e9a2d</t>
        </is>
      </c>
      <c r="H12" s="7" t="inlineStr">
        <is>
          <t>Approved</t>
        </is>
      </c>
      <c r="I12" s="7" t="n"/>
      <c r="J12" s="4" t="inlineStr">
        <is>
          <t>Source document text 1/1. Conditional applicability not yet encoded.</t>
        </is>
      </c>
    </row>
    <row r="13" ht="40" customHeight="1">
      <c r="A13" s="8" t="inlineStr">
        <is>
          <t>C05</t>
        </is>
      </c>
      <c r="B13" s="8" t="inlineStr">
        <is>
          <t>Pradhan Mantri Shram Yogi Maan-dhan</t>
        </is>
      </c>
      <c r="C13" s="8" t="inlineStr">
        <is>
          <t>C05-P0025</t>
        </is>
      </c>
      <c r="D13" s="8" t="inlineStr">
        <is>
          <t>Mobile Number</t>
        </is>
      </c>
      <c r="E13" s="8" t="inlineStr"/>
      <c r="F13" s="8" t="inlineStr">
        <is>
          <t>MS-C05</t>
        </is>
      </c>
      <c r="G13" s="8" t="inlineStr">
        <is>
          <t>C05@20261028-fc4e9a2d</t>
        </is>
      </c>
      <c r="H13" s="7" t="inlineStr">
        <is>
          <t>Approved</t>
        </is>
      </c>
      <c r="I13" s="7" t="n"/>
      <c r="J13" s="8" t="inlineStr">
        <is>
          <t>Source document text 1/1. Conditional applicability not yet encoded.</t>
        </is>
      </c>
    </row>
    <row r="14" ht="40" customHeight="1">
      <c r="A14" s="4" t="inlineStr">
        <is>
          <t>C05</t>
        </is>
      </c>
      <c r="B14" s="4" t="inlineStr">
        <is>
          <t>Pradhan Mantri Shram Yogi Maan-dhan</t>
        </is>
      </c>
      <c r="C14" s="4" t="inlineStr">
        <is>
          <t>C05-P0026</t>
        </is>
      </c>
      <c r="D14" s="4" t="inlineStr">
        <is>
          <t>Self-Certification (At the time of enrollment)</t>
        </is>
      </c>
      <c r="E14" s="4" t="inlineStr"/>
      <c r="F14" s="4" t="inlineStr">
        <is>
          <t>MS-C05</t>
        </is>
      </c>
      <c r="G14" s="4" t="inlineStr">
        <is>
          <t>C05@20261028-fc4e9a2d</t>
        </is>
      </c>
      <c r="H14" s="7" t="inlineStr">
        <is>
          <t>Approved</t>
        </is>
      </c>
      <c r="I14" s="7" t="n"/>
      <c r="J14" s="4" t="inlineStr">
        <is>
          <t>Source document text 1/1. Conditional applicability not yet encoded.</t>
        </is>
      </c>
    </row>
    <row r="15" ht="40" customHeight="1">
      <c r="A15" s="8" t="inlineStr">
        <is>
          <t>C05</t>
        </is>
      </c>
      <c r="B15" s="8" t="inlineStr">
        <is>
          <t>Pradhan Mantri Shram Yogi Maan-dhan</t>
        </is>
      </c>
      <c r="C15" s="8" t="inlineStr">
        <is>
          <t>C05-P0027</t>
        </is>
      </c>
      <c r="D15" s="8" t="inlineStr">
        <is>
          <t>Any other documents as required</t>
        </is>
      </c>
      <c r="E15" s="8" t="inlineStr"/>
      <c r="F15" s="8" t="inlineStr">
        <is>
          <t>MS-C05</t>
        </is>
      </c>
      <c r="G15" s="8" t="inlineStr">
        <is>
          <t>C05@20261028-fc4e9a2d</t>
        </is>
      </c>
      <c r="H15" s="7" t="inlineStr">
        <is>
          <t>Approved</t>
        </is>
      </c>
      <c r="I15" s="7" t="n"/>
      <c r="J15" s="8" t="inlineStr">
        <is>
          <t>Source document text 1/1. Conditional applicability not yet encoded.</t>
        </is>
      </c>
    </row>
    <row r="16" ht="40" customHeight="1">
      <c r="A16" s="4" t="inlineStr">
        <is>
          <t>C06</t>
        </is>
      </c>
      <c r="B16" s="4" t="inlineStr">
        <is>
          <t>Indira Gandhi National Widow Pension Scheme</t>
        </is>
      </c>
      <c r="C16" s="4" t="inlineStr">
        <is>
          <t>C06-P0009</t>
        </is>
      </c>
      <c r="D16" s="4" t="inlineStr">
        <is>
          <t>Death Certificate of husband – With the name of the surviving wife(widow).</t>
        </is>
      </c>
      <c r="E16" s="4" t="inlineStr"/>
      <c r="F16" s="4" t="inlineStr">
        <is>
          <t>MS-C06</t>
        </is>
      </c>
      <c r="G16" s="4" t="inlineStr">
        <is>
          <t>C06@20261028-7c399dda</t>
        </is>
      </c>
      <c r="H16" s="7" t="inlineStr">
        <is>
          <t>Approved</t>
        </is>
      </c>
      <c r="I16" s="7" t="n"/>
      <c r="J16" s="4" t="inlineStr">
        <is>
          <t>Source document text 1/1. Conditional applicability not yet encoded.</t>
        </is>
      </c>
    </row>
    <row r="17" ht="40" customHeight="1">
      <c r="A17" s="8" t="inlineStr">
        <is>
          <t>C06</t>
        </is>
      </c>
      <c r="B17" s="8" t="inlineStr">
        <is>
          <t>Indira Gandhi National Widow Pension Scheme</t>
        </is>
      </c>
      <c r="C17" s="8" t="inlineStr">
        <is>
          <t>C06-P0010</t>
        </is>
      </c>
      <c r="D17" s="8" t="inlineStr">
        <is>
          <t>BPL Card.</t>
        </is>
      </c>
      <c r="E17" s="8" t="inlineStr"/>
      <c r="F17" s="8" t="inlineStr">
        <is>
          <t>MS-C06</t>
        </is>
      </c>
      <c r="G17" s="8" t="inlineStr">
        <is>
          <t>C06@20261028-7c399dda</t>
        </is>
      </c>
      <c r="H17" s="7" t="inlineStr">
        <is>
          <t>Approved</t>
        </is>
      </c>
      <c r="I17" s="7" t="n"/>
      <c r="J17" s="8" t="inlineStr">
        <is>
          <t>Source document text 1/1. Conditional applicability not yet encoded.</t>
        </is>
      </c>
    </row>
    <row r="18" ht="68" customHeight="1">
      <c r="A18" s="4" t="inlineStr">
        <is>
          <t>C06</t>
        </is>
      </c>
      <c r="B18" s="4" t="inlineStr">
        <is>
          <t>Indira Gandhi National Widow Pension Scheme</t>
        </is>
      </c>
      <c r="C18" s="4" t="inlineStr">
        <is>
          <t>C06-P0011</t>
        </is>
      </c>
      <c r="D18" s="4" t="inlineStr">
        <is>
          <t>Age Proof - For age, the birth certificate or school certificate may be relied on. In their absence ration card and EPIC may be considered. If there is no valid document, any Medical Officer of any government hospital may be authorized to issue the age certificate.</t>
        </is>
      </c>
      <c r="E18" s="4" t="inlineStr"/>
      <c r="F18" s="4" t="inlineStr">
        <is>
          <t>MS-C06</t>
        </is>
      </c>
      <c r="G18" s="4" t="inlineStr">
        <is>
          <t>C06@20261028-7c399dda</t>
        </is>
      </c>
      <c r="H18" s="7" t="inlineStr">
        <is>
          <t>Approved</t>
        </is>
      </c>
      <c r="I18" s="7" t="n"/>
      <c r="J18" s="4" t="inlineStr">
        <is>
          <t>Source document text 1/1. Conditional applicability not yet encoded.</t>
        </is>
      </c>
    </row>
    <row r="19" ht="40" customHeight="1">
      <c r="A19" s="8" t="inlineStr">
        <is>
          <t>M01</t>
        </is>
      </c>
      <c r="B19" s="8" t="inlineStr">
        <is>
          <t>Sanjay Gandhi Niradhar Grant Scheme</t>
        </is>
      </c>
      <c r="C19" s="8" t="inlineStr">
        <is>
          <t>M01-P0020</t>
        </is>
      </c>
      <c r="D19" s="8" t="inlineStr">
        <is>
          <t>Aadhaar Card.</t>
        </is>
      </c>
      <c r="E19" s="8" t="inlineStr"/>
      <c r="F19" s="8" t="inlineStr">
        <is>
          <t>MS-M01</t>
        </is>
      </c>
      <c r="G19" s="8" t="inlineStr">
        <is>
          <t>M01@20261028-4614b9c2</t>
        </is>
      </c>
      <c r="H19" s="7" t="inlineStr">
        <is>
          <t>Approved</t>
        </is>
      </c>
      <c r="I19" s="7" t="n"/>
      <c r="J19" s="8" t="inlineStr">
        <is>
          <t>Source document text 1/1. Conditional applicability not yet encoded.</t>
        </is>
      </c>
    </row>
    <row r="20" ht="40" customHeight="1">
      <c r="A20" s="4" t="inlineStr">
        <is>
          <t>M01</t>
        </is>
      </c>
      <c r="B20" s="4" t="inlineStr">
        <is>
          <t>Sanjay Gandhi Niradhar Grant Scheme</t>
        </is>
      </c>
      <c r="C20" s="4" t="inlineStr">
        <is>
          <t>M01-P0021</t>
        </is>
      </c>
      <c r="D20" s="4" t="inlineStr">
        <is>
          <t>2-Passport Sized Photograph (Signed Across).</t>
        </is>
      </c>
      <c r="E20" s="4" t="inlineStr"/>
      <c r="F20" s="4" t="inlineStr">
        <is>
          <t>MS-M01</t>
        </is>
      </c>
      <c r="G20" s="4" t="inlineStr">
        <is>
          <t>M01@20261028-4614b9c2</t>
        </is>
      </c>
      <c r="H20" s="7" t="inlineStr">
        <is>
          <t>Approved</t>
        </is>
      </c>
      <c r="I20" s="7" t="n"/>
      <c r="J20" s="4" t="inlineStr">
        <is>
          <t>Source document text 1/1. Conditional applicability not yet encoded.</t>
        </is>
      </c>
    </row>
    <row r="21" ht="40" customHeight="1">
      <c r="A21" s="8" t="inlineStr">
        <is>
          <t>M01</t>
        </is>
      </c>
      <c r="B21" s="8" t="inlineStr">
        <is>
          <t>Sanjay Gandhi Niradhar Grant Scheme</t>
        </is>
      </c>
      <c r="C21" s="8" t="inlineStr">
        <is>
          <t>M01-P0022</t>
        </is>
      </c>
      <c r="D21" s="8" t="inlineStr">
        <is>
          <t>Residential Certificate / Domicile Certificate of the State of Maharashtra.</t>
        </is>
      </c>
      <c r="E21" s="8" t="inlineStr"/>
      <c r="F21" s="8" t="inlineStr">
        <is>
          <t>MS-M01</t>
        </is>
      </c>
      <c r="G21" s="8" t="inlineStr">
        <is>
          <t>M01@20261028-4614b9c2</t>
        </is>
      </c>
      <c r="H21" s="7" t="inlineStr">
        <is>
          <t>Approved</t>
        </is>
      </c>
      <c r="I21" s="7" t="n"/>
      <c r="J21" s="8" t="inlineStr">
        <is>
          <t>Source document text 1/1. Conditional applicability not yet encoded.</t>
        </is>
      </c>
    </row>
    <row r="22" ht="40" customHeight="1">
      <c r="A22" s="4" t="inlineStr">
        <is>
          <t>M01</t>
        </is>
      </c>
      <c r="B22" s="4" t="inlineStr">
        <is>
          <t>Sanjay Gandhi Niradhar Grant Scheme</t>
        </is>
      </c>
      <c r="C22" s="4" t="inlineStr">
        <is>
          <t>M01-P0023</t>
        </is>
      </c>
      <c r="D22" s="4" t="inlineStr">
        <is>
          <t>Details of the Bank Account (Bank Name, Branch Name, Address, IFSC, etc).</t>
        </is>
      </c>
      <c r="E22" s="4" t="inlineStr"/>
      <c r="F22" s="4" t="inlineStr">
        <is>
          <t>MS-M01</t>
        </is>
      </c>
      <c r="G22" s="4" t="inlineStr">
        <is>
          <t>M01@20261028-4614b9c2</t>
        </is>
      </c>
      <c r="H22" s="7" t="inlineStr">
        <is>
          <t>Approved</t>
        </is>
      </c>
      <c r="I22" s="7" t="n"/>
      <c r="J22" s="4" t="inlineStr">
        <is>
          <t>Source document text 1/1. Conditional applicability not yet encoded.</t>
        </is>
      </c>
    </row>
    <row r="23" ht="40" customHeight="1">
      <c r="A23" s="8" t="inlineStr">
        <is>
          <t>M01</t>
        </is>
      </c>
      <c r="B23" s="8" t="inlineStr">
        <is>
          <t>Sanjay Gandhi Niradhar Grant Scheme</t>
        </is>
      </c>
      <c r="C23" s="8" t="inlineStr">
        <is>
          <t>M01-P0024</t>
        </is>
      </c>
      <c r="D23" s="8" t="inlineStr">
        <is>
          <t>Any other document required by the District Social Welfare Office.</t>
        </is>
      </c>
      <c r="E23" s="8" t="inlineStr"/>
      <c r="F23" s="8" t="inlineStr">
        <is>
          <t>MS-M01</t>
        </is>
      </c>
      <c r="G23" s="8" t="inlineStr">
        <is>
          <t>M01@20261028-4614b9c2</t>
        </is>
      </c>
      <c r="H23" s="7" t="inlineStr">
        <is>
          <t>Approved</t>
        </is>
      </c>
      <c r="I23" s="7" t="n"/>
      <c r="J23" s="8" t="inlineStr">
        <is>
          <t>Source document text 1/1. Conditional applicability not yet encoded.</t>
        </is>
      </c>
    </row>
    <row r="24" ht="40" customHeight="1">
      <c r="A24" s="4" t="inlineStr">
        <is>
          <t>M01</t>
        </is>
      </c>
      <c r="B24" s="4" t="inlineStr">
        <is>
          <t>Sanjay Gandhi Niradhar Grant Scheme</t>
        </is>
      </c>
      <c r="C24" s="4" t="inlineStr">
        <is>
          <t>M01-P0025</t>
        </is>
      </c>
      <c r="D24" s="4" t="inlineStr">
        <is>
          <t>Medical Certificate OR Certificate of Incapacity/Disease (issued by the Civil Surgeon and Medical Superintendent of the Government Hospital) (In the case of major illness)</t>
        </is>
      </c>
      <c r="E24" s="4" t="inlineStr"/>
      <c r="F24" s="4" t="inlineStr">
        <is>
          <t>MS-M01</t>
        </is>
      </c>
      <c r="G24" s="4" t="inlineStr">
        <is>
          <t>M01@20261028-4614b9c2</t>
        </is>
      </c>
      <c r="H24" s="7" t="inlineStr">
        <is>
          <t>Approved</t>
        </is>
      </c>
      <c r="I24" s="7" t="n"/>
      <c r="J24" s="4" t="inlineStr">
        <is>
          <t>Source document text 1/1. Conditional applicability not yet encoded.</t>
        </is>
      </c>
    </row>
    <row r="25" ht="40" customHeight="1">
      <c r="A25" s="8" t="inlineStr">
        <is>
          <t>M01</t>
        </is>
      </c>
      <c r="B25" s="8" t="inlineStr">
        <is>
          <t>Sanjay Gandhi Niradhar Grant Scheme</t>
        </is>
      </c>
      <c r="C25" s="8" t="inlineStr">
        <is>
          <t>M01-P0026</t>
        </is>
      </c>
      <c r="D25" s="8" t="inlineStr">
        <is>
          <t>Proof of Age</t>
        </is>
      </c>
      <c r="E25" s="8" t="inlineStr"/>
      <c r="F25" s="8" t="inlineStr">
        <is>
          <t>MS-M01</t>
        </is>
      </c>
      <c r="G25" s="8" t="inlineStr">
        <is>
          <t>M01@20261028-4614b9c2</t>
        </is>
      </c>
      <c r="H25" s="7" t="inlineStr">
        <is>
          <t>Approved</t>
        </is>
      </c>
      <c r="I25" s="7" t="n"/>
      <c r="J25" s="8" t="inlineStr">
        <is>
          <t>Source document text 1/1. Conditional applicability not yet encoded.</t>
        </is>
      </c>
    </row>
    <row r="26" ht="40" customHeight="1">
      <c r="A26" s="4" t="inlineStr">
        <is>
          <t>M01</t>
        </is>
      </c>
      <c r="B26" s="4" t="inlineStr">
        <is>
          <t>Sanjay Gandhi Niradhar Grant Scheme</t>
        </is>
      </c>
      <c r="C26" s="4" t="inlineStr">
        <is>
          <t>M01-P0027</t>
        </is>
      </c>
      <c r="D26" s="4" t="inlineStr">
        <is>
          <t>Income Certificate / BPL Card of the Family</t>
        </is>
      </c>
      <c r="E26" s="4" t="inlineStr"/>
      <c r="F26" s="4" t="inlineStr">
        <is>
          <t>MS-M01</t>
        </is>
      </c>
      <c r="G26" s="4" t="inlineStr">
        <is>
          <t>M01@20261028-4614b9c2</t>
        </is>
      </c>
      <c r="H26" s="7" t="inlineStr">
        <is>
          <t>Approved</t>
        </is>
      </c>
      <c r="I26" s="7" t="n"/>
      <c r="J26" s="4" t="inlineStr">
        <is>
          <t>Source document text 1/1. Conditional applicability not yet encoded.</t>
        </is>
      </c>
    </row>
    <row r="27" ht="40" customHeight="1">
      <c r="A27" s="8" t="inlineStr">
        <is>
          <t>M01</t>
        </is>
      </c>
      <c r="B27" s="8" t="inlineStr">
        <is>
          <t>Sanjay Gandhi Niradhar Grant Scheme</t>
        </is>
      </c>
      <c r="C27" s="8" t="inlineStr">
        <is>
          <t>M01-P0028</t>
        </is>
      </c>
      <c r="D27" s="8" t="inlineStr">
        <is>
          <t>Disability Certificate</t>
        </is>
      </c>
      <c r="E27" s="8" t="inlineStr"/>
      <c r="F27" s="8" t="inlineStr">
        <is>
          <t>MS-M01</t>
        </is>
      </c>
      <c r="G27" s="8" t="inlineStr">
        <is>
          <t>M01@20261028-4614b9c2</t>
        </is>
      </c>
      <c r="H27" s="7" t="inlineStr">
        <is>
          <t>Approved</t>
        </is>
      </c>
      <c r="I27" s="7" t="n"/>
      <c r="J27" s="8" t="inlineStr">
        <is>
          <t>Source document text 1/1. Conditional applicability not yet encoded.</t>
        </is>
      </c>
    </row>
    <row r="28" ht="40" customHeight="1">
      <c r="A28" s="4" t="inlineStr">
        <is>
          <t>M01</t>
        </is>
      </c>
      <c r="B28" s="4" t="inlineStr">
        <is>
          <t>Sanjay Gandhi Niradhar Grant Scheme</t>
        </is>
      </c>
      <c r="C28" s="4" t="inlineStr">
        <is>
          <t>M01-P0029</t>
        </is>
      </c>
      <c r="D28" s="4" t="inlineStr">
        <is>
          <t>Transgender Certificate (in case the applicant is Transgender)</t>
        </is>
      </c>
      <c r="E28" s="4" t="inlineStr"/>
      <c r="F28" s="4" t="inlineStr">
        <is>
          <t>MS-M01</t>
        </is>
      </c>
      <c r="G28" s="4" t="inlineStr">
        <is>
          <t>M01@20261028-4614b9c2</t>
        </is>
      </c>
      <c r="H28" s="7" t="inlineStr">
        <is>
          <t>Approved</t>
        </is>
      </c>
      <c r="I28" s="7" t="n"/>
      <c r="J28" s="4" t="inlineStr">
        <is>
          <t>Source document text 1/1. Conditional applicability not yet encoded.</t>
        </is>
      </c>
    </row>
    <row r="29" ht="40" customHeight="1">
      <c r="A29" s="8" t="inlineStr">
        <is>
          <t>M01</t>
        </is>
      </c>
      <c r="B29" s="8" t="inlineStr">
        <is>
          <t>Sanjay Gandhi Niradhar Grant Scheme</t>
        </is>
      </c>
      <c r="C29" s="8" t="inlineStr">
        <is>
          <t>M01-P0030</t>
        </is>
      </c>
      <c r="D29" s="8" t="inlineStr">
        <is>
          <t>Marriage Certificate, and Death Certificate of Husband (in the case of Widow applicants)</t>
        </is>
      </c>
      <c r="E29" s="8" t="inlineStr"/>
      <c r="F29" s="8" t="inlineStr">
        <is>
          <t>MS-M01</t>
        </is>
      </c>
      <c r="G29" s="8" t="inlineStr">
        <is>
          <t>M01@20261028-4614b9c2</t>
        </is>
      </c>
      <c r="H29" s="7" t="inlineStr">
        <is>
          <t>Approved</t>
        </is>
      </c>
      <c r="I29" s="7" t="n"/>
      <c r="J29" s="8" t="inlineStr">
        <is>
          <t>Source document text 1/1. Conditional applicability not yet encoded.</t>
        </is>
      </c>
    </row>
    <row r="30" ht="40" customHeight="1">
      <c r="A30" s="4" t="inlineStr">
        <is>
          <t>M02</t>
        </is>
      </c>
      <c r="B30" s="4" t="inlineStr">
        <is>
          <t>Shravanbal Seva State Pension Scheme</t>
        </is>
      </c>
      <c r="C30" s="4" t="inlineStr">
        <is>
          <t>M02-P0010</t>
        </is>
      </c>
      <c r="D30" s="4" t="inlineStr">
        <is>
          <t>Aadhaar Card.</t>
        </is>
      </c>
      <c r="E30" s="4" t="inlineStr"/>
      <c r="F30" s="4" t="inlineStr">
        <is>
          <t>MS-M02</t>
        </is>
      </c>
      <c r="G30" s="4" t="inlineStr">
        <is>
          <t>M02@20261028-0e33c069</t>
        </is>
      </c>
      <c r="H30" s="7" t="inlineStr">
        <is>
          <t>Approved</t>
        </is>
      </c>
      <c r="I30" s="7" t="n"/>
      <c r="J30" s="4" t="inlineStr">
        <is>
          <t>Source document text 1/1. Conditional applicability not yet encoded.</t>
        </is>
      </c>
    </row>
    <row r="31" ht="40" customHeight="1">
      <c r="A31" s="8" t="inlineStr">
        <is>
          <t>M02</t>
        </is>
      </c>
      <c r="B31" s="8" t="inlineStr">
        <is>
          <t>Shravanbal Seva State Pension Scheme</t>
        </is>
      </c>
      <c r="C31" s="8" t="inlineStr">
        <is>
          <t>M02-P0011</t>
        </is>
      </c>
      <c r="D31" s="8" t="inlineStr">
        <is>
          <t>2-Passport Sized Photograph (Signed Across).</t>
        </is>
      </c>
      <c r="E31" s="8" t="inlineStr"/>
      <c r="F31" s="8" t="inlineStr">
        <is>
          <t>MS-M02</t>
        </is>
      </c>
      <c r="G31" s="8" t="inlineStr">
        <is>
          <t>M02@20261028-0e33c069</t>
        </is>
      </c>
      <c r="H31" s="7" t="inlineStr">
        <is>
          <t>Approved</t>
        </is>
      </c>
      <c r="I31" s="7" t="n"/>
      <c r="J31" s="8" t="inlineStr">
        <is>
          <t>Source document text 1/1. Conditional applicability not yet encoded.</t>
        </is>
      </c>
    </row>
    <row r="32" ht="40" customHeight="1">
      <c r="A32" s="4" t="inlineStr">
        <is>
          <t>M02</t>
        </is>
      </c>
      <c r="B32" s="4" t="inlineStr">
        <is>
          <t>Shravanbal Seva State Pension Scheme</t>
        </is>
      </c>
      <c r="C32" s="4" t="inlineStr">
        <is>
          <t>M02-P0012</t>
        </is>
      </c>
      <c r="D32" s="4" t="inlineStr">
        <is>
          <t>Proof of Age.</t>
        </is>
      </c>
      <c r="E32" s="4" t="inlineStr"/>
      <c r="F32" s="4" t="inlineStr">
        <is>
          <t>MS-M02</t>
        </is>
      </c>
      <c r="G32" s="4" t="inlineStr">
        <is>
          <t>M02@20261028-0e33c069</t>
        </is>
      </c>
      <c r="H32" s="7" t="inlineStr">
        <is>
          <t>Approved</t>
        </is>
      </c>
      <c r="I32" s="7" t="n"/>
      <c r="J32" s="4" t="inlineStr">
        <is>
          <t>Source document text 1/1. Conditional applicability not yet encoded.</t>
        </is>
      </c>
    </row>
    <row r="33" ht="40" customHeight="1">
      <c r="A33" s="8" t="inlineStr">
        <is>
          <t>M02</t>
        </is>
      </c>
      <c r="B33" s="8" t="inlineStr">
        <is>
          <t>Shravanbal Seva State Pension Scheme</t>
        </is>
      </c>
      <c r="C33" s="8" t="inlineStr">
        <is>
          <t>M02-P0013</t>
        </is>
      </c>
      <c r="D33" s="8" t="inlineStr">
        <is>
          <t>Income Certificate / BPL Card of the Family (if applicable)</t>
        </is>
      </c>
      <c r="E33" s="8" t="inlineStr"/>
      <c r="F33" s="8" t="inlineStr">
        <is>
          <t>MS-M02</t>
        </is>
      </c>
      <c r="G33" s="8" t="inlineStr">
        <is>
          <t>M02@20261028-0e33c069</t>
        </is>
      </c>
      <c r="H33" s="7" t="inlineStr">
        <is>
          <t>Approved</t>
        </is>
      </c>
      <c r="I33" s="7" t="n"/>
      <c r="J33" s="8" t="inlineStr">
        <is>
          <t>Source document text 1/1. Conditional applicability not yet encoded.</t>
        </is>
      </c>
    </row>
    <row r="34" ht="40" customHeight="1">
      <c r="A34" s="4" t="inlineStr">
        <is>
          <t>M02</t>
        </is>
      </c>
      <c r="B34" s="4" t="inlineStr">
        <is>
          <t>Shravanbal Seva State Pension Scheme</t>
        </is>
      </c>
      <c r="C34" s="4" t="inlineStr">
        <is>
          <t>M02-P0014</t>
        </is>
      </c>
      <c r="D34" s="4" t="inlineStr">
        <is>
          <t>Residential Certificate / Domicile Certificate of the State of Maharashtra.</t>
        </is>
      </c>
      <c r="E34" s="4" t="inlineStr"/>
      <c r="F34" s="4" t="inlineStr">
        <is>
          <t>MS-M02</t>
        </is>
      </c>
      <c r="G34" s="4" t="inlineStr">
        <is>
          <t>M02@20261028-0e33c069</t>
        </is>
      </c>
      <c r="H34" s="7" t="inlineStr">
        <is>
          <t>Approved</t>
        </is>
      </c>
      <c r="I34" s="7" t="n"/>
      <c r="J34" s="4" t="inlineStr">
        <is>
          <t>Source document text 1/1. Conditional applicability not yet encoded.</t>
        </is>
      </c>
    </row>
    <row r="35" ht="40" customHeight="1">
      <c r="A35" s="8" t="inlineStr">
        <is>
          <t>M02</t>
        </is>
      </c>
      <c r="B35" s="8" t="inlineStr">
        <is>
          <t>Shravanbal Seva State Pension Scheme</t>
        </is>
      </c>
      <c r="C35" s="8" t="inlineStr">
        <is>
          <t>M02-P0015</t>
        </is>
      </c>
      <c r="D35" s="8" t="inlineStr">
        <is>
          <t>Details of the Bank Account (Bank Name, Branch Name, Address, IFSC, etc).</t>
        </is>
      </c>
      <c r="E35" s="8" t="inlineStr"/>
      <c r="F35" s="8" t="inlineStr">
        <is>
          <t>MS-M02</t>
        </is>
      </c>
      <c r="G35" s="8" t="inlineStr">
        <is>
          <t>M02@20261028-0e33c069</t>
        </is>
      </c>
      <c r="H35" s="7" t="inlineStr">
        <is>
          <t>Approved</t>
        </is>
      </c>
      <c r="I35" s="7" t="n"/>
      <c r="J35" s="8" t="inlineStr">
        <is>
          <t>Source document text 1/1. Conditional applicability not yet encoded.</t>
        </is>
      </c>
    </row>
    <row r="36" ht="40" customHeight="1">
      <c r="A36" s="4" t="inlineStr">
        <is>
          <t>M02</t>
        </is>
      </c>
      <c r="B36" s="4" t="inlineStr">
        <is>
          <t>Shravanbal Seva State Pension Scheme</t>
        </is>
      </c>
      <c r="C36" s="4" t="inlineStr">
        <is>
          <t>M02-P0016</t>
        </is>
      </c>
      <c r="D36" s="4" t="inlineStr">
        <is>
          <t>Any other document required by the District Social Welfare Office.</t>
        </is>
      </c>
      <c r="E36" s="4" t="inlineStr"/>
      <c r="F36" s="4" t="inlineStr">
        <is>
          <t>MS-M02</t>
        </is>
      </c>
      <c r="G36" s="4" t="inlineStr">
        <is>
          <t>M02@20261028-0e33c069</t>
        </is>
      </c>
      <c r="H36" s="7" t="inlineStr">
        <is>
          <t>Approved</t>
        </is>
      </c>
      <c r="I36" s="7" t="n"/>
      <c r="J36" s="4" t="inlineStr">
        <is>
          <t>Source document text 1/1. Conditional applicability not yet encoded.</t>
        </is>
      </c>
    </row>
    <row r="37" ht="54" customHeight="1">
      <c r="A37" s="8" t="inlineStr">
        <is>
          <t>M03</t>
        </is>
      </c>
      <c r="B37" s="8" t="inlineStr">
        <is>
          <t>Lek Ladki Yojana</t>
        </is>
      </c>
      <c r="C37" s="8" t="inlineStr">
        <is>
          <t>M03-P0010</t>
        </is>
      </c>
      <c r="D37" s="8" t="inlineStr">
        <is>
          <t>Birth and income certificates; yellow/orange ration card; parent Aadhaar; girl Aadhaar (first-benefit relaxation); bank passbook; stage-specific school, family-planning, voter and unmarried declarations.</t>
        </is>
      </c>
      <c r="E37" s="8" t="inlineStr"/>
      <c r="F37" s="8" t="inlineStr">
        <is>
          <t>MS-M03</t>
        </is>
      </c>
      <c r="G37" s="8" t="inlineStr">
        <is>
          <t>M03@20261023-86676752</t>
        </is>
      </c>
      <c r="H37" s="7" t="inlineStr">
        <is>
          <t>Not started</t>
        </is>
      </c>
      <c r="I37" s="7" t="n"/>
      <c r="J37" s="8" t="inlineStr">
        <is>
          <t>Source document text 1/1. Conditional applicability not yet encoded.</t>
        </is>
      </c>
    </row>
    <row r="38" ht="40" customHeight="1">
      <c r="A38" s="4" t="inlineStr">
        <is>
          <t>M04</t>
        </is>
      </c>
      <c r="B38" s="4" t="inlineStr">
        <is>
          <t>Mukhyamantri Vayoshri Yojana</t>
        </is>
      </c>
      <c r="C38" s="4" t="inlineStr">
        <is>
          <t>M04-P0007</t>
        </is>
      </c>
      <c r="D38" s="4" t="inlineStr">
        <is>
          <t>Aadhaar/enrolment receipt or accepted alternative ID; age/income proof or declaration; bank passbook; two photos; self-declaration of prior equipment benefit.</t>
        </is>
      </c>
      <c r="E38" s="4" t="inlineStr"/>
      <c r="F38" s="4" t="inlineStr">
        <is>
          <t>MS-M04</t>
        </is>
      </c>
      <c r="G38" s="4" t="inlineStr">
        <is>
          <t>M04@20261023-230cad49</t>
        </is>
      </c>
      <c r="H38" s="7" t="inlineStr">
        <is>
          <t>Not started</t>
        </is>
      </c>
      <c r="I38" s="7" t="n"/>
      <c r="J38" s="4" t="inlineStr">
        <is>
          <t>Source document text 1/1. Conditional applicability not yet encoded.</t>
        </is>
      </c>
    </row>
    <row r="39" ht="40" customHeight="1">
      <c r="A39" s="8" t="inlineStr">
        <is>
          <t>C07</t>
        </is>
      </c>
      <c r="B39" s="8" t="inlineStr">
        <is>
          <t>Rashtriya Krishi Vigyan Puraskar</t>
        </is>
      </c>
      <c r="C39" s="8" t="inlineStr">
        <is>
          <t>C07-P0028</t>
        </is>
      </c>
      <c r="D39" s="8" t="inlineStr">
        <is>
          <t>Filled application</t>
        </is>
      </c>
      <c r="E39" s="8" t="inlineStr"/>
      <c r="F39" s="8" t="inlineStr">
        <is>
          <t>MS-C07</t>
        </is>
      </c>
      <c r="G39" s="8" t="inlineStr">
        <is>
          <t>C07@20261028-2e86f237</t>
        </is>
      </c>
      <c r="H39" s="7" t="inlineStr">
        <is>
          <t>Approved</t>
        </is>
      </c>
      <c r="I39" s="7" t="n"/>
      <c r="J39" s="8" t="inlineStr">
        <is>
          <t>Source document text 1/1. Conditional applicability not yet encoded.</t>
        </is>
      </c>
    </row>
    <row r="40" ht="40" customHeight="1">
      <c r="A40" s="4" t="inlineStr">
        <is>
          <t>C07</t>
        </is>
      </c>
      <c r="B40" s="4" t="inlineStr">
        <is>
          <t>Rashtriya Krishi Vigyan Puraskar</t>
        </is>
      </c>
      <c r="C40" s="4" t="inlineStr">
        <is>
          <t>C07-P0029</t>
        </is>
      </c>
      <c r="D40" s="4" t="inlineStr">
        <is>
          <t>Details of your work</t>
        </is>
      </c>
      <c r="E40" s="4" t="inlineStr"/>
      <c r="F40" s="4" t="inlineStr">
        <is>
          <t>MS-C07</t>
        </is>
      </c>
      <c r="G40" s="4" t="inlineStr">
        <is>
          <t>C07@20261028-2e86f237</t>
        </is>
      </c>
      <c r="H40" s="7" t="inlineStr">
        <is>
          <t>Approved</t>
        </is>
      </c>
      <c r="I40" s="7" t="n"/>
      <c r="J40" s="4" t="inlineStr">
        <is>
          <t>Source document text 1/1. Conditional applicability not yet encoded.</t>
        </is>
      </c>
    </row>
    <row r="41" ht="40" customHeight="1">
      <c r="A41" s="8" t="inlineStr">
        <is>
          <t>C07</t>
        </is>
      </c>
      <c r="B41" s="8" t="inlineStr">
        <is>
          <t>Rashtriya Krishi Vigyan Puraskar</t>
        </is>
      </c>
      <c r="C41" s="8" t="inlineStr">
        <is>
          <t>C07-P0030</t>
        </is>
      </c>
      <c r="D41" s="8" t="inlineStr">
        <is>
          <t>Proof your work helped people/environment</t>
        </is>
      </c>
      <c r="E41" s="8" t="inlineStr"/>
      <c r="F41" s="8" t="inlineStr">
        <is>
          <t>MS-C07</t>
        </is>
      </c>
      <c r="G41" s="8" t="inlineStr">
        <is>
          <t>C07@20261028-2e86f237</t>
        </is>
      </c>
      <c r="H41" s="7" t="inlineStr">
        <is>
          <t>Approved</t>
        </is>
      </c>
      <c r="I41" s="7" t="n"/>
      <c r="J41" s="8" t="inlineStr">
        <is>
          <t>Source document text 1/1. Conditional applicability not yet encoded.</t>
        </is>
      </c>
    </row>
    <row r="42" ht="40" customHeight="1">
      <c r="A42" s="4" t="inlineStr">
        <is>
          <t>C07</t>
        </is>
      </c>
      <c r="B42" s="4" t="inlineStr">
        <is>
          <t>Rashtriya Krishi Vigyan Puraskar</t>
        </is>
      </c>
      <c r="C42" s="4" t="inlineStr">
        <is>
          <t>C07-P0031</t>
        </is>
      </c>
      <c r="D42" s="4" t="inlineStr">
        <is>
          <t>Documents (papers, patents, etc.)</t>
        </is>
      </c>
      <c r="E42" s="4" t="inlineStr"/>
      <c r="F42" s="4" t="inlineStr">
        <is>
          <t>MS-C07</t>
        </is>
      </c>
      <c r="G42" s="4" t="inlineStr">
        <is>
          <t>C07@20261028-2e86f237</t>
        </is>
      </c>
      <c r="H42" s="7" t="inlineStr">
        <is>
          <t>Approved</t>
        </is>
      </c>
      <c r="I42" s="7" t="n"/>
      <c r="J42" s="4" t="inlineStr">
        <is>
          <t>Source document text 1/1. Conditional applicability not yet encoded.</t>
        </is>
      </c>
    </row>
    <row r="43" ht="40" customHeight="1">
      <c r="A43" s="8" t="inlineStr">
        <is>
          <t>C07</t>
        </is>
      </c>
      <c r="B43" s="8" t="inlineStr">
        <is>
          <t>Rashtriya Krishi Vigyan Puraskar</t>
        </is>
      </c>
      <c r="C43" s="8" t="inlineStr">
        <is>
          <t>C07-P0032</t>
        </is>
      </c>
      <c r="D43" s="8" t="inlineStr">
        <is>
          <t>Clean record certificate</t>
        </is>
      </c>
      <c r="E43" s="8" t="inlineStr"/>
      <c r="F43" s="8" t="inlineStr">
        <is>
          <t>MS-C07</t>
        </is>
      </c>
      <c r="G43" s="8" t="inlineStr">
        <is>
          <t>C07@20261028-2e86f237</t>
        </is>
      </c>
      <c r="H43" s="7" t="inlineStr">
        <is>
          <t>Approved</t>
        </is>
      </c>
      <c r="I43" s="7" t="n"/>
      <c r="J43" s="8" t="inlineStr">
        <is>
          <t>Source document text 1/1. Conditional applicability not yet encoded.</t>
        </is>
      </c>
    </row>
    <row r="44" ht="40" customHeight="1">
      <c r="A44" s="4" t="inlineStr">
        <is>
          <t>C08</t>
        </is>
      </c>
      <c r="B44" s="4" t="inlineStr">
        <is>
          <t>Market Development Assistance</t>
        </is>
      </c>
      <c r="C44" s="4" t="inlineStr">
        <is>
          <t>C08-P0029</t>
        </is>
      </c>
      <c r="D44" s="4" t="inlineStr">
        <is>
          <t>Application Stage Documents</t>
        </is>
      </c>
      <c r="E44" s="4" t="inlineStr"/>
      <c r="F44" s="4" t="inlineStr">
        <is>
          <t>MS-C08</t>
        </is>
      </c>
      <c r="G44" s="4" t="inlineStr">
        <is>
          <t>C08@20261028-6245ae04</t>
        </is>
      </c>
      <c r="H44" s="7" t="inlineStr">
        <is>
          <t>Approved</t>
        </is>
      </c>
      <c r="I44" s="7" t="n"/>
      <c r="J44" s="4" t="inlineStr">
        <is>
          <t>Source document text 1/1. Conditional applicability not yet encoded.</t>
        </is>
      </c>
    </row>
    <row r="45" ht="40" customHeight="1">
      <c r="A45" s="8" t="inlineStr">
        <is>
          <t>C08</t>
        </is>
      </c>
      <c r="B45" s="8" t="inlineStr">
        <is>
          <t>Market Development Assistance</t>
        </is>
      </c>
      <c r="C45" s="8" t="inlineStr">
        <is>
          <t>C08-P0030</t>
        </is>
      </c>
      <c r="D45" s="8" t="inlineStr">
        <is>
          <t>Letter Intimating Willingness to Market Organic Fertilizers.</t>
        </is>
      </c>
      <c r="E45" s="8" t="inlineStr"/>
      <c r="F45" s="8" t="inlineStr">
        <is>
          <t>MS-C08</t>
        </is>
      </c>
      <c r="G45" s="8" t="inlineStr">
        <is>
          <t>C08@20261028-6245ae04</t>
        </is>
      </c>
      <c r="H45" s="7" t="inlineStr">
        <is>
          <t>Approved</t>
        </is>
      </c>
      <c r="I45" s="7" t="n"/>
      <c r="J45" s="8" t="inlineStr">
        <is>
          <t>Source document text 1/1. Conditional applicability not yet encoded.</t>
        </is>
      </c>
    </row>
    <row r="46" ht="54" customHeight="1">
      <c r="A46" s="4" t="inlineStr">
        <is>
          <t>C08</t>
        </is>
      </c>
      <c r="B46" s="4" t="inlineStr">
        <is>
          <t>Market Development Assistance</t>
        </is>
      </c>
      <c r="C46" s="4" t="inlineStr">
        <is>
          <t>C08-P0031</t>
        </is>
      </c>
      <c r="D46" s="4" t="inlineStr">
        <is>
          <t>Purchasing Agreement for Supply of Fermented Organic Manure, Liquid Fermented Organic Manure, or Phosphate Rich Organic Manure (Required if marketing through Fertilizer Marketing Companies).</t>
        </is>
      </c>
      <c r="E46" s="4" t="inlineStr"/>
      <c r="F46" s="4" t="inlineStr">
        <is>
          <t>MS-C08</t>
        </is>
      </c>
      <c r="G46" s="4" t="inlineStr">
        <is>
          <t>C08@20261028-6245ae04</t>
        </is>
      </c>
      <c r="H46" s="7" t="inlineStr">
        <is>
          <t>Approved</t>
        </is>
      </c>
      <c r="I46" s="7" t="n"/>
      <c r="J46" s="4" t="inlineStr">
        <is>
          <t>Source document text 1/1. Conditional applicability not yet encoded.</t>
        </is>
      </c>
    </row>
    <row r="47" ht="40" customHeight="1">
      <c r="A47" s="8" t="inlineStr">
        <is>
          <t>C08</t>
        </is>
      </c>
      <c r="B47" s="8" t="inlineStr">
        <is>
          <t>Market Development Assistance</t>
        </is>
      </c>
      <c r="C47" s="8" t="inlineStr">
        <is>
          <t>C08-P0032</t>
        </is>
      </c>
      <c r="D47" s="8" t="inlineStr">
        <is>
          <t>Details of Fertilizer Marketing Companies Document (Annexure-I).</t>
        </is>
      </c>
      <c r="E47" s="8" t="inlineStr"/>
      <c r="F47" s="8" t="inlineStr">
        <is>
          <t>MS-C08</t>
        </is>
      </c>
      <c r="G47" s="8" t="inlineStr">
        <is>
          <t>C08@20261028-6245ae04</t>
        </is>
      </c>
      <c r="H47" s="7" t="inlineStr">
        <is>
          <t>Approved</t>
        </is>
      </c>
      <c r="I47" s="7" t="n"/>
      <c r="J47" s="8" t="inlineStr">
        <is>
          <t>Source document text 1/1. Conditional applicability not yet encoded.</t>
        </is>
      </c>
    </row>
    <row r="48" ht="40" customHeight="1">
      <c r="A48" s="4" t="inlineStr">
        <is>
          <t>C08</t>
        </is>
      </c>
      <c r="B48" s="4" t="inlineStr">
        <is>
          <t>Market Development Assistance</t>
        </is>
      </c>
      <c r="C48" s="4" t="inlineStr">
        <is>
          <t>C08-P0033</t>
        </is>
      </c>
      <c r="D48" s="4" t="inlineStr">
        <is>
          <t>Details of Organic Fertilizer Manufacturer Document (Annexure-II).</t>
        </is>
      </c>
      <c r="E48" s="4" t="inlineStr"/>
      <c r="F48" s="4" t="inlineStr">
        <is>
          <t>MS-C08</t>
        </is>
      </c>
      <c r="G48" s="4" t="inlineStr">
        <is>
          <t>C08@20261028-6245ae04</t>
        </is>
      </c>
      <c r="H48" s="7" t="inlineStr">
        <is>
          <t>Approved</t>
        </is>
      </c>
      <c r="I48" s="7" t="n"/>
      <c r="J48" s="4" t="inlineStr">
        <is>
          <t>Source document text 1/1. Conditional applicability not yet encoded.</t>
        </is>
      </c>
    </row>
    <row r="49" ht="40" customHeight="1">
      <c r="A49" s="8" t="inlineStr">
        <is>
          <t>C08</t>
        </is>
      </c>
      <c r="B49" s="8" t="inlineStr">
        <is>
          <t>Market Development Assistance</t>
        </is>
      </c>
      <c r="C49" s="8" t="inlineStr">
        <is>
          <t>C08-P0034</t>
        </is>
      </c>
      <c r="D49" s="8" t="inlineStr">
        <is>
          <t>Tax Identification Number Certificate of the Company.</t>
        </is>
      </c>
      <c r="E49" s="8" t="inlineStr"/>
      <c r="F49" s="8" t="inlineStr">
        <is>
          <t>MS-C08</t>
        </is>
      </c>
      <c r="G49" s="8" t="inlineStr">
        <is>
          <t>C08@20261028-6245ae04</t>
        </is>
      </c>
      <c r="H49" s="7" t="inlineStr">
        <is>
          <t>Approved</t>
        </is>
      </c>
      <c r="I49" s="7" t="n"/>
      <c r="J49" s="8" t="inlineStr">
        <is>
          <t>Source document text 1/1. Conditional applicability not yet encoded.</t>
        </is>
      </c>
    </row>
    <row r="50" ht="40" customHeight="1">
      <c r="A50" s="4" t="inlineStr">
        <is>
          <t>C08</t>
        </is>
      </c>
      <c r="B50" s="4" t="inlineStr">
        <is>
          <t>Market Development Assistance</t>
        </is>
      </c>
      <c r="C50" s="4" t="inlineStr">
        <is>
          <t>C08-P0035</t>
        </is>
      </c>
      <c r="D50" s="4" t="inlineStr">
        <is>
          <t>Permanent Account Number Card of the Company.</t>
        </is>
      </c>
      <c r="E50" s="4" t="inlineStr"/>
      <c r="F50" s="4" t="inlineStr">
        <is>
          <t>MS-C08</t>
        </is>
      </c>
      <c r="G50" s="4" t="inlineStr">
        <is>
          <t>C08@20261028-6245ae04</t>
        </is>
      </c>
      <c r="H50" s="7" t="inlineStr">
        <is>
          <t>Approved</t>
        </is>
      </c>
      <c r="I50" s="7" t="n"/>
      <c r="J50" s="4" t="inlineStr">
        <is>
          <t>Source document text 1/1. Conditional applicability not yet encoded.</t>
        </is>
      </c>
    </row>
    <row r="51" ht="40" customHeight="1">
      <c r="A51" s="8" t="inlineStr">
        <is>
          <t>C08</t>
        </is>
      </c>
      <c r="B51" s="8" t="inlineStr">
        <is>
          <t>Market Development Assistance</t>
        </is>
      </c>
      <c r="C51" s="8" t="inlineStr">
        <is>
          <t>C08-P0036</t>
        </is>
      </c>
      <c r="D51" s="8" t="inlineStr">
        <is>
          <t>Bank Account Details (Account Number, Indian Financial System Code, Name of Account Holder, Address of the Bank).</t>
        </is>
      </c>
      <c r="E51" s="8" t="inlineStr"/>
      <c r="F51" s="8" t="inlineStr">
        <is>
          <t>MS-C08</t>
        </is>
      </c>
      <c r="G51" s="8" t="inlineStr">
        <is>
          <t>C08@20261028-6245ae04</t>
        </is>
      </c>
      <c r="H51" s="7" t="inlineStr">
        <is>
          <t>Approved</t>
        </is>
      </c>
      <c r="I51" s="7" t="n"/>
      <c r="J51" s="8" t="inlineStr">
        <is>
          <t>Source document text 1/1. Conditional applicability not yet encoded.</t>
        </is>
      </c>
    </row>
    <row r="52" ht="40" customHeight="1">
      <c r="A52" s="4" t="inlineStr">
        <is>
          <t>C08</t>
        </is>
      </c>
      <c r="B52" s="4" t="inlineStr">
        <is>
          <t>Market Development Assistance</t>
        </is>
      </c>
      <c r="C52" s="4" t="inlineStr">
        <is>
          <t>C08-P0037</t>
        </is>
      </c>
      <c r="D52" s="4" t="inlineStr">
        <is>
          <t>Galvanizing Organic Bio-Agro Resources Dhan Portal Registration Certificate.</t>
        </is>
      </c>
      <c r="E52" s="4" t="inlineStr"/>
      <c r="F52" s="4" t="inlineStr">
        <is>
          <t>MS-C08</t>
        </is>
      </c>
      <c r="G52" s="4" t="inlineStr">
        <is>
          <t>C08@20261028-6245ae04</t>
        </is>
      </c>
      <c r="H52" s="7" t="inlineStr">
        <is>
          <t>Approved</t>
        </is>
      </c>
      <c r="I52" s="7" t="n"/>
      <c r="J52" s="4" t="inlineStr">
        <is>
          <t>Source document text 1/1. Conditional applicability not yet encoded.</t>
        </is>
      </c>
    </row>
    <row r="53" ht="40" customHeight="1">
      <c r="A53" s="8" t="inlineStr">
        <is>
          <t>C08</t>
        </is>
      </c>
      <c r="B53" s="8" t="inlineStr">
        <is>
          <t>Market Development Assistance</t>
        </is>
      </c>
      <c r="C53" s="8" t="inlineStr">
        <is>
          <t>C08-P0038</t>
        </is>
      </c>
      <c r="D53" s="8" t="inlineStr">
        <is>
          <t>Benefit Disbursal Documents</t>
        </is>
      </c>
      <c r="E53" s="8" t="inlineStr"/>
      <c r="F53" s="8" t="inlineStr">
        <is>
          <t>MS-C08</t>
        </is>
      </c>
      <c r="G53" s="8" t="inlineStr">
        <is>
          <t>C08@20261028-6245ae04</t>
        </is>
      </c>
      <c r="H53" s="7" t="inlineStr">
        <is>
          <t>Approved</t>
        </is>
      </c>
      <c r="I53" s="7" t="n"/>
      <c r="J53" s="8" t="inlineStr">
        <is>
          <t>Source document text 1/1. Conditional applicability not yet encoded.</t>
        </is>
      </c>
    </row>
    <row r="54" ht="40" customHeight="1">
      <c r="A54" s="4" t="inlineStr">
        <is>
          <t>C08</t>
        </is>
      </c>
      <c r="B54" s="4" t="inlineStr">
        <is>
          <t>Market Development Assistance</t>
        </is>
      </c>
      <c r="C54" s="4" t="inlineStr">
        <is>
          <t>C08-P0039</t>
        </is>
      </c>
      <c r="D54" s="4" t="inlineStr">
        <is>
          <t>Quantity Certificate for Organic Fertilizers (Proforma 'B1-MDA').</t>
        </is>
      </c>
      <c r="E54" s="4" t="inlineStr"/>
      <c r="F54" s="4" t="inlineStr">
        <is>
          <t>MS-C08</t>
        </is>
      </c>
      <c r="G54" s="4" t="inlineStr">
        <is>
          <t>C08@20261028-6245ae04</t>
        </is>
      </c>
      <c r="H54" s="7" t="inlineStr">
        <is>
          <t>Approved</t>
        </is>
      </c>
      <c r="I54" s="7" t="n"/>
      <c r="J54" s="4" t="inlineStr">
        <is>
          <t>Source document text 1/1. Conditional applicability not yet encoded.</t>
        </is>
      </c>
    </row>
    <row r="55" ht="40" customHeight="1">
      <c r="A55" s="8" t="inlineStr">
        <is>
          <t>C08</t>
        </is>
      </c>
      <c r="B55" s="8" t="inlineStr">
        <is>
          <t>Market Development Assistance</t>
        </is>
      </c>
      <c r="C55" s="8" t="inlineStr">
        <is>
          <t>C08-P0040</t>
        </is>
      </c>
      <c r="D55" s="8" t="inlineStr">
        <is>
          <t>Quality Certificate for Organic Fertilizers (Proforma 'B2-MDA').</t>
        </is>
      </c>
      <c r="E55" s="8" t="inlineStr"/>
      <c r="F55" s="8" t="inlineStr">
        <is>
          <t>MS-C08</t>
        </is>
      </c>
      <c r="G55" s="8" t="inlineStr">
        <is>
          <t>C08@20261028-6245ae04</t>
        </is>
      </c>
      <c r="H55" s="7" t="inlineStr">
        <is>
          <t>Approved</t>
        </is>
      </c>
      <c r="I55" s="7" t="n"/>
      <c r="J55" s="8" t="inlineStr">
        <is>
          <t>Source document text 1/1. Conditional applicability not yet encoded.</t>
        </is>
      </c>
    </row>
    <row r="56" ht="40" customHeight="1">
      <c r="A56" s="4" t="inlineStr">
        <is>
          <t>C08</t>
        </is>
      </c>
      <c r="B56" s="4" t="inlineStr">
        <is>
          <t>Market Development Assistance</t>
        </is>
      </c>
      <c r="C56" s="4" t="inlineStr">
        <is>
          <t>C08-P0041</t>
        </is>
      </c>
      <c r="D56" s="4" t="inlineStr">
        <is>
          <t>Quality Test Report from a Government Notified Laboratory or National Accreditation Board for Testing and Calibration Laboratories Accredited Private Laboratory.</t>
        </is>
      </c>
      <c r="E56" s="4" t="inlineStr"/>
      <c r="F56" s="4" t="inlineStr">
        <is>
          <t>MS-C08</t>
        </is>
      </c>
      <c r="G56" s="4" t="inlineStr">
        <is>
          <t>C08@20261028-6245ae04</t>
        </is>
      </c>
      <c r="H56" s="7" t="inlineStr">
        <is>
          <t>Approved</t>
        </is>
      </c>
      <c r="I56" s="7" t="n"/>
      <c r="J56" s="4" t="inlineStr">
        <is>
          <t>Source document text 1/1. Conditional applicability not yet encoded.</t>
        </is>
      </c>
    </row>
    <row r="57" ht="54" customHeight="1">
      <c r="A57" s="8" t="inlineStr">
        <is>
          <t>C08</t>
        </is>
      </c>
      <c r="B57" s="8" t="inlineStr">
        <is>
          <t>Market Development Assistance</t>
        </is>
      </c>
      <c r="C57" s="8" t="inlineStr">
        <is>
          <t>C08-P0042</t>
        </is>
      </c>
      <c r="D57" s="8" t="inlineStr">
        <is>
          <t>Proforma for Claiming Payment of Market Development Assistance (Annexure) with the Digital Signature of the Chartered Accountant or Statutory Auditor and the Authorized Officer.</t>
        </is>
      </c>
      <c r="E57" s="8" t="inlineStr"/>
      <c r="F57" s="8" t="inlineStr">
        <is>
          <t>MS-C08</t>
        </is>
      </c>
      <c r="G57" s="8" t="inlineStr">
        <is>
          <t>C08@20261028-6245ae04</t>
        </is>
      </c>
      <c r="H57" s="7" t="inlineStr">
        <is>
          <t>Approved</t>
        </is>
      </c>
      <c r="I57" s="7" t="n"/>
      <c r="J57" s="8" t="inlineStr">
        <is>
          <t>Source document text 1/1. Conditional applicability not yet encoded.</t>
        </is>
      </c>
    </row>
    <row r="58" ht="40" customHeight="1">
      <c r="A58" s="4" t="inlineStr">
        <is>
          <t>C08</t>
        </is>
      </c>
      <c r="B58" s="4" t="inlineStr">
        <is>
          <t>Market Development Assistance</t>
        </is>
      </c>
      <c r="C58" s="4" t="inlineStr">
        <is>
          <t>C08-P0043</t>
        </is>
      </c>
      <c r="D58" s="4" t="inlineStr">
        <is>
          <t>Verification and Audit Documents</t>
        </is>
      </c>
      <c r="E58" s="4" t="inlineStr"/>
      <c r="F58" s="4" t="inlineStr">
        <is>
          <t>MS-C08</t>
        </is>
      </c>
      <c r="G58" s="4" t="inlineStr">
        <is>
          <t>C08@20261028-6245ae04</t>
        </is>
      </c>
      <c r="H58" s="7" t="inlineStr">
        <is>
          <t>Approved</t>
        </is>
      </c>
      <c r="I58" s="7" t="n"/>
      <c r="J58" s="4" t="inlineStr">
        <is>
          <t>Source document text 1/1. Conditional applicability not yet encoded.</t>
        </is>
      </c>
    </row>
    <row r="59" ht="40" customHeight="1">
      <c r="A59" s="8" t="inlineStr">
        <is>
          <t>C08</t>
        </is>
      </c>
      <c r="B59" s="8" t="inlineStr">
        <is>
          <t>Market Development Assistance</t>
        </is>
      </c>
      <c r="C59" s="8" t="inlineStr">
        <is>
          <t>C08-P0044</t>
        </is>
      </c>
      <c r="D59" s="8" t="inlineStr">
        <is>
          <t>Stock Registers Showing Opening Balance, Production, Quantity Dispatched, and Closing Balance.</t>
        </is>
      </c>
      <c r="E59" s="8" t="inlineStr"/>
      <c r="F59" s="8" t="inlineStr">
        <is>
          <t>MS-C08</t>
        </is>
      </c>
      <c r="G59" s="8" t="inlineStr">
        <is>
          <t>C08@20261028-6245ae04</t>
        </is>
      </c>
      <c r="H59" s="7" t="inlineStr">
        <is>
          <t>Approved</t>
        </is>
      </c>
      <c r="I59" s="7" t="n"/>
      <c r="J59" s="8" t="inlineStr">
        <is>
          <t>Source document text 1/1. Conditional applicability not yet encoded.</t>
        </is>
      </c>
    </row>
    <row r="60" ht="40" customHeight="1">
      <c r="A60" s="4" t="inlineStr">
        <is>
          <t>C08</t>
        </is>
      </c>
      <c r="B60" s="4" t="inlineStr">
        <is>
          <t>Market Development Assistance</t>
        </is>
      </c>
      <c r="C60" s="4" t="inlineStr">
        <is>
          <t>C08-P0045</t>
        </is>
      </c>
      <c r="D60" s="4" t="inlineStr">
        <is>
          <t>Daily Report of Production and Stock Authenticated by the Production Manager.</t>
        </is>
      </c>
      <c r="E60" s="4" t="inlineStr"/>
      <c r="F60" s="4" t="inlineStr">
        <is>
          <t>MS-C08</t>
        </is>
      </c>
      <c r="G60" s="4" t="inlineStr">
        <is>
          <t>C08@20261028-6245ae04</t>
        </is>
      </c>
      <c r="H60" s="7" t="inlineStr">
        <is>
          <t>Approved</t>
        </is>
      </c>
      <c r="I60" s="7" t="n"/>
      <c r="J60" s="4" t="inlineStr">
        <is>
          <t>Source document text 1/1. Conditional applicability not yet encoded.</t>
        </is>
      </c>
    </row>
    <row r="61" ht="40" customHeight="1">
      <c r="A61" s="8" t="inlineStr">
        <is>
          <t>C08</t>
        </is>
      </c>
      <c r="B61" s="8" t="inlineStr">
        <is>
          <t>Market Development Assistance</t>
        </is>
      </c>
      <c r="C61" s="8" t="inlineStr">
        <is>
          <t>C08-P0046</t>
        </is>
      </c>
      <c r="D61" s="8" t="inlineStr">
        <is>
          <t>Dispatch and Stock Transfer Advice Serially Numbered and Signed by the Sales Manager.</t>
        </is>
      </c>
      <c r="E61" s="8" t="inlineStr"/>
      <c r="F61" s="8" t="inlineStr">
        <is>
          <t>MS-C08</t>
        </is>
      </c>
      <c r="G61" s="8" t="inlineStr">
        <is>
          <t>C08@20261028-6245ae04</t>
        </is>
      </c>
      <c r="H61" s="7" t="inlineStr">
        <is>
          <t>Approved</t>
        </is>
      </c>
      <c r="I61" s="7" t="n"/>
      <c r="J61" s="8" t="inlineStr">
        <is>
          <t>Source document text 1/1. Conditional applicability not yet encoded.</t>
        </is>
      </c>
    </row>
    <row r="62" ht="40" customHeight="1">
      <c r="A62" s="4" t="inlineStr">
        <is>
          <t>C08</t>
        </is>
      </c>
      <c r="B62" s="4" t="inlineStr">
        <is>
          <t>Market Development Assistance</t>
        </is>
      </c>
      <c r="C62" s="4" t="inlineStr">
        <is>
          <t>C08-P0047</t>
        </is>
      </c>
      <c r="D62" s="4" t="inlineStr">
        <is>
          <t>Dispatch Instructions Issued from Headquarters.</t>
        </is>
      </c>
      <c r="E62" s="4" t="inlineStr"/>
      <c r="F62" s="4" t="inlineStr">
        <is>
          <t>MS-C08</t>
        </is>
      </c>
      <c r="G62" s="4" t="inlineStr">
        <is>
          <t>C08@20261028-6245ae04</t>
        </is>
      </c>
      <c r="H62" s="7" t="inlineStr">
        <is>
          <t>Approved</t>
        </is>
      </c>
      <c r="I62" s="7" t="n"/>
      <c r="J62" s="4" t="inlineStr">
        <is>
          <t>Source document text 1/1. Conditional applicability not yet encoded.</t>
        </is>
      </c>
    </row>
    <row r="63" ht="40" customHeight="1">
      <c r="A63" s="8" t="inlineStr">
        <is>
          <t>C08</t>
        </is>
      </c>
      <c r="B63" s="8" t="inlineStr">
        <is>
          <t>Market Development Assistance</t>
        </is>
      </c>
      <c r="C63" s="8" t="inlineStr">
        <is>
          <t>C08-P0048</t>
        </is>
      </c>
      <c r="D63" s="8" t="inlineStr">
        <is>
          <t>Gate Passes Bearing Printed Serial Numbers.</t>
        </is>
      </c>
      <c r="E63" s="8" t="inlineStr"/>
      <c r="F63" s="8" t="inlineStr">
        <is>
          <t>MS-C08</t>
        </is>
      </c>
      <c r="G63" s="8" t="inlineStr">
        <is>
          <t>C08@20261028-6245ae04</t>
        </is>
      </c>
      <c r="H63" s="7" t="inlineStr">
        <is>
          <t>Approved</t>
        </is>
      </c>
      <c r="I63" s="7" t="n"/>
      <c r="J63" s="8" t="inlineStr">
        <is>
          <t>Source document text 1/1. Conditional applicability not yet encoded.</t>
        </is>
      </c>
    </row>
    <row r="64" ht="40" customHeight="1">
      <c r="A64" s="4" t="inlineStr">
        <is>
          <t>C08</t>
        </is>
      </c>
      <c r="B64" s="4" t="inlineStr">
        <is>
          <t>Market Development Assistance</t>
        </is>
      </c>
      <c r="C64" s="4" t="inlineStr">
        <is>
          <t>C08-P0049</t>
        </is>
      </c>
      <c r="D64" s="4" t="inlineStr">
        <is>
          <t>Register of Gate Passes Issued.</t>
        </is>
      </c>
      <c r="E64" s="4" t="inlineStr"/>
      <c r="F64" s="4" t="inlineStr">
        <is>
          <t>MS-C08</t>
        </is>
      </c>
      <c r="G64" s="4" t="inlineStr">
        <is>
          <t>C08@20261028-6245ae04</t>
        </is>
      </c>
      <c r="H64" s="7" t="inlineStr">
        <is>
          <t>Approved</t>
        </is>
      </c>
      <c r="I64" s="7" t="n"/>
      <c r="J64" s="4" t="inlineStr">
        <is>
          <t>Source document text 1/1. Conditional applicability not yet encoded.</t>
        </is>
      </c>
    </row>
    <row r="65" ht="40" customHeight="1">
      <c r="A65" s="8" t="inlineStr">
        <is>
          <t>C08</t>
        </is>
      </c>
      <c r="B65" s="8" t="inlineStr">
        <is>
          <t>Market Development Assistance</t>
        </is>
      </c>
      <c r="C65" s="8" t="inlineStr">
        <is>
          <t>C08-P0050</t>
        </is>
      </c>
      <c r="D65" s="8" t="inlineStr">
        <is>
          <t>Register of Dispatches.</t>
        </is>
      </c>
      <c r="E65" s="8" t="inlineStr"/>
      <c r="F65" s="8" t="inlineStr">
        <is>
          <t>MS-C08</t>
        </is>
      </c>
      <c r="G65" s="8" t="inlineStr">
        <is>
          <t>C08@20261028-6245ae04</t>
        </is>
      </c>
      <c r="H65" s="7" t="inlineStr">
        <is>
          <t>Approved</t>
        </is>
      </c>
      <c r="I65" s="7" t="n"/>
      <c r="J65" s="8" t="inlineStr">
        <is>
          <t>Source document text 1/1. Conditional applicability not yet encoded.</t>
        </is>
      </c>
    </row>
    <row r="66" ht="40" customHeight="1">
      <c r="A66" s="4" t="inlineStr">
        <is>
          <t>C08</t>
        </is>
      </c>
      <c r="B66" s="4" t="inlineStr">
        <is>
          <t>Market Development Assistance</t>
        </is>
      </c>
      <c r="C66" s="4" t="inlineStr">
        <is>
          <t>C08-P0051</t>
        </is>
      </c>
      <c r="D66" s="4" t="inlineStr">
        <is>
          <t>Sales Invoices Serially Numbered and Supported by Warehouse Delivery Notes.</t>
        </is>
      </c>
      <c r="E66" s="4" t="inlineStr"/>
      <c r="F66" s="4" t="inlineStr">
        <is>
          <t>MS-C08</t>
        </is>
      </c>
      <c r="G66" s="4" t="inlineStr">
        <is>
          <t>C08@20261028-6245ae04</t>
        </is>
      </c>
      <c r="H66" s="7" t="inlineStr">
        <is>
          <t>Approved</t>
        </is>
      </c>
      <c r="I66" s="7" t="n"/>
      <c r="J66" s="4" t="inlineStr">
        <is>
          <t>Source document text 1/1. Conditional applicability not yet encoded.</t>
        </is>
      </c>
    </row>
    <row r="67" ht="40" customHeight="1">
      <c r="A67" s="8" t="inlineStr">
        <is>
          <t>C08</t>
        </is>
      </c>
      <c r="B67" s="8" t="inlineStr">
        <is>
          <t>Market Development Assistance</t>
        </is>
      </c>
      <c r="C67" s="8" t="inlineStr">
        <is>
          <t>C08-P0052</t>
        </is>
      </c>
      <c r="D67" s="8" t="inlineStr">
        <is>
          <t>Sales Day Book.</t>
        </is>
      </c>
      <c r="E67" s="8" t="inlineStr"/>
      <c r="F67" s="8" t="inlineStr">
        <is>
          <t>MS-C08</t>
        </is>
      </c>
      <c r="G67" s="8" t="inlineStr">
        <is>
          <t>C08@20261028-6245ae04</t>
        </is>
      </c>
      <c r="H67" s="7" t="inlineStr">
        <is>
          <t>Approved</t>
        </is>
      </c>
      <c r="I67" s="7" t="n"/>
      <c r="J67" s="8" t="inlineStr">
        <is>
          <t>Source document text 1/1. Conditional applicability not yet encoded.</t>
        </is>
      </c>
    </row>
    <row r="68" ht="40" customHeight="1">
      <c r="A68" s="4" t="inlineStr">
        <is>
          <t>C08</t>
        </is>
      </c>
      <c r="B68" s="4" t="inlineStr">
        <is>
          <t>Market Development Assistance</t>
        </is>
      </c>
      <c r="C68" s="4" t="inlineStr">
        <is>
          <t>C08-P0053</t>
        </is>
      </c>
      <c r="D68" s="4" t="inlineStr">
        <is>
          <t>Delivery Challan Signed by the Receiver in Confirmation of Receipt.</t>
        </is>
      </c>
      <c r="E68" s="4" t="inlineStr"/>
      <c r="F68" s="4" t="inlineStr">
        <is>
          <t>MS-C08</t>
        </is>
      </c>
      <c r="G68" s="4" t="inlineStr">
        <is>
          <t>C08@20261028-6245ae04</t>
        </is>
      </c>
      <c r="H68" s="7" t="inlineStr">
        <is>
          <t>Approved</t>
        </is>
      </c>
      <c r="I68" s="7" t="n"/>
      <c r="J68" s="4" t="inlineStr">
        <is>
          <t>Source document text 1/1. Conditional applicability not yet encoded.</t>
        </is>
      </c>
    </row>
    <row r="69" ht="40" customHeight="1">
      <c r="A69" s="8" t="inlineStr">
        <is>
          <t>C08</t>
        </is>
      </c>
      <c r="B69" s="8" t="inlineStr">
        <is>
          <t>Market Development Assistance</t>
        </is>
      </c>
      <c r="C69" s="8" t="inlineStr">
        <is>
          <t>C08-P0054</t>
        </is>
      </c>
      <c r="D69" s="8" t="inlineStr">
        <is>
          <t>Stock Register of Raw Materials Purchased and Consumed.</t>
        </is>
      </c>
      <c r="E69" s="8" t="inlineStr"/>
      <c r="F69" s="8" t="inlineStr">
        <is>
          <t>MS-C08</t>
        </is>
      </c>
      <c r="G69" s="8" t="inlineStr">
        <is>
          <t>C08@20261028-6245ae04</t>
        </is>
      </c>
      <c r="H69" s="7" t="inlineStr">
        <is>
          <t>Approved</t>
        </is>
      </c>
      <c r="I69" s="7" t="n"/>
      <c r="J69" s="8" t="inlineStr">
        <is>
          <t>Source document text 1/1. Conditional applicability not yet encoded.</t>
        </is>
      </c>
    </row>
    <row r="70" ht="82" customHeight="1">
      <c r="A70" s="4" t="inlineStr">
        <is>
          <t>C09</t>
        </is>
      </c>
      <c r="B70" s="4" t="inlineStr">
        <is>
          <t>PRISM (Promoting Innovations in Individuals, Start-ups and MSMEs): Category-2: Fabrication of Working Model/Process Know-how/Testing &amp; Trial/Patenting/Technology Transfer</t>
        </is>
      </c>
      <c r="C70" s="4" t="inlineStr">
        <is>
          <t>C09-P0045</t>
        </is>
      </c>
      <c r="D70" s="4" t="inlineStr">
        <is>
          <t>Required During Application/Submission Stage</t>
        </is>
      </c>
      <c r="E70" s="4" t="inlineStr"/>
      <c r="F70" s="4" t="inlineStr">
        <is>
          <t>MS-C09</t>
        </is>
      </c>
      <c r="G70" s="4" t="inlineStr">
        <is>
          <t>C09@20261028-1e8f42c4</t>
        </is>
      </c>
      <c r="H70" s="7" t="inlineStr">
        <is>
          <t>Approved</t>
        </is>
      </c>
      <c r="I70" s="7" t="n"/>
      <c r="J70" s="4" t="inlineStr">
        <is>
          <t>Source document text 1/1. Conditional applicability not yet encoded.</t>
        </is>
      </c>
    </row>
    <row r="71" ht="82" customHeight="1">
      <c r="A71" s="8" t="inlineStr">
        <is>
          <t>C09</t>
        </is>
      </c>
      <c r="B71" s="8" t="inlineStr">
        <is>
          <t>PRISM (Promoting Innovations in Individuals, Start-ups and MSMEs): Category-2: Fabrication of Working Model/Process Know-how/Testing &amp; Trial/Patenting/Technology Transfer</t>
        </is>
      </c>
      <c r="C71" s="8" t="inlineStr">
        <is>
          <t>C09-P0046</t>
        </is>
      </c>
      <c r="D71" s="8" t="inlineStr">
        <is>
          <t>Proof Of Residence (Issued By Sub-Divisional Magistrate (SDM)/District Magistrate (DM) Or A Copy Of Ration Card Or Any Other Document Regarding Proof Of Residence).</t>
        </is>
      </c>
      <c r="E71" s="8" t="inlineStr"/>
      <c r="F71" s="8" t="inlineStr">
        <is>
          <t>MS-C09</t>
        </is>
      </c>
      <c r="G71" s="8" t="inlineStr">
        <is>
          <t>C09@20261028-1e8f42c4</t>
        </is>
      </c>
      <c r="H71" s="7" t="inlineStr">
        <is>
          <t>Approved</t>
        </is>
      </c>
      <c r="I71" s="7" t="n"/>
      <c r="J71" s="8" t="inlineStr">
        <is>
          <t>Source document text 1/1. Conditional applicability not yet encoded.</t>
        </is>
      </c>
    </row>
    <row r="72" ht="82" customHeight="1">
      <c r="A72" s="4" t="inlineStr">
        <is>
          <t>C09</t>
        </is>
      </c>
      <c r="B72" s="4" t="inlineStr">
        <is>
          <t>PRISM (Promoting Innovations in Individuals, Start-ups and MSMEs): Category-2: Fabrication of Working Model/Process Know-how/Testing &amp; Trial/Patenting/Technology Transfer</t>
        </is>
      </c>
      <c r="C72" s="4" t="inlineStr">
        <is>
          <t>C09-P0047</t>
        </is>
      </c>
      <c r="D72" s="4" t="inlineStr">
        <is>
          <t>Copy Of Aadhaar Card.</t>
        </is>
      </c>
      <c r="E72" s="4" t="inlineStr"/>
      <c r="F72" s="4" t="inlineStr">
        <is>
          <t>MS-C09</t>
        </is>
      </c>
      <c r="G72" s="4" t="inlineStr">
        <is>
          <t>C09@20261028-1e8f42c4</t>
        </is>
      </c>
      <c r="H72" s="7" t="inlineStr">
        <is>
          <t>Approved</t>
        </is>
      </c>
      <c r="I72" s="7" t="n"/>
      <c r="J72" s="4" t="inlineStr">
        <is>
          <t>Source document text 1/1. Conditional applicability not yet encoded.</t>
        </is>
      </c>
    </row>
    <row r="73" ht="82" customHeight="1">
      <c r="A73" s="8" t="inlineStr">
        <is>
          <t>C09</t>
        </is>
      </c>
      <c r="B73" s="8" t="inlineStr">
        <is>
          <t>PRISM (Promoting Innovations in Individuals, Start-ups and MSMEs): Category-2: Fabrication of Working Model/Process Know-how/Testing &amp; Trial/Patenting/Technology Transfer</t>
        </is>
      </c>
      <c r="C73" s="8" t="inlineStr">
        <is>
          <t>C09-P0048</t>
        </is>
      </c>
      <c r="D73" s="8" t="inlineStr">
        <is>
          <t>Documentary Proof Of Prior Work (Video, Photo, Press Coverage, etc.).</t>
        </is>
      </c>
      <c r="E73" s="8" t="inlineStr"/>
      <c r="F73" s="8" t="inlineStr">
        <is>
          <t>MS-C09</t>
        </is>
      </c>
      <c r="G73" s="8" t="inlineStr">
        <is>
          <t>C09@20261028-1e8f42c4</t>
        </is>
      </c>
      <c r="H73" s="7" t="inlineStr">
        <is>
          <t>Approved</t>
        </is>
      </c>
      <c r="I73" s="7" t="n"/>
      <c r="J73" s="8" t="inlineStr">
        <is>
          <t>Source document text 1/1. Conditional applicability not yet encoded.</t>
        </is>
      </c>
    </row>
    <row r="74" ht="82" customHeight="1">
      <c r="A74" s="4" t="inlineStr">
        <is>
          <t>C09</t>
        </is>
      </c>
      <c r="B74" s="4" t="inlineStr">
        <is>
          <t>PRISM (Promoting Innovations in Individuals, Start-ups and MSMEs): Category-2: Fabrication of Working Model/Process Know-how/Testing &amp; Trial/Patenting/Technology Transfer</t>
        </is>
      </c>
      <c r="C74" s="4" t="inlineStr">
        <is>
          <t>C09-P0049</t>
        </is>
      </c>
      <c r="D74" s="4" t="inlineStr">
        <is>
          <t>No Objection Certificate (From Head of Institute/Organization, on institution’s letterhead, for Students and Working Innovators).</t>
        </is>
      </c>
      <c r="E74" s="4" t="inlineStr"/>
      <c r="F74" s="4" t="inlineStr">
        <is>
          <t>MS-C09</t>
        </is>
      </c>
      <c r="G74" s="4" t="inlineStr">
        <is>
          <t>C09@20261028-1e8f42c4</t>
        </is>
      </c>
      <c r="H74" s="7" t="inlineStr">
        <is>
          <t>Approved</t>
        </is>
      </c>
      <c r="I74" s="7" t="n"/>
      <c r="J74" s="4" t="inlineStr">
        <is>
          <t>Source document text 1/1. Conditional applicability not yet encoded.</t>
        </is>
      </c>
    </row>
    <row r="75" ht="82" customHeight="1">
      <c r="A75" s="8" t="inlineStr">
        <is>
          <t>C09</t>
        </is>
      </c>
      <c r="B75" s="8" t="inlineStr">
        <is>
          <t>PRISM (Promoting Innovations in Individuals, Start-ups and MSMEs): Category-2: Fabrication of Working Model/Process Know-how/Testing &amp; Trial/Patenting/Technology Transfer</t>
        </is>
      </c>
      <c r="C75" s="8" t="inlineStr">
        <is>
          <t>C09-P0050</t>
        </is>
      </c>
      <c r="D75" s="8" t="inlineStr">
        <is>
          <t>Commitment Letter From Institution (Committing that the project will be taken to its logical conclusion by the student/concerned faculty, for Students).</t>
        </is>
      </c>
      <c r="E75" s="8" t="inlineStr"/>
      <c r="F75" s="8" t="inlineStr">
        <is>
          <t>MS-C09</t>
        </is>
      </c>
      <c r="G75" s="8" t="inlineStr">
        <is>
          <t>C09@20261028-1e8f42c4</t>
        </is>
      </c>
      <c r="H75" s="7" t="inlineStr">
        <is>
          <t>Approved</t>
        </is>
      </c>
      <c r="I75" s="7" t="n"/>
      <c r="J75" s="8" t="inlineStr">
        <is>
          <t>Source document text 1/1. Conditional applicability not yet encoded.</t>
        </is>
      </c>
    </row>
    <row r="76" ht="82" customHeight="1">
      <c r="A76" s="4" t="inlineStr">
        <is>
          <t>C09</t>
        </is>
      </c>
      <c r="B76" s="4" t="inlineStr">
        <is>
          <t>PRISM (Promoting Innovations in Individuals, Start-ups and MSMEs): Category-2: Fabrication of Working Model/Process Know-how/Testing &amp; Trial/Patenting/Technology Transfer</t>
        </is>
      </c>
      <c r="C76" s="4" t="inlineStr">
        <is>
          <t>C09-P0051</t>
        </is>
      </c>
      <c r="D76" s="4" t="inlineStr">
        <is>
          <t>Copy Of The Latest Income Tax Returns Filed (If Applicant Is An Income Tax Payer).</t>
        </is>
      </c>
      <c r="E76" s="4" t="inlineStr"/>
      <c r="F76" s="4" t="inlineStr">
        <is>
          <t>MS-C09</t>
        </is>
      </c>
      <c r="G76" s="4" t="inlineStr">
        <is>
          <t>C09@20261028-1e8f42c4</t>
        </is>
      </c>
      <c r="H76" s="7" t="inlineStr">
        <is>
          <t>Approved</t>
        </is>
      </c>
      <c r="I76" s="7" t="n"/>
      <c r="J76" s="4" t="inlineStr">
        <is>
          <t>Source document text 1/1. Conditional applicability not yet encoded.</t>
        </is>
      </c>
    </row>
    <row r="77" ht="82" customHeight="1">
      <c r="A77" s="8" t="inlineStr">
        <is>
          <t>C09</t>
        </is>
      </c>
      <c r="B77" s="8" t="inlineStr">
        <is>
          <t>PRISM (Promoting Innovations in Individuals, Start-ups and MSMEs): Category-2: Fabrication of Working Model/Process Know-how/Testing &amp; Trial/Patenting/Technology Transfer</t>
        </is>
      </c>
      <c r="C77" s="8" t="inlineStr">
        <is>
          <t>C09-P0052</t>
        </is>
      </c>
      <c r="D77" s="8" t="inlineStr">
        <is>
          <t>List Of Equipment/Instruments, Etc. With Their Respective Costs In A Separate Annexure (Required if an essential equipment purchase is proposed).</t>
        </is>
      </c>
      <c r="E77" s="8" t="inlineStr"/>
      <c r="F77" s="8" t="inlineStr">
        <is>
          <t>MS-C09</t>
        </is>
      </c>
      <c r="G77" s="8" t="inlineStr">
        <is>
          <t>C09@20261028-1e8f42c4</t>
        </is>
      </c>
      <c r="H77" s="7" t="inlineStr">
        <is>
          <t>Approved</t>
        </is>
      </c>
      <c r="I77" s="7" t="n"/>
      <c r="J77" s="8" t="inlineStr">
        <is>
          <t>Source document text 1/1. Conditional applicability not yet encoded.</t>
        </is>
      </c>
    </row>
    <row r="78" ht="82" customHeight="1">
      <c r="A78" s="4" t="inlineStr">
        <is>
          <t>C09</t>
        </is>
      </c>
      <c r="B78" s="4" t="inlineStr">
        <is>
          <t>PRISM (Promoting Innovations in Individuals, Start-ups and MSMEs): Category-2: Fabrication of Working Model/Process Know-how/Testing &amp; Trial/Patenting/Technology Transfer</t>
        </is>
      </c>
      <c r="C78" s="4" t="inlineStr">
        <is>
          <t>C09-P0053</t>
        </is>
      </c>
      <c r="D78" s="4" t="inlineStr">
        <is>
          <t>Details Of Work Done On Innovation So Far (Including Literature Survey/Patent Search, Development Work Done, etc.).</t>
        </is>
      </c>
      <c r="E78" s="4" t="inlineStr"/>
      <c r="F78" s="4" t="inlineStr">
        <is>
          <t>MS-C09</t>
        </is>
      </c>
      <c r="G78" s="4" t="inlineStr">
        <is>
          <t>C09@20261028-1e8f42c4</t>
        </is>
      </c>
      <c r="H78" s="7" t="inlineStr">
        <is>
          <t>Approved</t>
        </is>
      </c>
      <c r="I78" s="7" t="n"/>
      <c r="J78" s="4" t="inlineStr">
        <is>
          <t>Source document text 1/1. Conditional applicability not yet encoded.</t>
        </is>
      </c>
    </row>
    <row r="79" ht="82" customHeight="1">
      <c r="A79" s="8" t="inlineStr">
        <is>
          <t>C09</t>
        </is>
      </c>
      <c r="B79" s="8" t="inlineStr">
        <is>
          <t>PRISM (Promoting Innovations in Individuals, Start-ups and MSMEs): Category-2: Fabrication of Working Model/Process Know-how/Testing &amp; Trial/Patenting/Technology Transfer</t>
        </is>
      </c>
      <c r="C79" s="8" t="inlineStr">
        <is>
          <t>C09-P0054</t>
        </is>
      </c>
      <c r="D79" s="8" t="inlineStr">
        <is>
          <t>Brief Write-Up Giving Broad Details Of The Original Idea/Invention/Intellectual Property Rights/Know How Available.</t>
        </is>
      </c>
      <c r="E79" s="8" t="inlineStr"/>
      <c r="F79" s="8" t="inlineStr">
        <is>
          <t>MS-C09</t>
        </is>
      </c>
      <c r="G79" s="8" t="inlineStr">
        <is>
          <t>C09@20261028-1e8f42c4</t>
        </is>
      </c>
      <c r="H79" s="7" t="inlineStr">
        <is>
          <t>Approved</t>
        </is>
      </c>
      <c r="I79" s="7" t="n"/>
      <c r="J79" s="8" t="inlineStr">
        <is>
          <t>Source document text 1/1. Conditional applicability not yet encoded.</t>
        </is>
      </c>
    </row>
    <row r="80" ht="82" customHeight="1">
      <c r="A80" s="4" t="inlineStr">
        <is>
          <t>C09</t>
        </is>
      </c>
      <c r="B80" s="4" t="inlineStr">
        <is>
          <t>PRISM (Promoting Innovations in Individuals, Start-ups and MSMEs): Category-2: Fabrication of Working Model/Process Know-how/Testing &amp; Trial/Patenting/Technology Transfer</t>
        </is>
      </c>
      <c r="C80" s="4" t="inlineStr">
        <is>
          <t>C09-P0055</t>
        </is>
      </c>
      <c r="D80" s="4" t="inlineStr">
        <is>
          <t>Proposed Costs And Time Frame For The Project (Including Justification For Cost Estimation).</t>
        </is>
      </c>
      <c r="E80" s="4" t="inlineStr"/>
      <c r="F80" s="4" t="inlineStr">
        <is>
          <t>MS-C09</t>
        </is>
      </c>
      <c r="G80" s="4" t="inlineStr">
        <is>
          <t>C09@20261028-1e8f42c4</t>
        </is>
      </c>
      <c r="H80" s="7" t="inlineStr">
        <is>
          <t>Approved</t>
        </is>
      </c>
      <c r="I80" s="7" t="n"/>
      <c r="J80" s="4" t="inlineStr">
        <is>
          <t>Source document text 1/1. Conditional applicability not yet encoded.</t>
        </is>
      </c>
    </row>
    <row r="81" ht="82" customHeight="1">
      <c r="A81" s="8" t="inlineStr">
        <is>
          <t>C09</t>
        </is>
      </c>
      <c r="B81" s="8" t="inlineStr">
        <is>
          <t>PRISM (Promoting Innovations in Individuals, Start-ups and MSMEs): Category-2: Fabrication of Working Model/Process Know-how/Testing &amp; Trial/Patenting/Technology Transfer</t>
        </is>
      </c>
      <c r="C81" s="8" t="inlineStr">
        <is>
          <t>C09-P0056</t>
        </is>
      </c>
      <c r="D81" s="8" t="inlineStr">
        <is>
          <t>Activity Details/Work Plan With Monitorable Milestones.</t>
        </is>
      </c>
      <c r="E81" s="8" t="inlineStr"/>
      <c r="F81" s="8" t="inlineStr">
        <is>
          <t>MS-C09</t>
        </is>
      </c>
      <c r="G81" s="8" t="inlineStr">
        <is>
          <t>C09@20261028-1e8f42c4</t>
        </is>
      </c>
      <c r="H81" s="7" t="inlineStr">
        <is>
          <t>Approved</t>
        </is>
      </c>
      <c r="I81" s="7" t="n"/>
      <c r="J81" s="8" t="inlineStr">
        <is>
          <t>Source document text 1/1. Conditional applicability not yet encoded.</t>
        </is>
      </c>
    </row>
    <row r="82" ht="82" customHeight="1">
      <c r="A82" s="4" t="inlineStr">
        <is>
          <t>C09</t>
        </is>
      </c>
      <c r="B82" s="4" t="inlineStr">
        <is>
          <t>PRISM (Promoting Innovations in Individuals, Start-ups and MSMEs): Category-2: Fabrication of Working Model/Process Know-how/Testing &amp; Trial/Patenting/Technology Transfer</t>
        </is>
      </c>
      <c r="C82" s="4" t="inlineStr">
        <is>
          <t>C09-P0057</t>
        </is>
      </c>
      <c r="D82" s="4" t="inlineStr">
        <is>
          <t>Details Of End Product/Process/Output (Including Targeted Specifications, Performance Requirements/Standards).</t>
        </is>
      </c>
      <c r="E82" s="4" t="inlineStr"/>
      <c r="F82" s="4" t="inlineStr">
        <is>
          <t>MS-C09</t>
        </is>
      </c>
      <c r="G82" s="4" t="inlineStr">
        <is>
          <t>C09@20261028-1e8f42c4</t>
        </is>
      </c>
      <c r="H82" s="7" t="inlineStr">
        <is>
          <t>Approved</t>
        </is>
      </c>
      <c r="I82" s="7" t="n"/>
      <c r="J82" s="4" t="inlineStr">
        <is>
          <t>Source document text 1/1. Conditional applicability not yet encoded.</t>
        </is>
      </c>
    </row>
    <row r="83" ht="82" customHeight="1">
      <c r="A83" s="8" t="inlineStr">
        <is>
          <t>C09</t>
        </is>
      </c>
      <c r="B83" s="8" t="inlineStr">
        <is>
          <t>PRISM (Promoting Innovations in Individuals, Start-ups and MSMEs): Category-2: Fabrication of Working Model/Process Know-how/Testing &amp; Trial/Patenting/Technology Transfer</t>
        </is>
      </c>
      <c r="C83" s="8" t="inlineStr">
        <is>
          <t>C09-P0058</t>
        </is>
      </c>
      <c r="D83" s="8" t="inlineStr">
        <is>
          <t>Referees (Two Numbers With Complete Address, Phone Number And E-Mail Identification).</t>
        </is>
      </c>
      <c r="E83" s="8" t="inlineStr"/>
      <c r="F83" s="8" t="inlineStr">
        <is>
          <t>MS-C09</t>
        </is>
      </c>
      <c r="G83" s="8" t="inlineStr">
        <is>
          <t>C09@20261028-1e8f42c4</t>
        </is>
      </c>
      <c r="H83" s="7" t="inlineStr">
        <is>
          <t>Approved</t>
        </is>
      </c>
      <c r="I83" s="7" t="n"/>
      <c r="J83" s="8" t="inlineStr">
        <is>
          <t>Source document text 1/1. Conditional applicability not yet encoded.</t>
        </is>
      </c>
    </row>
    <row r="84" ht="82" customHeight="1">
      <c r="A84" s="4" t="inlineStr">
        <is>
          <t>C09</t>
        </is>
      </c>
      <c r="B84" s="4" t="inlineStr">
        <is>
          <t>PRISM (Promoting Innovations in Individuals, Start-ups and MSMEs): Category-2: Fabrication of Working Model/Process Know-how/Testing &amp; Trial/Patenting/Technology Transfer</t>
        </is>
      </c>
      <c r="C84" s="4" t="inlineStr">
        <is>
          <t>C09-P0059</t>
        </is>
      </c>
      <c r="D84" s="4" t="inlineStr">
        <is>
          <t>Required Prior To Grants-in-aid Release</t>
        </is>
      </c>
      <c r="E84" s="4" t="inlineStr"/>
      <c r="F84" s="4" t="inlineStr">
        <is>
          <t>MS-C09</t>
        </is>
      </c>
      <c r="G84" s="4" t="inlineStr">
        <is>
          <t>C09@20261028-1e8f42c4</t>
        </is>
      </c>
      <c r="H84" s="7" t="inlineStr">
        <is>
          <t>Approved</t>
        </is>
      </c>
      <c r="I84" s="7" t="n"/>
      <c r="J84" s="4" t="inlineStr">
        <is>
          <t>Source document text 1/1. Conditional applicability not yet encoded.</t>
        </is>
      </c>
    </row>
    <row r="85" ht="82" customHeight="1">
      <c r="A85" s="8" t="inlineStr">
        <is>
          <t>C09</t>
        </is>
      </c>
      <c r="B85" s="8" t="inlineStr">
        <is>
          <t>PRISM (Promoting Innovations in Individuals, Start-ups and MSMEs): Category-2: Fabrication of Working Model/Process Know-how/Testing &amp; Trial/Patenting/Technology Transfer</t>
        </is>
      </c>
      <c r="C85" s="8" t="inlineStr">
        <is>
          <t>C09-P0060</t>
        </is>
      </c>
      <c r="D85" s="8" t="inlineStr">
        <is>
          <t>Signed "Terms &amp; Conditions" Document.</t>
        </is>
      </c>
      <c r="E85" s="8" t="inlineStr"/>
      <c r="F85" s="8" t="inlineStr">
        <is>
          <t>MS-C09</t>
        </is>
      </c>
      <c r="G85" s="8" t="inlineStr">
        <is>
          <t>C09@20261028-1e8f42c4</t>
        </is>
      </c>
      <c r="H85" s="7" t="inlineStr">
        <is>
          <t>Approved</t>
        </is>
      </c>
      <c r="I85" s="7" t="n"/>
      <c r="J85" s="8" t="inlineStr">
        <is>
          <t>Source document text 1/1. Conditional applicability not yet encoded.</t>
        </is>
      </c>
    </row>
    <row r="86" ht="82" customHeight="1">
      <c r="A86" s="4" t="inlineStr">
        <is>
          <t>C09</t>
        </is>
      </c>
      <c r="B86" s="4" t="inlineStr">
        <is>
          <t>PRISM (Promoting Innovations in Individuals, Start-ups and MSMEs): Category-2: Fabrication of Working Model/Process Know-how/Testing &amp; Trial/Patenting/Technology Transfer</t>
        </is>
      </c>
      <c r="C86" s="4" t="inlineStr">
        <is>
          <t>C09-P0061</t>
        </is>
      </c>
      <c r="D86" s="4" t="inlineStr">
        <is>
          <t>Required At Project Closure</t>
        </is>
      </c>
      <c r="E86" s="4" t="inlineStr"/>
      <c r="F86" s="4" t="inlineStr">
        <is>
          <t>MS-C09</t>
        </is>
      </c>
      <c r="G86" s="4" t="inlineStr">
        <is>
          <t>C09@20261028-1e8f42c4</t>
        </is>
      </c>
      <c r="H86" s="7" t="inlineStr">
        <is>
          <t>Approved</t>
        </is>
      </c>
      <c r="I86" s="7" t="n"/>
      <c r="J86" s="4" t="inlineStr">
        <is>
          <t>Source document text 1/1. Conditional applicability not yet encoded.</t>
        </is>
      </c>
    </row>
    <row r="87" ht="82" customHeight="1">
      <c r="A87" s="8" t="inlineStr">
        <is>
          <t>C09</t>
        </is>
      </c>
      <c r="B87" s="8" t="inlineStr">
        <is>
          <t>PRISM (Promoting Innovations in Individuals, Start-ups and MSMEs): Category-2: Fabrication of Working Model/Process Know-how/Testing &amp; Trial/Patenting/Technology Transfer</t>
        </is>
      </c>
      <c r="C87" s="8" t="inlineStr">
        <is>
          <t>C09-P0062</t>
        </is>
      </c>
      <c r="D87" s="8" t="inlineStr">
        <is>
          <t>Project Completion Report.</t>
        </is>
      </c>
      <c r="E87" s="8" t="inlineStr"/>
      <c r="F87" s="8" t="inlineStr">
        <is>
          <t>MS-C09</t>
        </is>
      </c>
      <c r="G87" s="8" t="inlineStr">
        <is>
          <t>C09@20261028-1e8f42c4</t>
        </is>
      </c>
      <c r="H87" s="7" t="inlineStr">
        <is>
          <t>Approved</t>
        </is>
      </c>
      <c r="I87" s="7" t="n"/>
      <c r="J87" s="8" t="inlineStr">
        <is>
          <t>Source document text 1/1. Conditional applicability not yet encoded.</t>
        </is>
      </c>
    </row>
    <row r="88" ht="40" customHeight="1">
      <c r="A88" s="4" t="inlineStr">
        <is>
          <t>C10</t>
        </is>
      </c>
      <c r="B88" s="4" t="inlineStr">
        <is>
          <t>Khadi Gramodyog Vikas Yojana: Khadi Vikas Yojana</t>
        </is>
      </c>
      <c r="C88" s="4" t="inlineStr">
        <is>
          <t>C10-P0025</t>
        </is>
      </c>
      <c r="D88" s="4" t="inlineStr">
        <is>
          <t>Aadhaar Card or other government-issued identity proof</t>
        </is>
      </c>
      <c r="E88" s="4" t="inlineStr"/>
      <c r="F88" s="4" t="inlineStr">
        <is>
          <t>MS-C10</t>
        </is>
      </c>
      <c r="G88" s="4" t="inlineStr">
        <is>
          <t>C10@20261028-8176375d</t>
        </is>
      </c>
      <c r="H88" s="7" t="inlineStr">
        <is>
          <t>Approved</t>
        </is>
      </c>
      <c r="I88" s="7" t="n"/>
      <c r="J88" s="4" t="inlineStr">
        <is>
          <t>Source document text 1/1. Conditional applicability not yet encoded.</t>
        </is>
      </c>
    </row>
    <row r="89" ht="40" customHeight="1">
      <c r="A89" s="8" t="inlineStr">
        <is>
          <t>C10</t>
        </is>
      </c>
      <c r="B89" s="8" t="inlineStr">
        <is>
          <t>Khadi Gramodyog Vikas Yojana: Khadi Vikas Yojana</t>
        </is>
      </c>
      <c r="C89" s="8" t="inlineStr">
        <is>
          <t>C10-P0026</t>
        </is>
      </c>
      <c r="D89" s="8" t="inlineStr">
        <is>
          <t>Age proof document</t>
        </is>
      </c>
      <c r="E89" s="8" t="inlineStr"/>
      <c r="F89" s="8" t="inlineStr">
        <is>
          <t>MS-C10</t>
        </is>
      </c>
      <c r="G89" s="8" t="inlineStr">
        <is>
          <t>C10@20261028-8176375d</t>
        </is>
      </c>
      <c r="H89" s="7" t="inlineStr">
        <is>
          <t>Approved</t>
        </is>
      </c>
      <c r="I89" s="7" t="n"/>
      <c r="J89" s="8" t="inlineStr">
        <is>
          <t>Source document text 1/1. Conditional applicability not yet encoded.</t>
        </is>
      </c>
    </row>
    <row r="90" ht="40" customHeight="1">
      <c r="A90" s="4" t="inlineStr">
        <is>
          <t>C10</t>
        </is>
      </c>
      <c r="B90" s="4" t="inlineStr">
        <is>
          <t>Khadi Gramodyog Vikas Yojana: Khadi Vikas Yojana</t>
        </is>
      </c>
      <c r="C90" s="4" t="inlineStr">
        <is>
          <t>C10-P0027</t>
        </is>
      </c>
      <c r="D90" s="4" t="inlineStr">
        <is>
          <t>Khadi artisan card or Khadi Institution registration certificate</t>
        </is>
      </c>
      <c r="E90" s="4" t="inlineStr"/>
      <c r="F90" s="4" t="inlineStr">
        <is>
          <t>MS-C10</t>
        </is>
      </c>
      <c r="G90" s="4" t="inlineStr">
        <is>
          <t>C10@20261028-8176375d</t>
        </is>
      </c>
      <c r="H90" s="7" t="inlineStr">
        <is>
          <t>Approved</t>
        </is>
      </c>
      <c r="I90" s="7" t="n"/>
      <c r="J90" s="4" t="inlineStr">
        <is>
          <t>Source document text 1/1. Conditional applicability not yet encoded.</t>
        </is>
      </c>
    </row>
    <row r="91" ht="40" customHeight="1">
      <c r="A91" s="8" t="inlineStr">
        <is>
          <t>C10</t>
        </is>
      </c>
      <c r="B91" s="8" t="inlineStr">
        <is>
          <t>Khadi Gramodyog Vikas Yojana: Khadi Vikas Yojana</t>
        </is>
      </c>
      <c r="C91" s="8" t="inlineStr">
        <is>
          <t>C10-P0028</t>
        </is>
      </c>
      <c r="D91" s="8" t="inlineStr">
        <is>
          <t>Bank account details</t>
        </is>
      </c>
      <c r="E91" s="8" t="inlineStr"/>
      <c r="F91" s="8" t="inlineStr">
        <is>
          <t>MS-C10</t>
        </is>
      </c>
      <c r="G91" s="8" t="inlineStr">
        <is>
          <t>C10@20261028-8176375d</t>
        </is>
      </c>
      <c r="H91" s="7" t="inlineStr">
        <is>
          <t>Approved</t>
        </is>
      </c>
      <c r="I91" s="7" t="n"/>
      <c r="J91" s="8" t="inlineStr">
        <is>
          <t>Source document text 1/1. Conditional applicability not yet encoded.</t>
        </is>
      </c>
    </row>
    <row r="92" ht="40" customHeight="1">
      <c r="A92" s="4" t="inlineStr">
        <is>
          <t>C10</t>
        </is>
      </c>
      <c r="B92" s="4" t="inlineStr">
        <is>
          <t>Khadi Gramodyog Vikas Yojana: Khadi Vikas Yojana</t>
        </is>
      </c>
      <c r="C92" s="4" t="inlineStr">
        <is>
          <t>C10-P0029</t>
        </is>
      </c>
      <c r="D92" s="4" t="inlineStr">
        <is>
          <t>Caste certificate (if applicable)</t>
        </is>
      </c>
      <c r="E92" s="4" t="inlineStr"/>
      <c r="F92" s="4" t="inlineStr">
        <is>
          <t>MS-C10</t>
        </is>
      </c>
      <c r="G92" s="4" t="inlineStr">
        <is>
          <t>C10@20261028-8176375d</t>
        </is>
      </c>
      <c r="H92" s="7" t="inlineStr">
        <is>
          <t>Approved</t>
        </is>
      </c>
      <c r="I92" s="7" t="n"/>
      <c r="J92" s="4" t="inlineStr">
        <is>
          <t>Source document text 1/1. Conditional applicability not yet encoded.</t>
        </is>
      </c>
    </row>
    <row r="93" ht="40" customHeight="1">
      <c r="A93" s="8" t="inlineStr">
        <is>
          <t>C10</t>
        </is>
      </c>
      <c r="B93" s="8" t="inlineStr">
        <is>
          <t>Khadi Gramodyog Vikas Yojana: Khadi Vikas Yojana</t>
        </is>
      </c>
      <c r="C93" s="8" t="inlineStr">
        <is>
          <t>C10-P0030</t>
        </is>
      </c>
      <c r="D93" s="8" t="inlineStr">
        <is>
          <t>BPL certificate (if applicable)</t>
        </is>
      </c>
      <c r="E93" s="8" t="inlineStr"/>
      <c r="F93" s="8" t="inlineStr">
        <is>
          <t>MS-C10</t>
        </is>
      </c>
      <c r="G93" s="8" t="inlineStr">
        <is>
          <t>C10@20261028-8176375d</t>
        </is>
      </c>
      <c r="H93" s="7" t="inlineStr">
        <is>
          <t>Approved</t>
        </is>
      </c>
      <c r="I93" s="7" t="n"/>
      <c r="J93" s="8" t="inlineStr">
        <is>
          <t>Source document text 1/1. Conditional applicability not yet encoded.</t>
        </is>
      </c>
    </row>
    <row r="94" ht="40" customHeight="1">
      <c r="A94" s="4" t="inlineStr">
        <is>
          <t>C10</t>
        </is>
      </c>
      <c r="B94" s="4" t="inlineStr">
        <is>
          <t>Khadi Gramodyog Vikas Yojana: Khadi Vikas Yojana</t>
        </is>
      </c>
      <c r="C94" s="4" t="inlineStr">
        <is>
          <t>C10-P0031</t>
        </is>
      </c>
      <c r="D94" s="4" t="inlineStr">
        <is>
          <t>Project proposal or work-shed details (if required)</t>
        </is>
      </c>
      <c r="E94" s="4" t="inlineStr"/>
      <c r="F94" s="4" t="inlineStr">
        <is>
          <t>MS-C10</t>
        </is>
      </c>
      <c r="G94" s="4" t="inlineStr">
        <is>
          <t>C10@20261028-8176375d</t>
        </is>
      </c>
      <c r="H94" s="7" t="inlineStr">
        <is>
          <t>Approved</t>
        </is>
      </c>
      <c r="I94" s="7" t="n"/>
      <c r="J94" s="4" t="inlineStr">
        <is>
          <t>Source document text 1/1. Conditional applicability not yet encoded.</t>
        </is>
      </c>
    </row>
    <row r="95" ht="54" customHeight="1">
      <c r="A95" s="8" t="inlineStr">
        <is>
          <t>C11</t>
        </is>
      </c>
      <c r="B95" s="8" t="inlineStr">
        <is>
          <t>Stand-Up India</t>
        </is>
      </c>
      <c r="C95" s="8" t="inlineStr">
        <is>
          <t>C11-P0008</t>
        </is>
      </c>
      <c r="D95" s="8" t="inlineStr">
        <is>
          <t>Proof of Identity: Voter’s ID Card / Passport / Driving License / PAN Card / Signature identification from present bankers of proprietor, partner of director ( if a company)</t>
        </is>
      </c>
      <c r="E95" s="8" t="inlineStr"/>
      <c r="F95" s="8" t="inlineStr">
        <is>
          <t>MS-C11</t>
        </is>
      </c>
      <c r="G95" s="8" t="inlineStr">
        <is>
          <t>C11@20261028-90bd4c3e</t>
        </is>
      </c>
      <c r="H95" s="7" t="inlineStr">
        <is>
          <t>Approved</t>
        </is>
      </c>
      <c r="I95" s="7" t="n"/>
      <c r="J95" s="8" t="inlineStr">
        <is>
          <t>Source document text 1/1. Conditional applicability not yet encoded.</t>
        </is>
      </c>
    </row>
    <row r="96" ht="40" customHeight="1">
      <c r="A96" s="4" t="inlineStr">
        <is>
          <t>C11</t>
        </is>
      </c>
      <c r="B96" s="4" t="inlineStr">
        <is>
          <t>Stand-Up India</t>
        </is>
      </c>
      <c r="C96" s="4" t="inlineStr">
        <is>
          <t>C11-P0009</t>
        </is>
      </c>
      <c r="D96" s="4" t="inlineStr">
        <is>
          <t>Proof of Residence: Recent telephone bills, electricity bill, property tax receipt /Passport / voter’s ID Card of Proprietor, partner of Director (if a company)</t>
        </is>
      </c>
      <c r="E96" s="4" t="inlineStr"/>
      <c r="F96" s="4" t="inlineStr">
        <is>
          <t>MS-C11</t>
        </is>
      </c>
      <c r="G96" s="4" t="inlineStr">
        <is>
          <t>C11@20261028-90bd4c3e</t>
        </is>
      </c>
      <c r="H96" s="7" t="inlineStr">
        <is>
          <t>Approved</t>
        </is>
      </c>
      <c r="I96" s="7" t="n"/>
      <c r="J96" s="4" t="inlineStr">
        <is>
          <t>Source document text 1/1. Conditional applicability not yet encoded.</t>
        </is>
      </c>
    </row>
    <row r="97" ht="40" customHeight="1">
      <c r="A97" s="8" t="inlineStr">
        <is>
          <t>C11</t>
        </is>
      </c>
      <c r="B97" s="8" t="inlineStr">
        <is>
          <t>Stand-Up India</t>
        </is>
      </c>
      <c r="C97" s="8" t="inlineStr">
        <is>
          <t>C11-P0010</t>
        </is>
      </c>
      <c r="D97" s="8" t="inlineStr">
        <is>
          <t>Proof of Business Address</t>
        </is>
      </c>
      <c r="E97" s="8" t="inlineStr"/>
      <c r="F97" s="8" t="inlineStr">
        <is>
          <t>MS-C11</t>
        </is>
      </c>
      <c r="G97" s="8" t="inlineStr">
        <is>
          <t>C11@20261028-90bd4c3e</t>
        </is>
      </c>
      <c r="H97" s="7" t="inlineStr">
        <is>
          <t>Approved</t>
        </is>
      </c>
      <c r="I97" s="7" t="n"/>
      <c r="J97" s="8" t="inlineStr">
        <is>
          <t>Source document text 1/1. Conditional applicability not yet encoded.</t>
        </is>
      </c>
    </row>
    <row r="98" ht="40" customHeight="1">
      <c r="A98" s="4" t="inlineStr">
        <is>
          <t>C11</t>
        </is>
      </c>
      <c r="B98" s="4" t="inlineStr">
        <is>
          <t>Stand-Up India</t>
        </is>
      </c>
      <c r="C98" s="4" t="inlineStr">
        <is>
          <t>C11-P0011</t>
        </is>
      </c>
      <c r="D98" s="4" t="inlineStr">
        <is>
          <t>Proof that the applicant is not a defaulter in any Bank / Financial Institution</t>
        </is>
      </c>
      <c r="E98" s="4" t="inlineStr"/>
      <c r="F98" s="4" t="inlineStr">
        <is>
          <t>MS-C11</t>
        </is>
      </c>
      <c r="G98" s="4" t="inlineStr">
        <is>
          <t>C11@20261028-90bd4c3e</t>
        </is>
      </c>
      <c r="H98" s="7" t="inlineStr">
        <is>
          <t>Approved</t>
        </is>
      </c>
      <c r="I98" s="7" t="n"/>
      <c r="J98" s="4" t="inlineStr">
        <is>
          <t>Source document text 1/1. Conditional applicability not yet encoded.</t>
        </is>
      </c>
    </row>
    <row r="99" ht="40" customHeight="1">
      <c r="A99" s="8" t="inlineStr">
        <is>
          <t>C11</t>
        </is>
      </c>
      <c r="B99" s="8" t="inlineStr">
        <is>
          <t>Stand-Up India</t>
        </is>
      </c>
      <c r="C99" s="8" t="inlineStr">
        <is>
          <t>C11-P0012</t>
        </is>
      </c>
      <c r="D99" s="8" t="inlineStr">
        <is>
          <t>Memorandum and articles of association of the Company / Partnership Deed of partners etc.</t>
        </is>
      </c>
      <c r="E99" s="8" t="inlineStr"/>
      <c r="F99" s="8" t="inlineStr">
        <is>
          <t>MS-C11</t>
        </is>
      </c>
      <c r="G99" s="8" t="inlineStr">
        <is>
          <t>C11@20261028-90bd4c3e</t>
        </is>
      </c>
      <c r="H99" s="7" t="inlineStr">
        <is>
          <t>Approved</t>
        </is>
      </c>
      <c r="I99" s="7" t="n"/>
      <c r="J99" s="8" t="inlineStr">
        <is>
          <t>Source document text 1/1. Conditional applicability not yet encoded.</t>
        </is>
      </c>
    </row>
    <row r="100" ht="40" customHeight="1">
      <c r="A100" s="4" t="inlineStr">
        <is>
          <t>C11</t>
        </is>
      </c>
      <c r="B100" s="4" t="inlineStr">
        <is>
          <t>Stand-Up India</t>
        </is>
      </c>
      <c r="C100" s="4" t="inlineStr">
        <is>
          <t>C11-P0013</t>
        </is>
      </c>
      <c r="D100" s="4" t="inlineStr">
        <is>
          <t>Assets and liabilities statement of promoters and guarantors along with latest income tax returns.</t>
        </is>
      </c>
      <c r="E100" s="4" t="inlineStr"/>
      <c r="F100" s="4" t="inlineStr">
        <is>
          <t>MS-C11</t>
        </is>
      </c>
      <c r="G100" s="4" t="inlineStr">
        <is>
          <t>C11@20261028-90bd4c3e</t>
        </is>
      </c>
      <c r="H100" s="7" t="inlineStr">
        <is>
          <t>Approved</t>
        </is>
      </c>
      <c r="I100" s="7" t="n"/>
      <c r="J100" s="4" t="inlineStr">
        <is>
          <t>Source document text 1/1. Conditional applicability not yet encoded.</t>
        </is>
      </c>
    </row>
    <row r="101" ht="40" customHeight="1">
      <c r="A101" s="8" t="inlineStr">
        <is>
          <t>C11</t>
        </is>
      </c>
      <c r="B101" s="8" t="inlineStr">
        <is>
          <t>Stand-Up India</t>
        </is>
      </c>
      <c r="C101" s="8" t="inlineStr">
        <is>
          <t>C11-P0014</t>
        </is>
      </c>
      <c r="D101" s="8" t="inlineStr">
        <is>
          <t>Rent Agreement (if business premises on rent) and clearance from pollution control board if applicable.</t>
        </is>
      </c>
      <c r="E101" s="8" t="inlineStr"/>
      <c r="F101" s="8" t="inlineStr">
        <is>
          <t>MS-C11</t>
        </is>
      </c>
      <c r="G101" s="8" t="inlineStr">
        <is>
          <t>C11@20261028-90bd4c3e</t>
        </is>
      </c>
      <c r="H101" s="7" t="inlineStr">
        <is>
          <t>Approved</t>
        </is>
      </c>
      <c r="I101" s="7" t="n"/>
      <c r="J101" s="8" t="inlineStr">
        <is>
          <t>Source document text 1/1. Conditional applicability not yet encoded.</t>
        </is>
      </c>
    </row>
    <row r="102" ht="40" customHeight="1">
      <c r="A102" s="4" t="inlineStr">
        <is>
          <t>C11</t>
        </is>
      </c>
      <c r="B102" s="4" t="inlineStr">
        <is>
          <t>Stand-Up India</t>
        </is>
      </c>
      <c r="C102" s="4" t="inlineStr">
        <is>
          <t>C11-P0015</t>
        </is>
      </c>
      <c r="D102" s="4" t="inlineStr">
        <is>
          <t>SSI / MSME registration (if applicable)</t>
        </is>
      </c>
      <c r="E102" s="4" t="inlineStr"/>
      <c r="F102" s="4" t="inlineStr">
        <is>
          <t>MS-C11</t>
        </is>
      </c>
      <c r="G102" s="4" t="inlineStr">
        <is>
          <t>C11@20261028-90bd4c3e</t>
        </is>
      </c>
      <c r="H102" s="7" t="inlineStr">
        <is>
          <t>Approved</t>
        </is>
      </c>
      <c r="I102" s="7" t="n"/>
      <c r="J102" s="4" t="inlineStr">
        <is>
          <t>Source document text 1/1. Conditional applicability not yet encoded.</t>
        </is>
      </c>
    </row>
    <row r="103" ht="40" customHeight="1">
      <c r="A103" s="8" t="inlineStr">
        <is>
          <t>C11</t>
        </is>
      </c>
      <c r="B103" s="8" t="inlineStr">
        <is>
          <t>Stand-Up India</t>
        </is>
      </c>
      <c r="C103" s="8" t="inlineStr">
        <is>
          <t>C11-P0016</t>
        </is>
      </c>
      <c r="D103" s="8" t="inlineStr">
        <is>
          <t>Projected balance sheets for the next two years in case of working capital limits and for the period of the loan in case of term loan.</t>
        </is>
      </c>
      <c r="E103" s="8" t="inlineStr"/>
      <c r="F103" s="8" t="inlineStr">
        <is>
          <t>MS-C11</t>
        </is>
      </c>
      <c r="G103" s="8" t="inlineStr">
        <is>
          <t>C11@20261028-90bd4c3e</t>
        </is>
      </c>
      <c r="H103" s="7" t="inlineStr">
        <is>
          <t>Approved</t>
        </is>
      </c>
      <c r="I103" s="7" t="n"/>
      <c r="J103" s="8" t="inlineStr">
        <is>
          <t>Source document text 1/1. Conditional applicability not yet encoded.</t>
        </is>
      </c>
    </row>
    <row r="104" ht="40" customHeight="1">
      <c r="A104" s="4" t="inlineStr">
        <is>
          <t>C11</t>
        </is>
      </c>
      <c r="B104" s="4" t="inlineStr">
        <is>
          <t>Stand-Up India</t>
        </is>
      </c>
      <c r="C104" s="4" t="inlineStr">
        <is>
          <t>C11-P0017</t>
        </is>
      </c>
      <c r="D104" s="4" t="inlineStr">
        <is>
          <t>Photocopies of lease deeds/ title deeds of all the properties being offered as primary and collateral securities.</t>
        </is>
      </c>
      <c r="E104" s="4" t="inlineStr"/>
      <c r="F104" s="4" t="inlineStr">
        <is>
          <t>MS-C11</t>
        </is>
      </c>
      <c r="G104" s="4" t="inlineStr">
        <is>
          <t>C11@20261028-90bd4c3e</t>
        </is>
      </c>
      <c r="H104" s="7" t="inlineStr">
        <is>
          <t>Approved</t>
        </is>
      </c>
      <c r="I104" s="7" t="n"/>
      <c r="J104" s="4" t="inlineStr">
        <is>
          <t>Source document text 1/1. Conditional applicability not yet encoded.</t>
        </is>
      </c>
    </row>
    <row r="105" ht="40" customHeight="1">
      <c r="A105" s="8" t="inlineStr">
        <is>
          <t>C11</t>
        </is>
      </c>
      <c r="B105" s="8" t="inlineStr">
        <is>
          <t>Stand-Up India</t>
        </is>
      </c>
      <c r="C105" s="8" t="inlineStr">
        <is>
          <t>C11-P0018</t>
        </is>
      </c>
      <c r="D105" s="8" t="inlineStr">
        <is>
          <t>Documents to establish whether the applicant belongs to SC/ST Category, wherever applicable.</t>
        </is>
      </c>
      <c r="E105" s="8" t="inlineStr"/>
      <c r="F105" s="8" t="inlineStr">
        <is>
          <t>MS-C11</t>
        </is>
      </c>
      <c r="G105" s="8" t="inlineStr">
        <is>
          <t>C11@20261028-90bd4c3e</t>
        </is>
      </c>
      <c r="H105" s="7" t="inlineStr">
        <is>
          <t>Approved</t>
        </is>
      </c>
      <c r="I105" s="7" t="n"/>
      <c r="J105" s="8" t="inlineStr">
        <is>
          <t>Source document text 1/1. Conditional applicability not yet encoded.</t>
        </is>
      </c>
    </row>
    <row r="106" ht="40" customHeight="1">
      <c r="A106" s="4" t="inlineStr">
        <is>
          <t>C11</t>
        </is>
      </c>
      <c r="B106" s="4" t="inlineStr">
        <is>
          <t>Stand-Up India</t>
        </is>
      </c>
      <c r="C106" s="4" t="inlineStr">
        <is>
          <t>C11-P0019</t>
        </is>
      </c>
      <c r="D106" s="4" t="inlineStr">
        <is>
          <t>Certificate of incorporation from ROC to establish whether majority stake holding in the company is in the hands of a person who belongs to SC/ST/Woman category.</t>
        </is>
      </c>
      <c r="E106" s="4" t="inlineStr"/>
      <c r="F106" s="4" t="inlineStr">
        <is>
          <t>MS-C11</t>
        </is>
      </c>
      <c r="G106" s="4" t="inlineStr">
        <is>
          <t>C11@20261028-90bd4c3e</t>
        </is>
      </c>
      <c r="H106" s="7" t="inlineStr">
        <is>
          <t>Approved</t>
        </is>
      </c>
      <c r="I106" s="7" t="n"/>
      <c r="J106" s="4" t="inlineStr">
        <is>
          <t>Source document text 1/1. Conditional applicability not yet encoded.</t>
        </is>
      </c>
    </row>
    <row r="107" ht="40" customHeight="1">
      <c r="A107" s="8" t="inlineStr">
        <is>
          <t>C11</t>
        </is>
      </c>
      <c r="B107" s="8" t="inlineStr">
        <is>
          <t>Stand-Up India</t>
        </is>
      </c>
      <c r="C107" s="8" t="inlineStr">
        <is>
          <t>C11-P0020</t>
        </is>
      </c>
      <c r="D107" s="8" t="inlineStr">
        <is>
          <t>For cases with exposure above ₹ 25 Lakhs:</t>
        </is>
      </c>
      <c r="E107" s="8" t="inlineStr">
        <is>
          <t>For cases with exposure above ₹ 25 Lakhs:</t>
        </is>
      </c>
      <c r="F107" s="8" t="inlineStr">
        <is>
          <t>MS-C11</t>
        </is>
      </c>
      <c r="G107" s="8" t="inlineStr">
        <is>
          <t>C11@20261028-90bd4c3e</t>
        </is>
      </c>
      <c r="H107" s="7" t="inlineStr">
        <is>
          <t>Approved</t>
        </is>
      </c>
      <c r="I107" s="7" t="n"/>
      <c r="J107" s="8" t="inlineStr">
        <is>
          <t>Source heading</t>
        </is>
      </c>
    </row>
    <row r="108" ht="54" customHeight="1">
      <c r="A108" s="4" t="inlineStr">
        <is>
          <t>C11</t>
        </is>
      </c>
      <c r="B108" s="4" t="inlineStr">
        <is>
          <t>Stand-Up India</t>
        </is>
      </c>
      <c r="C108" s="4" t="inlineStr">
        <is>
          <t>C11-P0021</t>
        </is>
      </c>
      <c r="D108" s="4" t="inlineStr">
        <is>
          <t>Profile of the unit (includes names of promoters, other directors in the company, the activity being undertaken addresses of all offices and plants, shareholding pattern etc.</t>
        </is>
      </c>
      <c r="E108" s="4" t="inlineStr">
        <is>
          <t>For cases with exposure above ₹ 25 Lakhs:</t>
        </is>
      </c>
      <c r="F108" s="4" t="inlineStr">
        <is>
          <t>MS-C11</t>
        </is>
      </c>
      <c r="G108" s="4" t="inlineStr">
        <is>
          <t>C11@20261028-90bd4c3e</t>
        </is>
      </c>
      <c r="H108" s="7" t="inlineStr">
        <is>
          <t>Approved</t>
        </is>
      </c>
      <c r="I108" s="7" t="n"/>
      <c r="J108" s="4" t="inlineStr">
        <is>
          <t>Source document text 1/1. Conditional applicability not yet encoded.</t>
        </is>
      </c>
    </row>
    <row r="109" ht="40" customHeight="1">
      <c r="A109" s="8" t="inlineStr">
        <is>
          <t>C11</t>
        </is>
      </c>
      <c r="B109" s="8" t="inlineStr">
        <is>
          <t>Stand-Up India</t>
        </is>
      </c>
      <c r="C109" s="8" t="inlineStr">
        <is>
          <t>C11-P0022</t>
        </is>
      </c>
      <c r="D109" s="8" t="inlineStr">
        <is>
          <t>Last three years balance sheets of the Associate / Group Companies (if any).</t>
        </is>
      </c>
      <c r="E109" s="8" t="inlineStr">
        <is>
          <t>For cases with exposure above ₹ 25 Lakhs:</t>
        </is>
      </c>
      <c r="F109" s="8" t="inlineStr">
        <is>
          <t>MS-C11</t>
        </is>
      </c>
      <c r="G109" s="8" t="inlineStr">
        <is>
          <t>C11@20261028-90bd4c3e</t>
        </is>
      </c>
      <c r="H109" s="7" t="inlineStr">
        <is>
          <t>Approved</t>
        </is>
      </c>
      <c r="I109" s="7" t="n"/>
      <c r="J109" s="8" t="inlineStr">
        <is>
          <t>Source document text 1/1. Conditional applicability not yet encoded.</t>
        </is>
      </c>
    </row>
    <row r="110" ht="96" customHeight="1">
      <c r="A110" s="4" t="inlineStr">
        <is>
          <t>C11</t>
        </is>
      </c>
      <c r="B110" s="4" t="inlineStr">
        <is>
          <t>Stand-Up India</t>
        </is>
      </c>
      <c r="C110" s="4" t="inlineStr">
        <is>
          <t>C11-P0023</t>
        </is>
      </c>
      <c r="D110" s="4" t="inlineStr">
        <is>
          <t>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t>
        </is>
      </c>
      <c r="E110" s="4" t="inlineStr">
        <is>
          <t>For cases with exposure above ₹ 25 Lakhs:</t>
        </is>
      </c>
      <c r="F110" s="4" t="inlineStr">
        <is>
          <t>MS-C11</t>
        </is>
      </c>
      <c r="G110" s="4" t="inlineStr">
        <is>
          <t>C11@20261028-90bd4c3e</t>
        </is>
      </c>
      <c r="H110" s="7" t="inlineStr">
        <is>
          <t>Approved</t>
        </is>
      </c>
      <c r="I110" s="7" t="n"/>
      <c r="J110" s="4" t="inlineStr">
        <is>
          <t>Source document text 1/1. Conditional applicability not yet encoded.</t>
        </is>
      </c>
    </row>
    <row r="111" ht="68" customHeight="1">
      <c r="A111" s="8" t="inlineStr">
        <is>
          <t>C11</t>
        </is>
      </c>
      <c r="B111" s="8" t="inlineStr">
        <is>
          <t>Stand-Up India</t>
        </is>
      </c>
      <c r="C111" s="8" t="inlineStr">
        <is>
          <t>C11-P0024</t>
        </is>
      </c>
      <c r="D111" s="8" t="inlineStr">
        <is>
          <t>Manufacturing process if applicable, major profile of executives in the company, any tie-ups, details about raw material used and their suppliers, details about the buyers, details about major-competitors and the company’s strength and weaknesses as compared to their competitors etc.</t>
        </is>
      </c>
      <c r="E111" s="8" t="inlineStr">
        <is>
          <t>For cases with exposure above ₹ 25 Lakhs:</t>
        </is>
      </c>
      <c r="F111" s="8" t="inlineStr">
        <is>
          <t>MS-C11</t>
        </is>
      </c>
      <c r="G111" s="8" t="inlineStr">
        <is>
          <t>C11@20261028-90bd4c3e</t>
        </is>
      </c>
      <c r="H111" s="7" t="inlineStr">
        <is>
          <t>Approved</t>
        </is>
      </c>
      <c r="I111" s="7" t="n"/>
      <c r="J111" s="8" t="inlineStr">
        <is>
          <t>Source document text 1/1. Conditional applicability not yet encoded.</t>
        </is>
      </c>
    </row>
    <row r="112" ht="54" customHeight="1">
      <c r="A112" s="4" t="inlineStr">
        <is>
          <t>C12</t>
        </is>
      </c>
      <c r="B112" s="4" t="inlineStr">
        <is>
          <t>"Marketing Incentive" under the "Handloom Marketing Assistance" Component of the National Handloom Development Programme</t>
        </is>
      </c>
      <c r="C112" s="4" t="inlineStr">
        <is>
          <t>C12-P0033</t>
        </is>
      </c>
      <c r="D112" s="4" t="inlineStr">
        <is>
          <t>At Application Stage</t>
        </is>
      </c>
      <c r="E112" s="4" t="inlineStr">
        <is>
          <t>At Application Stage</t>
        </is>
      </c>
      <c r="F112" s="4" t="inlineStr">
        <is>
          <t>MS-C12</t>
        </is>
      </c>
      <c r="G112" s="4" t="inlineStr">
        <is>
          <t>C12@20261028-55825899</t>
        </is>
      </c>
      <c r="H112" s="7" t="inlineStr">
        <is>
          <t>Approved</t>
        </is>
      </c>
      <c r="I112" s="7" t="n"/>
      <c r="J112" s="4" t="inlineStr">
        <is>
          <t>Source heading</t>
        </is>
      </c>
    </row>
    <row r="113" ht="54" customHeight="1">
      <c r="A113" s="8" t="inlineStr">
        <is>
          <t>C12</t>
        </is>
      </c>
      <c r="B113" s="8" t="inlineStr">
        <is>
          <t>"Marketing Incentive" under the "Handloom Marketing Assistance" Component of the National Handloom Development Programme</t>
        </is>
      </c>
      <c r="C113" s="8" t="inlineStr">
        <is>
          <t>C12-P0034</t>
        </is>
      </c>
      <c r="D113" s="8" t="inlineStr">
        <is>
          <t>Sales Bills/invoices for Handloom Products (Goods and Services Tax Compliant),</t>
        </is>
      </c>
      <c r="E113" s="8" t="inlineStr">
        <is>
          <t>At Application Stage</t>
        </is>
      </c>
      <c r="F113" s="8" t="inlineStr">
        <is>
          <t>MS-C12</t>
        </is>
      </c>
      <c r="G113" s="8" t="inlineStr">
        <is>
          <t>C12@20261028-55825899</t>
        </is>
      </c>
      <c r="H113" s="7" t="inlineStr">
        <is>
          <t>Approved</t>
        </is>
      </c>
      <c r="I113" s="7" t="n"/>
      <c r="J113" s="8" t="inlineStr">
        <is>
          <t>Source document text 1/1. Conditional applicability not yet encoded.</t>
        </is>
      </c>
    </row>
    <row r="114" ht="54" customHeight="1">
      <c r="A114" s="4" t="inlineStr">
        <is>
          <t>C12</t>
        </is>
      </c>
      <c r="B114" s="4" t="inlineStr">
        <is>
          <t>"Marketing Incentive" under the "Handloom Marketing Assistance" Component of the National Handloom Development Programme</t>
        </is>
      </c>
      <c r="C114" s="4" t="inlineStr">
        <is>
          <t>C12-P0035</t>
        </is>
      </c>
      <c r="D114" s="4" t="inlineStr">
        <is>
          <t>Yarn Purchase Bills (Goods and Services Tax Compliant).</t>
        </is>
      </c>
      <c r="E114" s="4" t="inlineStr">
        <is>
          <t>At Application Stage</t>
        </is>
      </c>
      <c r="F114" s="4" t="inlineStr">
        <is>
          <t>MS-C12</t>
        </is>
      </c>
      <c r="G114" s="4" t="inlineStr">
        <is>
          <t>C12@20261028-55825899</t>
        </is>
      </c>
      <c r="H114" s="7" t="inlineStr">
        <is>
          <t>Approved</t>
        </is>
      </c>
      <c r="I114" s="7" t="n"/>
      <c r="J114" s="4" t="inlineStr">
        <is>
          <t>Source document text 1/1. Conditional applicability not yet encoded.</t>
        </is>
      </c>
    </row>
    <row r="115" ht="54" customHeight="1">
      <c r="A115" s="8" t="inlineStr">
        <is>
          <t>C12</t>
        </is>
      </c>
      <c r="B115" s="8" t="inlineStr">
        <is>
          <t>"Marketing Incentive" under the "Handloom Marketing Assistance" Component of the National Handloom Development Programme</t>
        </is>
      </c>
      <c r="C115" s="8" t="inlineStr">
        <is>
          <t>C12-P0036</t>
        </is>
      </c>
      <c r="D115" s="8" t="inlineStr">
        <is>
          <t>Average Sales Turnover Details of Handloom Products for the Last 3 Years.</t>
        </is>
      </c>
      <c r="E115" s="8" t="inlineStr">
        <is>
          <t>At Application Stage</t>
        </is>
      </c>
      <c r="F115" s="8" t="inlineStr">
        <is>
          <t>MS-C12</t>
        </is>
      </c>
      <c r="G115" s="8" t="inlineStr">
        <is>
          <t>C12@20261028-55825899</t>
        </is>
      </c>
      <c r="H115" s="7" t="inlineStr">
        <is>
          <t>Approved</t>
        </is>
      </c>
      <c r="I115" s="7" t="n"/>
      <c r="J115" s="8" t="inlineStr">
        <is>
          <t>Source document text 1/1. Conditional applicability not yet encoded.</t>
        </is>
      </c>
    </row>
    <row r="116" ht="54" customHeight="1">
      <c r="A116" s="4" t="inlineStr">
        <is>
          <t>C12</t>
        </is>
      </c>
      <c r="B116" s="4" t="inlineStr">
        <is>
          <t>"Marketing Incentive" under the "Handloom Marketing Assistance" Component of the National Handloom Development Programme</t>
        </is>
      </c>
      <c r="C116" s="4" t="inlineStr">
        <is>
          <t>C12-P0037</t>
        </is>
      </c>
      <c r="D116" s="4" t="inlineStr">
        <is>
          <t>Handloom Mark or India Handloom Brand Usage Documentation.</t>
        </is>
      </c>
      <c r="E116" s="4" t="inlineStr">
        <is>
          <t>At Application Stage</t>
        </is>
      </c>
      <c r="F116" s="4" t="inlineStr">
        <is>
          <t>MS-C12</t>
        </is>
      </c>
      <c r="G116" s="4" t="inlineStr">
        <is>
          <t>C12@20261028-55825899</t>
        </is>
      </c>
      <c r="H116" s="7" t="inlineStr">
        <is>
          <t>Approved</t>
        </is>
      </c>
      <c r="I116" s="7" t="n"/>
      <c r="J116" s="4" t="inlineStr">
        <is>
          <t>Source document text 1/1. Conditional applicability not yet encoded.</t>
        </is>
      </c>
    </row>
    <row r="117" ht="54" customHeight="1">
      <c r="A117" s="8" t="inlineStr">
        <is>
          <t>C12</t>
        </is>
      </c>
      <c r="B117" s="8" t="inlineStr">
        <is>
          <t>"Marketing Incentive" under the "Handloom Marketing Assistance" Component of the National Handloom Development Programme</t>
        </is>
      </c>
      <c r="C117" s="8" t="inlineStr">
        <is>
          <t>C12-P0038</t>
        </is>
      </c>
      <c r="D117" s="8" t="inlineStr">
        <is>
          <t>Final Transaction Proof of Product Sale to Consumer.</t>
        </is>
      </c>
      <c r="E117" s="8" t="inlineStr">
        <is>
          <t>At Application Stage</t>
        </is>
      </c>
      <c r="F117" s="8" t="inlineStr">
        <is>
          <t>MS-C12</t>
        </is>
      </c>
      <c r="G117" s="8" t="inlineStr">
        <is>
          <t>C12@20261028-55825899</t>
        </is>
      </c>
      <c r="H117" s="7" t="inlineStr">
        <is>
          <t>Approved</t>
        </is>
      </c>
      <c r="I117" s="7" t="n"/>
      <c r="J117" s="8" t="inlineStr">
        <is>
          <t>Source document text 1/1. Conditional applicability not yet encoded.</t>
        </is>
      </c>
    </row>
    <row r="118" ht="54" customHeight="1">
      <c r="A118" s="4" t="inlineStr">
        <is>
          <t>C12</t>
        </is>
      </c>
      <c r="B118" s="4" t="inlineStr">
        <is>
          <t>"Marketing Incentive" under the "Handloom Marketing Assistance" Component of the National Handloom Development Programme</t>
        </is>
      </c>
      <c r="C118" s="4" t="inlineStr">
        <is>
          <t>C12-P0039</t>
        </is>
      </c>
      <c r="D118" s="4" t="inlineStr">
        <is>
          <t>For State Government Processing</t>
        </is>
      </c>
      <c r="E118" s="4" t="inlineStr">
        <is>
          <t>For State Government Processing</t>
        </is>
      </c>
      <c r="F118" s="4" t="inlineStr">
        <is>
          <t>MS-C12</t>
        </is>
      </c>
      <c r="G118" s="4" t="inlineStr">
        <is>
          <t>C12@20261028-55825899</t>
        </is>
      </c>
      <c r="H118" s="7" t="inlineStr">
        <is>
          <t>Approved</t>
        </is>
      </c>
      <c r="I118" s="7" t="n"/>
      <c r="J118" s="4" t="inlineStr">
        <is>
          <t>Source heading</t>
        </is>
      </c>
    </row>
    <row r="119" ht="54" customHeight="1">
      <c r="A119" s="8" t="inlineStr">
        <is>
          <t>C12</t>
        </is>
      </c>
      <c r="B119" s="8" t="inlineStr">
        <is>
          <t>"Marketing Incentive" under the "Handloom Marketing Assistance" Component of the National Handloom Development Programme</t>
        </is>
      </c>
      <c r="C119" s="8" t="inlineStr">
        <is>
          <t>C12-P0040</t>
        </is>
      </c>
      <c r="D119" s="8" t="inlineStr">
        <is>
          <t>Certificate as Per Prescribed Proforma (Annexure - B9) for Each Individual Claim.</t>
        </is>
      </c>
      <c r="E119" s="8" t="inlineStr">
        <is>
          <t>For State Government Processing</t>
        </is>
      </c>
      <c r="F119" s="8" t="inlineStr">
        <is>
          <t>MS-C12</t>
        </is>
      </c>
      <c r="G119" s="8" t="inlineStr">
        <is>
          <t>C12@20261028-55825899</t>
        </is>
      </c>
      <c r="H119" s="7" t="inlineStr">
        <is>
          <t>Approved</t>
        </is>
      </c>
      <c r="I119" s="7" t="n"/>
      <c r="J119" s="8" t="inlineStr">
        <is>
          <t>Source document text 1/1. Conditional applicability not yet encoded.</t>
        </is>
      </c>
    </row>
    <row r="120" ht="54" customHeight="1">
      <c r="A120" s="4" t="inlineStr">
        <is>
          <t>C12</t>
        </is>
      </c>
      <c r="B120" s="4" t="inlineStr">
        <is>
          <t>"Marketing Incentive" under the "Handloom Marketing Assistance" Component of the National Handloom Development Programme</t>
        </is>
      </c>
      <c r="C120" s="4" t="inlineStr">
        <is>
          <t>C12-P0041</t>
        </is>
      </c>
      <c r="D120" s="4" t="inlineStr">
        <is>
          <t>Consolidated Statement of All Claims.</t>
        </is>
      </c>
      <c r="E120" s="4" t="inlineStr">
        <is>
          <t>For State Government Processing</t>
        </is>
      </c>
      <c r="F120" s="4" t="inlineStr">
        <is>
          <t>MS-C12</t>
        </is>
      </c>
      <c r="G120" s="4" t="inlineStr">
        <is>
          <t>C12@20261028-55825899</t>
        </is>
      </c>
      <c r="H120" s="7" t="inlineStr">
        <is>
          <t>Approved</t>
        </is>
      </c>
      <c r="I120" s="7" t="n"/>
      <c r="J120" s="4" t="inlineStr">
        <is>
          <t>Source document text 1/1. Conditional applicability not yet encoded.</t>
        </is>
      </c>
    </row>
    <row r="121" ht="54" customHeight="1">
      <c r="A121" s="8" t="inlineStr">
        <is>
          <t>C12</t>
        </is>
      </c>
      <c r="B121" s="8" t="inlineStr">
        <is>
          <t>"Marketing Incentive" under the "Handloom Marketing Assistance" Component of the National Handloom Development Programme</t>
        </is>
      </c>
      <c r="C121" s="8" t="inlineStr">
        <is>
          <t>C12-P0042</t>
        </is>
      </c>
      <c r="D121" s="8" t="inlineStr">
        <is>
          <t>Recommendations of State Level Project Committee.</t>
        </is>
      </c>
      <c r="E121" s="8" t="inlineStr">
        <is>
          <t>For State Government Processing</t>
        </is>
      </c>
      <c r="F121" s="8" t="inlineStr">
        <is>
          <t>MS-C12</t>
        </is>
      </c>
      <c r="G121" s="8" t="inlineStr">
        <is>
          <t>C12@20261028-55825899</t>
        </is>
      </c>
      <c r="H121" s="7" t="inlineStr">
        <is>
          <t>Approved</t>
        </is>
      </c>
      <c r="I121" s="7" t="n"/>
      <c r="J121" s="8" t="inlineStr">
        <is>
          <t>Source document text 1/1. Conditional applicability not yet encoded.</t>
        </is>
      </c>
    </row>
    <row r="122" ht="54" customHeight="1">
      <c r="A122" s="4" t="inlineStr">
        <is>
          <t>C12</t>
        </is>
      </c>
      <c r="B122" s="4" t="inlineStr">
        <is>
          <t>"Marketing Incentive" under the "Handloom Marketing Assistance" Component of the National Handloom Development Programme</t>
        </is>
      </c>
      <c r="C122" s="4" t="inlineStr">
        <is>
          <t>C12-P0043</t>
        </is>
      </c>
      <c r="D122" s="4" t="inlineStr">
        <is>
          <t>Sanction Order for Release of State Share.</t>
        </is>
      </c>
      <c r="E122" s="4" t="inlineStr">
        <is>
          <t>For State Government Processing</t>
        </is>
      </c>
      <c r="F122" s="4" t="inlineStr">
        <is>
          <t>MS-C12</t>
        </is>
      </c>
      <c r="G122" s="4" t="inlineStr">
        <is>
          <t>C12@20261028-55825899</t>
        </is>
      </c>
      <c r="H122" s="7" t="inlineStr">
        <is>
          <t>Approved</t>
        </is>
      </c>
      <c r="I122" s="7" t="n"/>
      <c r="J122" s="4" t="inlineStr">
        <is>
          <t>Source document text 1/1. Conditional applicability not yet encoded.</t>
        </is>
      </c>
    </row>
    <row r="123" ht="54" customHeight="1">
      <c r="A123" s="8" t="inlineStr">
        <is>
          <t>C12</t>
        </is>
      </c>
      <c r="B123" s="8" t="inlineStr">
        <is>
          <t>"Marketing Incentive" under the "Handloom Marketing Assistance" Component of the National Handloom Development Programme</t>
        </is>
      </c>
      <c r="C123" s="8" t="inlineStr">
        <is>
          <t>C12-P0044</t>
        </is>
      </c>
      <c r="D123" s="8" t="inlineStr">
        <is>
          <t>Documentary Proof of Amount Transferred to Beneficiaries.</t>
        </is>
      </c>
      <c r="E123" s="8" t="inlineStr">
        <is>
          <t>For State Government Processing</t>
        </is>
      </c>
      <c r="F123" s="8" t="inlineStr">
        <is>
          <t>MS-C12</t>
        </is>
      </c>
      <c r="G123" s="8" t="inlineStr">
        <is>
          <t>C12@20261028-55825899</t>
        </is>
      </c>
      <c r="H123" s="7" t="inlineStr">
        <is>
          <t>Approved</t>
        </is>
      </c>
      <c r="I123" s="7" t="n"/>
      <c r="J123" s="8" t="inlineStr">
        <is>
          <t>Source document text 1/1. Conditional applicability not yet encoded.</t>
        </is>
      </c>
    </row>
    <row r="124" ht="54" customHeight="1">
      <c r="A124" s="4" t="inlineStr">
        <is>
          <t>C12</t>
        </is>
      </c>
      <c r="B124" s="4" t="inlineStr">
        <is>
          <t>"Marketing Incentive" under the "Handloom Marketing Assistance" Component of the National Handloom Development Programme</t>
        </is>
      </c>
      <c r="C124" s="4" t="inlineStr">
        <is>
          <t>C12-P0045</t>
        </is>
      </c>
      <c r="D124" s="4" t="inlineStr">
        <is>
          <t>Certificate as Per Prescribed Proforma (Annexure - B10).</t>
        </is>
      </c>
      <c r="E124" s="4" t="inlineStr">
        <is>
          <t>For State Government Processing</t>
        </is>
      </c>
      <c r="F124" s="4" t="inlineStr">
        <is>
          <t>MS-C12</t>
        </is>
      </c>
      <c r="G124" s="4" t="inlineStr">
        <is>
          <t>C12@20261028-55825899</t>
        </is>
      </c>
      <c r="H124" s="7" t="inlineStr">
        <is>
          <t>Approved</t>
        </is>
      </c>
      <c r="I124" s="7" t="n"/>
      <c r="J124" s="4" t="inlineStr">
        <is>
          <t>Source document text 1/1. Conditional applicability not yet encoded.</t>
        </is>
      </c>
    </row>
    <row r="125" ht="54" customHeight="1">
      <c r="A125" s="8" t="inlineStr">
        <is>
          <t>C12</t>
        </is>
      </c>
      <c r="B125" s="8" t="inlineStr">
        <is>
          <t>"Marketing Incentive" under the "Handloom Marketing Assistance" Component of the National Handloom Development Programme</t>
        </is>
      </c>
      <c r="C125" s="8" t="inlineStr">
        <is>
          <t>C12-P0046</t>
        </is>
      </c>
      <c r="D125" s="8" t="inlineStr">
        <is>
          <t>Identification of Suitable Nodal Agency for Fund Aggregation and Release.</t>
        </is>
      </c>
      <c r="E125" s="8" t="inlineStr">
        <is>
          <t>For State Government Processing</t>
        </is>
      </c>
      <c r="F125" s="8" t="inlineStr">
        <is>
          <t>MS-C12</t>
        </is>
      </c>
      <c r="G125" s="8" t="inlineStr">
        <is>
          <t>C12@20261028-55825899</t>
        </is>
      </c>
      <c r="H125" s="7" t="inlineStr">
        <is>
          <t>Approved</t>
        </is>
      </c>
      <c r="I125" s="7" t="n"/>
      <c r="J125" s="8" t="inlineStr">
        <is>
          <t>Source document text 1/1. Conditional applicability not yet encoded.</t>
        </is>
      </c>
    </row>
    <row r="126" ht="54" customHeight="1">
      <c r="A126" s="4" t="inlineStr">
        <is>
          <t>C12</t>
        </is>
      </c>
      <c r="B126" s="4" t="inlineStr">
        <is>
          <t>"Marketing Incentive" under the "Handloom Marketing Assistance" Component of the National Handloom Development Programme</t>
        </is>
      </c>
      <c r="C126" s="4" t="inlineStr">
        <is>
          <t>C12-P0047</t>
        </is>
      </c>
      <c r="D126" s="4" t="inlineStr">
        <is>
          <t>At Verification Stage</t>
        </is>
      </c>
      <c r="E126" s="4" t="inlineStr">
        <is>
          <t>At Verification Stage</t>
        </is>
      </c>
      <c r="F126" s="4" t="inlineStr">
        <is>
          <t>MS-C12</t>
        </is>
      </c>
      <c r="G126" s="4" t="inlineStr">
        <is>
          <t>C12@20261028-55825899</t>
        </is>
      </c>
      <c r="H126" s="7" t="inlineStr">
        <is>
          <t>Approved</t>
        </is>
      </c>
      <c r="I126" s="7" t="n"/>
      <c r="J126" s="4" t="inlineStr">
        <is>
          <t>Source heading</t>
        </is>
      </c>
    </row>
    <row r="127" ht="54" customHeight="1">
      <c r="A127" s="8" t="inlineStr">
        <is>
          <t>C12</t>
        </is>
      </c>
      <c r="B127" s="8" t="inlineStr">
        <is>
          <t>"Marketing Incentive" under the "Handloom Marketing Assistance" Component of the National Handloom Development Programme</t>
        </is>
      </c>
      <c r="C127" s="8" t="inlineStr">
        <is>
          <t>C12-P0048</t>
        </is>
      </c>
      <c r="D127" s="8" t="inlineStr">
        <is>
          <t>Utilization Certificate From Nodal Agency.</t>
        </is>
      </c>
      <c r="E127" s="8" t="inlineStr">
        <is>
          <t>At Verification Stage</t>
        </is>
      </c>
      <c r="F127" s="8" t="inlineStr">
        <is>
          <t>MS-C12</t>
        </is>
      </c>
      <c r="G127" s="8" t="inlineStr">
        <is>
          <t>C12@20261028-55825899</t>
        </is>
      </c>
      <c r="H127" s="7" t="inlineStr">
        <is>
          <t>Approved</t>
        </is>
      </c>
      <c r="I127" s="7" t="n"/>
      <c r="J127" s="8" t="inlineStr">
        <is>
          <t>Source document text 1/1. Conditional applicability not yet encoded.</t>
        </is>
      </c>
    </row>
    <row r="128" ht="54" customHeight="1">
      <c r="A128" s="4" t="inlineStr">
        <is>
          <t>C12</t>
        </is>
      </c>
      <c r="B128" s="4" t="inlineStr">
        <is>
          <t>"Marketing Incentive" under the "Handloom Marketing Assistance" Component of the National Handloom Development Programme</t>
        </is>
      </c>
      <c r="C128" s="4" t="inlineStr">
        <is>
          <t>C12-P0049</t>
        </is>
      </c>
      <c r="D128" s="4" t="inlineStr">
        <is>
          <t>Certificate Of Direct Benefit Transfer Release Within 7 Days.</t>
        </is>
      </c>
      <c r="E128" s="4" t="inlineStr">
        <is>
          <t>At Verification Stage</t>
        </is>
      </c>
      <c r="F128" s="4" t="inlineStr">
        <is>
          <t>MS-C12</t>
        </is>
      </c>
      <c r="G128" s="4" t="inlineStr">
        <is>
          <t>C12@20261028-55825899</t>
        </is>
      </c>
      <c r="H128" s="7" t="inlineStr">
        <is>
          <t>Approved</t>
        </is>
      </c>
      <c r="I128" s="7" t="n"/>
      <c r="J128" s="4" t="inlineStr">
        <is>
          <t>Source document text 1/1. Conditional applicability not yet encoded.</t>
        </is>
      </c>
    </row>
    <row r="129" ht="54" customHeight="1">
      <c r="A129" s="8" t="inlineStr">
        <is>
          <t>C12</t>
        </is>
      </c>
      <c r="B129" s="8" t="inlineStr">
        <is>
          <t>"Marketing Incentive" under the "Handloom Marketing Assistance" Component of the National Handloom Development Programme</t>
        </is>
      </c>
      <c r="C129" s="8" t="inlineStr">
        <is>
          <t>C12-P0050</t>
        </is>
      </c>
      <c r="D129" s="8" t="inlineStr">
        <is>
          <t>Details Of Beneficiaries (State Share And Government Of India Share) Uploaded In Public Domain.</t>
        </is>
      </c>
      <c r="E129" s="8" t="inlineStr">
        <is>
          <t>At Verification Stage</t>
        </is>
      </c>
      <c r="F129" s="8" t="inlineStr">
        <is>
          <t>MS-C12</t>
        </is>
      </c>
      <c r="G129" s="8" t="inlineStr">
        <is>
          <t>C12@20261028-55825899</t>
        </is>
      </c>
      <c r="H129" s="7" t="inlineStr">
        <is>
          <t>Approved</t>
        </is>
      </c>
      <c r="I129" s="7" t="n"/>
      <c r="J129" s="8" t="inlineStr">
        <is>
          <t>Source document text 1/1. Conditional applicability not yet encoded.</t>
        </is>
      </c>
    </row>
    <row r="130" ht="54" customHeight="1">
      <c r="A130" s="4" t="inlineStr">
        <is>
          <t>C12</t>
        </is>
      </c>
      <c r="B130" s="4" t="inlineStr">
        <is>
          <t>"Marketing Incentive" under the "Handloom Marketing Assistance" Component of the National Handloom Development Programme</t>
        </is>
      </c>
      <c r="C130" s="4" t="inlineStr">
        <is>
          <t>C12-P0051</t>
        </is>
      </c>
      <c r="D130" s="4" t="inlineStr">
        <is>
          <t>NOTE: All sales bills/invoices and yarn purchase bills must be Goods and Services Tax compliant for claiming Marketing Incentive.</t>
        </is>
      </c>
      <c r="E130" s="4" t="inlineStr">
        <is>
          <t>At Verification Stage</t>
        </is>
      </c>
      <c r="F130" s="4" t="inlineStr">
        <is>
          <t>MS-C12</t>
        </is>
      </c>
      <c r="G130" s="4" t="inlineStr">
        <is>
          <t>C12@20261028-55825899</t>
        </is>
      </c>
      <c r="H130" s="7" t="inlineStr">
        <is>
          <t>Approved</t>
        </is>
      </c>
      <c r="I130" s="7" t="n"/>
      <c r="J130" s="4" t="inlineStr">
        <is>
          <t>Source document text 1/1. Conditional applicability not yet encoded.</t>
        </is>
      </c>
    </row>
    <row r="131" ht="40" customHeight="1">
      <c r="A131" s="8" t="inlineStr">
        <is>
          <t>C13</t>
        </is>
      </c>
      <c r="B131" s="8" t="inlineStr">
        <is>
          <t>Kisan Credit Card</t>
        </is>
      </c>
      <c r="C131" s="8" t="inlineStr">
        <is>
          <t>C13-P0039</t>
        </is>
      </c>
      <c r="D131" s="8" t="inlineStr">
        <is>
          <t>Application Form.</t>
        </is>
      </c>
      <c r="E131" s="8" t="inlineStr"/>
      <c r="F131" s="8" t="inlineStr">
        <is>
          <t>MS-C13</t>
        </is>
      </c>
      <c r="G131" s="8" t="inlineStr">
        <is>
          <t>C13@20261028-241c8bb1</t>
        </is>
      </c>
      <c r="H131" s="7" t="inlineStr">
        <is>
          <t>Approved</t>
        </is>
      </c>
      <c r="I131" s="7" t="n"/>
      <c r="J131" s="8" t="inlineStr">
        <is>
          <t>Source document text 1/1. Conditional applicability not yet encoded.</t>
        </is>
      </c>
    </row>
    <row r="132" ht="40" customHeight="1">
      <c r="A132" s="4" t="inlineStr">
        <is>
          <t>C13</t>
        </is>
      </c>
      <c r="B132" s="4" t="inlineStr">
        <is>
          <t>Kisan Credit Card</t>
        </is>
      </c>
      <c r="C132" s="4" t="inlineStr">
        <is>
          <t>C13-P0040</t>
        </is>
      </c>
      <c r="D132" s="4" t="inlineStr">
        <is>
          <t>Two Passport Size Photographs.</t>
        </is>
      </c>
      <c r="E132" s="4" t="inlineStr"/>
      <c r="F132" s="4" t="inlineStr">
        <is>
          <t>MS-C13</t>
        </is>
      </c>
      <c r="G132" s="4" t="inlineStr">
        <is>
          <t>C13@20261028-241c8bb1</t>
        </is>
      </c>
      <c r="H132" s="7" t="inlineStr">
        <is>
          <t>Approved</t>
        </is>
      </c>
      <c r="I132" s="7" t="n"/>
      <c r="J132" s="4" t="inlineStr">
        <is>
          <t>Source document text 1/1. Conditional applicability not yet encoded.</t>
        </is>
      </c>
    </row>
    <row r="133" ht="40" customHeight="1">
      <c r="A133" s="8" t="inlineStr">
        <is>
          <t>C13</t>
        </is>
      </c>
      <c r="B133" s="8" t="inlineStr">
        <is>
          <t>Kisan Credit Card</t>
        </is>
      </c>
      <c r="C133" s="8" t="inlineStr">
        <is>
          <t>C13-P0041</t>
        </is>
      </c>
      <c r="D133" s="8" t="inlineStr">
        <is>
          <t>ID proof such as Driving License / Aadhar Card / Voter Identity Card / Passport.</t>
        </is>
      </c>
      <c r="E133" s="8" t="inlineStr"/>
      <c r="F133" s="8" t="inlineStr">
        <is>
          <t>MS-C13</t>
        </is>
      </c>
      <c r="G133" s="8" t="inlineStr">
        <is>
          <t>C13@20261028-241c8bb1</t>
        </is>
      </c>
      <c r="H133" s="7" t="inlineStr">
        <is>
          <t>Approved</t>
        </is>
      </c>
      <c r="I133" s="7" t="n"/>
      <c r="J133" s="8" t="inlineStr">
        <is>
          <t>Source document text 1/1. Conditional applicability not yet encoded.</t>
        </is>
      </c>
    </row>
    <row r="134" ht="40" customHeight="1">
      <c r="A134" s="4" t="inlineStr">
        <is>
          <t>C13</t>
        </is>
      </c>
      <c r="B134" s="4" t="inlineStr">
        <is>
          <t>Kisan Credit Card</t>
        </is>
      </c>
      <c r="C134" s="4" t="inlineStr">
        <is>
          <t>C13-P0042</t>
        </is>
      </c>
      <c r="D134" s="4" t="inlineStr">
        <is>
          <t>Address Proof such as Driving License, Aadhar Card.</t>
        </is>
      </c>
      <c r="E134" s="4" t="inlineStr"/>
      <c r="F134" s="4" t="inlineStr">
        <is>
          <t>MS-C13</t>
        </is>
      </c>
      <c r="G134" s="4" t="inlineStr">
        <is>
          <t>C13@20261028-241c8bb1</t>
        </is>
      </c>
      <c r="H134" s="7" t="inlineStr">
        <is>
          <t>Approved</t>
        </is>
      </c>
      <c r="I134" s="7" t="n"/>
      <c r="J134" s="4" t="inlineStr">
        <is>
          <t>Source document text 1/1. Conditional applicability not yet encoded.</t>
        </is>
      </c>
    </row>
    <row r="135" ht="40" customHeight="1">
      <c r="A135" s="8" t="inlineStr">
        <is>
          <t>C13</t>
        </is>
      </c>
      <c r="B135" s="8" t="inlineStr">
        <is>
          <t>Kisan Credit Card</t>
        </is>
      </c>
      <c r="C135" s="8" t="inlineStr">
        <is>
          <t>C13-P0043</t>
        </is>
      </c>
      <c r="D135" s="8" t="inlineStr">
        <is>
          <t>Proof of landholding duly certified by the revenue authorities.</t>
        </is>
      </c>
      <c r="E135" s="8" t="inlineStr"/>
      <c r="F135" s="8" t="inlineStr">
        <is>
          <t>MS-C13</t>
        </is>
      </c>
      <c r="G135" s="8" t="inlineStr">
        <is>
          <t>C13@20261028-241c8bb1</t>
        </is>
      </c>
      <c r="H135" s="7" t="inlineStr">
        <is>
          <t>Approved</t>
        </is>
      </c>
      <c r="I135" s="7" t="n"/>
      <c r="J135" s="8" t="inlineStr">
        <is>
          <t>Source document text 1/1. Conditional applicability not yet encoded.</t>
        </is>
      </c>
    </row>
    <row r="136" ht="40" customHeight="1">
      <c r="A136" s="4" t="inlineStr">
        <is>
          <t>C13</t>
        </is>
      </c>
      <c r="B136" s="4" t="inlineStr">
        <is>
          <t>Kisan Credit Card</t>
        </is>
      </c>
      <c r="C136" s="4" t="inlineStr">
        <is>
          <t>C13-P0044</t>
        </is>
      </c>
      <c r="D136" s="4" t="inlineStr">
        <is>
          <t>Cropping pattern (Crops grown) with acreage.</t>
        </is>
      </c>
      <c r="E136" s="4" t="inlineStr"/>
      <c r="F136" s="4" t="inlineStr">
        <is>
          <t>MS-C13</t>
        </is>
      </c>
      <c r="G136" s="4" t="inlineStr">
        <is>
          <t>C13@20261028-241c8bb1</t>
        </is>
      </c>
      <c r="H136" s="7" t="inlineStr">
        <is>
          <t>Approved</t>
        </is>
      </c>
      <c r="I136" s="7" t="n"/>
      <c r="J136" s="4" t="inlineStr">
        <is>
          <t>Source document text 1/1. Conditional applicability not yet encoded.</t>
        </is>
      </c>
    </row>
    <row r="137" ht="40" customHeight="1">
      <c r="A137" s="8" t="inlineStr">
        <is>
          <t>C13</t>
        </is>
      </c>
      <c r="B137" s="8" t="inlineStr">
        <is>
          <t>Kisan Credit Card</t>
        </is>
      </c>
      <c r="C137" s="8" t="inlineStr">
        <is>
          <t>C13-P0045</t>
        </is>
      </c>
      <c r="D137" s="8" t="inlineStr">
        <is>
          <t>Security documents for loan limit above Rs.1.60 lakhs / Rs.3.00 lakhs, as applicable.</t>
        </is>
      </c>
      <c r="E137" s="8" t="inlineStr"/>
      <c r="F137" s="8" t="inlineStr">
        <is>
          <t>MS-C13</t>
        </is>
      </c>
      <c r="G137" s="8" t="inlineStr">
        <is>
          <t>C13@20261028-241c8bb1</t>
        </is>
      </c>
      <c r="H137" s="7" t="inlineStr">
        <is>
          <t>Approved</t>
        </is>
      </c>
      <c r="I137" s="7" t="n"/>
      <c r="J137" s="8" t="inlineStr">
        <is>
          <t>Source document text 1/1. Conditional applicability not yet encoded.</t>
        </is>
      </c>
    </row>
    <row r="138" ht="40" customHeight="1">
      <c r="A138" s="4" t="inlineStr">
        <is>
          <t>C13</t>
        </is>
      </c>
      <c r="B138" s="4" t="inlineStr">
        <is>
          <t>Kisan Credit Card</t>
        </is>
      </c>
      <c r="C138" s="4" t="inlineStr">
        <is>
          <t>C13-P0046</t>
        </is>
      </c>
      <c r="D138" s="4" t="inlineStr">
        <is>
          <t>Any other document as per sanction.</t>
        </is>
      </c>
      <c r="E138" s="4" t="inlineStr"/>
      <c r="F138" s="4" t="inlineStr">
        <is>
          <t>MS-C13</t>
        </is>
      </c>
      <c r="G138" s="4" t="inlineStr">
        <is>
          <t>C13@20261028-241c8bb1</t>
        </is>
      </c>
      <c r="H138" s="7" t="inlineStr">
        <is>
          <t>Approved</t>
        </is>
      </c>
      <c r="I138" s="7" t="n"/>
      <c r="J138" s="4" t="inlineStr">
        <is>
          <t>Source document text 1/1. Conditional applicability not yet encoded.</t>
        </is>
      </c>
    </row>
    <row r="139" ht="40" customHeight="1">
      <c r="A139" s="8" t="inlineStr">
        <is>
          <t>C14</t>
        </is>
      </c>
      <c r="B139" s="8" t="inlineStr">
        <is>
          <t>Pradhan Mantri Fasal Bima Yojna (PMFBY)</t>
        </is>
      </c>
      <c r="C139" s="8" t="inlineStr">
        <is>
          <t>C14-P0033</t>
        </is>
      </c>
      <c r="D139" s="8" t="inlineStr">
        <is>
          <t>Passport–sized Photograph</t>
        </is>
      </c>
      <c r="E139" s="8" t="inlineStr"/>
      <c r="F139" s="8" t="inlineStr">
        <is>
          <t>MS-C14</t>
        </is>
      </c>
      <c r="G139" s="8" t="inlineStr">
        <is>
          <t>C14@20261028-9029f2b7</t>
        </is>
      </c>
      <c r="H139" s="7" t="inlineStr">
        <is>
          <t>Approved</t>
        </is>
      </c>
      <c r="I139" s="7" t="n"/>
      <c r="J139" s="8" t="inlineStr">
        <is>
          <t>Source document text 1/1. Conditional applicability not yet encoded.</t>
        </is>
      </c>
    </row>
    <row r="140" ht="40" customHeight="1">
      <c r="A140" s="4" t="inlineStr">
        <is>
          <t>C14</t>
        </is>
      </c>
      <c r="B140" s="4" t="inlineStr">
        <is>
          <t>Pradhan Mantri Fasal Bima Yojna (PMFBY)</t>
        </is>
      </c>
      <c r="C140" s="4" t="inlineStr">
        <is>
          <t>C14-P0034</t>
        </is>
      </c>
      <c r="D140" s="4" t="inlineStr">
        <is>
          <t>Passbook</t>
        </is>
      </c>
      <c r="E140" s="4" t="inlineStr"/>
      <c r="F140" s="4" t="inlineStr">
        <is>
          <t>MS-C14</t>
        </is>
      </c>
      <c r="G140" s="4" t="inlineStr">
        <is>
          <t>C14@20261028-9029f2b7</t>
        </is>
      </c>
      <c r="H140" s="7" t="inlineStr">
        <is>
          <t>Approved</t>
        </is>
      </c>
      <c r="I140" s="7" t="n"/>
      <c r="J140" s="4" t="inlineStr">
        <is>
          <t>Source document text 1/1. Conditional applicability not yet encoded.</t>
        </is>
      </c>
    </row>
    <row r="141" ht="40" customHeight="1">
      <c r="A141" s="8" t="inlineStr">
        <is>
          <t>C14</t>
        </is>
      </c>
      <c r="B141" s="8" t="inlineStr">
        <is>
          <t>Pradhan Mantri Fasal Bima Yojna (PMFBY)</t>
        </is>
      </c>
      <c r="C141" s="8" t="inlineStr">
        <is>
          <t>C14-P0035</t>
        </is>
      </c>
      <c r="D141" s="8" t="inlineStr">
        <is>
          <t>Identity Proof (Aadhaar Card/PAN Card/Voter ID/Bank Passbook with Photo, Kisan Photo Book/NREGA Job Card)</t>
        </is>
      </c>
      <c r="E141" s="8" t="inlineStr"/>
      <c r="F141" s="8" t="inlineStr">
        <is>
          <t>MS-C14</t>
        </is>
      </c>
      <c r="G141" s="8" t="inlineStr">
        <is>
          <t>C14@20261028-9029f2b7</t>
        </is>
      </c>
      <c r="H141" s="7" t="inlineStr">
        <is>
          <t>Approved</t>
        </is>
      </c>
      <c r="I141" s="7" t="n"/>
      <c r="J141" s="8" t="inlineStr">
        <is>
          <t>Source document text 1/1. Conditional applicability not yet encoded.</t>
        </is>
      </c>
    </row>
    <row r="142" ht="40" customHeight="1">
      <c r="A142" s="4" t="inlineStr">
        <is>
          <t>C14</t>
        </is>
      </c>
      <c r="B142" s="4" t="inlineStr">
        <is>
          <t>Pradhan Mantri Fasal Bima Yojna (PMFBY)</t>
        </is>
      </c>
      <c r="C142" s="4" t="inlineStr">
        <is>
          <t>C14-P0036</t>
        </is>
      </c>
      <c r="D142" s="4" t="inlineStr">
        <is>
          <t>Address Proof (Aadhaar Card/PAN Card/Voter ID/Electricity Bill/Bank Passbook with Photo).</t>
        </is>
      </c>
      <c r="E142" s="4" t="inlineStr"/>
      <c r="F142" s="4" t="inlineStr">
        <is>
          <t>MS-C14</t>
        </is>
      </c>
      <c r="G142" s="4" t="inlineStr">
        <is>
          <t>C14@20261028-9029f2b7</t>
        </is>
      </c>
      <c r="H142" s="7" t="inlineStr">
        <is>
          <t>Approved</t>
        </is>
      </c>
      <c r="I142" s="7" t="n"/>
      <c r="J142" s="4" t="inlineStr">
        <is>
          <t>Source document text 1/1. Conditional applicability not yet encoded.</t>
        </is>
      </c>
    </row>
    <row r="143" ht="54" customHeight="1">
      <c r="A143" s="8" t="inlineStr">
        <is>
          <t>C14</t>
        </is>
      </c>
      <c r="B143" s="8" t="inlineStr">
        <is>
          <t>Pradhan Mantri Fasal Bima Yojna (PMFBY)</t>
        </is>
      </c>
      <c r="C143" s="8" t="inlineStr">
        <is>
          <t>C14-P0037</t>
        </is>
      </c>
      <c r="D143" s="8" t="inlineStr">
        <is>
          <t>Evidence of Land records, as per the State Records of Right (RoR), Land Possession Certificate (LPC), and other applicable agreements, contracts notified or permitted by the state.</t>
        </is>
      </c>
      <c r="E143" s="8" t="inlineStr"/>
      <c r="F143" s="8" t="inlineStr">
        <is>
          <t>MS-C14</t>
        </is>
      </c>
      <c r="G143" s="8" t="inlineStr">
        <is>
          <t>C14@20261028-9029f2b7</t>
        </is>
      </c>
      <c r="H143" s="7" t="inlineStr">
        <is>
          <t>Approved</t>
        </is>
      </c>
      <c r="I143" s="7" t="n"/>
      <c r="J143" s="8" t="inlineStr">
        <is>
          <t>Source document text 1/1. Conditional applicability not yet encoded.</t>
        </is>
      </c>
    </row>
    <row r="144" ht="40" customHeight="1">
      <c r="A144" s="4" t="inlineStr">
        <is>
          <t>C14</t>
        </is>
      </c>
      <c r="B144" s="4" t="inlineStr">
        <is>
          <t>Pradhan Mantri Fasal Bima Yojna (PMFBY)</t>
        </is>
      </c>
      <c r="C144" s="4" t="inlineStr">
        <is>
          <t>C14-P0038</t>
        </is>
      </c>
      <c r="D144" s="4" t="inlineStr">
        <is>
          <t>Declaration about the crop sown/intended to be sown.</t>
        </is>
      </c>
      <c r="E144" s="4" t="inlineStr"/>
      <c r="F144" s="4" t="inlineStr">
        <is>
          <t>MS-C14</t>
        </is>
      </c>
      <c r="G144" s="4" t="inlineStr">
        <is>
          <t>C14@20261028-9029f2b7</t>
        </is>
      </c>
      <c r="H144" s="7" t="inlineStr">
        <is>
          <t>Approved</t>
        </is>
      </c>
      <c r="I144" s="7" t="n"/>
      <c r="J144" s="4" t="inlineStr">
        <is>
          <t>Source document text 1/1. Conditional applicability not yet encoded.</t>
        </is>
      </c>
    </row>
    <row r="145" ht="40" customHeight="1">
      <c r="A145" s="8" t="inlineStr">
        <is>
          <t>C15</t>
        </is>
      </c>
      <c r="B145" s="8" t="inlineStr">
        <is>
          <t>Post Graduate Indira Gandhi Scholarship For Single Girl Child</t>
        </is>
      </c>
      <c r="C145" s="8" t="inlineStr">
        <is>
          <t>C15-P0022</t>
        </is>
      </c>
      <c r="D145" s="8" t="inlineStr">
        <is>
          <t>To be submitted by the Student</t>
        </is>
      </c>
      <c r="E145" s="8" t="inlineStr"/>
      <c r="F145" s="8" t="inlineStr">
        <is>
          <t>MS-C15</t>
        </is>
      </c>
      <c r="G145" s="8" t="inlineStr">
        <is>
          <t>C15@20261028-1856e0f4</t>
        </is>
      </c>
      <c r="H145" s="7" t="inlineStr">
        <is>
          <t>Approved</t>
        </is>
      </c>
      <c r="I145" s="7" t="n"/>
      <c r="J145" s="8" t="inlineStr">
        <is>
          <t>Source document text 1/1. Conditional applicability not yet encoded.</t>
        </is>
      </c>
    </row>
    <row r="146" ht="40" customHeight="1">
      <c r="A146" s="4" t="inlineStr">
        <is>
          <t>C15</t>
        </is>
      </c>
      <c r="B146" s="4" t="inlineStr">
        <is>
          <t>Post Graduate Indira Gandhi Scholarship For Single Girl Child</t>
        </is>
      </c>
      <c r="C146" s="4" t="inlineStr">
        <is>
          <t>C15-P0023</t>
        </is>
      </c>
      <c r="D146" s="4" t="inlineStr">
        <is>
          <t>1. Aadhaar Card</t>
        </is>
      </c>
      <c r="E146" s="4" t="inlineStr"/>
      <c r="F146" s="4" t="inlineStr">
        <is>
          <t>MS-C15</t>
        </is>
      </c>
      <c r="G146" s="4" t="inlineStr">
        <is>
          <t>C15@20261028-1856e0f4</t>
        </is>
      </c>
      <c r="H146" s="7" t="inlineStr">
        <is>
          <t>Approved</t>
        </is>
      </c>
      <c r="I146" s="7" t="n"/>
      <c r="J146" s="4" t="inlineStr">
        <is>
          <t>Source document text 1/1. Conditional applicability not yet encoded.</t>
        </is>
      </c>
    </row>
    <row r="147" ht="40" customHeight="1">
      <c r="A147" s="8" t="inlineStr">
        <is>
          <t>C15</t>
        </is>
      </c>
      <c r="B147" s="8" t="inlineStr">
        <is>
          <t>Post Graduate Indira Gandhi Scholarship For Single Girl Child</t>
        </is>
      </c>
      <c r="C147" s="8" t="inlineStr">
        <is>
          <t>C15-P0024</t>
        </is>
      </c>
      <c r="D147" s="8" t="inlineStr">
        <is>
          <t>2. Proof of admission into a recognized Master’s degree course in an institute located in India and recognized by the UGC.</t>
        </is>
      </c>
      <c r="E147" s="8" t="inlineStr"/>
      <c r="F147" s="8" t="inlineStr">
        <is>
          <t>MS-C15</t>
        </is>
      </c>
      <c r="G147" s="8" t="inlineStr">
        <is>
          <t>C15@20261028-1856e0f4</t>
        </is>
      </c>
      <c r="H147" s="7" t="inlineStr">
        <is>
          <t>Approved</t>
        </is>
      </c>
      <c r="I147" s="7" t="n"/>
      <c r="J147" s="8" t="inlineStr">
        <is>
          <t>Source document text 1/1. Conditional applicability not yet encoded.</t>
        </is>
      </c>
    </row>
    <row r="148" ht="40" customHeight="1">
      <c r="A148" s="4" t="inlineStr">
        <is>
          <t>C15</t>
        </is>
      </c>
      <c r="B148" s="4" t="inlineStr">
        <is>
          <t>Post Graduate Indira Gandhi Scholarship For Single Girl Child</t>
        </is>
      </c>
      <c r="C148" s="4" t="inlineStr">
        <is>
          <t>C15-P0025</t>
        </is>
      </c>
      <c r="D148" s="4" t="inlineStr">
        <is>
          <t>3. Joining report (as per format given in Annexure-I)</t>
        </is>
      </c>
      <c r="E148" s="4" t="inlineStr"/>
      <c r="F148" s="4" t="inlineStr">
        <is>
          <t>MS-C15</t>
        </is>
      </c>
      <c r="G148" s="4" t="inlineStr">
        <is>
          <t>C15@20261028-1856e0f4</t>
        </is>
      </c>
      <c r="H148" s="7" t="inlineStr">
        <is>
          <t>Approved</t>
        </is>
      </c>
      <c r="I148" s="7" t="n"/>
      <c r="J148" s="4" t="inlineStr">
        <is>
          <t>Source document text 1/1. Conditional applicability not yet encoded.</t>
        </is>
      </c>
    </row>
    <row r="149" ht="40" customHeight="1">
      <c r="A149" s="8" t="inlineStr">
        <is>
          <t>C15</t>
        </is>
      </c>
      <c r="B149" s="8" t="inlineStr">
        <is>
          <t>Post Graduate Indira Gandhi Scholarship For Single Girl Child</t>
        </is>
      </c>
      <c r="C149" s="8" t="inlineStr">
        <is>
          <t>C15-P0026</t>
        </is>
      </c>
      <c r="D149" s="8" t="inlineStr">
        <is>
          <t>4. Affidavit regarding Single girl child status (as per format given in Annexure-II)</t>
        </is>
      </c>
      <c r="E149" s="8" t="inlineStr"/>
      <c r="F149" s="8" t="inlineStr">
        <is>
          <t>MS-C15</t>
        </is>
      </c>
      <c r="G149" s="8" t="inlineStr">
        <is>
          <t>C15@20261028-1856e0f4</t>
        </is>
      </c>
      <c r="H149" s="7" t="inlineStr">
        <is>
          <t>Approved</t>
        </is>
      </c>
      <c r="I149" s="7" t="n"/>
      <c r="J149" s="8" t="inlineStr">
        <is>
          <t>Source document text 1/1. Conditional applicability not yet encoded.</t>
        </is>
      </c>
    </row>
    <row r="150" ht="40" customHeight="1">
      <c r="A150" s="4" t="inlineStr">
        <is>
          <t>C15</t>
        </is>
      </c>
      <c r="B150" s="4" t="inlineStr">
        <is>
          <t>Post Graduate Indira Gandhi Scholarship For Single Girl Child</t>
        </is>
      </c>
      <c r="C150" s="4" t="inlineStr">
        <is>
          <t>C15-P0027</t>
        </is>
      </c>
      <c r="D150" s="4" t="inlineStr">
        <is>
          <t>5. Copy of the Bank Passbook</t>
        </is>
      </c>
      <c r="E150" s="4" t="inlineStr"/>
      <c r="F150" s="4" t="inlineStr">
        <is>
          <t>MS-C15</t>
        </is>
      </c>
      <c r="G150" s="4" t="inlineStr">
        <is>
          <t>C15@20261028-1856e0f4</t>
        </is>
      </c>
      <c r="H150" s="7" t="inlineStr">
        <is>
          <t>Approved</t>
        </is>
      </c>
      <c r="I150" s="7" t="n"/>
      <c r="J150" s="4" t="inlineStr">
        <is>
          <t>Source document text 1/1. Conditional applicability not yet encoded.</t>
        </is>
      </c>
    </row>
    <row r="151" ht="40" customHeight="1">
      <c r="A151" s="8" t="inlineStr">
        <is>
          <t>C15</t>
        </is>
      </c>
      <c r="B151" s="8" t="inlineStr">
        <is>
          <t>Post Graduate Indira Gandhi Scholarship For Single Girl Child</t>
        </is>
      </c>
      <c r="C151" s="8" t="inlineStr">
        <is>
          <t>C15-P0028</t>
        </is>
      </c>
      <c r="D151" s="8" t="inlineStr">
        <is>
          <t>6. Birth Certificate or Class 10th Marksheet</t>
        </is>
      </c>
      <c r="E151" s="8" t="inlineStr"/>
      <c r="F151" s="8" t="inlineStr">
        <is>
          <t>MS-C15</t>
        </is>
      </c>
      <c r="G151" s="8" t="inlineStr">
        <is>
          <t>C15@20261028-1856e0f4</t>
        </is>
      </c>
      <c r="H151" s="7" t="inlineStr">
        <is>
          <t>Approved</t>
        </is>
      </c>
      <c r="I151" s="7" t="n"/>
      <c r="J151" s="8" t="inlineStr">
        <is>
          <t>Source document text 1/1. Conditional applicability not yet encoded.</t>
        </is>
      </c>
    </row>
    <row r="152" ht="40" customHeight="1">
      <c r="A152" s="4" t="inlineStr">
        <is>
          <t>C15</t>
        </is>
      </c>
      <c r="B152" s="4" t="inlineStr">
        <is>
          <t>Post Graduate Indira Gandhi Scholarship For Single Girl Child</t>
        </is>
      </c>
      <c r="C152" s="4" t="inlineStr">
        <is>
          <t>C15-P0029</t>
        </is>
      </c>
      <c r="D152" s="4" t="inlineStr">
        <is>
          <t>To be submitted by the Institution</t>
        </is>
      </c>
      <c r="E152" s="4" t="inlineStr"/>
      <c r="F152" s="4" t="inlineStr">
        <is>
          <t>MS-C15</t>
        </is>
      </c>
      <c r="G152" s="4" t="inlineStr">
        <is>
          <t>C15@20261028-1856e0f4</t>
        </is>
      </c>
      <c r="H152" s="7" t="inlineStr">
        <is>
          <t>Approved</t>
        </is>
      </c>
      <c r="I152" s="7" t="n"/>
      <c r="J152" s="4" t="inlineStr">
        <is>
          <t>Source document text 1/1. Conditional applicability not yet encoded.</t>
        </is>
      </c>
    </row>
    <row r="153" ht="40" customHeight="1">
      <c r="A153" s="8" t="inlineStr">
        <is>
          <t>C15</t>
        </is>
      </c>
      <c r="B153" s="8" t="inlineStr">
        <is>
          <t>Post Graduate Indira Gandhi Scholarship For Single Girl Child</t>
        </is>
      </c>
      <c r="C153" s="8" t="inlineStr">
        <is>
          <t>C15-P0030</t>
        </is>
      </c>
      <c r="D153" s="8" t="inlineStr">
        <is>
          <t>1. A progress Report after the completion of the first year along with the percentage of marks obtained by the candidates needs to be submitted by the institution.</t>
        </is>
      </c>
      <c r="E153" s="8" t="inlineStr"/>
      <c r="F153" s="8" t="inlineStr">
        <is>
          <t>MS-C15</t>
        </is>
      </c>
      <c r="G153" s="8" t="inlineStr">
        <is>
          <t>C15@20261028-1856e0f4</t>
        </is>
      </c>
      <c r="H153" s="7" t="inlineStr">
        <is>
          <t>Approved</t>
        </is>
      </c>
      <c r="I153" s="7" t="n"/>
      <c r="J153" s="8" t="inlineStr">
        <is>
          <t>Source document text 1/1. Conditional applicability not yet encoded.</t>
        </is>
      </c>
    </row>
    <row r="154" ht="40" customHeight="1">
      <c r="A154" s="4" t="inlineStr">
        <is>
          <t>C15</t>
        </is>
      </c>
      <c r="B154" s="4" t="inlineStr">
        <is>
          <t>Post Graduate Indira Gandhi Scholarship For Single Girl Child</t>
        </is>
      </c>
      <c r="C154" s="4" t="inlineStr">
        <is>
          <t>C15-P0031</t>
        </is>
      </c>
      <c r="D154" s="4" t="inlineStr">
        <is>
          <t>2. Funds Utilization Certificate also needs to be submitted by the Institution Authorities after completion of the First Year.</t>
        </is>
      </c>
      <c r="E154" s="4" t="inlineStr"/>
      <c r="F154" s="4" t="inlineStr">
        <is>
          <t>MS-C15</t>
        </is>
      </c>
      <c r="G154" s="4" t="inlineStr">
        <is>
          <t>C15@20261028-1856e0f4</t>
        </is>
      </c>
      <c r="H154" s="7" t="inlineStr">
        <is>
          <t>Approved</t>
        </is>
      </c>
      <c r="I154" s="7" t="n"/>
      <c r="J154" s="4" t="inlineStr">
        <is>
          <t>Source document text 1/1. Conditional applicability not yet encoded.</t>
        </is>
      </c>
    </row>
    <row r="155" ht="82" customHeight="1">
      <c r="A155" s="8" t="inlineStr">
        <is>
          <t>C16</t>
        </is>
      </c>
      <c r="B155" s="8" t="inlineStr">
        <is>
          <t>Dr Ambedkar Central Sector Scheme of Interest Subsidy on Educational Loans for Overseas Studies for Other Backward Classes (OBCs) and Economically Backward Classes (EBCs)</t>
        </is>
      </c>
      <c r="C155" s="8" t="inlineStr">
        <is>
          <t>C16-P0020</t>
        </is>
      </c>
      <c r="D155" s="8" t="inlineStr">
        <is>
          <t>Passport Sized Photograph</t>
        </is>
      </c>
      <c r="E155" s="8" t="inlineStr"/>
      <c r="F155" s="8" t="inlineStr">
        <is>
          <t>MS-C16</t>
        </is>
      </c>
      <c r="G155" s="8" t="inlineStr">
        <is>
          <t>C16@20261028-ffa365dc</t>
        </is>
      </c>
      <c r="H155" s="7" t="inlineStr">
        <is>
          <t>Approved</t>
        </is>
      </c>
      <c r="I155" s="7" t="n"/>
      <c r="J155" s="8" t="inlineStr">
        <is>
          <t>Source document text 1/1. Conditional applicability not yet encoded.</t>
        </is>
      </c>
    </row>
    <row r="156" ht="82" customHeight="1">
      <c r="A156" s="4" t="inlineStr">
        <is>
          <t>C16</t>
        </is>
      </c>
      <c r="B156" s="4" t="inlineStr">
        <is>
          <t>Dr Ambedkar Central Sector Scheme of Interest Subsidy on Educational Loans for Overseas Studies for Other Backward Classes (OBCs) and Economically Backward Classes (EBCs)</t>
        </is>
      </c>
      <c r="C156" s="4" t="inlineStr">
        <is>
          <t>C16-P0021</t>
        </is>
      </c>
      <c r="D156" s="4" t="inlineStr">
        <is>
          <t>Aadhaar Number</t>
        </is>
      </c>
      <c r="E156" s="4" t="inlineStr"/>
      <c r="F156" s="4" t="inlineStr">
        <is>
          <t>MS-C16</t>
        </is>
      </c>
      <c r="G156" s="4" t="inlineStr">
        <is>
          <t>C16@20261028-ffa365dc</t>
        </is>
      </c>
      <c r="H156" s="7" t="inlineStr">
        <is>
          <t>Approved</t>
        </is>
      </c>
      <c r="I156" s="7" t="n"/>
      <c r="J156" s="4" t="inlineStr">
        <is>
          <t>Source document text 1/1. Conditional applicability not yet encoded.</t>
        </is>
      </c>
    </row>
    <row r="157" ht="82" customHeight="1">
      <c r="A157" s="8" t="inlineStr">
        <is>
          <t>C16</t>
        </is>
      </c>
      <c r="B157" s="8" t="inlineStr">
        <is>
          <t>Dr Ambedkar Central Sector Scheme of Interest Subsidy on Educational Loans for Overseas Studies for Other Backward Classes (OBCs) and Economically Backward Classes (EBCs)</t>
        </is>
      </c>
      <c r="C157" s="8" t="inlineStr">
        <is>
          <t>C16-P0022</t>
        </is>
      </c>
      <c r="D157" s="8" t="inlineStr">
        <is>
          <t>Proof of Educational Qualification</t>
        </is>
      </c>
      <c r="E157" s="8" t="inlineStr"/>
      <c r="F157" s="8" t="inlineStr">
        <is>
          <t>MS-C16</t>
        </is>
      </c>
      <c r="G157" s="8" t="inlineStr">
        <is>
          <t>C16@20261028-ffa365dc</t>
        </is>
      </c>
      <c r="H157" s="7" t="inlineStr">
        <is>
          <t>Approved</t>
        </is>
      </c>
      <c r="I157" s="7" t="n"/>
      <c r="J157" s="8" t="inlineStr">
        <is>
          <t>Source document text 1/1. Conditional applicability not yet encoded.</t>
        </is>
      </c>
    </row>
    <row r="158" ht="82" customHeight="1">
      <c r="A158" s="4" t="inlineStr">
        <is>
          <t>C16</t>
        </is>
      </c>
      <c r="B158" s="4" t="inlineStr">
        <is>
          <t>Dr Ambedkar Central Sector Scheme of Interest Subsidy on Educational Loans for Overseas Studies for Other Backward Classes (OBCs) and Economically Backward Classes (EBCs)</t>
        </is>
      </c>
      <c r="C158" s="4" t="inlineStr">
        <is>
          <t>C16-P0023</t>
        </is>
      </c>
      <c r="D158" s="4" t="inlineStr">
        <is>
          <t>Bonafide Certificate</t>
        </is>
      </c>
      <c r="E158" s="4" t="inlineStr"/>
      <c r="F158" s="4" t="inlineStr">
        <is>
          <t>MS-C16</t>
        </is>
      </c>
      <c r="G158" s="4" t="inlineStr">
        <is>
          <t>C16@20261028-ffa365dc</t>
        </is>
      </c>
      <c r="H158" s="7" t="inlineStr">
        <is>
          <t>Approved</t>
        </is>
      </c>
      <c r="I158" s="7" t="n"/>
      <c r="J158" s="4" t="inlineStr">
        <is>
          <t>Source document text 1/1. Conditional applicability not yet encoded.</t>
        </is>
      </c>
    </row>
    <row r="159" ht="82" customHeight="1">
      <c r="A159" s="8" t="inlineStr">
        <is>
          <t>C16</t>
        </is>
      </c>
      <c r="B159" s="8" t="inlineStr">
        <is>
          <t>Dr Ambedkar Central Sector Scheme of Interest Subsidy on Educational Loans for Overseas Studies for Other Backward Classes (OBCs) and Economically Backward Classes (EBCs)</t>
        </is>
      </c>
      <c r="C159" s="8" t="inlineStr">
        <is>
          <t>C16-P0024</t>
        </is>
      </c>
      <c r="D159" s="8" t="inlineStr">
        <is>
          <t>For the candidate applying under the OBC category, the OBC Caste certificate in the prescribed Performa issued by the competent authority.</t>
        </is>
      </c>
      <c r="E159" s="8" t="inlineStr"/>
      <c r="F159" s="8" t="inlineStr">
        <is>
          <t>MS-C16</t>
        </is>
      </c>
      <c r="G159" s="8" t="inlineStr">
        <is>
          <t>C16@20261028-ffa365dc</t>
        </is>
      </c>
      <c r="H159" s="7" t="inlineStr">
        <is>
          <t>Approved</t>
        </is>
      </c>
      <c r="I159" s="7" t="n"/>
      <c r="J159" s="8" t="inlineStr">
        <is>
          <t>Source document text 1/1. Conditional applicability not yet encoded.</t>
        </is>
      </c>
    </row>
    <row r="160" ht="82" customHeight="1">
      <c r="A160" s="4" t="inlineStr">
        <is>
          <t>C16</t>
        </is>
      </c>
      <c r="B160" s="4" t="inlineStr">
        <is>
          <t>Dr Ambedkar Central Sector Scheme of Interest Subsidy on Educational Loans for Overseas Studies for Other Backward Classes (OBCs) and Economically Backward Classes (EBCs)</t>
        </is>
      </c>
      <c r="C160" s="4" t="inlineStr">
        <is>
          <t>C16-P0025</t>
        </is>
      </c>
      <c r="D160" s="4" t="inlineStr">
        <is>
          <t>Income certificate produced by the student for availing Educational Loan viz. ITR/Form 16/Audited Accounts/Income certificate issued by the authority of the State Government/UT Administration.</t>
        </is>
      </c>
      <c r="E160" s="4" t="inlineStr"/>
      <c r="F160" s="4" t="inlineStr">
        <is>
          <t>MS-C16</t>
        </is>
      </c>
      <c r="G160" s="4" t="inlineStr">
        <is>
          <t>C16@20261028-ffa365dc</t>
        </is>
      </c>
      <c r="H160" s="7" t="inlineStr">
        <is>
          <t>Approved</t>
        </is>
      </c>
      <c r="I160" s="7" t="n"/>
      <c r="J160" s="4" t="inlineStr">
        <is>
          <t>Source document text 1/1. Conditional applicability not yet encoded.</t>
        </is>
      </c>
    </row>
    <row r="161" ht="82" customHeight="1">
      <c r="A161" s="8" t="inlineStr">
        <is>
          <t>C16</t>
        </is>
      </c>
      <c r="B161" s="8" t="inlineStr">
        <is>
          <t>Dr Ambedkar Central Sector Scheme of Interest Subsidy on Educational Loans for Overseas Studies for Other Backward Classes (OBCs) and Economically Backward Classes (EBCs)</t>
        </is>
      </c>
      <c r="C161" s="8" t="inlineStr">
        <is>
          <t>C16-P0026</t>
        </is>
      </c>
      <c r="D161" s="8" t="inlineStr">
        <is>
          <t>Details of the Aadhaar-linked Bank Account.</t>
        </is>
      </c>
      <c r="E161" s="8" t="inlineStr"/>
      <c r="F161" s="8" t="inlineStr">
        <is>
          <t>MS-C16</t>
        </is>
      </c>
      <c r="G161" s="8" t="inlineStr">
        <is>
          <t>C16@20261028-ffa365dc</t>
        </is>
      </c>
      <c r="H161" s="7" t="inlineStr">
        <is>
          <t>Approved</t>
        </is>
      </c>
      <c r="I161" s="7" t="n"/>
      <c r="J161" s="8" t="inlineStr">
        <is>
          <t>Source document text 1/1. Conditional applicability not yet encoded.</t>
        </is>
      </c>
    </row>
    <row r="162" ht="40" customHeight="1">
      <c r="A162" s="4" t="inlineStr">
        <is>
          <t>C17</t>
        </is>
      </c>
      <c r="B162" s="4" t="inlineStr">
        <is>
          <t>Nikshay Poshan Yojana</t>
        </is>
      </c>
      <c r="C162" s="4" t="inlineStr">
        <is>
          <t>C17-P0005</t>
        </is>
      </c>
      <c r="D162" s="4" t="inlineStr">
        <is>
          <t>Bank Account Proof</t>
        </is>
      </c>
      <c r="E162" s="4" t="inlineStr">
        <is>
          <t>Bank Account Proof</t>
        </is>
      </c>
      <c r="F162" s="4" t="inlineStr">
        <is>
          <t>MS-C17</t>
        </is>
      </c>
      <c r="G162" s="4" t="inlineStr">
        <is>
          <t>C17@20261028-265c1bfa</t>
        </is>
      </c>
      <c r="H162" s="7" t="inlineStr">
        <is>
          <t>Approved</t>
        </is>
      </c>
      <c r="I162" s="7" t="n"/>
      <c r="J162" s="4" t="inlineStr">
        <is>
          <t>Source heading</t>
        </is>
      </c>
    </row>
    <row r="163" ht="40" customHeight="1">
      <c r="A163" s="8" t="inlineStr">
        <is>
          <t>C17</t>
        </is>
      </c>
      <c r="B163" s="8" t="inlineStr">
        <is>
          <t>Nikshay Poshan Yojana</t>
        </is>
      </c>
      <c r="C163" s="8" t="inlineStr">
        <is>
          <t>C17-P0006</t>
        </is>
      </c>
      <c r="D163" s="8" t="inlineStr">
        <is>
          <t>Photocopy of bank passbook (showing account holder name, account number, and IFSC)</t>
        </is>
      </c>
      <c r="E163" s="8" t="inlineStr">
        <is>
          <t>Bank Account Proof</t>
        </is>
      </c>
      <c r="F163" s="8" t="inlineStr">
        <is>
          <t>MS-C17</t>
        </is>
      </c>
      <c r="G163" s="8" t="inlineStr">
        <is>
          <t>C17@20261028-265c1bfa</t>
        </is>
      </c>
      <c r="H163" s="7" t="inlineStr">
        <is>
          <t>Approved</t>
        </is>
      </c>
      <c r="I163" s="7" t="n"/>
      <c r="J163" s="8" t="inlineStr">
        <is>
          <t>Source document text 1/1. Conditional applicability not yet encoded.</t>
        </is>
      </c>
    </row>
    <row r="164" ht="40" customHeight="1">
      <c r="A164" s="4" t="inlineStr">
        <is>
          <t>C17</t>
        </is>
      </c>
      <c r="B164" s="4" t="inlineStr">
        <is>
          <t>Nikshay Poshan Yojana</t>
        </is>
      </c>
      <c r="C164" s="4" t="inlineStr">
        <is>
          <t>C17-P0007</t>
        </is>
      </c>
      <c r="D164" s="4" t="inlineStr">
        <is>
          <t>Cancelled cheque</t>
        </is>
      </c>
      <c r="E164" s="4" t="inlineStr">
        <is>
          <t>Bank Account Proof</t>
        </is>
      </c>
      <c r="F164" s="4" t="inlineStr">
        <is>
          <t>MS-C17</t>
        </is>
      </c>
      <c r="G164" s="4" t="inlineStr">
        <is>
          <t>C17@20261028-265c1bfa</t>
        </is>
      </c>
      <c r="H164" s="7" t="inlineStr">
        <is>
          <t>Approved</t>
        </is>
      </c>
      <c r="I164" s="7" t="n"/>
      <c r="J164" s="4" t="inlineStr">
        <is>
          <t>Source document text 1/1. Conditional applicability not yet encoded.</t>
        </is>
      </c>
    </row>
    <row r="165" ht="40" customHeight="1">
      <c r="A165" s="8" t="inlineStr">
        <is>
          <t>C17</t>
        </is>
      </c>
      <c r="B165" s="8" t="inlineStr">
        <is>
          <t>Nikshay Poshan Yojana</t>
        </is>
      </c>
      <c r="C165" s="8" t="inlineStr">
        <is>
          <t>C17-P0008</t>
        </is>
      </c>
      <c r="D165" s="8" t="inlineStr">
        <is>
          <t>Recent bank statement.</t>
        </is>
      </c>
      <c r="E165" s="8" t="inlineStr">
        <is>
          <t>Bank Account Proof</t>
        </is>
      </c>
      <c r="F165" s="8" t="inlineStr">
        <is>
          <t>MS-C17</t>
        </is>
      </c>
      <c r="G165" s="8" t="inlineStr">
        <is>
          <t>C17@20261028-265c1bfa</t>
        </is>
      </c>
      <c r="H165" s="7" t="inlineStr">
        <is>
          <t>Approved</t>
        </is>
      </c>
      <c r="I165" s="7" t="n"/>
      <c r="J165" s="8" t="inlineStr">
        <is>
          <t>Source document text 1/1. Conditional applicability not yet encoded.</t>
        </is>
      </c>
    </row>
    <row r="166" ht="40" customHeight="1">
      <c r="A166" s="4" t="inlineStr">
        <is>
          <t>C17</t>
        </is>
      </c>
      <c r="B166" s="4" t="inlineStr">
        <is>
          <t>Nikshay Poshan Yojana</t>
        </is>
      </c>
      <c r="C166" s="4" t="inlineStr">
        <is>
          <t>C17-P0009</t>
        </is>
      </c>
      <c r="D166" s="4" t="inlineStr">
        <is>
          <t>Note: The account must be a savings bank account, active, and preferably Aadhaar-linked.</t>
        </is>
      </c>
      <c r="E166" s="4" t="inlineStr">
        <is>
          <t>Bank Account Proof</t>
        </is>
      </c>
      <c r="F166" s="4" t="inlineStr">
        <is>
          <t>MS-C17</t>
        </is>
      </c>
      <c r="G166" s="4" t="inlineStr">
        <is>
          <t>C17@20261028-265c1bfa</t>
        </is>
      </c>
      <c r="H166" s="7" t="inlineStr">
        <is>
          <t>Approved</t>
        </is>
      </c>
      <c r="I166" s="7" t="n"/>
      <c r="J166" s="4" t="inlineStr">
        <is>
          <t>Source document text 1/1. Conditional applicability not yet encoded.</t>
        </is>
      </c>
    </row>
    <row r="167" ht="40" customHeight="1">
      <c r="A167" s="8" t="inlineStr">
        <is>
          <t>C17</t>
        </is>
      </c>
      <c r="B167" s="8" t="inlineStr">
        <is>
          <t>Nikshay Poshan Yojana</t>
        </is>
      </c>
      <c r="C167" s="8" t="inlineStr">
        <is>
          <t>C17-P0010</t>
        </is>
      </c>
      <c r="D167" s="8" t="inlineStr">
        <is>
          <t>Aadhaar Document (Optional but Recommended)</t>
        </is>
      </c>
      <c r="E167" s="8" t="inlineStr">
        <is>
          <t>Aadhaar Document (Optional but Recommended)</t>
        </is>
      </c>
      <c r="F167" s="8" t="inlineStr">
        <is>
          <t>MS-C17</t>
        </is>
      </c>
      <c r="G167" s="8" t="inlineStr">
        <is>
          <t>C17@20261028-265c1bfa</t>
        </is>
      </c>
      <c r="H167" s="7" t="inlineStr">
        <is>
          <t>Approved</t>
        </is>
      </c>
      <c r="I167" s="7" t="n"/>
      <c r="J167" s="8" t="inlineStr">
        <is>
          <t>Source heading</t>
        </is>
      </c>
    </row>
    <row r="168" ht="40" customHeight="1">
      <c r="A168" s="4" t="inlineStr">
        <is>
          <t>C17</t>
        </is>
      </c>
      <c r="B168" s="4" t="inlineStr">
        <is>
          <t>Nikshay Poshan Yojana</t>
        </is>
      </c>
      <c r="C168" s="4" t="inlineStr">
        <is>
          <t>C17-P0011</t>
        </is>
      </c>
      <c r="D168" s="4" t="inlineStr">
        <is>
          <t>Copy of Aadhaar Card (if available)</t>
        </is>
      </c>
      <c r="E168" s="4" t="inlineStr">
        <is>
          <t>Aadhaar Document (Optional but Recommended)</t>
        </is>
      </c>
      <c r="F168" s="4" t="inlineStr">
        <is>
          <t>MS-C17</t>
        </is>
      </c>
      <c r="G168" s="4" t="inlineStr">
        <is>
          <t>C17@20261028-265c1bfa</t>
        </is>
      </c>
      <c r="H168" s="7" t="inlineStr">
        <is>
          <t>Approved</t>
        </is>
      </c>
      <c r="I168" s="7" t="n"/>
      <c r="J168" s="4" t="inlineStr">
        <is>
          <t>Source document text 1/1. Conditional applicability not yet encoded.</t>
        </is>
      </c>
    </row>
    <row r="169" ht="40" customHeight="1">
      <c r="A169" s="8" t="inlineStr">
        <is>
          <t>C17</t>
        </is>
      </c>
      <c r="B169" s="8" t="inlineStr">
        <is>
          <t>Nikshay Poshan Yojana</t>
        </is>
      </c>
      <c r="C169" s="8" t="inlineStr">
        <is>
          <t>C17-P0012</t>
        </is>
      </c>
      <c r="D169" s="8" t="inlineStr">
        <is>
          <t>If Aadhaar is not available, you should:</t>
        </is>
      </c>
      <c r="E169" s="8" t="inlineStr">
        <is>
          <t>Aadhaar Document (Optional but Recommended)</t>
        </is>
      </c>
      <c r="F169" s="8" t="inlineStr">
        <is>
          <t>MS-C17</t>
        </is>
      </c>
      <c r="G169" s="8" t="inlineStr">
        <is>
          <t>C17@20261028-265c1bfa</t>
        </is>
      </c>
      <c r="H169" s="7" t="inlineStr">
        <is>
          <t>Approved</t>
        </is>
      </c>
      <c r="I169" s="7" t="n"/>
      <c r="J169" s="8" t="inlineStr">
        <is>
          <t>Source document text 1/1. Conditional applicability not yet encoded.</t>
        </is>
      </c>
    </row>
    <row r="170" ht="40" customHeight="1">
      <c r="A170" s="4" t="inlineStr">
        <is>
          <t>C17</t>
        </is>
      </c>
      <c r="B170" s="4" t="inlineStr">
        <is>
          <t>Nikshay Poshan Yojana</t>
        </is>
      </c>
      <c r="C170" s="4" t="inlineStr">
        <is>
          <t>C17-P0013</t>
        </is>
      </c>
      <c r="D170" s="4" t="inlineStr">
        <is>
          <t>Apply for Aadhaar and submit a copy of the acknowledgement receipt</t>
        </is>
      </c>
      <c r="E170" s="4" t="inlineStr">
        <is>
          <t>Aadhaar Document (Optional but Recommended)</t>
        </is>
      </c>
      <c r="F170" s="4" t="inlineStr">
        <is>
          <t>MS-C17</t>
        </is>
      </c>
      <c r="G170" s="4" t="inlineStr">
        <is>
          <t>C17@20261028-265c1bfa</t>
        </is>
      </c>
      <c r="H170" s="7" t="inlineStr">
        <is>
          <t>Approved</t>
        </is>
      </c>
      <c r="I170" s="7" t="n"/>
      <c r="J170" s="4" t="inlineStr">
        <is>
          <t>Source document text 1/1. Conditional applicability not yet encoded.</t>
        </is>
      </c>
    </row>
    <row r="171" ht="40" customHeight="1">
      <c r="A171" s="8" t="inlineStr">
        <is>
          <t>C17</t>
        </is>
      </c>
      <c r="B171" s="8" t="inlineStr">
        <is>
          <t>Nikshay Poshan Yojana</t>
        </is>
      </c>
      <c r="C171" s="8" t="inlineStr">
        <is>
          <t>C17-P0014</t>
        </is>
      </c>
      <c r="D171" s="8" t="inlineStr">
        <is>
          <t>Consent/Declaration Form (Only in specific cases)</t>
        </is>
      </c>
      <c r="E171" s="8" t="inlineStr">
        <is>
          <t>Consent/Declaration Form (Only in specific cases)</t>
        </is>
      </c>
      <c r="F171" s="8" t="inlineStr">
        <is>
          <t>MS-C17</t>
        </is>
      </c>
      <c r="G171" s="8" t="inlineStr">
        <is>
          <t>C17@20261028-265c1bfa</t>
        </is>
      </c>
      <c r="H171" s="7" t="inlineStr">
        <is>
          <t>Approved</t>
        </is>
      </c>
      <c r="I171" s="7" t="n"/>
      <c r="J171" s="8" t="inlineStr">
        <is>
          <t>Source heading</t>
        </is>
      </c>
    </row>
    <row r="172" ht="40" customHeight="1">
      <c r="A172" s="4" t="inlineStr">
        <is>
          <t>C17</t>
        </is>
      </c>
      <c r="B172" s="4" t="inlineStr">
        <is>
          <t>Nikshay Poshan Yojana</t>
        </is>
      </c>
      <c r="C172" s="4" t="inlineStr">
        <is>
          <t>C17-P0015</t>
        </is>
      </c>
      <c r="D172" s="4" t="inlineStr">
        <is>
          <t>If you wish to receive benefits in a family member’s bank account:</t>
        </is>
      </c>
      <c r="E172" s="4" t="inlineStr">
        <is>
          <t>Consent/Declaration Form (Only in specific cases)</t>
        </is>
      </c>
      <c r="F172" s="4" t="inlineStr">
        <is>
          <t>MS-C17</t>
        </is>
      </c>
      <c r="G172" s="4" t="inlineStr">
        <is>
          <t>C17@20261028-265c1bfa</t>
        </is>
      </c>
      <c r="H172" s="7" t="inlineStr">
        <is>
          <t>Approved</t>
        </is>
      </c>
      <c r="I172" s="7" t="n"/>
      <c r="J172" s="4" t="inlineStr">
        <is>
          <t>Source document text 1/1. Conditional applicability not yet encoded.</t>
        </is>
      </c>
    </row>
    <row r="173" ht="40" customHeight="1">
      <c r="A173" s="8" t="inlineStr">
        <is>
          <t>C17</t>
        </is>
      </c>
      <c r="B173" s="8" t="inlineStr">
        <is>
          <t>Nikshay Poshan Yojana</t>
        </is>
      </c>
      <c r="C173" s="8" t="inlineStr">
        <is>
          <t>C17-P0016</t>
        </is>
      </c>
      <c r="D173" s="8" t="inlineStr">
        <is>
          <t>A written consent/authorization form is required (format provided in the annexure of the manual).</t>
        </is>
      </c>
      <c r="E173" s="8" t="inlineStr">
        <is>
          <t>Consent/Declaration Form (Only in specific cases)</t>
        </is>
      </c>
      <c r="F173" s="8" t="inlineStr">
        <is>
          <t>MS-C17</t>
        </is>
      </c>
      <c r="G173" s="8" t="inlineStr">
        <is>
          <t>C17@20261028-265c1bfa</t>
        </is>
      </c>
      <c r="H173" s="7" t="inlineStr">
        <is>
          <t>Approved</t>
        </is>
      </c>
      <c r="I173" s="7" t="n"/>
      <c r="J173" s="8" t="inlineStr">
        <is>
          <t>Source document text 1/1. Conditional applicability not yet encoded.</t>
        </is>
      </c>
    </row>
    <row r="174" ht="40" customHeight="1">
      <c r="A174" s="4" t="inlineStr">
        <is>
          <t>C17</t>
        </is>
      </c>
      <c r="B174" s="4" t="inlineStr">
        <is>
          <t>Nikshay Poshan Yojana</t>
        </is>
      </c>
      <c r="C174" s="4" t="inlineStr">
        <is>
          <t>C17-P0017</t>
        </is>
      </c>
      <c r="D174" s="4" t="inlineStr">
        <is>
          <t>If you refuse to receive DBT benefits:</t>
        </is>
      </c>
      <c r="E174" s="4" t="inlineStr">
        <is>
          <t>Consent/Declaration Form (Only in specific cases)</t>
        </is>
      </c>
      <c r="F174" s="4" t="inlineStr">
        <is>
          <t>MS-C17</t>
        </is>
      </c>
      <c r="G174" s="4" t="inlineStr">
        <is>
          <t>C17@20261028-265c1bfa</t>
        </is>
      </c>
      <c r="H174" s="7" t="inlineStr">
        <is>
          <t>Approved</t>
        </is>
      </c>
      <c r="I174" s="7" t="n"/>
      <c r="J174" s="4" t="inlineStr">
        <is>
          <t>Source document text 1/1. Conditional applicability not yet encoded.</t>
        </is>
      </c>
    </row>
    <row r="175" ht="40" customHeight="1">
      <c r="A175" s="8" t="inlineStr">
        <is>
          <t>C17</t>
        </is>
      </c>
      <c r="B175" s="8" t="inlineStr">
        <is>
          <t>Nikshay Poshan Yojana</t>
        </is>
      </c>
      <c r="C175" s="8" t="inlineStr">
        <is>
          <t>C17-P0018</t>
        </is>
      </c>
      <c r="D175" s="8" t="inlineStr">
        <is>
          <t>A signed declaration to forego benefits must be submitted.</t>
        </is>
      </c>
      <c r="E175" s="8" t="inlineStr">
        <is>
          <t>Consent/Declaration Form (Only in specific cases)</t>
        </is>
      </c>
      <c r="F175" s="8" t="inlineStr">
        <is>
          <t>MS-C17</t>
        </is>
      </c>
      <c r="G175" s="8" t="inlineStr">
        <is>
          <t>C17@20261028-265c1bfa</t>
        </is>
      </c>
      <c r="H175" s="7" t="inlineStr">
        <is>
          <t>Approved</t>
        </is>
      </c>
      <c r="I175" s="7" t="n"/>
      <c r="J175" s="8" t="inlineStr">
        <is>
          <t>Source document text 1/1. Conditional applicability not yet encoded.</t>
        </is>
      </c>
    </row>
    <row r="176" ht="40" customHeight="1">
      <c r="A176" s="4" t="inlineStr">
        <is>
          <t>C18</t>
        </is>
      </c>
      <c r="B176" s="4" t="inlineStr">
        <is>
          <t>Pradhan Mantri Surakshit Matritva Abhiyan</t>
        </is>
      </c>
      <c r="C176" s="4" t="inlineStr">
        <is>
          <t>C18-P0027</t>
        </is>
      </c>
      <c r="D176" s="4" t="inlineStr">
        <is>
          <t>At Health Facility Visit</t>
        </is>
      </c>
      <c r="E176" s="4" t="inlineStr">
        <is>
          <t>At Health Facility Visit</t>
        </is>
      </c>
      <c r="F176" s="4" t="inlineStr">
        <is>
          <t>MS-C18</t>
        </is>
      </c>
      <c r="G176" s="4" t="inlineStr">
        <is>
          <t>C18@20261028-4c31c2aa</t>
        </is>
      </c>
      <c r="H176" s="7" t="inlineStr">
        <is>
          <t>Approved</t>
        </is>
      </c>
      <c r="I176" s="7" t="n"/>
      <c r="J176" s="4" t="inlineStr">
        <is>
          <t>Source heading</t>
        </is>
      </c>
    </row>
    <row r="177" ht="40" customHeight="1">
      <c r="A177" s="8" t="inlineStr">
        <is>
          <t>C18</t>
        </is>
      </c>
      <c r="B177" s="8" t="inlineStr">
        <is>
          <t>Pradhan Mantri Surakshit Matritva Abhiyan</t>
        </is>
      </c>
      <c r="C177" s="8" t="inlineStr">
        <is>
          <t>C18-P0028</t>
        </is>
      </c>
      <c r="D177" s="8" t="inlineStr">
        <is>
          <t>Mother And Child Protection Card (If Available).</t>
        </is>
      </c>
      <c r="E177" s="8" t="inlineStr">
        <is>
          <t>At Health Facility Visit</t>
        </is>
      </c>
      <c r="F177" s="8" t="inlineStr">
        <is>
          <t>MS-C18</t>
        </is>
      </c>
      <c r="G177" s="8" t="inlineStr">
        <is>
          <t>C18@20261028-4c31c2aa</t>
        </is>
      </c>
      <c r="H177" s="7" t="inlineStr">
        <is>
          <t>Approved</t>
        </is>
      </c>
      <c r="I177" s="7" t="n"/>
      <c r="J177" s="8" t="inlineStr">
        <is>
          <t>Source document text 1/1. Conditional applicability not yet encoded.</t>
        </is>
      </c>
    </row>
    <row r="178" ht="40" customHeight="1">
      <c r="A178" s="4" t="inlineStr">
        <is>
          <t>C18</t>
        </is>
      </c>
      <c r="B178" s="4" t="inlineStr">
        <is>
          <t>Pradhan Mantri Surakshit Matritva Abhiyan</t>
        </is>
      </c>
      <c r="C178" s="4" t="inlineStr">
        <is>
          <t>C18-P0029</t>
        </is>
      </c>
      <c r="D178" s="4" t="inlineStr">
        <is>
          <t>Aadhaar Card Or Any Government Issued Identity Proof.</t>
        </is>
      </c>
      <c r="E178" s="4" t="inlineStr">
        <is>
          <t>At Health Facility Visit</t>
        </is>
      </c>
      <c r="F178" s="4" t="inlineStr">
        <is>
          <t>MS-C18</t>
        </is>
      </c>
      <c r="G178" s="4" t="inlineStr">
        <is>
          <t>C18@20261028-4c31c2aa</t>
        </is>
      </c>
      <c r="H178" s="7" t="inlineStr">
        <is>
          <t>Approved</t>
        </is>
      </c>
      <c r="I178" s="7" t="n"/>
      <c r="J178" s="4" t="inlineStr">
        <is>
          <t>Source document text 1/1. Conditional applicability not yet encoded.</t>
        </is>
      </c>
    </row>
    <row r="179" ht="40" customHeight="1">
      <c r="A179" s="8" t="inlineStr">
        <is>
          <t>C18</t>
        </is>
      </c>
      <c r="B179" s="8" t="inlineStr">
        <is>
          <t>Pradhan Mantri Surakshit Matritva Abhiyan</t>
        </is>
      </c>
      <c r="C179" s="8" t="inlineStr">
        <is>
          <t>C18-P0030</t>
        </is>
      </c>
      <c r="D179" s="8" t="inlineStr">
        <is>
          <t>Previous Medical Records (If Any).</t>
        </is>
      </c>
      <c r="E179" s="8" t="inlineStr">
        <is>
          <t>At Health Facility Visit</t>
        </is>
      </c>
      <c r="F179" s="8" t="inlineStr">
        <is>
          <t>MS-C18</t>
        </is>
      </c>
      <c r="G179" s="8" t="inlineStr">
        <is>
          <t>C18@20261028-4c31c2aa</t>
        </is>
      </c>
      <c r="H179" s="7" t="inlineStr">
        <is>
          <t>Approved</t>
        </is>
      </c>
      <c r="I179" s="7" t="n"/>
      <c r="J179" s="8" t="inlineStr">
        <is>
          <t>Source document text 1/1. Conditional applicability not yet encoded.</t>
        </is>
      </c>
    </row>
    <row r="180" ht="40" customHeight="1">
      <c r="A180" s="4" t="inlineStr">
        <is>
          <t>C18</t>
        </is>
      </c>
      <c r="B180" s="4" t="inlineStr">
        <is>
          <t>Pradhan Mantri Surakshit Matritva Abhiyan</t>
        </is>
      </c>
      <c r="C180" s="4" t="inlineStr">
        <is>
          <t>C18-P0031</t>
        </is>
      </c>
      <c r="D180" s="4" t="inlineStr">
        <is>
          <t>Antenatal Care Records From Previous Visits.</t>
        </is>
      </c>
      <c r="E180" s="4" t="inlineStr">
        <is>
          <t>At Health Facility Visit</t>
        </is>
      </c>
      <c r="F180" s="4" t="inlineStr">
        <is>
          <t>MS-C18</t>
        </is>
      </c>
      <c r="G180" s="4" t="inlineStr">
        <is>
          <t>C18@20261028-4c31c2aa</t>
        </is>
      </c>
      <c r="H180" s="7" t="inlineStr">
        <is>
          <t>Approved</t>
        </is>
      </c>
      <c r="I180" s="7" t="n"/>
      <c r="J180" s="4" t="inlineStr">
        <is>
          <t>Source document text 1/1. Conditional applicability not yet encoded.</t>
        </is>
      </c>
    </row>
    <row r="181" ht="40" customHeight="1">
      <c r="A181" s="8" t="inlineStr">
        <is>
          <t>C18</t>
        </is>
      </c>
      <c r="B181" s="8" t="inlineStr">
        <is>
          <t>Pradhan Mantri Surakshit Matritva Abhiyan</t>
        </is>
      </c>
      <c r="C181" s="8" t="inlineStr">
        <is>
          <t>C18-P0032</t>
        </is>
      </c>
      <c r="D181" s="8" t="inlineStr">
        <is>
          <t>Prescription Slips From Previous Consultations (If Applicable).</t>
        </is>
      </c>
      <c r="E181" s="8" t="inlineStr">
        <is>
          <t>At Health Facility Visit</t>
        </is>
      </c>
      <c r="F181" s="8" t="inlineStr">
        <is>
          <t>MS-C18</t>
        </is>
      </c>
      <c r="G181" s="8" t="inlineStr">
        <is>
          <t>C18@20261028-4c31c2aa</t>
        </is>
      </c>
      <c r="H181" s="7" t="inlineStr">
        <is>
          <t>Approved</t>
        </is>
      </c>
      <c r="I181" s="7" t="n"/>
      <c r="J181" s="8" t="inlineStr">
        <is>
          <t>Source document text 1/1. Conditional applicability not yet encoded.</t>
        </is>
      </c>
    </row>
    <row r="182" ht="40" customHeight="1">
      <c r="A182" s="4" t="inlineStr">
        <is>
          <t>C18</t>
        </is>
      </c>
      <c r="B182" s="4" t="inlineStr">
        <is>
          <t>Pradhan Mantri Surakshit Matritva Abhiyan</t>
        </is>
      </c>
      <c r="C182" s="4" t="inlineStr">
        <is>
          <t>C18-P0033</t>
        </is>
      </c>
      <c r="D182" s="4" t="inlineStr">
        <is>
          <t>For Registration at Facility</t>
        </is>
      </c>
      <c r="E182" s="4" t="inlineStr">
        <is>
          <t>For Registration at Facility</t>
        </is>
      </c>
      <c r="F182" s="4" t="inlineStr">
        <is>
          <t>MS-C18</t>
        </is>
      </c>
      <c r="G182" s="4" t="inlineStr">
        <is>
          <t>C18@20261028-4c31c2aa</t>
        </is>
      </c>
      <c r="H182" s="7" t="inlineStr">
        <is>
          <t>Approved</t>
        </is>
      </c>
      <c r="I182" s="7" t="n"/>
      <c r="J182" s="4" t="inlineStr">
        <is>
          <t>Source heading</t>
        </is>
      </c>
    </row>
    <row r="183" ht="40" customHeight="1">
      <c r="A183" s="8" t="inlineStr">
        <is>
          <t>C18</t>
        </is>
      </c>
      <c r="B183" s="8" t="inlineStr">
        <is>
          <t>Pradhan Mantri Surakshit Matritva Abhiyan</t>
        </is>
      </c>
      <c r="C183" s="8" t="inlineStr">
        <is>
          <t>C18-P0034</t>
        </is>
      </c>
      <c r="D183" s="8" t="inlineStr">
        <is>
          <t>Address Proof (Ration Card/Voter Identity Card/Utility Bills).</t>
        </is>
      </c>
      <c r="E183" s="8" t="inlineStr">
        <is>
          <t>For Registration at Facility</t>
        </is>
      </c>
      <c r="F183" s="8" t="inlineStr">
        <is>
          <t>MS-C18</t>
        </is>
      </c>
      <c r="G183" s="8" t="inlineStr">
        <is>
          <t>C18@20261028-4c31c2aa</t>
        </is>
      </c>
      <c r="H183" s="7" t="inlineStr">
        <is>
          <t>Approved</t>
        </is>
      </c>
      <c r="I183" s="7" t="n"/>
      <c r="J183" s="8" t="inlineStr">
        <is>
          <t>Source document text 1/1. Conditional applicability not yet encoded.</t>
        </is>
      </c>
    </row>
    <row r="184" ht="40" customHeight="1">
      <c r="A184" s="4" t="inlineStr">
        <is>
          <t>C18</t>
        </is>
      </c>
      <c r="B184" s="4" t="inlineStr">
        <is>
          <t>Pradhan Mantri Surakshit Matritva Abhiyan</t>
        </is>
      </c>
      <c r="C184" s="4" t="inlineStr">
        <is>
          <t>C18-P0035</t>
        </is>
      </c>
      <c r="D184" s="4" t="inlineStr">
        <is>
          <t>Mobile Number For Communication.</t>
        </is>
      </c>
      <c r="E184" s="4" t="inlineStr">
        <is>
          <t>For Registration at Facility</t>
        </is>
      </c>
      <c r="F184" s="4" t="inlineStr">
        <is>
          <t>MS-C18</t>
        </is>
      </c>
      <c r="G184" s="4" t="inlineStr">
        <is>
          <t>C18@20261028-4c31c2aa</t>
        </is>
      </c>
      <c r="H184" s="7" t="inlineStr">
        <is>
          <t>Approved</t>
        </is>
      </c>
      <c r="I184" s="7" t="n"/>
      <c r="J184" s="4" t="inlineStr">
        <is>
          <t>Source document text 1/1. Conditional applicability not yet encoded.</t>
        </is>
      </c>
    </row>
    <row r="185" ht="40" customHeight="1">
      <c r="A185" s="8" t="inlineStr">
        <is>
          <t>C18</t>
        </is>
      </c>
      <c r="B185" s="8" t="inlineStr">
        <is>
          <t>Pradhan Mantri Surakshit Matritva Abhiyan</t>
        </is>
      </c>
      <c r="C185" s="8" t="inlineStr">
        <is>
          <t>C18-P0036</t>
        </is>
      </c>
      <c r="D185" s="8" t="inlineStr">
        <is>
          <t>Emergency Contact Details.</t>
        </is>
      </c>
      <c r="E185" s="8" t="inlineStr">
        <is>
          <t>For Registration at Facility</t>
        </is>
      </c>
      <c r="F185" s="8" t="inlineStr">
        <is>
          <t>MS-C18</t>
        </is>
      </c>
      <c r="G185" s="8" t="inlineStr">
        <is>
          <t>C18@20261028-4c31c2aa</t>
        </is>
      </c>
      <c r="H185" s="7" t="inlineStr">
        <is>
          <t>Approved</t>
        </is>
      </c>
      <c r="I185" s="7" t="n"/>
      <c r="J185" s="8" t="inlineStr">
        <is>
          <t>Source document text 1/1. Conditional applicability not yet encoded.</t>
        </is>
      </c>
    </row>
    <row r="186" ht="40" customHeight="1">
      <c r="A186" s="4" t="inlineStr">
        <is>
          <t>C18</t>
        </is>
      </c>
      <c r="B186" s="4" t="inlineStr">
        <is>
          <t>Pradhan Mantri Surakshit Matritva Abhiyan</t>
        </is>
      </c>
      <c r="C186" s="4" t="inlineStr">
        <is>
          <t>C18-P0037</t>
        </is>
      </c>
      <c r="D186" s="4" t="inlineStr">
        <is>
          <t>Optional Documents</t>
        </is>
      </c>
      <c r="E186" s="4" t="inlineStr">
        <is>
          <t>Optional Documents</t>
        </is>
      </c>
      <c r="F186" s="4" t="inlineStr">
        <is>
          <t>MS-C18</t>
        </is>
      </c>
      <c r="G186" s="4" t="inlineStr">
        <is>
          <t>C18@20261028-4c31c2aa</t>
        </is>
      </c>
      <c r="H186" s="7" t="inlineStr">
        <is>
          <t>Approved</t>
        </is>
      </c>
      <c r="I186" s="7" t="n"/>
      <c r="J186" s="4" t="inlineStr">
        <is>
          <t>Source heading</t>
        </is>
      </c>
    </row>
    <row r="187" ht="40" customHeight="1">
      <c r="A187" s="8" t="inlineStr">
        <is>
          <t>C18</t>
        </is>
      </c>
      <c r="B187" s="8" t="inlineStr">
        <is>
          <t>Pradhan Mantri Surakshit Matritva Abhiyan</t>
        </is>
      </c>
      <c r="C187" s="8" t="inlineStr">
        <is>
          <t>C18-P0038</t>
        </is>
      </c>
      <c r="D187" s="8" t="inlineStr">
        <is>
          <t>Bank Account Details (For Direct Benefit Transfer if applicable in future).</t>
        </is>
      </c>
      <c r="E187" s="8" t="inlineStr">
        <is>
          <t>Optional Documents</t>
        </is>
      </c>
      <c r="F187" s="8" t="inlineStr">
        <is>
          <t>MS-C18</t>
        </is>
      </c>
      <c r="G187" s="8" t="inlineStr">
        <is>
          <t>C18@20261028-4c31c2aa</t>
        </is>
      </c>
      <c r="H187" s="7" t="inlineStr">
        <is>
          <t>Approved</t>
        </is>
      </c>
      <c r="I187" s="7" t="n"/>
      <c r="J187" s="8" t="inlineStr">
        <is>
          <t>Source document text 1/1. Conditional applicability not yet encoded.</t>
        </is>
      </c>
    </row>
    <row r="188" ht="40" customHeight="1">
      <c r="A188" s="4" t="inlineStr">
        <is>
          <t>C18</t>
        </is>
      </c>
      <c r="B188" s="4" t="inlineStr">
        <is>
          <t>Pradhan Mantri Surakshit Matritva Abhiyan</t>
        </is>
      </c>
      <c r="C188" s="4" t="inlineStr">
        <is>
          <t>C18-P0039</t>
        </is>
      </c>
      <c r="D188" s="4" t="inlineStr">
        <is>
          <t>Husband's Identity Proof (If Required by Local Guidelines).</t>
        </is>
      </c>
      <c r="E188" s="4" t="inlineStr">
        <is>
          <t>Optional Documents</t>
        </is>
      </c>
      <c r="F188" s="4" t="inlineStr">
        <is>
          <t>MS-C18</t>
        </is>
      </c>
      <c r="G188" s="4" t="inlineStr">
        <is>
          <t>C18@20261028-4c31c2aa</t>
        </is>
      </c>
      <c r="H188" s="7" t="inlineStr">
        <is>
          <t>Approved</t>
        </is>
      </c>
      <c r="I188" s="7" t="n"/>
      <c r="J188" s="4" t="inlineStr">
        <is>
          <t>Source document text 1/1. Conditional applicability not yet encoded.</t>
        </is>
      </c>
    </row>
    <row r="189" ht="40" customHeight="1">
      <c r="A189" s="8" t="inlineStr">
        <is>
          <t>C19</t>
        </is>
      </c>
      <c r="B189" s="8" t="inlineStr">
        <is>
          <t>PM POSHAN - Prime Minister's Overarching Scheme For Holistic Nourishment</t>
        </is>
      </c>
      <c r="C189" s="8" t="inlineStr">
        <is>
          <t>C19-P0013</t>
        </is>
      </c>
      <c r="D189" s="8" t="inlineStr">
        <is>
          <t>No documents are required for availing the benefits of this scheme.</t>
        </is>
      </c>
      <c r="E189" s="8" t="inlineStr"/>
      <c r="F189" s="8" t="inlineStr">
        <is>
          <t>MS-C19</t>
        </is>
      </c>
      <c r="G189" s="8" t="inlineStr">
        <is>
          <t>C19@20261028-2209c130</t>
        </is>
      </c>
      <c r="H189" s="7" t="inlineStr">
        <is>
          <t>Approved</t>
        </is>
      </c>
      <c r="I189" s="7" t="n"/>
      <c r="J189" s="8" t="inlineStr">
        <is>
          <t>Source document text 1/1. Conditional applicability not yet encoded.</t>
        </is>
      </c>
    </row>
    <row r="190" ht="40" customHeight="1">
      <c r="A190" s="4" t="inlineStr">
        <is>
          <t>C20</t>
        </is>
      </c>
      <c r="B190" s="4" t="inlineStr">
        <is>
          <t>Youth Hostel Scheme</t>
        </is>
      </c>
      <c r="C190" s="4" t="inlineStr">
        <is>
          <t>C20-P0007</t>
        </is>
      </c>
      <c r="D190" s="4" t="inlineStr">
        <is>
          <t>Completed YHAI membership application form</t>
        </is>
      </c>
      <c r="E190" s="4" t="inlineStr"/>
      <c r="F190" s="4" t="inlineStr">
        <is>
          <t>MS-C20</t>
        </is>
      </c>
      <c r="G190" s="4" t="inlineStr">
        <is>
          <t>C20@20261028-f6115a0f</t>
        </is>
      </c>
      <c r="H190" s="7" t="inlineStr">
        <is>
          <t>Approved</t>
        </is>
      </c>
      <c r="I190" s="7" t="n"/>
      <c r="J190" s="4" t="inlineStr">
        <is>
          <t>Source document text 1/1. Conditional applicability not yet encoded.</t>
        </is>
      </c>
    </row>
    <row r="191" ht="40" customHeight="1">
      <c r="A191" s="8" t="inlineStr">
        <is>
          <t>C20</t>
        </is>
      </c>
      <c r="B191" s="8" t="inlineStr">
        <is>
          <t>Youth Hostel Scheme</t>
        </is>
      </c>
      <c r="C191" s="8" t="inlineStr">
        <is>
          <t>C20-P0008</t>
        </is>
      </c>
      <c r="D191" s="8" t="inlineStr">
        <is>
          <t>Passport size photograph</t>
        </is>
      </c>
      <c r="E191" s="8" t="inlineStr"/>
      <c r="F191" s="8" t="inlineStr">
        <is>
          <t>MS-C20</t>
        </is>
      </c>
      <c r="G191" s="8" t="inlineStr">
        <is>
          <t>C20@20261028-f6115a0f</t>
        </is>
      </c>
      <c r="H191" s="7" t="inlineStr">
        <is>
          <t>Approved</t>
        </is>
      </c>
      <c r="I191" s="7" t="n"/>
      <c r="J191" s="8" t="inlineStr">
        <is>
          <t>Source document text 1/1. Conditional applicability not yet encoded.</t>
        </is>
      </c>
    </row>
    <row r="192" ht="40" customHeight="1">
      <c r="A192" s="4" t="inlineStr">
        <is>
          <t>C20</t>
        </is>
      </c>
      <c r="B192" s="4" t="inlineStr">
        <is>
          <t>Youth Hostel Scheme</t>
        </is>
      </c>
      <c r="C192" s="4" t="inlineStr">
        <is>
          <t>C20-P0009</t>
        </is>
      </c>
      <c r="D192" s="4" t="inlineStr">
        <is>
          <t>Proof of identity, such as a copy of your passport, driver's license, or Aadhaar card</t>
        </is>
      </c>
      <c r="E192" s="4" t="inlineStr"/>
      <c r="F192" s="4" t="inlineStr">
        <is>
          <t>MS-C20</t>
        </is>
      </c>
      <c r="G192" s="4" t="inlineStr">
        <is>
          <t>C20@20261028-f6115a0f</t>
        </is>
      </c>
      <c r="H192" s="7" t="inlineStr">
        <is>
          <t>Approved</t>
        </is>
      </c>
      <c r="I192" s="7" t="n"/>
      <c r="J192" s="4" t="inlineStr">
        <is>
          <t>Source document text 1/1. Conditional applicability not yet encoded.</t>
        </is>
      </c>
    </row>
    <row r="193" ht="54" customHeight="1">
      <c r="A193" s="8" t="inlineStr">
        <is>
          <t>C21</t>
        </is>
      </c>
      <c r="B193" s="8" t="inlineStr">
        <is>
          <t>AVYAY - National Action Plan for Senior Citizens: Health and Shelter for Senior Citizens</t>
        </is>
      </c>
      <c r="C193" s="8" t="inlineStr">
        <is>
          <t>C21-P0058</t>
        </is>
      </c>
      <c r="D193" s="8" t="inlineStr">
        <is>
          <t>Organizational/Legal Documents</t>
        </is>
      </c>
      <c r="E193" s="8" t="inlineStr"/>
      <c r="F193" s="8" t="inlineStr">
        <is>
          <t>MS-C21</t>
        </is>
      </c>
      <c r="G193" s="8" t="inlineStr">
        <is>
          <t>C21@20261028-3ca35454</t>
        </is>
      </c>
      <c r="H193" s="7" t="inlineStr">
        <is>
          <t>Approved</t>
        </is>
      </c>
      <c r="I193" s="7" t="n"/>
      <c r="J193" s="8" t="inlineStr">
        <is>
          <t>Source document text 1/1. Conditional applicability not yet encoded.</t>
        </is>
      </c>
    </row>
    <row r="194" ht="54" customHeight="1">
      <c r="A194" s="4" t="inlineStr">
        <is>
          <t>C21</t>
        </is>
      </c>
      <c r="B194" s="4" t="inlineStr">
        <is>
          <t>AVYAY - National Action Plan for Senior Citizens: Health and Shelter for Senior Citizens</t>
        </is>
      </c>
      <c r="C194" s="4" t="inlineStr">
        <is>
          <t>C21-P0059</t>
        </is>
      </c>
      <c r="D194" s="4" t="inlineStr">
        <is>
          <t>Certified Copy of the Registration Certificate Under Societies Registration Act, 1860 Or Charitable Trust Act Etc.</t>
        </is>
      </c>
      <c r="E194" s="4" t="inlineStr"/>
      <c r="F194" s="4" t="inlineStr">
        <is>
          <t>MS-C21</t>
        </is>
      </c>
      <c r="G194" s="4" t="inlineStr">
        <is>
          <t>C21@20261028-3ca35454</t>
        </is>
      </c>
      <c r="H194" s="7" t="inlineStr">
        <is>
          <t>Approved</t>
        </is>
      </c>
      <c r="I194" s="7" t="n"/>
      <c r="J194" s="4" t="inlineStr">
        <is>
          <t>Source document text 1/1. Conditional applicability not yet encoded.</t>
        </is>
      </c>
    </row>
    <row r="195" ht="54" customHeight="1">
      <c r="A195" s="8" t="inlineStr">
        <is>
          <t>C21</t>
        </is>
      </c>
      <c r="B195" s="8" t="inlineStr">
        <is>
          <t>AVYAY - National Action Plan for Senior Citizens: Health and Shelter for Senior Citizens</t>
        </is>
      </c>
      <c r="C195" s="8" t="inlineStr">
        <is>
          <t>C21-P0060</t>
        </is>
      </c>
      <c r="D195" s="8" t="inlineStr">
        <is>
          <t>Non-Governmental Organization Memorandum of Association (MOA).</t>
        </is>
      </c>
      <c r="E195" s="8" t="inlineStr"/>
      <c r="F195" s="8" t="inlineStr">
        <is>
          <t>MS-C21</t>
        </is>
      </c>
      <c r="G195" s="8" t="inlineStr">
        <is>
          <t>C21@20261028-3ca35454</t>
        </is>
      </c>
      <c r="H195" s="7" t="inlineStr">
        <is>
          <t>Approved</t>
        </is>
      </c>
      <c r="I195" s="7" t="n"/>
      <c r="J195" s="8" t="inlineStr">
        <is>
          <t>Source document text 1/1. Conditional applicability not yet encoded.</t>
        </is>
      </c>
    </row>
    <row r="196" ht="54" customHeight="1">
      <c r="A196" s="4" t="inlineStr">
        <is>
          <t>C21</t>
        </is>
      </c>
      <c r="B196" s="4" t="inlineStr">
        <is>
          <t>AVYAY - National Action Plan for Senior Citizens: Health and Shelter for Senior Citizens</t>
        </is>
      </c>
      <c r="C196" s="4" t="inlineStr">
        <is>
          <t>C21-P0061</t>
        </is>
      </c>
      <c r="D196" s="4" t="inlineStr">
        <is>
          <t>Valid Registration Certificate for the Project (License From the District Authorities).</t>
        </is>
      </c>
      <c r="E196" s="4" t="inlineStr"/>
      <c r="F196" s="4" t="inlineStr">
        <is>
          <t>MS-C21</t>
        </is>
      </c>
      <c r="G196" s="4" t="inlineStr">
        <is>
          <t>C21@20261028-3ca35454</t>
        </is>
      </c>
      <c r="H196" s="7" t="inlineStr">
        <is>
          <t>Approved</t>
        </is>
      </c>
      <c r="I196" s="7" t="n"/>
      <c r="J196" s="4" t="inlineStr">
        <is>
          <t>Source document text 1/1. Conditional applicability not yet encoded.</t>
        </is>
      </c>
    </row>
    <row r="197" ht="54" customHeight="1">
      <c r="A197" s="8" t="inlineStr">
        <is>
          <t>C21</t>
        </is>
      </c>
      <c r="B197" s="8" t="inlineStr">
        <is>
          <t>AVYAY - National Action Plan for Senior Citizens: Health and Shelter for Senior Citizens</t>
        </is>
      </c>
      <c r="C197" s="8" t="inlineStr">
        <is>
          <t>C21-P0062</t>
        </is>
      </c>
      <c r="D197" s="8" t="inlineStr">
        <is>
          <t>Copies of Rules, Aims, And Objectives of the Organization.</t>
        </is>
      </c>
      <c r="E197" s="8" t="inlineStr"/>
      <c r="F197" s="8" t="inlineStr">
        <is>
          <t>MS-C21</t>
        </is>
      </c>
      <c r="G197" s="8" t="inlineStr">
        <is>
          <t>C21@20261028-3ca35454</t>
        </is>
      </c>
      <c r="H197" s="7" t="inlineStr">
        <is>
          <t>Approved</t>
        </is>
      </c>
      <c r="I197" s="7" t="n"/>
      <c r="J197" s="8" t="inlineStr">
        <is>
          <t>Source document text 1/1. Conditional applicability not yet encoded.</t>
        </is>
      </c>
    </row>
    <row r="198" ht="54" customHeight="1">
      <c r="A198" s="4" t="inlineStr">
        <is>
          <t>C21</t>
        </is>
      </c>
      <c r="B198" s="4" t="inlineStr">
        <is>
          <t>AVYAY - National Action Plan for Senior Citizens: Health and Shelter for Senior Citizens</t>
        </is>
      </c>
      <c r="C198" s="4" t="inlineStr">
        <is>
          <t>C21-P0063</t>
        </is>
      </c>
      <c r="D198" s="4" t="inlineStr">
        <is>
          <t>List of Management/Managing Committee Members.</t>
        </is>
      </c>
      <c r="E198" s="4" t="inlineStr"/>
      <c r="F198" s="4" t="inlineStr">
        <is>
          <t>MS-C21</t>
        </is>
      </c>
      <c r="G198" s="4" t="inlineStr">
        <is>
          <t>C21@20261028-3ca35454</t>
        </is>
      </c>
      <c r="H198" s="7" t="inlineStr">
        <is>
          <t>Approved</t>
        </is>
      </c>
      <c r="I198" s="7" t="n"/>
      <c r="J198" s="4" t="inlineStr">
        <is>
          <t>Source document text 1/1. Conditional applicability not yet encoded.</t>
        </is>
      </c>
    </row>
    <row r="199" ht="54" customHeight="1">
      <c r="A199" s="8" t="inlineStr">
        <is>
          <t>C21</t>
        </is>
      </c>
      <c r="B199" s="8" t="inlineStr">
        <is>
          <t>AVYAY - National Action Plan for Senior Citizens: Health and Shelter for Senior Citizens</t>
        </is>
      </c>
      <c r="C199" s="8" t="inlineStr">
        <is>
          <t>C21-P0064</t>
        </is>
      </c>
      <c r="D199" s="8" t="inlineStr">
        <is>
          <t>Valid Managing Committee Details of the Project.</t>
        </is>
      </c>
      <c r="E199" s="8" t="inlineStr"/>
      <c r="F199" s="8" t="inlineStr">
        <is>
          <t>MS-C21</t>
        </is>
      </c>
      <c r="G199" s="8" t="inlineStr">
        <is>
          <t>C21@20261028-3ca35454</t>
        </is>
      </c>
      <c r="H199" s="7" t="inlineStr">
        <is>
          <t>Approved</t>
        </is>
      </c>
      <c r="I199" s="7" t="n"/>
      <c r="J199" s="8" t="inlineStr">
        <is>
          <t>Source document text 1/1. Conditional applicability not yet encoded.</t>
        </is>
      </c>
    </row>
    <row r="200" ht="54" customHeight="1">
      <c r="A200" s="4" t="inlineStr">
        <is>
          <t>C21</t>
        </is>
      </c>
      <c r="B200" s="4" t="inlineStr">
        <is>
          <t>AVYAY - National Action Plan for Senior Citizens: Health and Shelter for Senior Citizens</t>
        </is>
      </c>
      <c r="C200" s="4" t="inlineStr">
        <is>
          <t>C21-P0065</t>
        </is>
      </c>
      <c r="D200" s="4" t="inlineStr">
        <is>
          <t>Copy of Permanent Account Number (PAN) Card of the Organization.</t>
        </is>
      </c>
      <c r="E200" s="4" t="inlineStr"/>
      <c r="F200" s="4" t="inlineStr">
        <is>
          <t>MS-C21</t>
        </is>
      </c>
      <c r="G200" s="4" t="inlineStr">
        <is>
          <t>C21@20261028-3ca35454</t>
        </is>
      </c>
      <c r="H200" s="7" t="inlineStr">
        <is>
          <t>Approved</t>
        </is>
      </c>
      <c r="I200" s="7" t="n"/>
      <c r="J200" s="4" t="inlineStr">
        <is>
          <t>Source document text 1/1. Conditional applicability not yet encoded.</t>
        </is>
      </c>
    </row>
    <row r="201" ht="54" customHeight="1">
      <c r="A201" s="8" t="inlineStr">
        <is>
          <t>C21</t>
        </is>
      </c>
      <c r="B201" s="8" t="inlineStr">
        <is>
          <t>AVYAY - National Action Plan for Senior Citizens: Health and Shelter for Senior Citizens</t>
        </is>
      </c>
      <c r="C201" s="8" t="inlineStr">
        <is>
          <t>C21-P0066</t>
        </is>
      </c>
      <c r="D201" s="8" t="inlineStr">
        <is>
          <t>Bond Execution, Rule 231(2) &amp; 3 (Required for Implementing Agencies, Not Quasi-Government Institutions, Central Autonomous Organisations, Or Institutions With Government-Approved Budgets).</t>
        </is>
      </c>
      <c r="E201" s="8" t="inlineStr"/>
      <c r="F201" s="8" t="inlineStr">
        <is>
          <t>MS-C21</t>
        </is>
      </c>
      <c r="G201" s="8" t="inlineStr">
        <is>
          <t>C21@20261028-3ca35454</t>
        </is>
      </c>
      <c r="H201" s="7" t="inlineStr">
        <is>
          <t>Approved</t>
        </is>
      </c>
      <c r="I201" s="7" t="n"/>
      <c r="J201" s="8" t="inlineStr">
        <is>
          <t>Source document text 1/1. Conditional applicability not yet encoded.</t>
        </is>
      </c>
    </row>
    <row r="202" ht="54" customHeight="1">
      <c r="A202" s="4" t="inlineStr">
        <is>
          <t>C21</t>
        </is>
      </c>
      <c r="B202" s="4" t="inlineStr">
        <is>
          <t>AVYAY - National Action Plan for Senior Citizens: Health and Shelter for Senior Citizens</t>
        </is>
      </c>
      <c r="C202" s="4" t="inlineStr">
        <is>
          <t>C21-P0067</t>
        </is>
      </c>
      <c r="D202" s="4" t="inlineStr">
        <is>
          <t>Financial and Annual Reporting Documents</t>
        </is>
      </c>
      <c r="E202" s="4" t="inlineStr"/>
      <c r="F202" s="4" t="inlineStr">
        <is>
          <t>MS-C21</t>
        </is>
      </c>
      <c r="G202" s="4" t="inlineStr">
        <is>
          <t>C21@20261028-3ca35454</t>
        </is>
      </c>
      <c r="H202" s="7" t="inlineStr">
        <is>
          <t>Approved</t>
        </is>
      </c>
      <c r="I202" s="7" t="n"/>
      <c r="J202" s="4" t="inlineStr">
        <is>
          <t>Source document text 1/1. Conditional applicability not yet encoded.</t>
        </is>
      </c>
    </row>
    <row r="203" ht="54" customHeight="1">
      <c r="A203" s="8" t="inlineStr">
        <is>
          <t>C21</t>
        </is>
      </c>
      <c r="B203" s="8" t="inlineStr">
        <is>
          <t>AVYAY - National Action Plan for Senior Citizens: Health and Shelter for Senior Citizens</t>
        </is>
      </c>
      <c r="C203" s="8" t="inlineStr">
        <is>
          <t>C21-P0068</t>
        </is>
      </c>
      <c r="D203" s="8" t="inlineStr">
        <is>
          <t>Annual Report for the Year for Which Grant-In-Aid Is Sought.</t>
        </is>
      </c>
      <c r="E203" s="8" t="inlineStr"/>
      <c r="F203" s="8" t="inlineStr">
        <is>
          <t>MS-C21</t>
        </is>
      </c>
      <c r="G203" s="8" t="inlineStr">
        <is>
          <t>C21@20261028-3ca35454</t>
        </is>
      </c>
      <c r="H203" s="7" t="inlineStr">
        <is>
          <t>Approved</t>
        </is>
      </c>
      <c r="I203" s="7" t="n"/>
      <c r="J203" s="8" t="inlineStr">
        <is>
          <t>Source document text 1/1. Conditional applicability not yet encoded.</t>
        </is>
      </c>
    </row>
    <row r="204" ht="54" customHeight="1">
      <c r="A204" s="4" t="inlineStr">
        <is>
          <t>C21</t>
        </is>
      </c>
      <c r="B204" s="4" t="inlineStr">
        <is>
          <t>AVYAY - National Action Plan for Senior Citizens: Health and Shelter for Senior Citizens</t>
        </is>
      </c>
      <c r="C204" s="4" t="inlineStr">
        <is>
          <t>C21-P0069</t>
        </is>
      </c>
      <c r="D204" s="4" t="inlineStr">
        <is>
          <t>Annual Report for Last Two Years (If Non-Governmental Organization).</t>
        </is>
      </c>
      <c r="E204" s="4" t="inlineStr"/>
      <c r="F204" s="4" t="inlineStr">
        <is>
          <t>MS-C21</t>
        </is>
      </c>
      <c r="G204" s="4" t="inlineStr">
        <is>
          <t>C21@20261028-3ca35454</t>
        </is>
      </c>
      <c r="H204" s="7" t="inlineStr">
        <is>
          <t>Approved</t>
        </is>
      </c>
      <c r="I204" s="7" t="n"/>
      <c r="J204" s="4" t="inlineStr">
        <is>
          <t>Source document text 1/1. Conditional applicability not yet encoded.</t>
        </is>
      </c>
    </row>
    <row r="205" ht="54" customHeight="1">
      <c r="A205" s="8" t="inlineStr">
        <is>
          <t>C21</t>
        </is>
      </c>
      <c r="B205" s="8" t="inlineStr">
        <is>
          <t>AVYAY - National Action Plan for Senior Citizens: Health and Shelter for Senior Citizens</t>
        </is>
      </c>
      <c r="C205" s="8" t="inlineStr">
        <is>
          <t>C21-P0070</t>
        </is>
      </c>
      <c r="D205" s="8" t="inlineStr">
        <is>
          <t>Audited Statement of Accounts (Income-Expenditure Statement, Receipt-Payment Statement, Balance Sheet, Audit Report of Chartered Accountant).</t>
        </is>
      </c>
      <c r="E205" s="8" t="inlineStr"/>
      <c r="F205" s="8" t="inlineStr">
        <is>
          <t>MS-C21</t>
        </is>
      </c>
      <c r="G205" s="8" t="inlineStr">
        <is>
          <t>C21@20261028-3ca35454</t>
        </is>
      </c>
      <c r="H205" s="7" t="inlineStr">
        <is>
          <t>Approved</t>
        </is>
      </c>
      <c r="I205" s="7" t="n"/>
      <c r="J205" s="8" t="inlineStr">
        <is>
          <t>Source document text 1/1. Conditional applicability not yet encoded.</t>
        </is>
      </c>
    </row>
    <row r="206" ht="54" customHeight="1">
      <c r="A206" s="4" t="inlineStr">
        <is>
          <t>C21</t>
        </is>
      </c>
      <c r="B206" s="4" t="inlineStr">
        <is>
          <t>AVYAY - National Action Plan for Senior Citizens: Health and Shelter for Senior Citizens</t>
        </is>
      </c>
      <c r="C206" s="4" t="inlineStr">
        <is>
          <t>C21-P0071</t>
        </is>
      </c>
      <c r="D206" s="4" t="inlineStr">
        <is>
          <t>Audited Accounts of Previous Year (Required If Current Year Grant-In-Aid Is Proposed).</t>
        </is>
      </c>
      <c r="E206" s="4" t="inlineStr"/>
      <c r="F206" s="4" t="inlineStr">
        <is>
          <t>MS-C21</t>
        </is>
      </c>
      <c r="G206" s="4" t="inlineStr">
        <is>
          <t>C21@20261028-3ca35454</t>
        </is>
      </c>
      <c r="H206" s="7" t="inlineStr">
        <is>
          <t>Approved</t>
        </is>
      </c>
      <c r="I206" s="7" t="n"/>
      <c r="J206" s="4" t="inlineStr">
        <is>
          <t>Source document text 1/1. Conditional applicability not yet encoded.</t>
        </is>
      </c>
    </row>
    <row r="207" ht="54" customHeight="1">
      <c r="A207" s="8" t="inlineStr">
        <is>
          <t>C21</t>
        </is>
      </c>
      <c r="B207" s="8" t="inlineStr">
        <is>
          <t>AVYAY - National Action Plan for Senior Citizens: Health and Shelter for Senior Citizens</t>
        </is>
      </c>
      <c r="C207" s="8" t="inlineStr">
        <is>
          <t>C21-P0072</t>
        </is>
      </c>
      <c r="D207" s="8" t="inlineStr">
        <is>
          <t>Utilization Certificate Duly Certified By Chartered Accountant for Previous Recurring Grant-In-Aid As Per Rule 238 of General Financial Rules (GFR) (Required for Renewal/On-Going Proposals).</t>
        </is>
      </c>
      <c r="E207" s="8" t="inlineStr"/>
      <c r="F207" s="8" t="inlineStr">
        <is>
          <t>MS-C21</t>
        </is>
      </c>
      <c r="G207" s="8" t="inlineStr">
        <is>
          <t>C21@20261028-3ca35454</t>
        </is>
      </c>
      <c r="H207" s="7" t="inlineStr">
        <is>
          <t>Approved</t>
        </is>
      </c>
      <c r="I207" s="7" t="n"/>
      <c r="J207" s="8" t="inlineStr">
        <is>
          <t>Source document text 1/1. Conditional applicability not yet encoded.</t>
        </is>
      </c>
    </row>
    <row r="208" ht="54" customHeight="1">
      <c r="A208" s="4" t="inlineStr">
        <is>
          <t>C21</t>
        </is>
      </c>
      <c r="B208" s="4" t="inlineStr">
        <is>
          <t>AVYAY - National Action Plan for Senior Citizens: Health and Shelter for Senior Citizens</t>
        </is>
      </c>
      <c r="C208" s="4" t="inlineStr">
        <is>
          <t>C21-P0073</t>
        </is>
      </c>
      <c r="D208" s="4" t="inlineStr">
        <is>
          <t>Budget Estimates for the Proposed Year Is Uploaded.</t>
        </is>
      </c>
      <c r="E208" s="4" t="inlineStr"/>
      <c r="F208" s="4" t="inlineStr">
        <is>
          <t>MS-C21</t>
        </is>
      </c>
      <c r="G208" s="4" t="inlineStr">
        <is>
          <t>C21@20261028-3ca35454</t>
        </is>
      </c>
      <c r="H208" s="7" t="inlineStr">
        <is>
          <t>Approved</t>
        </is>
      </c>
      <c r="I208" s="7" t="n"/>
      <c r="J208" s="4" t="inlineStr">
        <is>
          <t>Source document text 1/1. Conditional applicability not yet encoded.</t>
        </is>
      </c>
    </row>
    <row r="209" ht="54" customHeight="1">
      <c r="A209" s="8" t="inlineStr">
        <is>
          <t>C21</t>
        </is>
      </c>
      <c r="B209" s="8" t="inlineStr">
        <is>
          <t>AVYAY - National Action Plan for Senior Citizens: Health and Shelter for Senior Citizens</t>
        </is>
      </c>
      <c r="C209" s="8" t="inlineStr">
        <is>
          <t>C21-P0074</t>
        </is>
      </c>
      <c r="D209" s="8" t="inlineStr">
        <is>
          <t>Budget Estimate Details (Item Wise Recurring &amp; Non-Recurring Expenditure).</t>
        </is>
      </c>
      <c r="E209" s="8" t="inlineStr"/>
      <c r="F209" s="8" t="inlineStr">
        <is>
          <t>MS-C21</t>
        </is>
      </c>
      <c r="G209" s="8" t="inlineStr">
        <is>
          <t>C21@20261028-3ca35454</t>
        </is>
      </c>
      <c r="H209" s="7" t="inlineStr">
        <is>
          <t>Approved</t>
        </is>
      </c>
      <c r="I209" s="7" t="n"/>
      <c r="J209" s="8" t="inlineStr">
        <is>
          <t>Source document text 1/1. Conditional applicability not yet encoded.</t>
        </is>
      </c>
    </row>
    <row r="210" ht="54" customHeight="1">
      <c r="A210" s="4" t="inlineStr">
        <is>
          <t>C21</t>
        </is>
      </c>
      <c r="B210" s="4" t="inlineStr">
        <is>
          <t>AVYAY - National Action Plan for Senior Citizens: Health and Shelter for Senior Citizens</t>
        </is>
      </c>
      <c r="C210" s="4" t="inlineStr">
        <is>
          <t>C21-P0075</t>
        </is>
      </c>
      <c r="D210" s="4" t="inlineStr">
        <is>
          <t>Bank Authorization Letter.</t>
        </is>
      </c>
      <c r="E210" s="4" t="inlineStr"/>
      <c r="F210" s="4" t="inlineStr">
        <is>
          <t>MS-C21</t>
        </is>
      </c>
      <c r="G210" s="4" t="inlineStr">
        <is>
          <t>C21@20261028-3ca35454</t>
        </is>
      </c>
      <c r="H210" s="7" t="inlineStr">
        <is>
          <t>Approved</t>
        </is>
      </c>
      <c r="I210" s="7" t="n"/>
      <c r="J210" s="4" t="inlineStr">
        <is>
          <t>Source document text 1/1. Conditional applicability not yet encoded.</t>
        </is>
      </c>
    </row>
    <row r="211" ht="54" customHeight="1">
      <c r="A211" s="8" t="inlineStr">
        <is>
          <t>C21</t>
        </is>
      </c>
      <c r="B211" s="8" t="inlineStr">
        <is>
          <t>AVYAY - National Action Plan for Senior Citizens: Health and Shelter for Senior Citizens</t>
        </is>
      </c>
      <c r="C211" s="8" t="inlineStr">
        <is>
          <t>C21-P0076</t>
        </is>
      </c>
      <c r="D211" s="8" t="inlineStr">
        <is>
          <t>Project Specific Documents</t>
        </is>
      </c>
      <c r="E211" s="8" t="inlineStr"/>
      <c r="F211" s="8" t="inlineStr">
        <is>
          <t>MS-C21</t>
        </is>
      </c>
      <c r="G211" s="8" t="inlineStr">
        <is>
          <t>C21@20261028-3ca35454</t>
        </is>
      </c>
      <c r="H211" s="7" t="inlineStr">
        <is>
          <t>Approved</t>
        </is>
      </c>
      <c r="I211" s="7" t="n"/>
      <c r="J211" s="8" t="inlineStr">
        <is>
          <t>Source document text 1/1. Conditional applicability not yet encoded.</t>
        </is>
      </c>
    </row>
    <row r="212" ht="54" customHeight="1">
      <c r="A212" s="4" t="inlineStr">
        <is>
          <t>C21</t>
        </is>
      </c>
      <c r="B212" s="4" t="inlineStr">
        <is>
          <t>AVYAY - National Action Plan for Senior Citizens: Health and Shelter for Senior Citizens</t>
        </is>
      </c>
      <c r="C212" s="4" t="inlineStr">
        <is>
          <t>C21-P0077</t>
        </is>
      </c>
      <c r="D212" s="4" t="inlineStr">
        <is>
          <t>Staff List Along With Their Requisite Qualification In the Prescribed Format.</t>
        </is>
      </c>
      <c r="E212" s="4" t="inlineStr"/>
      <c r="F212" s="4" t="inlineStr">
        <is>
          <t>MS-C21</t>
        </is>
      </c>
      <c r="G212" s="4" t="inlineStr">
        <is>
          <t>C21@20261028-3ca35454</t>
        </is>
      </c>
      <c r="H212" s="7" t="inlineStr">
        <is>
          <t>Approved</t>
        </is>
      </c>
      <c r="I212" s="7" t="n"/>
      <c r="J212" s="4" t="inlineStr">
        <is>
          <t>Source document text 1/1. Conditional applicability not yet encoded.</t>
        </is>
      </c>
    </row>
    <row r="213" ht="54" customHeight="1">
      <c r="A213" s="8" t="inlineStr">
        <is>
          <t>C21</t>
        </is>
      </c>
      <c r="B213" s="8" t="inlineStr">
        <is>
          <t>AVYAY - National Action Plan for Senior Citizens: Health and Shelter for Senior Citizens</t>
        </is>
      </c>
      <c r="C213" s="8" t="inlineStr">
        <is>
          <t>C21-P0078</t>
        </is>
      </c>
      <c r="D213" s="8" t="inlineStr">
        <is>
          <t>List of Beneficiaries.</t>
        </is>
      </c>
      <c r="E213" s="8" t="inlineStr"/>
      <c r="F213" s="8" t="inlineStr">
        <is>
          <t>MS-C21</t>
        </is>
      </c>
      <c r="G213" s="8" t="inlineStr">
        <is>
          <t>C21@20261028-3ca35454</t>
        </is>
      </c>
      <c r="H213" s="7" t="inlineStr">
        <is>
          <t>Approved</t>
        </is>
      </c>
      <c r="I213" s="7" t="n"/>
      <c r="J213" s="8" t="inlineStr">
        <is>
          <t>Source document text 1/1. Conditional applicability not yet encoded.</t>
        </is>
      </c>
    </row>
    <row r="214" ht="54" customHeight="1">
      <c r="A214" s="4" t="inlineStr">
        <is>
          <t>C21</t>
        </is>
      </c>
      <c r="B214" s="4" t="inlineStr">
        <is>
          <t>AVYAY - National Action Plan for Senior Citizens: Health and Shelter for Senior Citizens</t>
        </is>
      </c>
      <c r="C214" s="4" t="inlineStr">
        <is>
          <t>C21-P0079</t>
        </is>
      </c>
      <c r="D214" s="4" t="inlineStr">
        <is>
          <t>Notarized Rent/Lease Agreement If Rented Building.</t>
        </is>
      </c>
      <c r="E214" s="4" t="inlineStr"/>
      <c r="F214" s="4" t="inlineStr">
        <is>
          <t>MS-C21</t>
        </is>
      </c>
      <c r="G214" s="4" t="inlineStr">
        <is>
          <t>C21@20261028-3ca35454</t>
        </is>
      </c>
      <c r="H214" s="7" t="inlineStr">
        <is>
          <t>Approved</t>
        </is>
      </c>
      <c r="I214" s="7" t="n"/>
      <c r="J214" s="4" t="inlineStr">
        <is>
          <t>Source document text 1/1. Conditional applicability not yet encoded.</t>
        </is>
      </c>
    </row>
    <row r="215" ht="54" customHeight="1">
      <c r="A215" s="8" t="inlineStr">
        <is>
          <t>C21</t>
        </is>
      </c>
      <c r="B215" s="8" t="inlineStr">
        <is>
          <t>AVYAY - National Action Plan for Senior Citizens: Health and Shelter for Senior Citizens</t>
        </is>
      </c>
      <c r="C215" s="8" t="inlineStr">
        <is>
          <t>C21-P0080</t>
        </is>
      </c>
      <c r="D215" s="8" t="inlineStr">
        <is>
          <t>Satisfactory Certificate From All Beneficiaries (Required for Renewal/On-Going Proposals).</t>
        </is>
      </c>
      <c r="E215" s="8" t="inlineStr"/>
      <c r="F215" s="8" t="inlineStr">
        <is>
          <t>MS-C21</t>
        </is>
      </c>
      <c r="G215" s="8" t="inlineStr">
        <is>
          <t>C21@20261028-3ca35454</t>
        </is>
      </c>
      <c r="H215" s="7" t="inlineStr">
        <is>
          <t>Approved</t>
        </is>
      </c>
      <c r="I215" s="7" t="n"/>
      <c r="J215" s="8" t="inlineStr">
        <is>
          <t>Source document text 1/1. Conditional applicability not yet encoded.</t>
        </is>
      </c>
    </row>
    <row r="216" ht="54" customHeight="1">
      <c r="A216" s="4" t="inlineStr">
        <is>
          <t>C21</t>
        </is>
      </c>
      <c r="B216" s="4" t="inlineStr">
        <is>
          <t>AVYAY - National Action Plan for Senior Citizens: Health and Shelter for Senior Citizens</t>
        </is>
      </c>
      <c r="C216" s="4" t="inlineStr">
        <is>
          <t>C21-P0081</t>
        </is>
      </c>
      <c r="D216" s="4" t="inlineStr">
        <is>
          <t>Rural Area Certificate From Competent Authority (May Be Uploaded In Case of Centre Located In Rural Area, Along With Rent Agreement).</t>
        </is>
      </c>
      <c r="E216" s="4" t="inlineStr"/>
      <c r="F216" s="4" t="inlineStr">
        <is>
          <t>MS-C21</t>
        </is>
      </c>
      <c r="G216" s="4" t="inlineStr">
        <is>
          <t>C21@20261028-3ca35454</t>
        </is>
      </c>
      <c r="H216" s="7" t="inlineStr">
        <is>
          <t>Approved</t>
        </is>
      </c>
      <c r="I216" s="7" t="n"/>
      <c r="J216" s="4" t="inlineStr">
        <is>
          <t>Source document text 1/1. Conditional applicability not yet encoded.</t>
        </is>
      </c>
    </row>
    <row r="217" ht="54" customHeight="1">
      <c r="A217" s="8" t="inlineStr">
        <is>
          <t>C21</t>
        </is>
      </c>
      <c r="B217" s="8" t="inlineStr">
        <is>
          <t>AVYAY - National Action Plan for Senior Citizens: Health and Shelter for Senior Citizens</t>
        </is>
      </c>
      <c r="C217" s="8" t="inlineStr">
        <is>
          <t>C21-P0082</t>
        </is>
      </c>
      <c r="D217" s="8" t="inlineStr">
        <is>
          <t>State/Union Territory Annual Action Plan (For State Government Proposals).</t>
        </is>
      </c>
      <c r="E217" s="8" t="inlineStr"/>
      <c r="F217" s="8" t="inlineStr">
        <is>
          <t>MS-C21</t>
        </is>
      </c>
      <c r="G217" s="8" t="inlineStr">
        <is>
          <t>C21@20261028-3ca35454</t>
        </is>
      </c>
      <c r="H217" s="7" t="inlineStr">
        <is>
          <t>Approved</t>
        </is>
      </c>
      <c r="I217" s="7" t="n"/>
      <c r="J217" s="8" t="inlineStr">
        <is>
          <t>Source document text 1/1. Conditional applicability not yet encoded.</t>
        </is>
      </c>
    </row>
    <row r="218" ht="54" customHeight="1">
      <c r="A218" s="4" t="inlineStr">
        <is>
          <t>C21</t>
        </is>
      </c>
      <c r="B218" s="4" t="inlineStr">
        <is>
          <t>AVYAY - National Action Plan for Senior Citizens: Health and Shelter for Senior Citizens</t>
        </is>
      </c>
      <c r="C218" s="4" t="inlineStr">
        <is>
          <t>C21-P0083</t>
        </is>
      </c>
      <c r="D218" s="4" t="inlineStr">
        <is>
          <t>Affirmative Statement Regarding Implementation of Expenditure, Audit and Tender (EAT) Module and Opening of Corresponding Code (For State Government Proposals).</t>
        </is>
      </c>
      <c r="E218" s="4" t="inlineStr"/>
      <c r="F218" s="4" t="inlineStr">
        <is>
          <t>MS-C21</t>
        </is>
      </c>
      <c r="G218" s="4" t="inlineStr">
        <is>
          <t>C21@20261028-3ca35454</t>
        </is>
      </c>
      <c r="H218" s="7" t="inlineStr">
        <is>
          <t>Approved</t>
        </is>
      </c>
      <c r="I218" s="7" t="n"/>
      <c r="J218" s="4" t="inlineStr">
        <is>
          <t>Source document text 1/1. Conditional applicability not yet encoded.</t>
        </is>
      </c>
    </row>
    <row r="219" ht="54" customHeight="1">
      <c r="A219" s="8" t="inlineStr">
        <is>
          <t>C21</t>
        </is>
      </c>
      <c r="B219" s="8" t="inlineStr">
        <is>
          <t>AVYAY - National Action Plan for Senior Citizens: Health and Shelter for Senior Citizens</t>
        </is>
      </c>
      <c r="C219" s="8" t="inlineStr">
        <is>
          <t>C21-P0084</t>
        </is>
      </c>
      <c r="D219" s="8" t="inlineStr">
        <is>
          <t>Confirmations of the Compliance of Instructions Issued By Public Financial Management System (PFMS) Division (For State Government Proposals).</t>
        </is>
      </c>
      <c r="E219" s="8" t="inlineStr"/>
      <c r="F219" s="8" t="inlineStr">
        <is>
          <t>MS-C21</t>
        </is>
      </c>
      <c r="G219" s="8" t="inlineStr">
        <is>
          <t>C21@20261028-3ca35454</t>
        </is>
      </c>
      <c r="H219" s="7" t="inlineStr">
        <is>
          <t>Approved</t>
        </is>
      </c>
      <c r="I219" s="7" t="n"/>
      <c r="J219" s="8" t="inlineStr">
        <is>
          <t>Source document text 1/1. Conditional applicability not yet encoded.</t>
        </is>
      </c>
    </row>
    <row r="220" ht="40" customHeight="1">
      <c r="A220" s="4" t="inlineStr">
        <is>
          <t>C22</t>
        </is>
      </c>
      <c r="B220" s="4" t="inlineStr">
        <is>
          <t>Nyaya Mitra Scheme</t>
        </is>
      </c>
      <c r="C220" s="4" t="inlineStr">
        <is>
          <t>C22-P0017</t>
        </is>
      </c>
      <c r="D220" s="4" t="inlineStr">
        <is>
          <t>*The following list of documents has been inferred from the eligibility criteria.</t>
        </is>
      </c>
      <c r="E220" s="4" t="inlineStr">
        <is>
          <t>*The following list of documents has been inferred from the eligibility criteria.</t>
        </is>
      </c>
      <c r="F220" s="4" t="inlineStr">
        <is>
          <t>MS-C22</t>
        </is>
      </c>
      <c r="G220" s="4" t="inlineStr">
        <is>
          <t>C22@20261028-610abbf9</t>
        </is>
      </c>
      <c r="H220" s="7" t="inlineStr">
        <is>
          <t>Approved</t>
        </is>
      </c>
      <c r="I220" s="7" t="n"/>
      <c r="J220" s="4" t="inlineStr">
        <is>
          <t>Source heading</t>
        </is>
      </c>
    </row>
    <row r="221" ht="40" customHeight="1">
      <c r="A221" s="8" t="inlineStr">
        <is>
          <t>C22</t>
        </is>
      </c>
      <c r="B221" s="8" t="inlineStr">
        <is>
          <t>Nyaya Mitra Scheme</t>
        </is>
      </c>
      <c r="C221" s="8" t="inlineStr">
        <is>
          <t>C22-P0018</t>
        </is>
      </c>
      <c r="D221" s="8" t="inlineStr">
        <is>
          <t>Proof of Retirement as a Judicial Officer or Executive Officer.</t>
        </is>
      </c>
      <c r="E221" s="8" t="inlineStr">
        <is>
          <t>*The following list of documents has been inferred from the eligibility criteria.</t>
        </is>
      </c>
      <c r="F221" s="8" t="inlineStr">
        <is>
          <t>MS-C22</t>
        </is>
      </c>
      <c r="G221" s="8" t="inlineStr">
        <is>
          <t>C22@20261028-610abbf9</t>
        </is>
      </c>
      <c r="H221" s="7" t="inlineStr">
        <is>
          <t>Approved</t>
        </is>
      </c>
      <c r="I221" s="7" t="n"/>
      <c r="J221" s="8" t="inlineStr">
        <is>
          <t>Source document text 1/1. Conditional applicability not yet encoded.</t>
        </is>
      </c>
    </row>
    <row r="222" ht="40" customHeight="1">
      <c r="A222" s="4" t="inlineStr">
        <is>
          <t>C22</t>
        </is>
      </c>
      <c r="B222" s="4" t="inlineStr">
        <is>
          <t>Nyaya Mitra Scheme</t>
        </is>
      </c>
      <c r="C222" s="4" t="inlineStr">
        <is>
          <t>C22-P0019</t>
        </is>
      </c>
      <c r="D222" s="4" t="inlineStr">
        <is>
          <t>Proof of Legal Experience or Legal Background.</t>
        </is>
      </c>
      <c r="E222" s="4" t="inlineStr">
        <is>
          <t>*The following list of documents has been inferred from the eligibility criteria.</t>
        </is>
      </c>
      <c r="F222" s="4" t="inlineStr">
        <is>
          <t>MS-C22</t>
        </is>
      </c>
      <c r="G222" s="4" t="inlineStr">
        <is>
          <t>C22@20261028-610abbf9</t>
        </is>
      </c>
      <c r="H222" s="7" t="inlineStr">
        <is>
          <t>Approved</t>
        </is>
      </c>
      <c r="I222" s="7" t="n"/>
      <c r="J222" s="4" t="inlineStr">
        <is>
          <t>Source document text 1/1. Conditional applicability not yet encoded.</t>
        </is>
      </c>
    </row>
    <row r="223" ht="40" customHeight="1">
      <c r="A223" s="8" t="inlineStr">
        <is>
          <t>C22</t>
        </is>
      </c>
      <c r="B223" s="8" t="inlineStr">
        <is>
          <t>Nyaya Mitra Scheme</t>
        </is>
      </c>
      <c r="C223" s="8" t="inlineStr">
        <is>
          <t>C22-P0020</t>
        </is>
      </c>
      <c r="D223" s="8" t="inlineStr">
        <is>
          <t>Pending Case Details and Case History from the National Judicial Data Grid.</t>
        </is>
      </c>
      <c r="E223" s="8" t="inlineStr">
        <is>
          <t>*The following list of documents has been inferred from the eligibility criteria.</t>
        </is>
      </c>
      <c r="F223" s="8" t="inlineStr">
        <is>
          <t>MS-C22</t>
        </is>
      </c>
      <c r="G223" s="8" t="inlineStr">
        <is>
          <t>C22@20261028-610abbf9</t>
        </is>
      </c>
      <c r="H223" s="7" t="inlineStr">
        <is>
          <t>Approved</t>
        </is>
      </c>
      <c r="I223" s="7" t="n"/>
      <c r="J223" s="8" t="inlineStr">
        <is>
          <t>Source document text 1/1. Conditional applicability not yet encoded.</t>
        </is>
      </c>
    </row>
    <row r="224" ht="40" customHeight="1">
      <c r="A224" s="4" t="inlineStr">
        <is>
          <t>C22</t>
        </is>
      </c>
      <c r="B224" s="4" t="inlineStr">
        <is>
          <t>Nyaya Mitra Scheme</t>
        </is>
      </c>
      <c r="C224" s="4" t="inlineStr">
        <is>
          <t>C22-P0021</t>
        </is>
      </c>
      <c r="D224" s="4" t="inlineStr">
        <is>
          <t>Proof of Socio-Economic Status or Income Certificate.</t>
        </is>
      </c>
      <c r="E224" s="4" t="inlineStr">
        <is>
          <t>*The following list of documents has been inferred from the eligibility criteria.</t>
        </is>
      </c>
      <c r="F224" s="4" t="inlineStr">
        <is>
          <t>MS-C22</t>
        </is>
      </c>
      <c r="G224" s="4" t="inlineStr">
        <is>
          <t>C22@20261028-610abbf9</t>
        </is>
      </c>
      <c r="H224" s="7" t="inlineStr">
        <is>
          <t>Approved</t>
        </is>
      </c>
      <c r="I224" s="7" t="n"/>
      <c r="J224" s="4" t="inlineStr">
        <is>
          <t>Source document text 1/1. Conditional applicability not yet encoded.</t>
        </is>
      </c>
    </row>
    <row r="225" ht="40" customHeight="1">
      <c r="A225" s="8" t="inlineStr">
        <is>
          <t>C22</t>
        </is>
      </c>
      <c r="B225" s="8" t="inlineStr">
        <is>
          <t>Nyaya Mitra Scheme</t>
        </is>
      </c>
      <c r="C225" s="8" t="inlineStr">
        <is>
          <t>C22-P0022</t>
        </is>
      </c>
      <c r="D225" s="8" t="inlineStr">
        <is>
          <t>Valid Identity Proof of the Applicant.</t>
        </is>
      </c>
      <c r="E225" s="8" t="inlineStr">
        <is>
          <t>*The following list of documents has been inferred from the eligibility criteria.</t>
        </is>
      </c>
      <c r="F225" s="8" t="inlineStr">
        <is>
          <t>MS-C22</t>
        </is>
      </c>
      <c r="G225" s="8" t="inlineStr">
        <is>
          <t>C22@20261028-610abbf9</t>
        </is>
      </c>
      <c r="H225" s="7" t="inlineStr">
        <is>
          <t>Approved</t>
        </is>
      </c>
      <c r="I225" s="7" t="n"/>
      <c r="J225" s="8" t="inlineStr">
        <is>
          <t>Source document text 1/1. Conditional applicability not yet encoded.</t>
        </is>
      </c>
    </row>
    <row r="226" ht="40" customHeight="1">
      <c r="A226" s="4" t="inlineStr">
        <is>
          <t>C23</t>
        </is>
      </c>
      <c r="B226" s="4" t="inlineStr">
        <is>
          <t>Nari Adalat</t>
        </is>
      </c>
      <c r="C226" s="4" t="inlineStr">
        <is>
          <t>C23-P0010</t>
        </is>
      </c>
      <c r="D226" s="4" t="inlineStr">
        <is>
          <t>As required/directed by the authority.</t>
        </is>
      </c>
      <c r="E226" s="4" t="inlineStr"/>
      <c r="F226" s="4" t="inlineStr">
        <is>
          <t>MS-C23</t>
        </is>
      </c>
      <c r="G226" s="4" t="inlineStr">
        <is>
          <t>C23@20261028-deb0d84d</t>
        </is>
      </c>
      <c r="H226" s="7" t="inlineStr">
        <is>
          <t>Approved</t>
        </is>
      </c>
      <c r="I226" s="7" t="n"/>
      <c r="J226" s="4" t="inlineStr">
        <is>
          <t>Source document text 1/1. Conditional applicability not yet encoded.</t>
        </is>
      </c>
    </row>
    <row r="227" ht="40" customHeight="1">
      <c r="A227" s="8" t="inlineStr">
        <is>
          <t>C24</t>
        </is>
      </c>
      <c r="B227" s="8" t="inlineStr">
        <is>
          <t>National Post Doctoral Fellowship</t>
        </is>
      </c>
      <c r="C227" s="8" t="inlineStr">
        <is>
          <t>C24-P0030</t>
        </is>
      </c>
      <c r="D227" s="8" t="inlineStr">
        <is>
          <t>Bio-data (under user profile section)</t>
        </is>
      </c>
      <c r="E227" s="8" t="inlineStr"/>
      <c r="F227" s="8" t="inlineStr">
        <is>
          <t>MS-C24</t>
        </is>
      </c>
      <c r="G227" s="8" t="inlineStr">
        <is>
          <t>C24@20261028-5c066ab4</t>
        </is>
      </c>
      <c r="H227" s="7" t="inlineStr">
        <is>
          <t>Approved</t>
        </is>
      </c>
      <c r="I227" s="7" t="n"/>
      <c r="J227" s="8" t="inlineStr">
        <is>
          <t>Source document text 1/1. Conditional applicability not yet encoded.</t>
        </is>
      </c>
    </row>
    <row r="228" ht="40" customHeight="1">
      <c r="A228" s="4" t="inlineStr">
        <is>
          <t>C24</t>
        </is>
      </c>
      <c r="B228" s="4" t="inlineStr">
        <is>
          <t>National Post Doctoral Fellowship</t>
        </is>
      </c>
      <c r="C228" s="4" t="inlineStr">
        <is>
          <t>C24-P0031</t>
        </is>
      </c>
      <c r="D228" s="4" t="inlineStr">
        <is>
          <t>Age Proof Certificate</t>
        </is>
      </c>
      <c r="E228" s="4" t="inlineStr"/>
      <c r="F228" s="4" t="inlineStr">
        <is>
          <t>MS-C24</t>
        </is>
      </c>
      <c r="G228" s="4" t="inlineStr">
        <is>
          <t>C24@20261028-5c066ab4</t>
        </is>
      </c>
      <c r="H228" s="7" t="inlineStr">
        <is>
          <t>Approved</t>
        </is>
      </c>
      <c r="I228" s="7" t="n"/>
      <c r="J228" s="4" t="inlineStr">
        <is>
          <t>Source document text 1/1. Conditional applicability not yet encoded.</t>
        </is>
      </c>
    </row>
    <row r="229" ht="40" customHeight="1">
      <c r="A229" s="8" t="inlineStr">
        <is>
          <t>C24</t>
        </is>
      </c>
      <c r="B229" s="8" t="inlineStr">
        <is>
          <t>National Post Doctoral Fellowship</t>
        </is>
      </c>
      <c r="C229" s="8" t="inlineStr">
        <is>
          <t>C24-P0032</t>
        </is>
      </c>
      <c r="D229" s="8" t="inlineStr">
        <is>
          <t>Qualification Certificate</t>
        </is>
      </c>
      <c r="E229" s="8" t="inlineStr"/>
      <c r="F229" s="8" t="inlineStr">
        <is>
          <t>MS-C24</t>
        </is>
      </c>
      <c r="G229" s="8" t="inlineStr">
        <is>
          <t>C24@20261028-5c066ab4</t>
        </is>
      </c>
      <c r="H229" s="7" t="inlineStr">
        <is>
          <t>Approved</t>
        </is>
      </c>
      <c r="I229" s="7" t="n"/>
      <c r="J229" s="8" t="inlineStr">
        <is>
          <t>Source document text 1/1. Conditional applicability not yet encoded.</t>
        </is>
      </c>
    </row>
    <row r="230" ht="40" customHeight="1">
      <c r="A230" s="4" t="inlineStr">
        <is>
          <t>C24</t>
        </is>
      </c>
      <c r="B230" s="4" t="inlineStr">
        <is>
          <t>National Post Doctoral Fellowship</t>
        </is>
      </c>
      <c r="C230" s="4" t="inlineStr">
        <is>
          <t>C24-P0033</t>
        </is>
      </c>
      <c r="D230" s="4" t="inlineStr">
        <is>
          <t>Category Certificate (in case of Age Relaxation)</t>
        </is>
      </c>
      <c r="E230" s="4" t="inlineStr"/>
      <c r="F230" s="4" t="inlineStr">
        <is>
          <t>MS-C24</t>
        </is>
      </c>
      <c r="G230" s="4" t="inlineStr">
        <is>
          <t>C24@20261028-5c066ab4</t>
        </is>
      </c>
      <c r="H230" s="7" t="inlineStr">
        <is>
          <t>Approved</t>
        </is>
      </c>
      <c r="I230" s="7" t="n"/>
      <c r="J230" s="4" t="inlineStr">
        <is>
          <t>Source document text 1/1. Conditional applicability not yet encoded.</t>
        </is>
      </c>
    </row>
    <row r="231" ht="40" customHeight="1">
      <c r="A231" s="8" t="inlineStr">
        <is>
          <t>C24</t>
        </is>
      </c>
      <c r="B231" s="8" t="inlineStr">
        <is>
          <t>National Post Doctoral Fellowship</t>
        </is>
      </c>
      <c r="C231" s="8" t="inlineStr">
        <is>
          <t>C24-P0034</t>
        </is>
      </c>
      <c r="D231" s="8" t="inlineStr">
        <is>
          <t>Undertaking Certificate by the applicant</t>
        </is>
      </c>
      <c r="E231" s="8" t="inlineStr"/>
      <c r="F231" s="8" t="inlineStr">
        <is>
          <t>MS-C24</t>
        </is>
      </c>
      <c r="G231" s="8" t="inlineStr">
        <is>
          <t>C24@20261028-5c066ab4</t>
        </is>
      </c>
      <c r="H231" s="7" t="inlineStr">
        <is>
          <t>Approved</t>
        </is>
      </c>
      <c r="I231" s="7" t="n"/>
      <c r="J231" s="8" t="inlineStr">
        <is>
          <t>Source document text 1/1. Conditional applicability not yet encoded.</t>
        </is>
      </c>
    </row>
    <row r="232" ht="40" customHeight="1">
      <c r="A232" s="4" t="inlineStr">
        <is>
          <t>C24</t>
        </is>
      </c>
      <c r="B232" s="4" t="inlineStr">
        <is>
          <t>National Post Doctoral Fellowship</t>
        </is>
      </c>
      <c r="C232" s="4" t="inlineStr">
        <is>
          <t>C24-P0035</t>
        </is>
      </c>
      <c r="D232" s="4" t="inlineStr">
        <is>
          <t>Endorsement Certificate from the Mentor &amp; Host Institute</t>
        </is>
      </c>
      <c r="E232" s="4" t="inlineStr"/>
      <c r="F232" s="4" t="inlineStr">
        <is>
          <t>MS-C24</t>
        </is>
      </c>
      <c r="G232" s="4" t="inlineStr">
        <is>
          <t>C24@20261028-5c066ab4</t>
        </is>
      </c>
      <c r="H232" s="7" t="inlineStr">
        <is>
          <t>Approved</t>
        </is>
      </c>
      <c r="I232" s="7" t="n"/>
      <c r="J232" s="4" t="inlineStr">
        <is>
          <t>Source document text 1/1. Conditional applicability not yet encoded.</t>
        </is>
      </c>
    </row>
    <row r="233" ht="40" customHeight="1">
      <c r="A233" s="8" t="inlineStr">
        <is>
          <t>C24</t>
        </is>
      </c>
      <c r="B233" s="8" t="inlineStr">
        <is>
          <t>National Post Doctoral Fellowship</t>
        </is>
      </c>
      <c r="C233" s="8" t="inlineStr">
        <is>
          <t>C24-P0036</t>
        </is>
      </c>
      <c r="D233" s="8" t="inlineStr">
        <is>
          <t>Short CV of the mentor (see online portal for its format)</t>
        </is>
      </c>
      <c r="E233" s="8" t="inlineStr"/>
      <c r="F233" s="8" t="inlineStr">
        <is>
          <t>MS-C24</t>
        </is>
      </c>
      <c r="G233" s="8" t="inlineStr">
        <is>
          <t>C24@20261028-5c066ab4</t>
        </is>
      </c>
      <c r="H233" s="7" t="inlineStr">
        <is>
          <t>Approved</t>
        </is>
      </c>
      <c r="I233" s="7" t="n"/>
      <c r="J233" s="8" t="inlineStr">
        <is>
          <t>Source document text 1/1. Conditional applicability not yet encoded.</t>
        </is>
      </c>
    </row>
    <row r="234" ht="40" customHeight="1">
      <c r="A234" s="4" t="inlineStr">
        <is>
          <t>C24</t>
        </is>
      </c>
      <c r="B234" s="4" t="inlineStr">
        <is>
          <t>National Post Doctoral Fellowship</t>
        </is>
      </c>
      <c r="C234" s="4" t="inlineStr">
        <is>
          <t>C24-P0037</t>
        </is>
      </c>
      <c r="D234" s="4" t="inlineStr">
        <is>
          <t>CV of Mentor</t>
        </is>
      </c>
      <c r="E234" s="4" t="inlineStr"/>
      <c r="F234" s="4" t="inlineStr">
        <is>
          <t>MS-C24</t>
        </is>
      </c>
      <c r="G234" s="4" t="inlineStr">
        <is>
          <t>C24@20261028-5c066ab4</t>
        </is>
      </c>
      <c r="H234" s="7" t="inlineStr">
        <is>
          <t>Approved</t>
        </is>
      </c>
      <c r="I234" s="7" t="n"/>
      <c r="J234" s="4" t="inlineStr">
        <is>
          <t>Source document text 1/1. Conditional applicability not yet encoded.</t>
        </is>
      </c>
    </row>
    <row r="235" ht="40" customHeight="1">
      <c r="A235" s="8" t="inlineStr">
        <is>
          <t>C24</t>
        </is>
      </c>
      <c r="B235" s="8" t="inlineStr">
        <is>
          <t>National Post Doctoral Fellowship</t>
        </is>
      </c>
      <c r="C235" s="8" t="inlineStr">
        <is>
          <t>C24-P0038</t>
        </is>
      </c>
      <c r="D235" s="8" t="inlineStr">
        <is>
          <t>Plagiarism undertaking</t>
        </is>
      </c>
      <c r="E235" s="8" t="inlineStr"/>
      <c r="F235" s="8" t="inlineStr">
        <is>
          <t>MS-C24</t>
        </is>
      </c>
      <c r="G235" s="8" t="inlineStr">
        <is>
          <t>C24@20261028-5c066ab4</t>
        </is>
      </c>
      <c r="H235" s="7" t="inlineStr">
        <is>
          <t>Approved</t>
        </is>
      </c>
      <c r="I235" s="7" t="n"/>
      <c r="J235" s="8" t="inlineStr">
        <is>
          <t>Source document text 1/1. Conditional applicability not yet encoded.</t>
        </is>
      </c>
    </row>
    <row r="236" ht="40" customHeight="1">
      <c r="A236" s="4" t="inlineStr">
        <is>
          <t>C25</t>
        </is>
      </c>
      <c r="B236" s="4" t="inlineStr">
        <is>
          <t>Women’s Instinct for Developing and Ushering in Scientific Heights &amp; Innovation</t>
        </is>
      </c>
      <c r="C236" s="4" t="inlineStr">
        <is>
          <t>C25-P0032</t>
        </is>
      </c>
      <c r="D236" s="4" t="inlineStr">
        <is>
          <t>Identity proof i.e. Aadhaar Card, PAN Card</t>
        </is>
      </c>
      <c r="E236" s="4" t="inlineStr"/>
      <c r="F236" s="4" t="inlineStr">
        <is>
          <t>MS-C25</t>
        </is>
      </c>
      <c r="G236" s="4" t="inlineStr">
        <is>
          <t>C25@20261028-281bc008</t>
        </is>
      </c>
      <c r="H236" s="7" t="inlineStr">
        <is>
          <t>Approved</t>
        </is>
      </c>
      <c r="I236" s="7" t="n"/>
      <c r="J236" s="4" t="inlineStr">
        <is>
          <t>Source document text 1/1. Conditional applicability not yet encoded.</t>
        </is>
      </c>
    </row>
    <row r="237" ht="40" customHeight="1">
      <c r="A237" s="8" t="inlineStr">
        <is>
          <t>C25</t>
        </is>
      </c>
      <c r="B237" s="8" t="inlineStr">
        <is>
          <t>Women’s Instinct for Developing and Ushering in Scientific Heights &amp; Innovation</t>
        </is>
      </c>
      <c r="C237" s="8" t="inlineStr">
        <is>
          <t>C25-P0033</t>
        </is>
      </c>
      <c r="D237" s="8" t="inlineStr">
        <is>
          <t>SC/ ST/ OBC/PH Certificate (if claiming age relaxation)</t>
        </is>
      </c>
      <c r="E237" s="8" t="inlineStr"/>
      <c r="F237" s="8" t="inlineStr">
        <is>
          <t>MS-C25</t>
        </is>
      </c>
      <c r="G237" s="8" t="inlineStr">
        <is>
          <t>C25@20261028-281bc008</t>
        </is>
      </c>
      <c r="H237" s="7" t="inlineStr">
        <is>
          <t>Approved</t>
        </is>
      </c>
      <c r="I237" s="7" t="n"/>
      <c r="J237" s="8" t="inlineStr">
        <is>
          <t>Source document text 1/1. Conditional applicability not yet encoded.</t>
        </is>
      </c>
    </row>
    <row r="238" ht="40" customHeight="1">
      <c r="A238" s="4" t="inlineStr">
        <is>
          <t>C25</t>
        </is>
      </c>
      <c r="B238" s="4" t="inlineStr">
        <is>
          <t>Women’s Instinct for Developing and Ushering in Scientific Heights &amp; Innovation</t>
        </is>
      </c>
      <c r="C238" s="4" t="inlineStr">
        <is>
          <t>C25-P0034</t>
        </is>
      </c>
      <c r="D238" s="4" t="inlineStr">
        <is>
          <t>Educational certificates</t>
        </is>
      </c>
      <c r="E238" s="4" t="inlineStr"/>
      <c r="F238" s="4" t="inlineStr">
        <is>
          <t>MS-C25</t>
        </is>
      </c>
      <c r="G238" s="4" t="inlineStr">
        <is>
          <t>C25@20261028-281bc008</t>
        </is>
      </c>
      <c r="H238" s="7" t="inlineStr">
        <is>
          <t>Approved</t>
        </is>
      </c>
      <c r="I238" s="7" t="n"/>
      <c r="J238" s="4" t="inlineStr">
        <is>
          <t>Source document text 1/1. Conditional applicability not yet encoded.</t>
        </is>
      </c>
    </row>
    <row r="239" ht="40" customHeight="1">
      <c r="A239" s="8" t="inlineStr">
        <is>
          <t>C25</t>
        </is>
      </c>
      <c r="B239" s="8" t="inlineStr">
        <is>
          <t>Women’s Instinct for Developing and Ushering in Scientific Heights &amp; Innovation</t>
        </is>
      </c>
      <c r="C239" s="8" t="inlineStr">
        <is>
          <t>C25-P0035</t>
        </is>
      </c>
      <c r="D239" s="8" t="inlineStr">
        <is>
          <t>Proof of age</t>
        </is>
      </c>
      <c r="E239" s="8" t="inlineStr"/>
      <c r="F239" s="8" t="inlineStr">
        <is>
          <t>MS-C25</t>
        </is>
      </c>
      <c r="G239" s="8" t="inlineStr">
        <is>
          <t>C25@20261028-281bc008</t>
        </is>
      </c>
      <c r="H239" s="7" t="inlineStr">
        <is>
          <t>Approved</t>
        </is>
      </c>
      <c r="I239" s="7" t="n"/>
      <c r="J239" s="8" t="inlineStr">
        <is>
          <t>Source document text 1/1. Conditional applicability not yet encoded.</t>
        </is>
      </c>
    </row>
    <row r="240" ht="40" customHeight="1">
      <c r="A240" s="4" t="inlineStr">
        <is>
          <t>C25</t>
        </is>
      </c>
      <c r="B240" s="4" t="inlineStr">
        <is>
          <t>Women’s Instinct for Developing and Ushering in Scientific Heights &amp; Innovation</t>
        </is>
      </c>
      <c r="C240" s="4" t="inlineStr">
        <is>
          <t>C25-P0036</t>
        </is>
      </c>
      <c r="D240" s="4" t="inlineStr">
        <is>
          <t>Proof of research experience</t>
        </is>
      </c>
      <c r="E240" s="4" t="inlineStr"/>
      <c r="F240" s="4" t="inlineStr">
        <is>
          <t>MS-C25</t>
        </is>
      </c>
      <c r="G240" s="4" t="inlineStr">
        <is>
          <t>C25@20261028-281bc008</t>
        </is>
      </c>
      <c r="H240" s="7" t="inlineStr">
        <is>
          <t>Approved</t>
        </is>
      </c>
      <c r="I240" s="7" t="n"/>
      <c r="J240" s="4" t="inlineStr">
        <is>
          <t>Source document text 1/1. Conditional applicability not yet encoded.</t>
        </is>
      </c>
    </row>
    <row r="241" ht="40" customHeight="1">
      <c r="A241" s="8" t="inlineStr">
        <is>
          <t>C25</t>
        </is>
      </c>
      <c r="B241" s="8" t="inlineStr">
        <is>
          <t>Women’s Instinct for Developing and Ushering in Scientific Heights &amp; Innovation</t>
        </is>
      </c>
      <c r="C241" s="8" t="inlineStr">
        <is>
          <t>C25-P0037</t>
        </is>
      </c>
      <c r="D241" s="8" t="inlineStr">
        <is>
          <t>List/details of publications</t>
        </is>
      </c>
      <c r="E241" s="8" t="inlineStr"/>
      <c r="F241" s="8" t="inlineStr">
        <is>
          <t>MS-C25</t>
        </is>
      </c>
      <c r="G241" s="8" t="inlineStr">
        <is>
          <t>C25@20261028-281bc008</t>
        </is>
      </c>
      <c r="H241" s="7" t="inlineStr">
        <is>
          <t>Approved</t>
        </is>
      </c>
      <c r="I241" s="7" t="n"/>
      <c r="J241" s="8" t="inlineStr">
        <is>
          <t>Source document text 1/1. Conditional applicability not yet encoded.</t>
        </is>
      </c>
    </row>
    <row r="242" ht="40" customHeight="1">
      <c r="A242" s="4" t="inlineStr">
        <is>
          <t>C25</t>
        </is>
      </c>
      <c r="B242" s="4" t="inlineStr">
        <is>
          <t>Women’s Instinct for Developing and Ushering in Scientific Heights &amp; Innovation</t>
        </is>
      </c>
      <c r="C242" s="4" t="inlineStr">
        <is>
          <t>C25-P0038</t>
        </is>
      </c>
      <c r="D242" s="4" t="inlineStr">
        <is>
          <t>Details of Scholarships, Medals, Fellowships, Awards, Distinctions or Honors received during academic career</t>
        </is>
      </c>
      <c r="E242" s="4" t="inlineStr"/>
      <c r="F242" s="4" t="inlineStr">
        <is>
          <t>MS-C25</t>
        </is>
      </c>
      <c r="G242" s="4" t="inlineStr">
        <is>
          <t>C25@20261028-281bc008</t>
        </is>
      </c>
      <c r="H242" s="7" t="inlineStr">
        <is>
          <t>Approved</t>
        </is>
      </c>
      <c r="I242" s="7" t="n"/>
      <c r="J242" s="4" t="inlineStr">
        <is>
          <t>Source document text 1/1. Conditional applicability not yet encoded.</t>
        </is>
      </c>
    </row>
    <row r="243" ht="40" customHeight="1">
      <c r="A243" s="8" t="inlineStr">
        <is>
          <t>C25</t>
        </is>
      </c>
      <c r="B243" s="8" t="inlineStr">
        <is>
          <t>Women’s Instinct for Developing and Ushering in Scientific Heights &amp; Innovation</t>
        </is>
      </c>
      <c r="C243" s="8" t="inlineStr">
        <is>
          <t>C25-P0039</t>
        </is>
      </c>
      <c r="D243" s="8" t="inlineStr">
        <is>
          <t>Detailed Bio-data of Principal Investigator and Co-Investigator including last 5 year’s publications in cited journals.</t>
        </is>
      </c>
      <c r="E243" s="8" t="inlineStr"/>
      <c r="F243" s="8" t="inlineStr">
        <is>
          <t>MS-C25</t>
        </is>
      </c>
      <c r="G243" s="8" t="inlineStr">
        <is>
          <t>C25@20261028-281bc008</t>
        </is>
      </c>
      <c r="H243" s="7" t="inlineStr">
        <is>
          <t>Approved</t>
        </is>
      </c>
      <c r="I243" s="7" t="n"/>
      <c r="J243" s="8" t="inlineStr">
        <is>
          <t>Source document text 1/1. Conditional applicability not yet encoded.</t>
        </is>
      </c>
    </row>
    <row r="244" ht="40" customHeight="1">
      <c r="A244" s="4" t="inlineStr">
        <is>
          <t>C25</t>
        </is>
      </c>
      <c r="B244" s="4" t="inlineStr">
        <is>
          <t>Women’s Instinct for Developing and Ushering in Scientific Heights &amp; Innovation</t>
        </is>
      </c>
      <c r="C244" s="4" t="inlineStr">
        <is>
          <t>C25-P0040</t>
        </is>
      </c>
      <c r="D244" s="4" t="inlineStr">
        <is>
          <t>Details of the R&amp;D Project</t>
        </is>
      </c>
      <c r="E244" s="4" t="inlineStr"/>
      <c r="F244" s="4" t="inlineStr">
        <is>
          <t>MS-C25</t>
        </is>
      </c>
      <c r="G244" s="4" t="inlineStr">
        <is>
          <t>C25@20261028-281bc008</t>
        </is>
      </c>
      <c r="H244" s="7" t="inlineStr">
        <is>
          <t>Approved</t>
        </is>
      </c>
      <c r="I244" s="7" t="n"/>
      <c r="J244" s="4" t="inlineStr">
        <is>
          <t>Source document text 1/1. Conditional applicability not yet encoded.</t>
        </is>
      </c>
    </row>
    <row r="245" ht="40" customHeight="1">
      <c r="A245" s="8" t="inlineStr">
        <is>
          <t>C25</t>
        </is>
      </c>
      <c r="B245" s="8" t="inlineStr">
        <is>
          <t>Women’s Instinct for Developing and Ushering in Scientific Heights &amp; Innovation</t>
        </is>
      </c>
      <c r="C245" s="8" t="inlineStr">
        <is>
          <t>C25-P0041</t>
        </is>
      </c>
      <c r="D245" s="8" t="inlineStr">
        <is>
          <t>Certification by the Head of the Institute</t>
        </is>
      </c>
      <c r="E245" s="8" t="inlineStr"/>
      <c r="F245" s="8" t="inlineStr">
        <is>
          <t>MS-C25</t>
        </is>
      </c>
      <c r="G245" s="8" t="inlineStr">
        <is>
          <t>C25@20261028-281bc008</t>
        </is>
      </c>
      <c r="H245" s="7" t="inlineStr">
        <is>
          <t>Approved</t>
        </is>
      </c>
      <c r="I245" s="7" t="n"/>
      <c r="J245" s="8" t="inlineStr">
        <is>
          <t>Source document text 1/1. Conditional applicability not yet encoded.</t>
        </is>
      </c>
    </row>
    <row r="246" ht="40" customHeight="1">
      <c r="A246" s="4" t="inlineStr">
        <is>
          <t>C25</t>
        </is>
      </c>
      <c r="B246" s="4" t="inlineStr">
        <is>
          <t>Women’s Instinct for Developing and Ushering in Scientific Heights &amp; Innovation</t>
        </is>
      </c>
      <c r="C246" s="4" t="inlineStr">
        <is>
          <t>C25-P0042</t>
        </is>
      </c>
      <c r="D246" s="4" t="inlineStr">
        <is>
          <t>Certificate from the Investigator</t>
        </is>
      </c>
      <c r="E246" s="4" t="inlineStr"/>
      <c r="F246" s="4" t="inlineStr">
        <is>
          <t>MS-C25</t>
        </is>
      </c>
      <c r="G246" s="4" t="inlineStr">
        <is>
          <t>C25@20261028-281bc008</t>
        </is>
      </c>
      <c r="H246" s="7" t="inlineStr">
        <is>
          <t>Approved</t>
        </is>
      </c>
      <c r="I246" s="7" t="n"/>
      <c r="J246" s="4" t="inlineStr">
        <is>
          <t>Source document text 1/1. Conditional applicability not yet encoded.</t>
        </is>
      </c>
    </row>
    <row r="247" ht="40" customHeight="1">
      <c r="A247" s="8" t="inlineStr">
        <is>
          <t>C25</t>
        </is>
      </c>
      <c r="B247" s="8" t="inlineStr">
        <is>
          <t>Women’s Instinct for Developing and Ushering in Scientific Heights &amp; Innovation</t>
        </is>
      </c>
      <c r="C247" s="8" t="inlineStr">
        <is>
          <t>C25-P0043</t>
        </is>
      </c>
      <c r="D247" s="8" t="inlineStr">
        <is>
          <t>Any other relevant information</t>
        </is>
      </c>
      <c r="E247" s="8" t="inlineStr"/>
      <c r="F247" s="8" t="inlineStr">
        <is>
          <t>MS-C25</t>
        </is>
      </c>
      <c r="G247" s="8" t="inlineStr">
        <is>
          <t>C25@20261028-281bc008</t>
        </is>
      </c>
      <c r="H247" s="7" t="inlineStr">
        <is>
          <t>Approved</t>
        </is>
      </c>
      <c r="I247" s="7" t="n"/>
      <c r="J247" s="8" t="inlineStr">
        <is>
          <t>Source document text 1/1. Conditional applicability not yet encoded.</t>
        </is>
      </c>
    </row>
    <row r="248" ht="40" customHeight="1">
      <c r="A248" s="4" t="inlineStr">
        <is>
          <t>C26</t>
        </is>
      </c>
      <c r="B248" s="4" t="inlineStr">
        <is>
          <t>Teachers Associateship for Research Excellence</t>
        </is>
      </c>
      <c r="C248" s="4" t="inlineStr">
        <is>
          <t>C26-P0014</t>
        </is>
      </c>
      <c r="D248" s="4" t="inlineStr">
        <is>
          <t>1.	Passport size photograph</t>
        </is>
      </c>
      <c r="E248" s="4" t="inlineStr"/>
      <c r="F248" s="4" t="inlineStr">
        <is>
          <t>MS-C26</t>
        </is>
      </c>
      <c r="G248" s="4" t="inlineStr">
        <is>
          <t>C26@20261028-db2b8659</t>
        </is>
      </c>
      <c r="H248" s="7" t="inlineStr">
        <is>
          <t>Approved</t>
        </is>
      </c>
      <c r="I248" s="7" t="n"/>
      <c r="J248" s="4" t="inlineStr">
        <is>
          <t>Source document text 1/1. Conditional applicability not yet encoded.</t>
        </is>
      </c>
    </row>
    <row r="249" ht="40" customHeight="1">
      <c r="A249" s="8" t="inlineStr">
        <is>
          <t>C26</t>
        </is>
      </c>
      <c r="B249" s="8" t="inlineStr">
        <is>
          <t>Teachers Associateship for Research Excellence</t>
        </is>
      </c>
      <c r="C249" s="8" t="inlineStr">
        <is>
          <t>C26-P0015</t>
        </is>
      </c>
      <c r="D249" s="8" t="inlineStr">
        <is>
          <t>2.	Biodata of the applicant (under the user profile section)</t>
        </is>
      </c>
      <c r="E249" s="8" t="inlineStr"/>
      <c r="F249" s="8" t="inlineStr">
        <is>
          <t>MS-C26</t>
        </is>
      </c>
      <c r="G249" s="8" t="inlineStr">
        <is>
          <t>C26@20261028-db2b8659</t>
        </is>
      </c>
      <c r="H249" s="7" t="inlineStr">
        <is>
          <t>Approved</t>
        </is>
      </c>
      <c r="I249" s="7" t="n"/>
      <c r="J249" s="8" t="inlineStr">
        <is>
          <t>Source document text 1/1. Conditional applicability not yet encoded.</t>
        </is>
      </c>
    </row>
    <row r="250" ht="40" customHeight="1">
      <c r="A250" s="4" t="inlineStr">
        <is>
          <t>C26</t>
        </is>
      </c>
      <c r="B250" s="4" t="inlineStr">
        <is>
          <t>Teachers Associateship for Research Excellence</t>
        </is>
      </c>
      <c r="C250" s="4" t="inlineStr">
        <is>
          <t>C26-P0016</t>
        </is>
      </c>
      <c r="D250" s="4" t="inlineStr">
        <is>
          <t>3.	Other technical details of the proposal</t>
        </is>
      </c>
      <c r="E250" s="4" t="inlineStr"/>
      <c r="F250" s="4" t="inlineStr">
        <is>
          <t>MS-C26</t>
        </is>
      </c>
      <c r="G250" s="4" t="inlineStr">
        <is>
          <t>C26@20261028-db2b8659</t>
        </is>
      </c>
      <c r="H250" s="7" t="inlineStr">
        <is>
          <t>Approved</t>
        </is>
      </c>
      <c r="I250" s="7" t="n"/>
      <c r="J250" s="4" t="inlineStr">
        <is>
          <t>Source document text 1/1. Conditional applicability not yet encoded.</t>
        </is>
      </c>
    </row>
    <row r="251" ht="40" customHeight="1">
      <c r="A251" s="8" t="inlineStr">
        <is>
          <t>C26</t>
        </is>
      </c>
      <c r="B251" s="8" t="inlineStr">
        <is>
          <t>Teachers Associateship for Research Excellence</t>
        </is>
      </c>
      <c r="C251" s="8" t="inlineStr">
        <is>
          <t>C26-P0017</t>
        </is>
      </c>
      <c r="D251" s="8" t="inlineStr">
        <is>
          <t>4.	Certificate from the Investigator</t>
        </is>
      </c>
      <c r="E251" s="8" t="inlineStr"/>
      <c r="F251" s="8" t="inlineStr">
        <is>
          <t>MS-C26</t>
        </is>
      </c>
      <c r="G251" s="8" t="inlineStr">
        <is>
          <t>C26@20261028-db2b8659</t>
        </is>
      </c>
      <c r="H251" s="7" t="inlineStr">
        <is>
          <t>Approved</t>
        </is>
      </c>
      <c r="I251" s="7" t="n"/>
      <c r="J251" s="8" t="inlineStr">
        <is>
          <t>Source document text 1/1. Conditional applicability not yet encoded.</t>
        </is>
      </c>
    </row>
    <row r="252" ht="40" customHeight="1">
      <c r="A252" s="4" t="inlineStr">
        <is>
          <t>C26</t>
        </is>
      </c>
      <c r="B252" s="4" t="inlineStr">
        <is>
          <t>Teachers Associateship for Research Excellence</t>
        </is>
      </c>
      <c r="C252" s="4" t="inlineStr">
        <is>
          <t>C26-P0018</t>
        </is>
      </c>
      <c r="D252" s="4" t="inlineStr">
        <is>
          <t>5.	Endorsement certificate from the Head of Parent Institution</t>
        </is>
      </c>
      <c r="E252" s="4" t="inlineStr"/>
      <c r="F252" s="4" t="inlineStr">
        <is>
          <t>MS-C26</t>
        </is>
      </c>
      <c r="G252" s="4" t="inlineStr">
        <is>
          <t>C26@20261028-db2b8659</t>
        </is>
      </c>
      <c r="H252" s="7" t="inlineStr">
        <is>
          <t>Approved</t>
        </is>
      </c>
      <c r="I252" s="7" t="n"/>
      <c r="J252" s="4" t="inlineStr">
        <is>
          <t>Source document text 1/1. Conditional applicability not yet encoded.</t>
        </is>
      </c>
    </row>
    <row r="253" ht="40" customHeight="1">
      <c r="A253" s="8" t="inlineStr">
        <is>
          <t>C26</t>
        </is>
      </c>
      <c r="B253" s="8" t="inlineStr">
        <is>
          <t>Teachers Associateship for Research Excellence</t>
        </is>
      </c>
      <c r="C253" s="8" t="inlineStr">
        <is>
          <t>C26-P0019</t>
        </is>
      </c>
      <c r="D253" s="8" t="inlineStr">
        <is>
          <t>6.	Endorsement Letter from the Head of the host Institution</t>
        </is>
      </c>
      <c r="E253" s="8" t="inlineStr"/>
      <c r="F253" s="8" t="inlineStr">
        <is>
          <t>MS-C26</t>
        </is>
      </c>
      <c r="G253" s="8" t="inlineStr">
        <is>
          <t>C26@20261028-db2b8659</t>
        </is>
      </c>
      <c r="H253" s="7" t="inlineStr">
        <is>
          <t>Approved</t>
        </is>
      </c>
      <c r="I253" s="7" t="n"/>
      <c r="J253" s="8" t="inlineStr">
        <is>
          <t>Source document text 1/1. Conditional applicability not yet encoded.</t>
        </is>
      </c>
    </row>
    <row r="254" ht="40" customHeight="1">
      <c r="A254" s="4" t="inlineStr">
        <is>
          <t>C26</t>
        </is>
      </c>
      <c r="B254" s="4" t="inlineStr">
        <is>
          <t>Teachers Associateship for Research Excellence</t>
        </is>
      </c>
      <c r="C254" s="4" t="inlineStr">
        <is>
          <t>C26-P0020</t>
        </is>
      </c>
      <c r="D254" s="4" t="inlineStr">
        <is>
          <t>7.	CV of the Mentor</t>
        </is>
      </c>
      <c r="E254" s="4" t="inlineStr"/>
      <c r="F254" s="4" t="inlineStr">
        <is>
          <t>MS-C26</t>
        </is>
      </c>
      <c r="G254" s="4" t="inlineStr">
        <is>
          <t>C26@20261028-db2b8659</t>
        </is>
      </c>
      <c r="H254" s="7" t="inlineStr">
        <is>
          <t>Approved</t>
        </is>
      </c>
      <c r="I254" s="7" t="n"/>
      <c r="J254" s="4" t="inlineStr">
        <is>
          <t>Source document text 1/1. Conditional applicability not yet encoded.</t>
        </is>
      </c>
    </row>
    <row r="255" ht="40" customHeight="1">
      <c r="A255" s="8" t="inlineStr">
        <is>
          <t>C26</t>
        </is>
      </c>
      <c r="B255" s="8" t="inlineStr">
        <is>
          <t>Teachers Associateship for Research Excellence</t>
        </is>
      </c>
      <c r="C255" s="8" t="inlineStr">
        <is>
          <t>C26-P0021</t>
        </is>
      </c>
      <c r="D255" s="8" t="inlineStr">
        <is>
          <t>8.	Category certificate</t>
        </is>
      </c>
      <c r="E255" s="8" t="inlineStr"/>
      <c r="F255" s="8" t="inlineStr">
        <is>
          <t>MS-C26</t>
        </is>
      </c>
      <c r="G255" s="8" t="inlineStr">
        <is>
          <t>C26@20261028-db2b8659</t>
        </is>
      </c>
      <c r="H255" s="7" t="inlineStr">
        <is>
          <t>Approved</t>
        </is>
      </c>
      <c r="I255" s="7" t="n"/>
      <c r="J255" s="8" t="inlineStr">
        <is>
          <t>Source document text 1/1. Conditional applicability not yet encoded.</t>
        </is>
      </c>
    </row>
    <row r="256" ht="40" customHeight="1">
      <c r="A256" s="4" t="inlineStr">
        <is>
          <t>C26</t>
        </is>
      </c>
      <c r="B256" s="4" t="inlineStr">
        <is>
          <t>Teachers Associateship for Research Excellence</t>
        </is>
      </c>
      <c r="C256" s="4" t="inlineStr">
        <is>
          <t>C26-P0022</t>
        </is>
      </c>
      <c r="D256" s="4" t="inlineStr">
        <is>
          <t>9.	Age proof certificate</t>
        </is>
      </c>
      <c r="E256" s="4" t="inlineStr"/>
      <c r="F256" s="4" t="inlineStr">
        <is>
          <t>MS-C26</t>
        </is>
      </c>
      <c r="G256" s="4" t="inlineStr">
        <is>
          <t>C26@20261028-db2b8659</t>
        </is>
      </c>
      <c r="H256" s="7" t="inlineStr">
        <is>
          <t>Approved</t>
        </is>
      </c>
      <c r="I256" s="7" t="n"/>
      <c r="J256" s="4" t="inlineStr">
        <is>
          <t>Source document text 1/1. Conditional applicability not yet encoded.</t>
        </is>
      </c>
    </row>
    <row r="257" ht="40" customHeight="1">
      <c r="A257" s="8" t="inlineStr">
        <is>
          <t>C26</t>
        </is>
      </c>
      <c r="B257" s="8" t="inlineStr">
        <is>
          <t>Teachers Associateship for Research Excellence</t>
        </is>
      </c>
      <c r="C257" s="8" t="inlineStr">
        <is>
          <t>C26-P0023</t>
        </is>
      </c>
      <c r="D257" s="8" t="inlineStr">
        <is>
          <t>10.	Joining report</t>
        </is>
      </c>
      <c r="E257" s="8" t="inlineStr"/>
      <c r="F257" s="8" t="inlineStr">
        <is>
          <t>MS-C26</t>
        </is>
      </c>
      <c r="G257" s="8" t="inlineStr">
        <is>
          <t>C26@20261028-db2b8659</t>
        </is>
      </c>
      <c r="H257" s="7" t="inlineStr">
        <is>
          <t>Approved</t>
        </is>
      </c>
      <c r="I257" s="7" t="n"/>
      <c r="J257" s="8" t="inlineStr">
        <is>
          <t>Source document text 1/1. Conditional applicability not yet encoded.</t>
        </is>
      </c>
    </row>
    <row r="258" ht="40" customHeight="1">
      <c r="A258" s="4" t="inlineStr">
        <is>
          <t>C26</t>
        </is>
      </c>
      <c r="B258" s="4" t="inlineStr">
        <is>
          <t>Teachers Associateship for Research Excellence</t>
        </is>
      </c>
      <c r="C258" s="4" t="inlineStr">
        <is>
          <t>C26-P0024</t>
        </is>
      </c>
      <c r="D258" s="4" t="inlineStr">
        <is>
          <t>11.	Mandatory 90 days attendance certificate by the end of the financial year</t>
        </is>
      </c>
      <c r="E258" s="4" t="inlineStr"/>
      <c r="F258" s="4" t="inlineStr">
        <is>
          <t>MS-C26</t>
        </is>
      </c>
      <c r="G258" s="4" t="inlineStr">
        <is>
          <t>C26@20261028-db2b8659</t>
        </is>
      </c>
      <c r="H258" s="7" t="inlineStr">
        <is>
          <t>Approved</t>
        </is>
      </c>
      <c r="I258" s="7" t="n"/>
      <c r="J258" s="4" t="inlineStr">
        <is>
          <t>Source document text 1/1. Conditional applicability not yet encoded.</t>
        </is>
      </c>
    </row>
    <row r="259" ht="40" customHeight="1">
      <c r="A259" s="8" t="inlineStr">
        <is>
          <t>C26</t>
        </is>
      </c>
      <c r="B259" s="8" t="inlineStr">
        <is>
          <t>Teachers Associateship for Research Excellence</t>
        </is>
      </c>
      <c r="C259" s="8" t="inlineStr">
        <is>
          <t>C26-P0025</t>
        </is>
      </c>
      <c r="D259" s="8" t="inlineStr">
        <is>
          <t>12.	Plagiarism undertaking</t>
        </is>
      </c>
      <c r="E259" s="8" t="inlineStr"/>
      <c r="F259" s="8" t="inlineStr">
        <is>
          <t>MS-C26</t>
        </is>
      </c>
      <c r="G259" s="8" t="inlineStr">
        <is>
          <t>C26@20261028-db2b8659</t>
        </is>
      </c>
      <c r="H259" s="7" t="inlineStr">
        <is>
          <t>Approved</t>
        </is>
      </c>
      <c r="I259" s="7" t="n"/>
      <c r="J259" s="8" t="inlineStr">
        <is>
          <t>Source document text 1/1. Conditional applicability not yet encoded.</t>
        </is>
      </c>
    </row>
    <row r="260" ht="40" customHeight="1">
      <c r="A260" s="4" t="inlineStr">
        <is>
          <t>C27</t>
        </is>
      </c>
      <c r="B260" s="4" t="inlineStr">
        <is>
          <t>Pradhan Mantri Virasat ka Samvardhan</t>
        </is>
      </c>
      <c r="C260" s="4" t="inlineStr">
        <is>
          <t>C27-P0035</t>
        </is>
      </c>
      <c r="D260" s="4" t="inlineStr">
        <is>
          <t>1)	Aadhaar card and aadhar linked bank account.</t>
        </is>
      </c>
      <c r="E260" s="4" t="inlineStr"/>
      <c r="F260" s="4" t="inlineStr">
        <is>
          <t>MS-C27</t>
        </is>
      </c>
      <c r="G260" s="4" t="inlineStr">
        <is>
          <t>C27@20261028-7c3ca7ef</t>
        </is>
      </c>
      <c r="H260" s="7" t="inlineStr">
        <is>
          <t>Approved</t>
        </is>
      </c>
      <c r="I260" s="7" t="n"/>
      <c r="J260" s="4" t="inlineStr">
        <is>
          <t>Source document text 1/1. Conditional applicability not yet encoded.</t>
        </is>
      </c>
    </row>
    <row r="261" ht="40" customHeight="1">
      <c r="A261" s="8" t="inlineStr">
        <is>
          <t>C27</t>
        </is>
      </c>
      <c r="B261" s="8" t="inlineStr">
        <is>
          <t>Pradhan Mantri Virasat ka Samvardhan</t>
        </is>
      </c>
      <c r="C261" s="8" t="inlineStr">
        <is>
          <t>C27-P0036</t>
        </is>
      </c>
      <c r="D261" s="8" t="inlineStr">
        <is>
          <t>2)	EWS Certificate for non-minority candidates.</t>
        </is>
      </c>
      <c r="E261" s="8" t="inlineStr"/>
      <c r="F261" s="8" t="inlineStr">
        <is>
          <t>MS-C27</t>
        </is>
      </c>
      <c r="G261" s="8" t="inlineStr">
        <is>
          <t>C27@20261028-7c3ca7ef</t>
        </is>
      </c>
      <c r="H261" s="7" t="inlineStr">
        <is>
          <t>Approved</t>
        </is>
      </c>
      <c r="I261" s="7" t="n"/>
      <c r="J261" s="8" t="inlineStr">
        <is>
          <t>Source document text 1/1. Conditional applicability not yet encoded.</t>
        </is>
      </c>
    </row>
    <row r="262" ht="40" customHeight="1">
      <c r="A262" s="4" t="inlineStr">
        <is>
          <t>C27</t>
        </is>
      </c>
      <c r="B262" s="4" t="inlineStr">
        <is>
          <t>Pradhan Mantri Virasat ka Samvardhan</t>
        </is>
      </c>
      <c r="C262" s="4" t="inlineStr">
        <is>
          <t>C27-P0037</t>
        </is>
      </c>
      <c r="D262" s="4" t="inlineStr">
        <is>
          <t>3)     Educational Qualification in line with the training programme being applied for.</t>
        </is>
      </c>
      <c r="E262" s="4" t="inlineStr"/>
      <c r="F262" s="4" t="inlineStr">
        <is>
          <t>MS-C27</t>
        </is>
      </c>
      <c r="G262" s="4" t="inlineStr">
        <is>
          <t>C27@20261028-7c3ca7ef</t>
        </is>
      </c>
      <c r="H262" s="7" t="inlineStr">
        <is>
          <t>Approved</t>
        </is>
      </c>
      <c r="I262" s="7" t="n"/>
      <c r="J262" s="4" t="inlineStr">
        <is>
          <t>Source document text 1/1. Conditional applicability not yet encoded.</t>
        </is>
      </c>
    </row>
    <row r="263" ht="40" customHeight="1">
      <c r="A263" s="8" t="inlineStr">
        <is>
          <t>C28</t>
        </is>
      </c>
      <c r="B263" s="8" t="inlineStr">
        <is>
          <t>Agnipath Yojana</t>
        </is>
      </c>
      <c r="C263" s="8" t="inlineStr">
        <is>
          <t>C28-P0054</t>
        </is>
      </c>
      <c r="D263" s="8" t="inlineStr">
        <is>
          <t>Proof of Identity i.e. Aadhaar Card</t>
        </is>
      </c>
      <c r="E263" s="8" t="inlineStr"/>
      <c r="F263" s="8" t="inlineStr">
        <is>
          <t>MS-C28</t>
        </is>
      </c>
      <c r="G263" s="8" t="inlineStr">
        <is>
          <t>C28@20261028-f53d5aa4</t>
        </is>
      </c>
      <c r="H263" s="7" t="inlineStr">
        <is>
          <t>Approved</t>
        </is>
      </c>
      <c r="I263" s="7" t="n"/>
      <c r="J263" s="8" t="inlineStr">
        <is>
          <t>Source document text 1/1. Conditional applicability not yet encoded.</t>
        </is>
      </c>
    </row>
    <row r="264" ht="40" customHeight="1">
      <c r="A264" s="4" t="inlineStr">
        <is>
          <t>C28</t>
        </is>
      </c>
      <c r="B264" s="4" t="inlineStr">
        <is>
          <t>Agnipath Yojana</t>
        </is>
      </c>
      <c r="C264" s="4" t="inlineStr">
        <is>
          <t>C28-P0055</t>
        </is>
      </c>
      <c r="D264" s="4" t="inlineStr">
        <is>
          <t>Proof of Address</t>
        </is>
      </c>
      <c r="E264" s="4" t="inlineStr"/>
      <c r="F264" s="4" t="inlineStr">
        <is>
          <t>MS-C28</t>
        </is>
      </c>
      <c r="G264" s="4" t="inlineStr">
        <is>
          <t>C28@20261028-f53d5aa4</t>
        </is>
      </c>
      <c r="H264" s="7" t="inlineStr">
        <is>
          <t>Approved</t>
        </is>
      </c>
      <c r="I264" s="7" t="n"/>
      <c r="J264" s="4" t="inlineStr">
        <is>
          <t>Source document text 1/1. Conditional applicability not yet encoded.</t>
        </is>
      </c>
    </row>
    <row r="265" ht="40" customHeight="1">
      <c r="A265" s="8" t="inlineStr">
        <is>
          <t>C28</t>
        </is>
      </c>
      <c r="B265" s="8" t="inlineStr">
        <is>
          <t>Agnipath Yojana</t>
        </is>
      </c>
      <c r="C265" s="8" t="inlineStr">
        <is>
          <t>C28-P0056</t>
        </is>
      </c>
      <c r="D265" s="8" t="inlineStr">
        <is>
          <t>Proof of Highest Educational Qualifications</t>
        </is>
      </c>
      <c r="E265" s="8" t="inlineStr"/>
      <c r="F265" s="8" t="inlineStr">
        <is>
          <t>MS-C28</t>
        </is>
      </c>
      <c r="G265" s="8" t="inlineStr">
        <is>
          <t>C28@20261028-f53d5aa4</t>
        </is>
      </c>
      <c r="H265" s="7" t="inlineStr">
        <is>
          <t>Approved</t>
        </is>
      </c>
      <c r="I265" s="7" t="n"/>
      <c r="J265" s="8" t="inlineStr">
        <is>
          <t>Source document text 1/1. Conditional applicability not yet encoded.</t>
        </is>
      </c>
    </row>
    <row r="266" ht="40" customHeight="1">
      <c r="A266" s="4" t="inlineStr">
        <is>
          <t>C28</t>
        </is>
      </c>
      <c r="B266" s="4" t="inlineStr">
        <is>
          <t>Agnipath Yojana</t>
        </is>
      </c>
      <c r="C266" s="4" t="inlineStr">
        <is>
          <t>C28-P0057</t>
        </is>
      </c>
      <c r="D266" s="4" t="inlineStr">
        <is>
          <t>Proof of Medical Category</t>
        </is>
      </c>
      <c r="E266" s="4" t="inlineStr"/>
      <c r="F266" s="4" t="inlineStr">
        <is>
          <t>MS-C28</t>
        </is>
      </c>
      <c r="G266" s="4" t="inlineStr">
        <is>
          <t>C28@20261028-f53d5aa4</t>
        </is>
      </c>
      <c r="H266" s="7" t="inlineStr">
        <is>
          <t>Approved</t>
        </is>
      </c>
      <c r="I266" s="7" t="n"/>
      <c r="J266" s="4" t="inlineStr">
        <is>
          <t>Source document text 1/1. Conditional applicability not yet encoded.</t>
        </is>
      </c>
    </row>
    <row r="267" ht="40" customHeight="1">
      <c r="A267" s="8" t="inlineStr">
        <is>
          <t>C28</t>
        </is>
      </c>
      <c r="B267" s="8" t="inlineStr">
        <is>
          <t>Agnipath Yojana</t>
        </is>
      </c>
      <c r="C267" s="8" t="inlineStr">
        <is>
          <t>C28-P0058</t>
        </is>
      </c>
      <c r="D267" s="8" t="inlineStr">
        <is>
          <t>Passport-size photograph</t>
        </is>
      </c>
      <c r="E267" s="8" t="inlineStr"/>
      <c r="F267" s="8" t="inlineStr">
        <is>
          <t>MS-C28</t>
        </is>
      </c>
      <c r="G267" s="8" t="inlineStr">
        <is>
          <t>C28@20261028-f53d5aa4</t>
        </is>
      </c>
      <c r="H267" s="7" t="inlineStr">
        <is>
          <t>Approved</t>
        </is>
      </c>
      <c r="I267" s="7" t="n"/>
      <c r="J267" s="8" t="inlineStr">
        <is>
          <t>Source document text 1/1. Conditional applicability not yet encoded.</t>
        </is>
      </c>
    </row>
    <row r="268" ht="40" customHeight="1">
      <c r="A268" s="4" t="inlineStr">
        <is>
          <t>C28</t>
        </is>
      </c>
      <c r="B268" s="4" t="inlineStr">
        <is>
          <t>Agnipath Yojana</t>
        </is>
      </c>
      <c r="C268" s="4" t="inlineStr">
        <is>
          <t>C28-P0059</t>
        </is>
      </c>
      <c r="D268" s="4" t="inlineStr">
        <is>
          <t>Domicile Certificate</t>
        </is>
      </c>
      <c r="E268" s="4" t="inlineStr"/>
      <c r="F268" s="4" t="inlineStr">
        <is>
          <t>MS-C28</t>
        </is>
      </c>
      <c r="G268" s="4" t="inlineStr">
        <is>
          <t>C28@20261028-f53d5aa4</t>
        </is>
      </c>
      <c r="H268" s="7" t="inlineStr">
        <is>
          <t>Approved</t>
        </is>
      </c>
      <c r="I268" s="7" t="n"/>
      <c r="J268" s="4" t="inlineStr">
        <is>
          <t>Source document text 1/1. Conditional applicability not yet encoded.</t>
        </is>
      </c>
    </row>
    <row r="269" ht="40" customHeight="1">
      <c r="A269" s="8" t="inlineStr">
        <is>
          <t>C28</t>
        </is>
      </c>
      <c r="B269" s="8" t="inlineStr">
        <is>
          <t>Agnipath Yojana</t>
        </is>
      </c>
      <c r="C269" s="8" t="inlineStr">
        <is>
          <t>C28-P0060</t>
        </is>
      </c>
      <c r="D269" s="8" t="inlineStr">
        <is>
          <t>The applicants will have to submit a written pledge that they were not involved in the violent protests against the Agnipath scheme.</t>
        </is>
      </c>
      <c r="E269" s="8" t="inlineStr"/>
      <c r="F269" s="8" t="inlineStr">
        <is>
          <t>MS-C28</t>
        </is>
      </c>
      <c r="G269" s="8" t="inlineStr">
        <is>
          <t>C28@20261028-f53d5aa4</t>
        </is>
      </c>
      <c r="H269" s="7" t="inlineStr">
        <is>
          <t>Approved</t>
        </is>
      </c>
      <c r="I269" s="7" t="n"/>
      <c r="J269" s="8" t="inlineStr">
        <is>
          <t>Source document text 1/1. Conditional applicability not yet encoded.</t>
        </is>
      </c>
    </row>
    <row r="270" ht="40" customHeight="1">
      <c r="A270" s="4" t="inlineStr">
        <is>
          <t>C28</t>
        </is>
      </c>
      <c r="B270" s="4" t="inlineStr">
        <is>
          <t>Agnipath Yojana</t>
        </is>
      </c>
      <c r="C270" s="4" t="inlineStr">
        <is>
          <t>C28-P0061</t>
        </is>
      </c>
      <c r="D270" s="4" t="inlineStr">
        <is>
          <t>Note: The list of documents required is tentative, the ministry shall release the complete list of the required documents in the public domain in the future.</t>
        </is>
      </c>
      <c r="E270" s="4" t="inlineStr"/>
      <c r="F270" s="4" t="inlineStr">
        <is>
          <t>MS-C28</t>
        </is>
      </c>
      <c r="G270" s="4" t="inlineStr">
        <is>
          <t>C28@20261028-f53d5aa4</t>
        </is>
      </c>
      <c r="H270" s="7" t="inlineStr">
        <is>
          <t>Approved</t>
        </is>
      </c>
      <c r="I270" s="7" t="n"/>
      <c r="J270" s="4" t="inlineStr">
        <is>
          <t>Source document text 1/1. Conditional applicability not yet encoded.</t>
        </is>
      </c>
    </row>
    <row r="271" ht="40" customHeight="1">
      <c r="A271" s="8" t="inlineStr">
        <is>
          <t>C29</t>
        </is>
      </c>
      <c r="B271" s="8" t="inlineStr">
        <is>
          <t>Indira Gandhi National Disability Pension Scheme</t>
        </is>
      </c>
      <c r="C271" s="8" t="inlineStr">
        <is>
          <t>C29-P0011</t>
        </is>
      </c>
      <c r="D271" s="8" t="inlineStr">
        <is>
          <t>BPL Card</t>
        </is>
      </c>
      <c r="E271" s="8" t="inlineStr"/>
      <c r="F271" s="8" t="inlineStr">
        <is>
          <t>MS-C29</t>
        </is>
      </c>
      <c r="G271" s="8" t="inlineStr">
        <is>
          <t>C29@20261028-2bdc71e1</t>
        </is>
      </c>
      <c r="H271" s="7" t="inlineStr">
        <is>
          <t>Approved</t>
        </is>
      </c>
      <c r="I271" s="7" t="n"/>
      <c r="J271" s="8" t="inlineStr">
        <is>
          <t>Source document text 1/1. Conditional applicability not yet encoded.</t>
        </is>
      </c>
    </row>
    <row r="272" ht="40" customHeight="1">
      <c r="A272" s="4" t="inlineStr">
        <is>
          <t>C29</t>
        </is>
      </c>
      <c r="B272" s="4" t="inlineStr">
        <is>
          <t>Indira Gandhi National Disability Pension Scheme</t>
        </is>
      </c>
      <c r="C272" s="4" t="inlineStr">
        <is>
          <t>C29-P0012</t>
        </is>
      </c>
      <c r="D272" s="4" t="inlineStr">
        <is>
          <t>Aadhaar card</t>
        </is>
      </c>
      <c r="E272" s="4" t="inlineStr"/>
      <c r="F272" s="4" t="inlineStr">
        <is>
          <t>MS-C29</t>
        </is>
      </c>
      <c r="G272" s="4" t="inlineStr">
        <is>
          <t>C29@20261028-2bdc71e1</t>
        </is>
      </c>
      <c r="H272" s="7" t="inlineStr">
        <is>
          <t>Approved</t>
        </is>
      </c>
      <c r="I272" s="7" t="n"/>
      <c r="J272" s="4" t="inlineStr">
        <is>
          <t>Source document text 1/1. Conditional applicability not yet encoded.</t>
        </is>
      </c>
    </row>
    <row r="273" ht="68" customHeight="1">
      <c r="A273" s="8" t="inlineStr">
        <is>
          <t>C29</t>
        </is>
      </c>
      <c r="B273" s="8" t="inlineStr">
        <is>
          <t>Indira Gandhi National Disability Pension Scheme</t>
        </is>
      </c>
      <c r="C273" s="8" t="inlineStr">
        <is>
          <t>C29-P0013</t>
        </is>
      </c>
      <c r="D273" s="8" t="inlineStr">
        <is>
          <t>Age Proof - For age, the birth certificate or school certificate may be relied on. In their absence ration card and EPIC may be considered. If there is no valid document, any Medical Officer of any government hospital may be authorized to issue the age certificate.</t>
        </is>
      </c>
      <c r="E273" s="8" t="inlineStr"/>
      <c r="F273" s="8" t="inlineStr">
        <is>
          <t>MS-C29</t>
        </is>
      </c>
      <c r="G273" s="8" t="inlineStr">
        <is>
          <t>C29@20261028-2bdc71e1</t>
        </is>
      </c>
      <c r="H273" s="7" t="inlineStr">
        <is>
          <t>Approved</t>
        </is>
      </c>
      <c r="I273" s="7" t="n"/>
      <c r="J273" s="8" t="inlineStr">
        <is>
          <t>Source document text 1/1. Conditional applicability not yet encoded.</t>
        </is>
      </c>
    </row>
    <row r="274" ht="40" customHeight="1">
      <c r="A274" s="4" t="inlineStr">
        <is>
          <t>C29</t>
        </is>
      </c>
      <c r="B274" s="4" t="inlineStr">
        <is>
          <t>Indira Gandhi National Disability Pension Scheme</t>
        </is>
      </c>
      <c r="C274" s="4" t="inlineStr">
        <is>
          <t>C29-P0014</t>
        </is>
      </c>
      <c r="D274" s="4" t="inlineStr">
        <is>
          <t>Disability certificate:- Disability certificate (80% and More) issued from Chief Medical Officer, Community Health Centre or Primary Health Centre will be accepted.</t>
        </is>
      </c>
      <c r="E274" s="4" t="inlineStr"/>
      <c r="F274" s="4" t="inlineStr">
        <is>
          <t>MS-C29</t>
        </is>
      </c>
      <c r="G274" s="4" t="inlineStr">
        <is>
          <t>C29@20261028-2bdc71e1</t>
        </is>
      </c>
      <c r="H274" s="7" t="inlineStr">
        <is>
          <t>Approved</t>
        </is>
      </c>
      <c r="I274" s="7" t="n"/>
      <c r="J274" s="4" t="inlineStr">
        <is>
          <t>Source document text 1/1. Conditional applicability not yet encoded.</t>
        </is>
      </c>
    </row>
    <row r="275" ht="40" customHeight="1">
      <c r="A275" s="8" t="inlineStr">
        <is>
          <t>C29</t>
        </is>
      </c>
      <c r="B275" s="8" t="inlineStr">
        <is>
          <t>Indira Gandhi National Disability Pension Scheme</t>
        </is>
      </c>
      <c r="C275" s="8" t="inlineStr">
        <is>
          <t>C29-P0015</t>
        </is>
      </c>
      <c r="D275" s="8" t="inlineStr">
        <is>
          <t>Passport Size Photographs.</t>
        </is>
      </c>
      <c r="E275" s="8" t="inlineStr"/>
      <c r="F275" s="8" t="inlineStr">
        <is>
          <t>MS-C29</t>
        </is>
      </c>
      <c r="G275" s="8" t="inlineStr">
        <is>
          <t>C29@20261028-2bdc71e1</t>
        </is>
      </c>
      <c r="H275" s="7" t="inlineStr">
        <is>
          <t>Approved</t>
        </is>
      </c>
      <c r="I275" s="7" t="n"/>
      <c r="J275" s="8" t="inlineStr">
        <is>
          <t>Source document text 1/1. Conditional applicability not yet encoded.</t>
        </is>
      </c>
    </row>
    <row r="276" ht="54" customHeight="1">
      <c r="A276" s="4" t="inlineStr">
        <is>
          <t>C30</t>
        </is>
      </c>
      <c r="B276" s="4" t="inlineStr">
        <is>
          <t>Persons With Disabilities Scheme In Colleges: Higher Education For Persons With Special Needs</t>
        </is>
      </c>
      <c r="C276" s="4" t="inlineStr">
        <is>
          <t>C30-P0029</t>
        </is>
      </c>
      <c r="D276" s="4" t="inlineStr">
        <is>
          <t>Aadhaar Card.</t>
        </is>
      </c>
      <c r="E276" s="4" t="inlineStr"/>
      <c r="F276" s="4" t="inlineStr">
        <is>
          <t>MS-C30</t>
        </is>
      </c>
      <c r="G276" s="4" t="inlineStr">
        <is>
          <t>C30@20261028-a5d3e6b4</t>
        </is>
      </c>
      <c r="H276" s="7" t="inlineStr">
        <is>
          <t>Approved</t>
        </is>
      </c>
      <c r="I276" s="7" t="n"/>
      <c r="J276" s="4" t="inlineStr">
        <is>
          <t>Source document text 1/1. Conditional applicability not yet encoded.</t>
        </is>
      </c>
    </row>
    <row r="277" ht="54" customHeight="1">
      <c r="A277" s="8" t="inlineStr">
        <is>
          <t>C30</t>
        </is>
      </c>
      <c r="B277" s="8" t="inlineStr">
        <is>
          <t>Persons With Disabilities Scheme In Colleges: Higher Education For Persons With Special Needs</t>
        </is>
      </c>
      <c r="C277" s="8" t="inlineStr">
        <is>
          <t>C30-P0030</t>
        </is>
      </c>
      <c r="D277" s="8" t="inlineStr">
        <is>
          <t>2-Passport Sized Photograph (Signed Across).</t>
        </is>
      </c>
      <c r="E277" s="8" t="inlineStr"/>
      <c r="F277" s="8" t="inlineStr">
        <is>
          <t>MS-C30</t>
        </is>
      </c>
      <c r="G277" s="8" t="inlineStr">
        <is>
          <t>C30@20261028-a5d3e6b4</t>
        </is>
      </c>
      <c r="H277" s="7" t="inlineStr">
        <is>
          <t>Approved</t>
        </is>
      </c>
      <c r="I277" s="7" t="n"/>
      <c r="J277" s="8" t="inlineStr">
        <is>
          <t>Source document text 1/1. Conditional applicability not yet encoded.</t>
        </is>
      </c>
    </row>
    <row r="278" ht="54" customHeight="1">
      <c r="A278" s="4" t="inlineStr">
        <is>
          <t>C30</t>
        </is>
      </c>
      <c r="B278" s="4" t="inlineStr">
        <is>
          <t>Persons With Disabilities Scheme In Colleges: Higher Education For Persons With Special Needs</t>
        </is>
      </c>
      <c r="C278" s="4" t="inlineStr">
        <is>
          <t>C30-P0031</t>
        </is>
      </c>
      <c r="D278" s="4" t="inlineStr">
        <is>
          <t>Residential Certificate.</t>
        </is>
      </c>
      <c r="E278" s="4" t="inlineStr"/>
      <c r="F278" s="4" t="inlineStr">
        <is>
          <t>MS-C30</t>
        </is>
      </c>
      <c r="G278" s="4" t="inlineStr">
        <is>
          <t>C30@20261028-a5d3e6b4</t>
        </is>
      </c>
      <c r="H278" s="7" t="inlineStr">
        <is>
          <t>Approved</t>
        </is>
      </c>
      <c r="I278" s="7" t="n"/>
      <c r="J278" s="4" t="inlineStr">
        <is>
          <t>Source document text 1/1. Conditional applicability not yet encoded.</t>
        </is>
      </c>
    </row>
    <row r="279" ht="54" customHeight="1">
      <c r="A279" s="8" t="inlineStr">
        <is>
          <t>C30</t>
        </is>
      </c>
      <c r="B279" s="8" t="inlineStr">
        <is>
          <t>Persons With Disabilities Scheme In Colleges: Higher Education For Persons With Special Needs</t>
        </is>
      </c>
      <c r="C279" s="8" t="inlineStr">
        <is>
          <t>C30-P0032</t>
        </is>
      </c>
      <c r="D279" s="8" t="inlineStr">
        <is>
          <t>Disability Certificate.</t>
        </is>
      </c>
      <c r="E279" s="8" t="inlineStr"/>
      <c r="F279" s="8" t="inlineStr">
        <is>
          <t>MS-C30</t>
        </is>
      </c>
      <c r="G279" s="8" t="inlineStr">
        <is>
          <t>C30@20261028-a5d3e6b4</t>
        </is>
      </c>
      <c r="H279" s="7" t="inlineStr">
        <is>
          <t>Approved</t>
        </is>
      </c>
      <c r="I279" s="7" t="n"/>
      <c r="J279" s="8" t="inlineStr">
        <is>
          <t>Source document text 1/1. Conditional applicability not yet encoded.</t>
        </is>
      </c>
    </row>
    <row r="280" ht="54" customHeight="1">
      <c r="A280" s="4" t="inlineStr">
        <is>
          <t>C30</t>
        </is>
      </c>
      <c r="B280" s="4" t="inlineStr">
        <is>
          <t>Persons With Disabilities Scheme In Colleges: Higher Education For Persons With Special Needs</t>
        </is>
      </c>
      <c r="C280" s="4" t="inlineStr">
        <is>
          <t>C30-P0033</t>
        </is>
      </c>
      <c r="D280" s="4" t="inlineStr">
        <is>
          <t>Details of the Bank Account (Bank Name, Branch Name, Address, IFSC, etc).</t>
        </is>
      </c>
      <c r="E280" s="4" t="inlineStr"/>
      <c r="F280" s="4" t="inlineStr">
        <is>
          <t>MS-C30</t>
        </is>
      </c>
      <c r="G280" s="4" t="inlineStr">
        <is>
          <t>C30@20261028-a5d3e6b4</t>
        </is>
      </c>
      <c r="H280" s="7" t="inlineStr">
        <is>
          <t>Approved</t>
        </is>
      </c>
      <c r="I280" s="7" t="n"/>
      <c r="J280" s="4" t="inlineStr">
        <is>
          <t>Source document text 1/1. Conditional applicability not yet encoded.</t>
        </is>
      </c>
    </row>
    <row r="281" ht="54" customHeight="1">
      <c r="A281" s="8" t="inlineStr">
        <is>
          <t>C30</t>
        </is>
      </c>
      <c r="B281" s="8" t="inlineStr">
        <is>
          <t>Persons With Disabilities Scheme In Colleges: Higher Education For Persons With Special Needs</t>
        </is>
      </c>
      <c r="C281" s="8" t="inlineStr">
        <is>
          <t>C30-P0034</t>
        </is>
      </c>
      <c r="D281" s="8" t="inlineStr">
        <is>
          <t>Proof of the Latest Educational Qualification (Passing Certificate or Marksheet)</t>
        </is>
      </c>
      <c r="E281" s="8" t="inlineStr"/>
      <c r="F281" s="8" t="inlineStr">
        <is>
          <t>MS-C30</t>
        </is>
      </c>
      <c r="G281" s="8" t="inlineStr">
        <is>
          <t>C30@20261028-a5d3e6b4</t>
        </is>
      </c>
      <c r="H281" s="7" t="inlineStr">
        <is>
          <t>Approved</t>
        </is>
      </c>
      <c r="I281" s="7" t="n"/>
      <c r="J281" s="8" t="inlineStr">
        <is>
          <t>Source document text 1/1. Conditional applicability not yet encoded.</t>
        </is>
      </c>
    </row>
    <row r="282" ht="54" customHeight="1">
      <c r="A282" s="4" t="inlineStr">
        <is>
          <t>C30</t>
        </is>
      </c>
      <c r="B282" s="4" t="inlineStr">
        <is>
          <t>Persons With Disabilities Scheme In Colleges: Higher Education For Persons With Special Needs</t>
        </is>
      </c>
      <c r="C282" s="4" t="inlineStr">
        <is>
          <t>C30-P0035</t>
        </is>
      </c>
      <c r="D282" s="4" t="inlineStr">
        <is>
          <t>Bonafide Certificate from the School/College</t>
        </is>
      </c>
      <c r="E282" s="4" t="inlineStr"/>
      <c r="F282" s="4" t="inlineStr">
        <is>
          <t>MS-C30</t>
        </is>
      </c>
      <c r="G282" s="4" t="inlineStr">
        <is>
          <t>C30@20261028-a5d3e6b4</t>
        </is>
      </c>
      <c r="H282" s="7" t="inlineStr">
        <is>
          <t>Approved</t>
        </is>
      </c>
      <c r="I282" s="7" t="n"/>
      <c r="J282" s="4" t="inlineStr">
        <is>
          <t>Source document text 1/1. Conditional applicability not yet encoded.</t>
        </is>
      </c>
    </row>
    <row r="283" ht="54" customHeight="1">
      <c r="A283" s="8" t="inlineStr">
        <is>
          <t>C30</t>
        </is>
      </c>
      <c r="B283" s="8" t="inlineStr">
        <is>
          <t>Persons With Disabilities Scheme In Colleges: Higher Education For Persons With Special Needs</t>
        </is>
      </c>
      <c r="C283" s="8" t="inlineStr">
        <is>
          <t>C30-P0036</t>
        </is>
      </c>
      <c r="D283" s="8" t="inlineStr">
        <is>
          <t>Any other document required by the College or the District Social Welfare Office.</t>
        </is>
      </c>
      <c r="E283" s="8" t="inlineStr"/>
      <c r="F283" s="8" t="inlineStr">
        <is>
          <t>MS-C30</t>
        </is>
      </c>
      <c r="G283" s="8" t="inlineStr">
        <is>
          <t>C30@20261028-a5d3e6b4</t>
        </is>
      </c>
      <c r="H283" s="7" t="inlineStr">
        <is>
          <t>Approved</t>
        </is>
      </c>
      <c r="I283" s="7" t="n"/>
      <c r="J283" s="8" t="inlineStr">
        <is>
          <t>Source document text 1/1. Conditional applicability not yet encoded.</t>
        </is>
      </c>
    </row>
    <row r="284" ht="40" customHeight="1">
      <c r="A284" s="4" t="inlineStr">
        <is>
          <t>C31</t>
        </is>
      </c>
      <c r="B284" s="4" t="inlineStr">
        <is>
          <t>Scheme For Financial Assistance For Veteran Artists</t>
        </is>
      </c>
      <c r="C284" s="4" t="inlineStr">
        <is>
          <t>C31-P0022</t>
        </is>
      </c>
      <c r="D284" s="4" t="inlineStr">
        <is>
          <t>A recent (not older than six months) clear &amp; colored passport-size photograph of the applicant to be affixed on the specified place in the application form;</t>
        </is>
      </c>
      <c r="E284" s="4" t="inlineStr"/>
      <c r="F284" s="4" t="inlineStr">
        <is>
          <t>MS-C31</t>
        </is>
      </c>
      <c r="G284" s="4" t="inlineStr">
        <is>
          <t>C31@20261028-f9d1bef9</t>
        </is>
      </c>
      <c r="H284" s="7" t="inlineStr">
        <is>
          <t>Approved</t>
        </is>
      </c>
      <c r="I284" s="7" t="n"/>
      <c r="J284" s="4" t="inlineStr">
        <is>
          <t>Source document text 1/1. Conditional applicability not yet encoded.</t>
        </is>
      </c>
    </row>
    <row r="285" ht="110" customHeight="1">
      <c r="A285" s="8" t="inlineStr">
        <is>
          <t>C31</t>
        </is>
      </c>
      <c r="B285" s="8" t="inlineStr">
        <is>
          <t>Scheme For Financial Assistance For Veteran Artists</t>
        </is>
      </c>
      <c r="C285" s="8" t="inlineStr">
        <is>
          <t>C31-P0023</t>
        </is>
      </c>
      <c r="D285" s="8" t="inlineStr">
        <is>
          <t>Self-attested copy of any one document from the following listed documents for address proof:- Aadhaar Card issued by Unique Identification Authority of India(UIDAI); Elector’s photo identity card; Passport; Driving License; Electricity Bill; Landline telephone or broadband connection bill; Water Bill; Consumer gas connection card or book or piped gas bill; Bank account statement, Domicile certificate issued by the Government; Passport of the spouse; Post office passbook having an address of the applicant; Property registration document</t>
        </is>
      </c>
      <c r="E285" s="8" t="inlineStr"/>
      <c r="F285" s="8" t="inlineStr">
        <is>
          <t>MS-C31</t>
        </is>
      </c>
      <c r="G285" s="8" t="inlineStr">
        <is>
          <t>C31@20261028-f9d1bef9</t>
        </is>
      </c>
      <c r="H285" s="7" t="inlineStr">
        <is>
          <t>Approved</t>
        </is>
      </c>
      <c r="I285" s="7" t="n"/>
      <c r="J285" s="8" t="inlineStr">
        <is>
          <t>Source document text 1/1. Conditional applicability not yet encoded.</t>
        </is>
      </c>
    </row>
    <row r="286" ht="110" customHeight="1">
      <c r="A286" s="4" t="inlineStr">
        <is>
          <t>C31</t>
        </is>
      </c>
      <c r="B286" s="4" t="inlineStr">
        <is>
          <t>Scheme For Financial Assistance For Veteran Artists</t>
        </is>
      </c>
      <c r="C286" s="4" t="inlineStr">
        <is>
          <t>C31-P0024</t>
        </is>
      </c>
      <c r="D286" s="4" t="inlineStr">
        <is>
          <t>Self-attested copy of any one document from the following listed documents for proof of Date of Birth:- Aadhaar Card issued by UIDAI; PAN Card, Elector’s photo identity card; Passport; Driving License; Birth Certificate issued by the Municipal Authority or any office authorized to issue Birth and Death Certificate by the Registrar of Birth and Deaths; Marriage certificate issued by Registrar of Marriages; Matriculation/10th class certificate or mark sheet of recognized Board; Domicile certificate issued by the Government.</t>
        </is>
      </c>
      <c r="E286" s="4" t="inlineStr"/>
      <c r="F286" s="4" t="inlineStr">
        <is>
          <t>MS-C31</t>
        </is>
      </c>
      <c r="G286" s="4" t="inlineStr">
        <is>
          <t>C31@20261028-f9d1bef9</t>
        </is>
      </c>
      <c r="H286" s="7" t="inlineStr">
        <is>
          <t>Approved</t>
        </is>
      </c>
      <c r="I286" s="7" t="n"/>
      <c r="J286" s="4" t="inlineStr">
        <is>
          <t>Source document text 1/1. Conditional applicability not yet encoded.</t>
        </is>
      </c>
    </row>
    <row r="287" ht="40" customHeight="1">
      <c r="A287" s="8" t="inlineStr">
        <is>
          <t>C31</t>
        </is>
      </c>
      <c r="B287" s="8" t="inlineStr">
        <is>
          <t>Scheme For Financial Assistance For Veteran Artists</t>
        </is>
      </c>
      <c r="C287" s="8" t="inlineStr">
        <is>
          <t>C31-P0025</t>
        </is>
      </c>
      <c r="D287" s="8" t="inlineStr">
        <is>
          <t>Self-attested copy of Aadhaar Card issued by UIDAI.</t>
        </is>
      </c>
      <c r="E287" s="8" t="inlineStr"/>
      <c r="F287" s="8" t="inlineStr">
        <is>
          <t>MS-C31</t>
        </is>
      </c>
      <c r="G287" s="8" t="inlineStr">
        <is>
          <t>C31@20261028-f9d1bef9</t>
        </is>
      </c>
      <c r="H287" s="7" t="inlineStr">
        <is>
          <t>Approved</t>
        </is>
      </c>
      <c r="I287" s="7" t="n"/>
      <c r="J287" s="8" t="inlineStr">
        <is>
          <t>Source document text 1/1. Conditional applicability not yet encoded.</t>
        </is>
      </c>
    </row>
    <row r="288" ht="40" customHeight="1">
      <c r="A288" s="4" t="inlineStr">
        <is>
          <t>C31</t>
        </is>
      </c>
      <c r="B288" s="4" t="inlineStr">
        <is>
          <t>Scheme For Financial Assistance For Veteran Artists</t>
        </is>
      </c>
      <c r="C288" s="4" t="inlineStr">
        <is>
          <t>C31-P0026</t>
        </is>
      </c>
      <c r="D288" s="4" t="inlineStr">
        <is>
          <t>Original copy of Income Certificate in the prescribed format [Annexure-II(A)] issued by the Competent Authority of the State/UTs concerned.</t>
        </is>
      </c>
      <c r="E288" s="4" t="inlineStr"/>
      <c r="F288" s="4" t="inlineStr">
        <is>
          <t>MS-C31</t>
        </is>
      </c>
      <c r="G288" s="4" t="inlineStr">
        <is>
          <t>C31@20261028-f9d1bef9</t>
        </is>
      </c>
      <c r="H288" s="7" t="inlineStr">
        <is>
          <t>Approved</t>
        </is>
      </c>
      <c r="I288" s="7" t="n"/>
      <c r="J288" s="4" t="inlineStr">
        <is>
          <t>Source document text 1/1. Conditional applicability not yet encoded.</t>
        </is>
      </c>
    </row>
    <row r="289" ht="68" customHeight="1">
      <c r="A289" s="8" t="inlineStr">
        <is>
          <t>C31</t>
        </is>
      </c>
      <c r="B289" s="8" t="inlineStr">
        <is>
          <t>Scheme For Financial Assistance For Veteran Artists</t>
        </is>
      </c>
      <c r="C289" s="8" t="inlineStr">
        <is>
          <t>C31-P0027</t>
        </is>
      </c>
      <c r="D289" s="8" t="inlineStr">
        <is>
          <t>Copies of relevant documents which support the applicant’s contributions made in the field of Art, Culture, etc., or awards, recognition, or distinction received by the applicant from Central/State Government/Union Territory or any prominent Literary or Arts Society.</t>
        </is>
      </c>
      <c r="E289" s="8" t="inlineStr"/>
      <c r="F289" s="8" t="inlineStr">
        <is>
          <t>MS-C31</t>
        </is>
      </c>
      <c r="G289" s="8" t="inlineStr">
        <is>
          <t>C31@20261028-f9d1bef9</t>
        </is>
      </c>
      <c r="H289" s="7" t="inlineStr">
        <is>
          <t>Approved</t>
        </is>
      </c>
      <c r="I289" s="7" t="n"/>
      <c r="J289" s="8" t="inlineStr">
        <is>
          <t>Source document text 1/1. Conditional applicability not yet encoded.</t>
        </is>
      </c>
    </row>
    <row r="290" ht="40" customHeight="1">
      <c r="A290" s="4" t="inlineStr">
        <is>
          <t>C31</t>
        </is>
      </c>
      <c r="B290" s="4" t="inlineStr">
        <is>
          <t>Scheme For Financial Assistance For Veteran Artists</t>
        </is>
      </c>
      <c r="C290" s="4" t="inlineStr">
        <is>
          <t>C31-P0028</t>
        </is>
      </c>
      <c r="D290" s="4" t="inlineStr">
        <is>
          <t>Duly filled-in and signed prescribed Bank Authorization letter (Annexure-IV) which is verified &amp; signed by the Manager of the concerned Bank (in original).</t>
        </is>
      </c>
      <c r="E290" s="4" t="inlineStr"/>
      <c r="F290" s="4" t="inlineStr">
        <is>
          <t>MS-C31</t>
        </is>
      </c>
      <c r="G290" s="4" t="inlineStr">
        <is>
          <t>C31@20261028-f9d1bef9</t>
        </is>
      </c>
      <c r="H290" s="7" t="inlineStr">
        <is>
          <t>Approved</t>
        </is>
      </c>
      <c r="I290" s="7" t="n"/>
      <c r="J290" s="4" t="inlineStr">
        <is>
          <t>Source document text 1/1. Conditional applicability not yet encoded.</t>
        </is>
      </c>
    </row>
    <row r="291" ht="54" customHeight="1">
      <c r="A291" s="8" t="inlineStr">
        <is>
          <t>C31</t>
        </is>
      </c>
      <c r="B291" s="8" t="inlineStr">
        <is>
          <t>Scheme For Financial Assistance For Veteran Artists</t>
        </is>
      </c>
      <c r="C291" s="8" t="inlineStr">
        <is>
          <t>C31-P0029</t>
        </is>
      </c>
      <c r="D291" s="8" t="inlineStr">
        <is>
          <t>Recommendation letter obtained from the Culture Department of the concerned Stated Government/UT Administrations in the prescribed format [Part-II of the Application Form (Appendix)].</t>
        </is>
      </c>
      <c r="E291" s="8" t="inlineStr"/>
      <c r="F291" s="8" t="inlineStr">
        <is>
          <t>MS-C31</t>
        </is>
      </c>
      <c r="G291" s="8" t="inlineStr">
        <is>
          <t>C31@20261028-f9d1bef9</t>
        </is>
      </c>
      <c r="H291" s="7" t="inlineStr">
        <is>
          <t>Approved</t>
        </is>
      </c>
      <c r="I291" s="7" t="n"/>
      <c r="J291" s="8" t="inlineStr">
        <is>
          <t>Source document text 1/1. Conditional applicability not yet encoded.</t>
        </is>
      </c>
    </row>
    <row r="292" ht="40" customHeight="1">
      <c r="A292" s="4" t="inlineStr">
        <is>
          <t>C31</t>
        </is>
      </c>
      <c r="B292" s="4" t="inlineStr">
        <is>
          <t>Scheme For Financial Assistance For Veteran Artists</t>
        </is>
      </c>
      <c r="C292" s="4" t="inlineStr">
        <is>
          <t>C31-P0030</t>
        </is>
      </c>
      <c r="D292" s="4" t="inlineStr">
        <is>
          <t>In case of pension to the spouse in case of death of beneficiary:</t>
        </is>
      </c>
      <c r="E292" s="4" t="inlineStr">
        <is>
          <t>In case of pension to the spouse in case of death of beneficiary:</t>
        </is>
      </c>
      <c r="F292" s="4" t="inlineStr">
        <is>
          <t>MS-C31</t>
        </is>
      </c>
      <c r="G292" s="4" t="inlineStr">
        <is>
          <t>C31@20261028-f9d1bef9</t>
        </is>
      </c>
      <c r="H292" s="7" t="inlineStr">
        <is>
          <t>Approved</t>
        </is>
      </c>
      <c r="I292" s="7" t="n"/>
      <c r="J292" s="4" t="inlineStr">
        <is>
          <t>Source heading</t>
        </is>
      </c>
    </row>
    <row r="293" ht="40" customHeight="1">
      <c r="A293" s="8" t="inlineStr">
        <is>
          <t>C31</t>
        </is>
      </c>
      <c r="B293" s="8" t="inlineStr">
        <is>
          <t>Scheme For Financial Assistance For Veteran Artists</t>
        </is>
      </c>
      <c r="C293" s="8" t="inlineStr">
        <is>
          <t>C31-P0031</t>
        </is>
      </c>
      <c r="D293" s="8" t="inlineStr">
        <is>
          <t>Copy of death certificate of the late beneficiary in original or self-attested;</t>
        </is>
      </c>
      <c r="E293" s="8" t="inlineStr">
        <is>
          <t>In case of pension to the spouse in case of death of beneficiary:</t>
        </is>
      </c>
      <c r="F293" s="8" t="inlineStr">
        <is>
          <t>MS-C31</t>
        </is>
      </c>
      <c r="G293" s="8" t="inlineStr">
        <is>
          <t>C31@20261028-f9d1bef9</t>
        </is>
      </c>
      <c r="H293" s="7" t="inlineStr">
        <is>
          <t>Approved</t>
        </is>
      </c>
      <c r="I293" s="7" t="n"/>
      <c r="J293" s="8" t="inlineStr">
        <is>
          <t>Source document text 1/1. Conditional applicability not yet encoded.</t>
        </is>
      </c>
    </row>
    <row r="294" ht="40" customHeight="1">
      <c r="A294" s="4" t="inlineStr">
        <is>
          <t>C31</t>
        </is>
      </c>
      <c r="B294" s="4" t="inlineStr">
        <is>
          <t>Scheme For Financial Assistance For Veteran Artists</t>
        </is>
      </c>
      <c r="C294" s="4" t="inlineStr">
        <is>
          <t>C31-P0032</t>
        </is>
      </c>
      <c r="D294" s="4" t="inlineStr">
        <is>
          <t>Documentary proof to support that the late beneficiary was getting artistes pension;</t>
        </is>
      </c>
      <c r="E294" s="4" t="inlineStr">
        <is>
          <t>In case of pension to the spouse in case of death of beneficiary:</t>
        </is>
      </c>
      <c r="F294" s="4" t="inlineStr">
        <is>
          <t>MS-C31</t>
        </is>
      </c>
      <c r="G294" s="4" t="inlineStr">
        <is>
          <t>C31@20261028-f9d1bef9</t>
        </is>
      </c>
      <c r="H294" s="7" t="inlineStr">
        <is>
          <t>Approved</t>
        </is>
      </c>
      <c r="I294" s="7" t="n"/>
      <c r="J294" s="4" t="inlineStr">
        <is>
          <t>Source document text 1/1. Conditional applicability not yet encoded.</t>
        </is>
      </c>
    </row>
    <row r="295" ht="40" customHeight="1">
      <c r="A295" s="8" t="inlineStr">
        <is>
          <t>C31</t>
        </is>
      </c>
      <c r="B295" s="8" t="inlineStr">
        <is>
          <t>Scheme For Financial Assistance For Veteran Artists</t>
        </is>
      </c>
      <c r="C295" s="8" t="inlineStr">
        <is>
          <t>C31-P0033</t>
        </is>
      </c>
      <c r="D295" s="8" t="inlineStr">
        <is>
          <t>Legal heir certificate in the prescribed proforma issued by the Competent Authority and an affidavit from SDM or 1st Class Magistrate in proforma;</t>
        </is>
      </c>
      <c r="E295" s="8" t="inlineStr">
        <is>
          <t>In case of pension to the spouse in case of death of beneficiary:</t>
        </is>
      </c>
      <c r="F295" s="8" t="inlineStr">
        <is>
          <t>MS-C31</t>
        </is>
      </c>
      <c r="G295" s="8" t="inlineStr">
        <is>
          <t>C31@20261028-f9d1bef9</t>
        </is>
      </c>
      <c r="H295" s="7" t="inlineStr">
        <is>
          <t>Approved</t>
        </is>
      </c>
      <c r="I295" s="7" t="n"/>
      <c r="J295" s="8" t="inlineStr">
        <is>
          <t>Source document text 1/1. Conditional applicability not yet encoded.</t>
        </is>
      </c>
    </row>
    <row r="296" ht="40" customHeight="1">
      <c r="A296" s="4" t="inlineStr">
        <is>
          <t>C31</t>
        </is>
      </c>
      <c r="B296" s="4" t="inlineStr">
        <is>
          <t>Scheme For Financial Assistance For Veteran Artists</t>
        </is>
      </c>
      <c r="C296" s="4" t="inlineStr">
        <is>
          <t>C31-P0034</t>
        </is>
      </c>
      <c r="D296" s="4" t="inlineStr">
        <is>
          <t>Self-attested copy of the Digital Life Certificate (DLC) of the spouse processed through Jeevan Pramaan Portal https://jeevanpramaan.gov.in</t>
        </is>
      </c>
      <c r="E296" s="4" t="inlineStr">
        <is>
          <t>In case of pension to the spouse in case of death of beneficiary:</t>
        </is>
      </c>
      <c r="F296" s="4" t="inlineStr">
        <is>
          <t>MS-C31</t>
        </is>
      </c>
      <c r="G296" s="4" t="inlineStr">
        <is>
          <t>C31@20261028-f9d1bef9</t>
        </is>
      </c>
      <c r="H296" s="7" t="inlineStr">
        <is>
          <t>Approved</t>
        </is>
      </c>
      <c r="I296" s="7" t="n"/>
      <c r="J296" s="4" t="inlineStr">
        <is>
          <t>Source document text 1/1. Conditional applicability not yet encoded.</t>
        </is>
      </c>
    </row>
    <row r="297" ht="54" customHeight="1">
      <c r="A297" s="8" t="inlineStr">
        <is>
          <t>C31</t>
        </is>
      </c>
      <c r="B297" s="8" t="inlineStr">
        <is>
          <t>Scheme For Financial Assistance For Veteran Artists</t>
        </is>
      </c>
      <c r="C297" s="8" t="inlineStr">
        <is>
          <t>C31-P0035</t>
        </is>
      </c>
      <c r="D297" s="8" t="inlineStr">
        <is>
          <t>Self-attested copy of the latest Income Certificate of the spouse in the prescribed format [Annexure-II(A)] issued by the concerned Competent Authority of the States/UTs[Annexure-II(B)];</t>
        </is>
      </c>
      <c r="E297" s="8" t="inlineStr">
        <is>
          <t>In case of pension to the spouse in case of death of beneficiary:</t>
        </is>
      </c>
      <c r="F297" s="8" t="inlineStr">
        <is>
          <t>MS-C31</t>
        </is>
      </c>
      <c r="G297" s="8" t="inlineStr">
        <is>
          <t>C31@20261028-f9d1bef9</t>
        </is>
      </c>
      <c r="H297" s="7" t="inlineStr">
        <is>
          <t>Approved</t>
        </is>
      </c>
      <c r="I297" s="7" t="n"/>
      <c r="J297" s="8" t="inlineStr">
        <is>
          <t>Source document text 1/1. Conditional applicability not yet encoded.</t>
        </is>
      </c>
    </row>
    <row r="298" ht="40" customHeight="1">
      <c r="A298" s="4" t="inlineStr">
        <is>
          <t>C31</t>
        </is>
      </c>
      <c r="B298" s="4" t="inlineStr">
        <is>
          <t>Scheme For Financial Assistance For Veteran Artists</t>
        </is>
      </c>
      <c r="C298" s="4" t="inlineStr">
        <is>
          <t>C31-P0036</t>
        </is>
      </c>
      <c r="D298" s="4" t="inlineStr">
        <is>
          <t>Self-attested copy of Aadhaar Card of spouse issued by UIDAI;</t>
        </is>
      </c>
      <c r="E298" s="4" t="inlineStr">
        <is>
          <t>In case of pension to the spouse in case of death of beneficiary:</t>
        </is>
      </c>
      <c r="F298" s="4" t="inlineStr">
        <is>
          <t>MS-C31</t>
        </is>
      </c>
      <c r="G298" s="4" t="inlineStr">
        <is>
          <t>C31@20261028-f9d1bef9</t>
        </is>
      </c>
      <c r="H298" s="7" t="inlineStr">
        <is>
          <t>Approved</t>
        </is>
      </c>
      <c r="I298" s="7" t="n"/>
      <c r="J298" s="4" t="inlineStr">
        <is>
          <t>Source document text 1/1. Conditional applicability not yet encoded.</t>
        </is>
      </c>
    </row>
    <row r="299" ht="40" customHeight="1">
      <c r="A299" s="8" t="inlineStr">
        <is>
          <t>C31</t>
        </is>
      </c>
      <c r="B299" s="8" t="inlineStr">
        <is>
          <t>Scheme For Financial Assistance For Veteran Artists</t>
        </is>
      </c>
      <c r="C299" s="8" t="inlineStr">
        <is>
          <t>C31-P0037</t>
        </is>
      </c>
      <c r="D299" s="8" t="inlineStr">
        <is>
          <t>Self-attested copy of any document in support of address proof of the spouse.</t>
        </is>
      </c>
      <c r="E299" s="8" t="inlineStr">
        <is>
          <t>In case of pension to the spouse in case of death of beneficiary:</t>
        </is>
      </c>
      <c r="F299" s="8" t="inlineStr">
        <is>
          <t>MS-C31</t>
        </is>
      </c>
      <c r="G299" s="8" t="inlineStr">
        <is>
          <t>C31@20261028-f9d1bef9</t>
        </is>
      </c>
      <c r="H299" s="7" t="inlineStr">
        <is>
          <t>Approved</t>
        </is>
      </c>
      <c r="I299" s="7" t="n"/>
      <c r="J299" s="8" t="inlineStr">
        <is>
          <t>Source document text 1/1. Conditional applicability not yet encoded.</t>
        </is>
      </c>
    </row>
    <row r="300" ht="54" customHeight="1">
      <c r="A300" s="4" t="inlineStr">
        <is>
          <t>C31</t>
        </is>
      </c>
      <c r="B300" s="4" t="inlineStr">
        <is>
          <t>Scheme For Financial Assistance For Veteran Artists</t>
        </is>
      </c>
      <c r="C300" s="4" t="inlineStr">
        <is>
          <t>C31-P0038</t>
        </is>
      </c>
      <c r="D300" s="4" t="inlineStr">
        <is>
          <t>An undertaking that he/she is not getting financial assistance under other Schemes of the Ministry of Culture or other Ministry/Department of Central Government for the same purpose.</t>
        </is>
      </c>
      <c r="E300" s="4" t="inlineStr">
        <is>
          <t>In case of pension to the spouse in case of death of beneficiary:</t>
        </is>
      </c>
      <c r="F300" s="4" t="inlineStr">
        <is>
          <t>MS-C31</t>
        </is>
      </c>
      <c r="G300" s="4" t="inlineStr">
        <is>
          <t>C31@20261028-f9d1bef9</t>
        </is>
      </c>
      <c r="H300" s="7" t="inlineStr">
        <is>
          <t>Approved</t>
        </is>
      </c>
      <c r="I300" s="7" t="n"/>
      <c r="J300" s="4" t="inlineStr">
        <is>
          <t>Source document text 1/1. Conditional applicability not yet encoded.</t>
        </is>
      </c>
    </row>
    <row r="301" ht="40" customHeight="1">
      <c r="A301" s="8" t="inlineStr">
        <is>
          <t>C31</t>
        </is>
      </c>
      <c r="B301" s="8" t="inlineStr">
        <is>
          <t>Scheme For Financial Assistance For Veteran Artists</t>
        </is>
      </c>
      <c r="C301" s="8" t="inlineStr">
        <is>
          <t>C31-P0039</t>
        </is>
      </c>
      <c r="D301" s="8" t="inlineStr">
        <is>
          <t>Bank Authorization Letter in the prescribed format (Annexure-IV)</t>
        </is>
      </c>
      <c r="E301" s="8" t="inlineStr">
        <is>
          <t>In case of pension to the spouse in case of death of beneficiary:</t>
        </is>
      </c>
      <c r="F301" s="8" t="inlineStr">
        <is>
          <t>MS-C31</t>
        </is>
      </c>
      <c r="G301" s="8" t="inlineStr">
        <is>
          <t>C31@20261028-f9d1bef9</t>
        </is>
      </c>
      <c r="H301" s="7" t="inlineStr">
        <is>
          <t>Approved</t>
        </is>
      </c>
      <c r="I301" s="7" t="n"/>
      <c r="J301" s="8" t="inlineStr">
        <is>
          <t>Source document text 1/1. Conditional applicability not yet encoded.</t>
        </is>
      </c>
    </row>
    <row r="302" ht="54" customHeight="1">
      <c r="A302" s="4" t="inlineStr">
        <is>
          <t>C32</t>
        </is>
      </c>
      <c r="B302" s="4" t="inlineStr">
        <is>
          <t>Free Education For Sports Medal Winners / Participants Of National/ International Events</t>
        </is>
      </c>
      <c r="C302" s="4" t="inlineStr">
        <is>
          <t>C32-P0047</t>
        </is>
      </c>
      <c r="D302" s="4" t="inlineStr">
        <is>
          <t>To Be Submitted by the Candidate through University/College -</t>
        </is>
      </c>
      <c r="E302" s="4" t="inlineStr">
        <is>
          <t>To Be Submitted by the Candidate through University/College -</t>
        </is>
      </c>
      <c r="F302" s="4" t="inlineStr">
        <is>
          <t>MS-C32</t>
        </is>
      </c>
      <c r="G302" s="4" t="inlineStr">
        <is>
          <t>C32@20261028-67ab4e80</t>
        </is>
      </c>
      <c r="H302" s="7" t="inlineStr">
        <is>
          <t>Approved</t>
        </is>
      </c>
      <c r="I302" s="7" t="n"/>
      <c r="J302" s="4" t="inlineStr">
        <is>
          <t>Source heading</t>
        </is>
      </c>
    </row>
    <row r="303" ht="54" customHeight="1">
      <c r="A303" s="8" t="inlineStr">
        <is>
          <t>C32</t>
        </is>
      </c>
      <c r="B303" s="8" t="inlineStr">
        <is>
          <t>Free Education For Sports Medal Winners / Participants Of National/ International Events</t>
        </is>
      </c>
      <c r="C303" s="8" t="inlineStr">
        <is>
          <t>C32-P0048</t>
        </is>
      </c>
      <c r="D303" s="8" t="inlineStr">
        <is>
          <t>1. The candidate is required to submit an application in the prescribed format for availing of the scholarship.</t>
        </is>
      </c>
      <c r="E303" s="8" t="inlineStr">
        <is>
          <t>To Be Submitted by the Candidate through University/College -</t>
        </is>
      </c>
      <c r="F303" s="8" t="inlineStr">
        <is>
          <t>MS-C32</t>
        </is>
      </c>
      <c r="G303" s="8" t="inlineStr">
        <is>
          <t>C32@20261028-67ab4e80</t>
        </is>
      </c>
      <c r="H303" s="7" t="inlineStr">
        <is>
          <t>Approved</t>
        </is>
      </c>
      <c r="I303" s="7" t="n"/>
      <c r="J303" s="8" t="inlineStr">
        <is>
          <t>Source document text 1/1. Conditional applicability not yet encoded.</t>
        </is>
      </c>
    </row>
    <row r="304" ht="54" customHeight="1">
      <c r="A304" s="4" t="inlineStr">
        <is>
          <t>C32</t>
        </is>
      </c>
      <c r="B304" s="4" t="inlineStr">
        <is>
          <t>Free Education For Sports Medal Winners / Participants Of National/ International Events</t>
        </is>
      </c>
      <c r="C304" s="4" t="inlineStr">
        <is>
          <t>C32-P0049</t>
        </is>
      </c>
      <c r="D304" s="4" t="inlineStr">
        <is>
          <t>2. A Certificate of the participation/medal winner as per the eligibility mentioned above as proof (Attested By Registrar/Principal).</t>
        </is>
      </c>
      <c r="E304" s="4" t="inlineStr">
        <is>
          <t>To Be Submitted by the Candidate through University/College -</t>
        </is>
      </c>
      <c r="F304" s="4" t="inlineStr">
        <is>
          <t>MS-C32</t>
        </is>
      </c>
      <c r="G304" s="4" t="inlineStr">
        <is>
          <t>C32@20261028-67ab4e80</t>
        </is>
      </c>
      <c r="H304" s="7" t="inlineStr">
        <is>
          <t>Approved</t>
        </is>
      </c>
      <c r="I304" s="7" t="n"/>
      <c r="J304" s="4" t="inlineStr">
        <is>
          <t>Source document text 1/1. Conditional applicability not yet encoded.</t>
        </is>
      </c>
    </row>
    <row r="305" ht="54" customHeight="1">
      <c r="A305" s="8" t="inlineStr">
        <is>
          <t>C32</t>
        </is>
      </c>
      <c r="B305" s="8" t="inlineStr">
        <is>
          <t>Free Education For Sports Medal Winners / Participants Of National/ International Events</t>
        </is>
      </c>
      <c r="C305" s="8" t="inlineStr">
        <is>
          <t>C32-P0050</t>
        </is>
      </c>
      <c r="D305" s="8" t="inlineStr">
        <is>
          <t>To Be Submitted by the concerned University/College/Institution to the UGC -</t>
        </is>
      </c>
      <c r="E305" s="8" t="inlineStr">
        <is>
          <t>To Be Submitted by the concerned University/College/Institution to the UGC -</t>
        </is>
      </c>
      <c r="F305" s="8" t="inlineStr">
        <is>
          <t>MS-C32</t>
        </is>
      </c>
      <c r="G305" s="8" t="inlineStr">
        <is>
          <t>C32@20261028-67ab4e80</t>
        </is>
      </c>
      <c r="H305" s="7" t="inlineStr">
        <is>
          <t>Approved</t>
        </is>
      </c>
      <c r="I305" s="7" t="n"/>
      <c r="J305" s="8" t="inlineStr">
        <is>
          <t>Source heading</t>
        </is>
      </c>
    </row>
    <row r="306" ht="54" customHeight="1">
      <c r="A306" s="4" t="inlineStr">
        <is>
          <t>C32</t>
        </is>
      </c>
      <c r="B306" s="4" t="inlineStr">
        <is>
          <t>Free Education For Sports Medal Winners / Participants Of National/ International Events</t>
        </is>
      </c>
      <c r="C306" s="4" t="inlineStr">
        <is>
          <t>C32-P0051</t>
        </is>
      </c>
      <c r="D306" s="4" t="inlineStr">
        <is>
          <t>Every year University/Institution will submit a complete statement of the following:</t>
        </is>
      </c>
      <c r="E306" s="4" t="inlineStr">
        <is>
          <t>To Be Submitted by the concerned University/College/Institution to the UGC -</t>
        </is>
      </c>
      <c r="F306" s="4" t="inlineStr">
        <is>
          <t>MS-C32</t>
        </is>
      </c>
      <c r="G306" s="4" t="inlineStr">
        <is>
          <t>C32@20261028-67ab4e80</t>
        </is>
      </c>
      <c r="H306" s="7" t="inlineStr">
        <is>
          <t>Approved</t>
        </is>
      </c>
      <c r="I306" s="7" t="n"/>
      <c r="J306" s="4" t="inlineStr">
        <is>
          <t>Source document text 1/1. Conditional applicability not yet encoded.</t>
        </is>
      </c>
    </row>
    <row r="307" ht="54" customHeight="1">
      <c r="A307" s="8" t="inlineStr">
        <is>
          <t>C32</t>
        </is>
      </c>
      <c r="B307" s="8" t="inlineStr">
        <is>
          <t>Free Education For Sports Medal Winners / Participants Of National/ International Events</t>
        </is>
      </c>
      <c r="C307" s="8" t="inlineStr">
        <is>
          <t>C32-P0052</t>
        </is>
      </c>
      <c r="D307" s="8" t="inlineStr">
        <is>
          <t>1. Statement giving the names of the students selected for the scholarship along with their receipt of the scholarship amount.</t>
        </is>
      </c>
      <c r="E307" s="8" t="inlineStr">
        <is>
          <t>To Be Submitted by the concerned University/College/Institution to the UGC -</t>
        </is>
      </c>
      <c r="F307" s="8" t="inlineStr">
        <is>
          <t>MS-C32</t>
        </is>
      </c>
      <c r="G307" s="8" t="inlineStr">
        <is>
          <t>C32@20261028-67ab4e80</t>
        </is>
      </c>
      <c r="H307" s="7" t="inlineStr">
        <is>
          <t>Approved</t>
        </is>
      </c>
      <c r="I307" s="7" t="n"/>
      <c r="J307" s="8" t="inlineStr">
        <is>
          <t>Source document text 1/1. Conditional applicability not yet encoded.</t>
        </is>
      </c>
    </row>
    <row r="308" ht="54" customHeight="1">
      <c r="A308" s="4" t="inlineStr">
        <is>
          <t>C32</t>
        </is>
      </c>
      <c r="B308" s="4" t="inlineStr">
        <is>
          <t>Free Education For Sports Medal Winners / Participants Of National/ International Events</t>
        </is>
      </c>
      <c r="C308" s="4" t="inlineStr">
        <is>
          <t>C32-P0053</t>
        </is>
      </c>
      <c r="D308" s="4" t="inlineStr">
        <is>
          <t>2. Progress Report to be submitted after the completion of the first year in terms of sports performance and academics.</t>
        </is>
      </c>
      <c r="E308" s="4" t="inlineStr">
        <is>
          <t>To Be Submitted by the concerned University/College/Institution to the UGC -</t>
        </is>
      </c>
      <c r="F308" s="4" t="inlineStr">
        <is>
          <t>MS-C32</t>
        </is>
      </c>
      <c r="G308" s="4" t="inlineStr">
        <is>
          <t>C32@20261028-67ab4e80</t>
        </is>
      </c>
      <c r="H308" s="7" t="inlineStr">
        <is>
          <t>Approved</t>
        </is>
      </c>
      <c r="I308" s="7" t="n"/>
      <c r="J308" s="4" t="inlineStr">
        <is>
          <t>Source document text 1/1. Conditional applicability not yet encoded.</t>
        </is>
      </c>
    </row>
    <row r="309" ht="54" customHeight="1">
      <c r="A309" s="8" t="inlineStr">
        <is>
          <t>C32</t>
        </is>
      </c>
      <c r="B309" s="8" t="inlineStr">
        <is>
          <t>Free Education For Sports Medal Winners / Participants Of National/ International Events</t>
        </is>
      </c>
      <c r="C309" s="8" t="inlineStr">
        <is>
          <t>C32-P0054</t>
        </is>
      </c>
      <c r="D309" s="8" t="inlineStr">
        <is>
          <t>3. Utilization certificate for the previous grant released.</t>
        </is>
      </c>
      <c r="E309" s="8" t="inlineStr">
        <is>
          <t>To Be Submitted by the concerned University/College/Institution to the UGC -</t>
        </is>
      </c>
      <c r="F309" s="8" t="inlineStr">
        <is>
          <t>MS-C32</t>
        </is>
      </c>
      <c r="G309" s="8" t="inlineStr">
        <is>
          <t>C32@20261028-67ab4e80</t>
        </is>
      </c>
      <c r="H309" s="7" t="inlineStr">
        <is>
          <t>Approved</t>
        </is>
      </c>
      <c r="I309" s="7" t="n"/>
      <c r="J309" s="8" t="inlineStr">
        <is>
          <t>Source document text 1/1. Conditional applicability not yet encoded.</t>
        </is>
      </c>
    </row>
    <row r="310" ht="54" customHeight="1">
      <c r="A310" s="4" t="inlineStr">
        <is>
          <t>C32</t>
        </is>
      </c>
      <c r="B310" s="4" t="inlineStr">
        <is>
          <t>Free Education For Sports Medal Winners / Participants Of National/ International Events</t>
        </is>
      </c>
      <c r="C310" s="4" t="inlineStr">
        <is>
          <t>C32-P0055</t>
        </is>
      </c>
      <c r="D310" s="4" t="inlineStr">
        <is>
          <t>4. A certificate giving justification for the continuance of the scholarship issued by the Director/Head of the Department duly forwarded by the Registrar/Principal.</t>
        </is>
      </c>
      <c r="E310" s="4" t="inlineStr">
        <is>
          <t>To Be Submitted by the concerned University/College/Institution to the UGC -</t>
        </is>
      </c>
      <c r="F310" s="4" t="inlineStr">
        <is>
          <t>MS-C32</t>
        </is>
      </c>
      <c r="G310" s="4" t="inlineStr">
        <is>
          <t>C32@20261028-67ab4e80</t>
        </is>
      </c>
      <c r="H310" s="7" t="inlineStr">
        <is>
          <t>Approved</t>
        </is>
      </c>
      <c r="I310" s="7" t="n"/>
      <c r="J310" s="4" t="inlineStr">
        <is>
          <t>Source document text 1/1. Conditional applicability not yet encoded.</t>
        </is>
      </c>
    </row>
    <row r="311" ht="40" customHeight="1">
      <c r="A311" s="8" t="inlineStr">
        <is>
          <t>C33</t>
        </is>
      </c>
      <c r="B311" s="8" t="inlineStr">
        <is>
          <t>GST Exemption Certificate Scheme</t>
        </is>
      </c>
      <c r="C311" s="8" t="inlineStr">
        <is>
          <t>C33-P0008</t>
        </is>
      </c>
      <c r="D311" s="8" t="inlineStr">
        <is>
          <t>Aadhar Card</t>
        </is>
      </c>
      <c r="E311" s="8" t="inlineStr"/>
      <c r="F311" s="8" t="inlineStr">
        <is>
          <t>MS-C33</t>
        </is>
      </c>
      <c r="G311" s="8" t="inlineStr">
        <is>
          <t>C33@20261028-8bc30e69</t>
        </is>
      </c>
      <c r="H311" s="7" t="inlineStr">
        <is>
          <t>Approved</t>
        </is>
      </c>
      <c r="I311" s="7" t="n"/>
      <c r="J311" s="8" t="inlineStr">
        <is>
          <t>Source document text 1/1. Conditional applicability not yet encoded.</t>
        </is>
      </c>
    </row>
    <row r="312" ht="40" customHeight="1">
      <c r="A312" s="4" t="inlineStr">
        <is>
          <t>C33</t>
        </is>
      </c>
      <c r="B312" s="4" t="inlineStr">
        <is>
          <t>GST Exemption Certificate Scheme</t>
        </is>
      </c>
      <c r="C312" s="4" t="inlineStr">
        <is>
          <t>C33-P0009</t>
        </is>
      </c>
      <c r="D312" s="4" t="inlineStr">
        <is>
          <t>PAN Card</t>
        </is>
      </c>
      <c r="E312" s="4" t="inlineStr"/>
      <c r="F312" s="4" t="inlineStr">
        <is>
          <t>MS-C33</t>
        </is>
      </c>
      <c r="G312" s="4" t="inlineStr">
        <is>
          <t>C33@20261028-8bc30e69</t>
        </is>
      </c>
      <c r="H312" s="7" t="inlineStr">
        <is>
          <t>Approved</t>
        </is>
      </c>
      <c r="I312" s="7" t="n"/>
      <c r="J312" s="4" t="inlineStr">
        <is>
          <t>Source document text 1/1. Conditional applicability not yet encoded.</t>
        </is>
      </c>
    </row>
    <row r="313" ht="68" customHeight="1">
      <c r="A313" s="8" t="inlineStr">
        <is>
          <t>C33</t>
        </is>
      </c>
      <c r="B313" s="8" t="inlineStr">
        <is>
          <t>GST Exemption Certificate Scheme</t>
        </is>
      </c>
      <c r="C313" s="8" t="inlineStr">
        <is>
          <t>C33-P0010</t>
        </is>
      </c>
      <c r="D313" s="8" t="inlineStr">
        <is>
          <t>Unique Disability ID card (UDID) (issued by the Ministry of Social Justice and Empowerment, Govt. of India) or Disability certificate (issued by Central Govt./State Govt./District Govt. bearing the proper signature and seal of the issuing authority wherein their name and registration no. should be mentioned)</t>
        </is>
      </c>
      <c r="E313" s="8" t="inlineStr"/>
      <c r="F313" s="8" t="inlineStr">
        <is>
          <t>MS-C33</t>
        </is>
      </c>
      <c r="G313" s="8" t="inlineStr">
        <is>
          <t>C33@20261028-8bc30e69</t>
        </is>
      </c>
      <c r="H313" s="7" t="inlineStr">
        <is>
          <t>Approved</t>
        </is>
      </c>
      <c r="I313" s="7" t="n"/>
      <c r="J313" s="8" t="inlineStr">
        <is>
          <t>Source document text 1/1. Conditional applicability not yet encoded.</t>
        </is>
      </c>
    </row>
    <row r="314" ht="40" customHeight="1">
      <c r="A314" s="4" t="inlineStr">
        <is>
          <t>C33</t>
        </is>
      </c>
      <c r="B314" s="4" t="inlineStr">
        <is>
          <t>GST Exemption Certificate Scheme</t>
        </is>
      </c>
      <c r="C314" s="4" t="inlineStr">
        <is>
          <t>C33-P0011</t>
        </is>
      </c>
      <c r="D314" s="4" t="inlineStr">
        <is>
          <t>Income Tax Return filed for the last three years.</t>
        </is>
      </c>
      <c r="E314" s="4" t="inlineStr"/>
      <c r="F314" s="4" t="inlineStr">
        <is>
          <t>MS-C33</t>
        </is>
      </c>
      <c r="G314" s="4" t="inlineStr">
        <is>
          <t>C33@20261028-8bc30e69</t>
        </is>
      </c>
      <c r="H314" s="7" t="inlineStr">
        <is>
          <t>Approved</t>
        </is>
      </c>
      <c r="I314" s="7" t="n"/>
      <c r="J314" s="4" t="inlineStr">
        <is>
          <t>Source document text 1/1. Conditional applicability not yet encoded.</t>
        </is>
      </c>
    </row>
    <row r="315" ht="54" customHeight="1">
      <c r="A315" s="8" t="inlineStr">
        <is>
          <t>C33</t>
        </is>
      </c>
      <c r="B315" s="8" t="inlineStr">
        <is>
          <t>GST Exemption Certificate Scheme</t>
        </is>
      </c>
      <c r="C315" s="8" t="inlineStr">
        <is>
          <t>C33-P0012</t>
        </is>
      </c>
      <c r="D315" s="8" t="inlineStr">
        <is>
          <t>Self-Declaration stating that he has not availed this concession in the last five years and he will not dispose of the vehicle after availing the GST concession for a period of 5 years from the date of purchase in the prescribed format placed in Annexure C.</t>
        </is>
      </c>
      <c r="E315" s="8" t="inlineStr"/>
      <c r="F315" s="8" t="inlineStr">
        <is>
          <t>MS-C33</t>
        </is>
      </c>
      <c r="G315" s="8" t="inlineStr">
        <is>
          <t>C33@20261028-8bc30e69</t>
        </is>
      </c>
      <c r="H315" s="7" t="inlineStr">
        <is>
          <t>Approved</t>
        </is>
      </c>
      <c r="I315" s="7" t="n"/>
      <c r="J315" s="8" t="inlineStr">
        <is>
          <t>Source document text 1/1. Conditional applicability not yet encoded.</t>
        </is>
      </c>
    </row>
    <row r="316" ht="54" customHeight="1">
      <c r="A316" s="4" t="inlineStr">
        <is>
          <t>C33</t>
        </is>
      </c>
      <c r="B316" s="4" t="inlineStr">
        <is>
          <t>GST Exemption Certificate Scheme</t>
        </is>
      </c>
      <c r="C316" s="4" t="inlineStr">
        <is>
          <t>C33-P0013</t>
        </is>
      </c>
      <c r="D316" s="4" t="inlineStr">
        <is>
          <t>Details of the Vehicle Model they intend to purchase along with the name of the dealer from whom the vehicle will be purchased and the name of RTO, where the vehicle will be registered.</t>
        </is>
      </c>
      <c r="E316" s="4" t="inlineStr"/>
      <c r="F316" s="4" t="inlineStr">
        <is>
          <t>MS-C33</t>
        </is>
      </c>
      <c r="G316" s="4" t="inlineStr">
        <is>
          <t>C33@20261028-8bc30e69</t>
        </is>
      </c>
      <c r="H316" s="7" t="inlineStr">
        <is>
          <t>Approved</t>
        </is>
      </c>
      <c r="I316" s="7" t="n"/>
      <c r="J316" s="4" t="inlineStr">
        <is>
          <t>Source document text 1/1. Conditional applicability not yet encoded.</t>
        </is>
      </c>
    </row>
    <row r="317" ht="68" customHeight="1">
      <c r="A317" s="8" t="inlineStr">
        <is>
          <t>C33</t>
        </is>
      </c>
      <c r="B317" s="8" t="inlineStr">
        <is>
          <t>GST Exemption Certificate Scheme</t>
        </is>
      </c>
      <c r="C317" s="8" t="inlineStr">
        <is>
          <t>C33-P0014</t>
        </is>
      </c>
      <c r="D317" s="8" t="inlineStr">
        <is>
          <t>NOTE: If a person does not have either of the medical certificates as referred above, then duly-filled annexure B is required with the signature and countersignature of orthopaedic doctor and civil surgeon rank officers respectively with their seal indicating their name and registration number.</t>
        </is>
      </c>
      <c r="E317" s="8" t="inlineStr"/>
      <c r="F317" s="8" t="inlineStr">
        <is>
          <t>MS-C33</t>
        </is>
      </c>
      <c r="G317" s="8" t="inlineStr">
        <is>
          <t>C33@20261028-8bc30e69</t>
        </is>
      </c>
      <c r="H317" s="7" t="inlineStr">
        <is>
          <t>Approved</t>
        </is>
      </c>
      <c r="I317" s="7" t="n"/>
      <c r="J317" s="8" t="inlineStr">
        <is>
          <t>Source document text 1/1. Conditional applicability not yet encoded.</t>
        </is>
      </c>
    </row>
    <row r="318" ht="40" customHeight="1">
      <c r="A318" s="4" t="inlineStr">
        <is>
          <t>C34</t>
        </is>
      </c>
      <c r="B318" s="4" t="inlineStr">
        <is>
          <t>National Energy Conservation Award</t>
        </is>
      </c>
      <c r="C318" s="4" t="inlineStr">
        <is>
          <t>C34-P0010</t>
        </is>
      </c>
      <c r="D318" s="4" t="inlineStr">
        <is>
          <t>Organization registration certificate</t>
        </is>
      </c>
      <c r="E318" s="4" t="inlineStr"/>
      <c r="F318" s="4" t="inlineStr">
        <is>
          <t>MS-C34</t>
        </is>
      </c>
      <c r="G318" s="4" t="inlineStr">
        <is>
          <t>C34@20261028-aa340d6f</t>
        </is>
      </c>
      <c r="H318" s="7" t="inlineStr">
        <is>
          <t>Approved</t>
        </is>
      </c>
      <c r="I318" s="7" t="n"/>
      <c r="J318" s="4" t="inlineStr">
        <is>
          <t>Source document text 1/1. Conditional applicability not yet encoded.</t>
        </is>
      </c>
    </row>
    <row r="319" ht="40" customHeight="1">
      <c r="A319" s="8" t="inlineStr">
        <is>
          <t>C34</t>
        </is>
      </c>
      <c r="B319" s="8" t="inlineStr">
        <is>
          <t>National Energy Conservation Award</t>
        </is>
      </c>
      <c r="C319" s="8" t="inlineStr">
        <is>
          <t>C34-P0011</t>
        </is>
      </c>
      <c r="D319" s="8" t="inlineStr">
        <is>
          <t>Energy consumption data/report</t>
        </is>
      </c>
      <c r="E319" s="8" t="inlineStr"/>
      <c r="F319" s="8" t="inlineStr">
        <is>
          <t>MS-C34</t>
        </is>
      </c>
      <c r="G319" s="8" t="inlineStr">
        <is>
          <t>C34@20261028-aa340d6f</t>
        </is>
      </c>
      <c r="H319" s="7" t="inlineStr">
        <is>
          <t>Approved</t>
        </is>
      </c>
      <c r="I319" s="7" t="n"/>
      <c r="J319" s="8" t="inlineStr">
        <is>
          <t>Source document text 1/1. Conditional applicability not yet encoded.</t>
        </is>
      </c>
    </row>
    <row r="320" ht="40" customHeight="1">
      <c r="A320" s="4" t="inlineStr">
        <is>
          <t>C34</t>
        </is>
      </c>
      <c r="B320" s="4" t="inlineStr">
        <is>
          <t>National Energy Conservation Award</t>
        </is>
      </c>
      <c r="C320" s="4" t="inlineStr">
        <is>
          <t>C34-P0012</t>
        </is>
      </c>
      <c r="D320" s="4" t="inlineStr">
        <is>
          <t>Proof of energy-saving initiatives</t>
        </is>
      </c>
      <c r="E320" s="4" t="inlineStr"/>
      <c r="F320" s="4" t="inlineStr">
        <is>
          <t>MS-C34</t>
        </is>
      </c>
      <c r="G320" s="4" t="inlineStr">
        <is>
          <t>C34@20261028-aa340d6f</t>
        </is>
      </c>
      <c r="H320" s="7" t="inlineStr">
        <is>
          <t>Approved</t>
        </is>
      </c>
      <c r="I320" s="7" t="n"/>
      <c r="J320" s="4" t="inlineStr">
        <is>
          <t>Source document text 1/1. Conditional applicability not yet encoded.</t>
        </is>
      </c>
    </row>
    <row r="321" ht="40" customHeight="1">
      <c r="A321" s="8" t="inlineStr">
        <is>
          <t>C34</t>
        </is>
      </c>
      <c r="B321" s="8" t="inlineStr">
        <is>
          <t>National Energy Conservation Award</t>
        </is>
      </c>
      <c r="C321" s="8" t="inlineStr">
        <is>
          <t>C34-P0013</t>
        </is>
      </c>
      <c r="D321" s="8" t="inlineStr">
        <is>
          <t>Supporting documents or reports</t>
        </is>
      </c>
      <c r="E321" s="8" t="inlineStr"/>
      <c r="F321" s="8" t="inlineStr">
        <is>
          <t>MS-C34</t>
        </is>
      </c>
      <c r="G321" s="8" t="inlineStr">
        <is>
          <t>C34@20261028-aa340d6f</t>
        </is>
      </c>
      <c r="H321" s="7" t="inlineStr">
        <is>
          <t>Approved</t>
        </is>
      </c>
      <c r="I321" s="7" t="n"/>
      <c r="J321" s="8" t="inlineStr">
        <is>
          <t>Source document text 1/1. Conditional applicability not yet encoded.</t>
        </is>
      </c>
    </row>
    <row r="322" ht="40" customHeight="1">
      <c r="A322" s="4" t="inlineStr">
        <is>
          <t>C34</t>
        </is>
      </c>
      <c r="B322" s="4" t="inlineStr">
        <is>
          <t>National Energy Conservation Award</t>
        </is>
      </c>
      <c r="C322" s="4" t="inlineStr">
        <is>
          <t>C34-P0014</t>
        </is>
      </c>
      <c r="D322" s="4" t="inlineStr">
        <is>
          <t>Any other papers asked by the Awards team.</t>
        </is>
      </c>
      <c r="E322" s="4" t="inlineStr"/>
      <c r="F322" s="4" t="inlineStr">
        <is>
          <t>MS-C34</t>
        </is>
      </c>
      <c r="G322" s="4" t="inlineStr">
        <is>
          <t>C34@20261028-aa340d6f</t>
        </is>
      </c>
      <c r="H322" s="7" t="inlineStr">
        <is>
          <t>Approved</t>
        </is>
      </c>
      <c r="I322" s="7" t="n"/>
      <c r="J322" s="4" t="inlineStr">
        <is>
          <t>Source document text 1/1. Conditional applicability not yet encoded.</t>
        </is>
      </c>
    </row>
    <row r="323" ht="40" customHeight="1">
      <c r="A323" s="8" t="inlineStr">
        <is>
          <t>C35</t>
        </is>
      </c>
      <c r="B323" s="8" t="inlineStr">
        <is>
          <t>Marketing Development Assistance Scheme</t>
        </is>
      </c>
      <c r="C323" s="8" t="inlineStr">
        <is>
          <t>C35-P0043</t>
        </is>
      </c>
      <c r="D323" s="8" t="inlineStr">
        <is>
          <t>For Prior Approval:</t>
        </is>
      </c>
      <c r="E323" s="8" t="inlineStr"/>
      <c r="F323" s="8" t="inlineStr">
        <is>
          <t>MS-C35</t>
        </is>
      </c>
      <c r="G323" s="8" t="inlineStr">
        <is>
          <t>C35@20261028-c67e587f</t>
        </is>
      </c>
      <c r="H323" s="7" t="inlineStr">
        <is>
          <t>Approved</t>
        </is>
      </c>
      <c r="I323" s="7" t="n"/>
      <c r="J323" s="8" t="inlineStr">
        <is>
          <t>Source document text 1/1. Conditional applicability not yet encoded.</t>
        </is>
      </c>
    </row>
    <row r="324" ht="40" customHeight="1">
      <c r="A324" s="4" t="inlineStr">
        <is>
          <t>C35</t>
        </is>
      </c>
      <c r="B324" s="4" t="inlineStr">
        <is>
          <t>Marketing Development Assistance Scheme</t>
        </is>
      </c>
      <c r="C324" s="4" t="inlineStr">
        <is>
          <t>C35-P0044</t>
        </is>
      </c>
      <c r="D324" s="4" t="inlineStr">
        <is>
          <t>Proof of TSP approval by Ministry of Tourism or State/UT Tourism Department.</t>
        </is>
      </c>
      <c r="E324" s="4" t="inlineStr"/>
      <c r="F324" s="4" t="inlineStr">
        <is>
          <t>MS-C35</t>
        </is>
      </c>
      <c r="G324" s="4" t="inlineStr">
        <is>
          <t>C35@20261028-c67e587f</t>
        </is>
      </c>
      <c r="H324" s="7" t="inlineStr">
        <is>
          <t>Approved</t>
        </is>
      </c>
      <c r="I324" s="7" t="n"/>
      <c r="J324" s="4" t="inlineStr">
        <is>
          <t>Source document text 1/1. Conditional applicability not yet encoded.</t>
        </is>
      </c>
    </row>
    <row r="325" ht="40" customHeight="1">
      <c r="A325" s="8" t="inlineStr">
        <is>
          <t>C35</t>
        </is>
      </c>
      <c r="B325" s="8" t="inlineStr">
        <is>
          <t>Marketing Development Assistance Scheme</t>
        </is>
      </c>
      <c r="C325" s="8" t="inlineStr">
        <is>
          <t>C35-P0045</t>
        </is>
      </c>
      <c r="D325" s="8" t="inlineStr">
        <is>
          <t>Declaration/Undertaking of no investigation or debarment.</t>
        </is>
      </c>
      <c r="E325" s="8" t="inlineStr"/>
      <c r="F325" s="8" t="inlineStr">
        <is>
          <t>MS-C35</t>
        </is>
      </c>
      <c r="G325" s="8" t="inlineStr">
        <is>
          <t>C35@20261028-c67e587f</t>
        </is>
      </c>
      <c r="H325" s="7" t="inlineStr">
        <is>
          <t>Approved</t>
        </is>
      </c>
      <c r="I325" s="7" t="n"/>
      <c r="J325" s="8" t="inlineStr">
        <is>
          <t>Source document text 1/1. Conditional applicability not yet encoded.</t>
        </is>
      </c>
    </row>
    <row r="326" ht="40" customHeight="1">
      <c r="A326" s="4" t="inlineStr">
        <is>
          <t>C35</t>
        </is>
      </c>
      <c r="B326" s="4" t="inlineStr">
        <is>
          <t>Marketing Development Assistance Scheme</t>
        </is>
      </c>
      <c r="C326" s="4" t="inlineStr">
        <is>
          <t>C35-P0046</t>
        </is>
      </c>
      <c r="D326" s="4" t="inlineStr">
        <is>
          <t>FEE certificate certified by a Chartered Accountant.</t>
        </is>
      </c>
      <c r="E326" s="4" t="inlineStr"/>
      <c r="F326" s="4" t="inlineStr">
        <is>
          <t>MS-C35</t>
        </is>
      </c>
      <c r="G326" s="4" t="inlineStr">
        <is>
          <t>C35@20261028-c67e587f</t>
        </is>
      </c>
      <c r="H326" s="7" t="inlineStr">
        <is>
          <t>Approved</t>
        </is>
      </c>
      <c r="I326" s="7" t="n"/>
      <c r="J326" s="4" t="inlineStr">
        <is>
          <t>Source document text 1/1. Conditional applicability not yet encoded.</t>
        </is>
      </c>
    </row>
    <row r="327" ht="40" customHeight="1">
      <c r="A327" s="8" t="inlineStr">
        <is>
          <t>C35</t>
        </is>
      </c>
      <c r="B327" s="8" t="inlineStr">
        <is>
          <t>Marketing Development Assistance Scheme</t>
        </is>
      </c>
      <c r="C327" s="8" t="inlineStr">
        <is>
          <t>C35-P0047</t>
        </is>
      </c>
      <c r="D327" s="8" t="inlineStr">
        <is>
          <t>For Reimbursement:</t>
        </is>
      </c>
      <c r="E327" s="8" t="inlineStr"/>
      <c r="F327" s="8" t="inlineStr">
        <is>
          <t>MS-C35</t>
        </is>
      </c>
      <c r="G327" s="8" t="inlineStr">
        <is>
          <t>C35@20261028-c67e587f</t>
        </is>
      </c>
      <c r="H327" s="7" t="inlineStr">
        <is>
          <t>Approved</t>
        </is>
      </c>
      <c r="I327" s="7" t="n"/>
      <c r="J327" s="8" t="inlineStr">
        <is>
          <t>Source document text 1/1. Conditional applicability not yet encoded.</t>
        </is>
      </c>
    </row>
    <row r="328" ht="40" customHeight="1">
      <c r="A328" s="4" t="inlineStr">
        <is>
          <t>C35</t>
        </is>
      </c>
      <c r="B328" s="4" t="inlineStr">
        <is>
          <t>Marketing Development Assistance Scheme</t>
        </is>
      </c>
      <c r="C328" s="4" t="inlineStr">
        <is>
          <t>C35-P0048</t>
        </is>
      </c>
      <c r="D328" s="4" t="inlineStr">
        <is>
          <t>Financial assistance details of the past three years.</t>
        </is>
      </c>
      <c r="E328" s="4" t="inlineStr"/>
      <c r="F328" s="4" t="inlineStr">
        <is>
          <t>MS-C35</t>
        </is>
      </c>
      <c r="G328" s="4" t="inlineStr">
        <is>
          <t>C35@20261028-c67e587f</t>
        </is>
      </c>
      <c r="H328" s="7" t="inlineStr">
        <is>
          <t>Approved</t>
        </is>
      </c>
      <c r="I328" s="7" t="n"/>
      <c r="J328" s="4" t="inlineStr">
        <is>
          <t>Source document text 1/1. Conditional applicability not yet encoded.</t>
        </is>
      </c>
    </row>
    <row r="329" ht="40" customHeight="1">
      <c r="A329" s="8" t="inlineStr">
        <is>
          <t>C35</t>
        </is>
      </c>
      <c r="B329" s="8" t="inlineStr">
        <is>
          <t>Marketing Development Assistance Scheme</t>
        </is>
      </c>
      <c r="C329" s="8" t="inlineStr">
        <is>
          <t>C35-P0049</t>
        </is>
      </c>
      <c r="D329" s="8" t="inlineStr">
        <is>
          <t>Air tickets and boarding passes or passport pages with immigration stamps.</t>
        </is>
      </c>
      <c r="E329" s="8" t="inlineStr"/>
      <c r="F329" s="8" t="inlineStr">
        <is>
          <t>MS-C35</t>
        </is>
      </c>
      <c r="G329" s="8" t="inlineStr">
        <is>
          <t>C35@20261028-c67e587f</t>
        </is>
      </c>
      <c r="H329" s="7" t="inlineStr">
        <is>
          <t>Approved</t>
        </is>
      </c>
      <c r="I329" s="7" t="n"/>
      <c r="J329" s="8" t="inlineStr">
        <is>
          <t>Source document text 1/1. Conditional applicability not yet encoded.</t>
        </is>
      </c>
    </row>
    <row r="330" ht="40" customHeight="1">
      <c r="A330" s="4" t="inlineStr">
        <is>
          <t>C35</t>
        </is>
      </c>
      <c r="B330" s="4" t="inlineStr">
        <is>
          <t>Marketing Development Assistance Scheme</t>
        </is>
      </c>
      <c r="C330" s="4" t="inlineStr">
        <is>
          <t>C35-P0050</t>
        </is>
      </c>
      <c r="D330" s="4" t="inlineStr">
        <is>
          <t>Tour report (maximum 250 words).</t>
        </is>
      </c>
      <c r="E330" s="4" t="inlineStr"/>
      <c r="F330" s="4" t="inlineStr">
        <is>
          <t>MS-C35</t>
        </is>
      </c>
      <c r="G330" s="4" t="inlineStr">
        <is>
          <t>C35@20261028-c67e587f</t>
        </is>
      </c>
      <c r="H330" s="7" t="inlineStr">
        <is>
          <t>Approved</t>
        </is>
      </c>
      <c r="I330" s="7" t="n"/>
      <c r="J330" s="4" t="inlineStr">
        <is>
          <t>Source document text 1/1. Conditional applicability not yet encoded.</t>
        </is>
      </c>
    </row>
    <row r="331" ht="40" customHeight="1">
      <c r="A331" s="8" t="inlineStr">
        <is>
          <t>C35</t>
        </is>
      </c>
      <c r="B331" s="8" t="inlineStr">
        <is>
          <t>Marketing Development Assistance Scheme</t>
        </is>
      </c>
      <c r="C331" s="8" t="inlineStr">
        <is>
          <t>C35-P0051</t>
        </is>
      </c>
      <c r="D331" s="8" t="inlineStr">
        <is>
          <t>Original receipts and proof of payments for air tickets, booth setup, participation fees, and lodging.</t>
        </is>
      </c>
      <c r="E331" s="8" t="inlineStr"/>
      <c r="F331" s="8" t="inlineStr">
        <is>
          <t>MS-C35</t>
        </is>
      </c>
      <c r="G331" s="8" t="inlineStr">
        <is>
          <t>C35@20261028-c67e587f</t>
        </is>
      </c>
      <c r="H331" s="7" t="inlineStr">
        <is>
          <t>Approved</t>
        </is>
      </c>
      <c r="I331" s="7" t="n"/>
      <c r="J331" s="8" t="inlineStr">
        <is>
          <t>Source document text 1/1. Conditional applicability not yet encoded.</t>
        </is>
      </c>
    </row>
    <row r="332" ht="54" customHeight="1">
      <c r="A332" s="4" t="inlineStr">
        <is>
          <t>C36</t>
        </is>
      </c>
      <c r="B332" s="4" t="inlineStr">
        <is>
          <t>AICTE-INAE Travel Grant Scheme For Engineering Students From AICTE Approved Engineering College/Institution</t>
        </is>
      </c>
      <c r="C332" s="4" t="inlineStr">
        <is>
          <t>C36-P0012</t>
        </is>
      </c>
      <c r="D332" s="4" t="inlineStr">
        <is>
          <t>Curriculum Vitae containing the Date of Birth and Age, Awards, Scholarships, Educational Qualification, Research Experience, and List of Publications.</t>
        </is>
      </c>
      <c r="E332" s="4" t="inlineStr"/>
      <c r="F332" s="4" t="inlineStr">
        <is>
          <t>MS-C36</t>
        </is>
      </c>
      <c r="G332" s="4" t="inlineStr">
        <is>
          <t>C36@20261028-c9ddf1f8</t>
        </is>
      </c>
      <c r="H332" s="7" t="inlineStr">
        <is>
          <t>Approved</t>
        </is>
      </c>
      <c r="I332" s="7" t="n"/>
      <c r="J332" s="4" t="inlineStr">
        <is>
          <t>Source document text 1/1. Conditional applicability not yet encoded.</t>
        </is>
      </c>
    </row>
    <row r="333" ht="54" customHeight="1">
      <c r="A333" s="8" t="inlineStr">
        <is>
          <t>C36</t>
        </is>
      </c>
      <c r="B333" s="8" t="inlineStr">
        <is>
          <t>AICTE-INAE Travel Grant Scheme For Engineering Students From AICTE Approved Engineering College/Institution</t>
        </is>
      </c>
      <c r="C333" s="8" t="inlineStr">
        <is>
          <t>C36-P0013</t>
        </is>
      </c>
      <c r="D333" s="8" t="inlineStr">
        <is>
          <t>Passport Size Photograph.</t>
        </is>
      </c>
      <c r="E333" s="8" t="inlineStr"/>
      <c r="F333" s="8" t="inlineStr">
        <is>
          <t>MS-C36</t>
        </is>
      </c>
      <c r="G333" s="8" t="inlineStr">
        <is>
          <t>C36@20261028-c9ddf1f8</t>
        </is>
      </c>
      <c r="H333" s="7" t="inlineStr">
        <is>
          <t>Approved</t>
        </is>
      </c>
      <c r="I333" s="7" t="n"/>
      <c r="J333" s="8" t="inlineStr">
        <is>
          <t>Source document text 1/1. Conditional applicability not yet encoded.</t>
        </is>
      </c>
    </row>
    <row r="334" ht="54" customHeight="1">
      <c r="A334" s="4" t="inlineStr">
        <is>
          <t>C36</t>
        </is>
      </c>
      <c r="B334" s="4" t="inlineStr">
        <is>
          <t>AICTE-INAE Travel Grant Scheme For Engineering Students From AICTE Approved Engineering College/Institution</t>
        </is>
      </c>
      <c r="C334" s="4" t="inlineStr">
        <is>
          <t>C36-P0014</t>
        </is>
      </c>
      <c r="D334" s="4" t="inlineStr">
        <is>
          <t>A copy of the Letter of Acceptance from the organizers of the event.</t>
        </is>
      </c>
      <c r="E334" s="4" t="inlineStr"/>
      <c r="F334" s="4" t="inlineStr">
        <is>
          <t>MS-C36</t>
        </is>
      </c>
      <c r="G334" s="4" t="inlineStr">
        <is>
          <t>C36@20261028-c9ddf1f8</t>
        </is>
      </c>
      <c r="H334" s="7" t="inlineStr">
        <is>
          <t>Approved</t>
        </is>
      </c>
      <c r="I334" s="7" t="n"/>
      <c r="J334" s="4" t="inlineStr">
        <is>
          <t>Source document text 1/1. Conditional applicability not yet encoded.</t>
        </is>
      </c>
    </row>
    <row r="335" ht="54" customHeight="1">
      <c r="A335" s="8" t="inlineStr">
        <is>
          <t>C36</t>
        </is>
      </c>
      <c r="B335" s="8" t="inlineStr">
        <is>
          <t>AICTE-INAE Travel Grant Scheme For Engineering Students From AICTE Approved Engineering College/Institution</t>
        </is>
      </c>
      <c r="C335" s="8" t="inlineStr">
        <is>
          <t>C36-P0015</t>
        </is>
      </c>
      <c r="D335" s="8" t="inlineStr">
        <is>
          <t>Abstract/Full text of paperas submitted for the event.</t>
        </is>
      </c>
      <c r="E335" s="8" t="inlineStr"/>
      <c r="F335" s="8" t="inlineStr">
        <is>
          <t>MS-C36</t>
        </is>
      </c>
      <c r="G335" s="8" t="inlineStr">
        <is>
          <t>C36@20261028-c9ddf1f8</t>
        </is>
      </c>
      <c r="H335" s="7" t="inlineStr">
        <is>
          <t>Approved</t>
        </is>
      </c>
      <c r="I335" s="7" t="n"/>
      <c r="J335" s="8" t="inlineStr">
        <is>
          <t>Source document text 1/1. Conditional applicability not yet encoded.</t>
        </is>
      </c>
    </row>
    <row r="336" ht="54" customHeight="1">
      <c r="A336" s="4" t="inlineStr">
        <is>
          <t>C36</t>
        </is>
      </c>
      <c r="B336" s="4" t="inlineStr">
        <is>
          <t>AICTE-INAE Travel Grant Scheme For Engineering Students From AICTE Approved Engineering College/Institution</t>
        </is>
      </c>
      <c r="C336" s="4" t="inlineStr">
        <is>
          <t>C36-P0016</t>
        </is>
      </c>
      <c r="D336" s="4" t="inlineStr">
        <is>
          <t>A brief on the Project Impact of the paper presented.</t>
        </is>
      </c>
      <c r="E336" s="4" t="inlineStr"/>
      <c r="F336" s="4" t="inlineStr">
        <is>
          <t>MS-C36</t>
        </is>
      </c>
      <c r="G336" s="4" t="inlineStr">
        <is>
          <t>C36@20261028-c9ddf1f8</t>
        </is>
      </c>
      <c r="H336" s="7" t="inlineStr">
        <is>
          <t>Approved</t>
        </is>
      </c>
      <c r="I336" s="7" t="n"/>
      <c r="J336" s="4" t="inlineStr">
        <is>
          <t>Source document text 1/1. Conditional applicability not yet encoded.</t>
        </is>
      </c>
    </row>
    <row r="337" ht="54" customHeight="1">
      <c r="A337" s="8" t="inlineStr">
        <is>
          <t>C36</t>
        </is>
      </c>
      <c r="B337" s="8" t="inlineStr">
        <is>
          <t>AICTE-INAE Travel Grant Scheme For Engineering Students From AICTE Approved Engineering College/Institution</t>
        </is>
      </c>
      <c r="C337" s="8" t="inlineStr">
        <is>
          <t>C36-P0017</t>
        </is>
      </c>
      <c r="D337" s="8" t="inlineStr">
        <is>
          <t>A brief on Expected Outcome from the paper presented.</t>
        </is>
      </c>
      <c r="E337" s="8" t="inlineStr"/>
      <c r="F337" s="8" t="inlineStr">
        <is>
          <t>MS-C36</t>
        </is>
      </c>
      <c r="G337" s="8" t="inlineStr">
        <is>
          <t>C36@20261028-c9ddf1f8</t>
        </is>
      </c>
      <c r="H337" s="7" t="inlineStr">
        <is>
          <t>Approved</t>
        </is>
      </c>
      <c r="I337" s="7" t="n"/>
      <c r="J337" s="8" t="inlineStr">
        <is>
          <t>Source document text 1/1. Conditional applicability not yet encoded.</t>
        </is>
      </c>
    </row>
    <row r="338" ht="54" customHeight="1">
      <c r="A338" s="4" t="inlineStr">
        <is>
          <t>C36</t>
        </is>
      </c>
      <c r="B338" s="4" t="inlineStr">
        <is>
          <t>AICTE-INAE Travel Grant Scheme For Engineering Students From AICTE Approved Engineering College/Institution</t>
        </is>
      </c>
      <c r="C338" s="4" t="inlineStr">
        <is>
          <t>C36-P0018</t>
        </is>
      </c>
      <c r="D338" s="4" t="inlineStr">
        <is>
          <t>A scanned copy of the Certificate by the student.</t>
        </is>
      </c>
      <c r="E338" s="4" t="inlineStr"/>
      <c r="F338" s="4" t="inlineStr">
        <is>
          <t>MS-C36</t>
        </is>
      </c>
      <c r="G338" s="4" t="inlineStr">
        <is>
          <t>C36@20261028-c9ddf1f8</t>
        </is>
      </c>
      <c r="H338" s="7" t="inlineStr">
        <is>
          <t>Approved</t>
        </is>
      </c>
      <c r="I338" s="7" t="n"/>
      <c r="J338" s="4" t="inlineStr">
        <is>
          <t>Source document text 1/1. Conditional applicability not yet encoded.</t>
        </is>
      </c>
    </row>
    <row r="339" ht="54" customHeight="1">
      <c r="A339" s="8" t="inlineStr">
        <is>
          <t>C36</t>
        </is>
      </c>
      <c r="B339" s="8" t="inlineStr">
        <is>
          <t>AICTE-INAE Travel Grant Scheme For Engineering Students From AICTE Approved Engineering College/Institution</t>
        </is>
      </c>
      <c r="C339" s="8" t="inlineStr">
        <is>
          <t>C36-P0019</t>
        </is>
      </c>
      <c r="D339" s="8" t="inlineStr">
        <is>
          <t>A scanned copy of the Endorsement by the Head of the Institution.</t>
        </is>
      </c>
      <c r="E339" s="8" t="inlineStr"/>
      <c r="F339" s="8" t="inlineStr">
        <is>
          <t>MS-C36</t>
        </is>
      </c>
      <c r="G339" s="8" t="inlineStr">
        <is>
          <t>C36@20261028-c9ddf1f8</t>
        </is>
      </c>
      <c r="H339" s="7" t="inlineStr">
        <is>
          <t>Approved</t>
        </is>
      </c>
      <c r="I339" s="7" t="n"/>
      <c r="J339" s="8" t="inlineStr">
        <is>
          <t>Source document text 1/1. Conditional applicability not yet encoded.</t>
        </is>
      </c>
    </row>
    <row r="340" ht="40" customHeight="1">
      <c r="A340" s="4" t="inlineStr">
        <is>
          <t>C37</t>
        </is>
      </c>
      <c r="B340" s="4" t="inlineStr">
        <is>
          <t>Pilgrimage Rejuvenation and Spiritual Augmentation Drive (PRASHAD)</t>
        </is>
      </c>
      <c r="C340" s="4" t="inlineStr">
        <is>
          <t>C37-P0018</t>
        </is>
      </c>
      <c r="D340" s="4" t="inlineStr">
        <is>
          <t>There are no document requirements for this scheme.</t>
        </is>
      </c>
      <c r="E340" s="4" t="inlineStr"/>
      <c r="F340" s="4" t="inlineStr">
        <is>
          <t>MS-C37</t>
        </is>
      </c>
      <c r="G340" s="4" t="inlineStr">
        <is>
          <t>C37@20261028-bd74d255</t>
        </is>
      </c>
      <c r="H340" s="7" t="inlineStr">
        <is>
          <t>Approved</t>
        </is>
      </c>
      <c r="I340" s="7" t="n"/>
      <c r="J340" s="4" t="inlineStr">
        <is>
          <t>Source document text 1/1. Conditional applicability not yet encoded.</t>
        </is>
      </c>
    </row>
    <row r="341" ht="40" customHeight="1">
      <c r="A341" s="8" t="inlineStr">
        <is>
          <t>C38</t>
        </is>
      </c>
      <c r="B341" s="8" t="inlineStr">
        <is>
          <t>Pratyaksh Hanstantrit Labh / Direct Benefits Transfer For LPG</t>
        </is>
      </c>
      <c r="C341" s="8" t="inlineStr">
        <is>
          <t>C38-P0007</t>
        </is>
      </c>
      <c r="D341" s="8" t="inlineStr">
        <is>
          <t>Form 1 -  Submit a copy of the Aadhaar letter to the LPG distributor or bank</t>
        </is>
      </c>
      <c r="E341" s="8" t="inlineStr"/>
      <c r="F341" s="8" t="inlineStr">
        <is>
          <t>MS-C38</t>
        </is>
      </c>
      <c r="G341" s="8" t="inlineStr">
        <is>
          <t>C38@20261028-483e350c</t>
        </is>
      </c>
      <c r="H341" s="7" t="inlineStr">
        <is>
          <t>Approved</t>
        </is>
      </c>
      <c r="I341" s="7" t="n"/>
      <c r="J341" s="8" t="inlineStr">
        <is>
          <t>Source document text 1/1. Conditional applicability not yet encoded.</t>
        </is>
      </c>
    </row>
    <row r="342" ht="40" customHeight="1">
      <c r="A342" s="4" t="inlineStr">
        <is>
          <t>C38</t>
        </is>
      </c>
      <c r="B342" s="4" t="inlineStr">
        <is>
          <t>Pratyaksh Hanstantrit Labh / Direct Benefits Transfer For LPG</t>
        </is>
      </c>
      <c r="C342" s="4" t="inlineStr">
        <is>
          <t>C38-P0008</t>
        </is>
      </c>
      <c r="D342" s="4" t="inlineStr">
        <is>
          <t>Form 2 - Aadhaar letter, in addition to residential proof, to be submitted to the LPG distributor</t>
        </is>
      </c>
      <c r="E342" s="4" t="inlineStr"/>
      <c r="F342" s="4" t="inlineStr">
        <is>
          <t>MS-C38</t>
        </is>
      </c>
      <c r="G342" s="4" t="inlineStr">
        <is>
          <t>C38@20261028-483e350c</t>
        </is>
      </c>
      <c r="H342" s="7" t="inlineStr">
        <is>
          <t>Approved</t>
        </is>
      </c>
      <c r="I342" s="7" t="n"/>
      <c r="J342" s="4" t="inlineStr">
        <is>
          <t>Source document text 1/1. Conditional applicability not yet encoded.</t>
        </is>
      </c>
    </row>
    <row r="343" ht="40" customHeight="1">
      <c r="A343" s="8" t="inlineStr">
        <is>
          <t>C38</t>
        </is>
      </c>
      <c r="B343" s="8" t="inlineStr">
        <is>
          <t>Pratyaksh Hanstantrit Labh / Direct Benefits Transfer For LPG</t>
        </is>
      </c>
      <c r="C343" s="8" t="inlineStr">
        <is>
          <t>C38-P0009</t>
        </is>
      </c>
      <c r="D343" s="8" t="inlineStr">
        <is>
          <t>Form 3 -  A copy of a current refill slip consisting of a 17-digit LPG ID number</t>
        </is>
      </c>
      <c r="E343" s="8" t="inlineStr"/>
      <c r="F343" s="8" t="inlineStr">
        <is>
          <t>MS-C38</t>
        </is>
      </c>
      <c r="G343" s="8" t="inlineStr">
        <is>
          <t>C38@20261028-483e350c</t>
        </is>
      </c>
      <c r="H343" s="7" t="inlineStr">
        <is>
          <t>Approved</t>
        </is>
      </c>
      <c r="I343" s="7" t="n"/>
      <c r="J343" s="8" t="inlineStr">
        <is>
          <t>Source document text 1/1. Conditional applicability not yet encoded.</t>
        </is>
      </c>
    </row>
    <row r="344" ht="40" customHeight="1">
      <c r="A344" s="4" t="inlineStr">
        <is>
          <t>C38</t>
        </is>
      </c>
      <c r="B344" s="4" t="inlineStr">
        <is>
          <t>Pratyaksh Hanstantrit Labh / Direct Benefits Transfer For LPG</t>
        </is>
      </c>
      <c r="C344" s="4" t="inlineStr">
        <is>
          <t>C38-P0010</t>
        </is>
      </c>
      <c r="D344" s="4" t="inlineStr">
        <is>
          <t>Form 4 - A copy of a bank passbook's front page and a canceled cheque</t>
        </is>
      </c>
      <c r="E344" s="4" t="inlineStr"/>
      <c r="F344" s="4" t="inlineStr">
        <is>
          <t>MS-C38</t>
        </is>
      </c>
      <c r="G344" s="4" t="inlineStr">
        <is>
          <t>C38@20261028-483e350c</t>
        </is>
      </c>
      <c r="H344" s="7" t="inlineStr">
        <is>
          <t>Approved</t>
        </is>
      </c>
      <c r="I344" s="7" t="n"/>
      <c r="J344" s="4" t="inlineStr">
        <is>
          <t>Source document text 1/1. Conditional applicability not yet encoded.</t>
        </is>
      </c>
    </row>
    <row r="345" ht="40" customHeight="1">
      <c r="A345" s="8" t="inlineStr">
        <is>
          <t>C39</t>
        </is>
      </c>
      <c r="B345" s="8" t="inlineStr">
        <is>
          <t>Atal Bhujal Yojana</t>
        </is>
      </c>
      <c r="C345" s="8" t="inlineStr">
        <is>
          <t>C39-P0029</t>
        </is>
      </c>
      <c r="D345" s="8" t="inlineStr">
        <is>
          <t>At The Application And Planning Stage</t>
        </is>
      </c>
      <c r="E345" s="8" t="inlineStr"/>
      <c r="F345" s="8" t="inlineStr">
        <is>
          <t>MS-C39</t>
        </is>
      </c>
      <c r="G345" s="8" t="inlineStr">
        <is>
          <t>C39@20261028-5776a732</t>
        </is>
      </c>
      <c r="H345" s="7" t="inlineStr">
        <is>
          <t>Approved</t>
        </is>
      </c>
      <c r="I345" s="7" t="n"/>
      <c r="J345" s="8" t="inlineStr">
        <is>
          <t>Source document text 1/1. Conditional applicability not yet encoded.</t>
        </is>
      </c>
    </row>
    <row r="346" ht="40" customHeight="1">
      <c r="A346" s="4" t="inlineStr">
        <is>
          <t>C39</t>
        </is>
      </c>
      <c r="B346" s="4" t="inlineStr">
        <is>
          <t>Atal Bhujal Yojana</t>
        </is>
      </c>
      <c r="C346" s="4" t="inlineStr">
        <is>
          <t>C39-P0030</t>
        </is>
      </c>
      <c r="D346" s="4" t="inlineStr">
        <is>
          <t>Demographic Data And Beneficiary Census Report.</t>
        </is>
      </c>
      <c r="E346" s="4" t="inlineStr"/>
      <c r="F346" s="4" t="inlineStr">
        <is>
          <t>MS-C39</t>
        </is>
      </c>
      <c r="G346" s="4" t="inlineStr">
        <is>
          <t>C39@20261028-5776a732</t>
        </is>
      </c>
      <c r="H346" s="7" t="inlineStr">
        <is>
          <t>Approved</t>
        </is>
      </c>
      <c r="I346" s="7" t="n"/>
      <c r="J346" s="4" t="inlineStr">
        <is>
          <t>Source document text 1/1. Conditional applicability not yet encoded.</t>
        </is>
      </c>
    </row>
    <row r="347" ht="40" customHeight="1">
      <c r="A347" s="8" t="inlineStr">
        <is>
          <t>C39</t>
        </is>
      </c>
      <c r="B347" s="8" t="inlineStr">
        <is>
          <t>Atal Bhujal Yojana</t>
        </is>
      </c>
      <c r="C347" s="8" t="inlineStr">
        <is>
          <t>C39-P0031</t>
        </is>
      </c>
      <c r="D347" s="8" t="inlineStr">
        <is>
          <t>Gram Panchayat Level Water Budget Document.</t>
        </is>
      </c>
      <c r="E347" s="8" t="inlineStr"/>
      <c r="F347" s="8" t="inlineStr">
        <is>
          <t>MS-C39</t>
        </is>
      </c>
      <c r="G347" s="8" t="inlineStr">
        <is>
          <t>C39@20261028-5776a732</t>
        </is>
      </c>
      <c r="H347" s="7" t="inlineStr">
        <is>
          <t>Approved</t>
        </is>
      </c>
      <c r="I347" s="7" t="n"/>
      <c r="J347" s="8" t="inlineStr">
        <is>
          <t>Source document text 1/1. Conditional applicability not yet encoded.</t>
        </is>
      </c>
    </row>
    <row r="348" ht="40" customHeight="1">
      <c r="A348" s="4" t="inlineStr">
        <is>
          <t>C39</t>
        </is>
      </c>
      <c r="B348" s="4" t="inlineStr">
        <is>
          <t>Atal Bhujal Yojana</t>
        </is>
      </c>
      <c r="C348" s="4" t="inlineStr">
        <is>
          <t>C39-P0032</t>
        </is>
      </c>
      <c r="D348" s="4" t="inlineStr">
        <is>
          <t>Gram Panchayat Level Water Security Plan.</t>
        </is>
      </c>
      <c r="E348" s="4" t="inlineStr"/>
      <c r="F348" s="4" t="inlineStr">
        <is>
          <t>MS-C39</t>
        </is>
      </c>
      <c r="G348" s="4" t="inlineStr">
        <is>
          <t>C39@20261028-5776a732</t>
        </is>
      </c>
      <c r="H348" s="7" t="inlineStr">
        <is>
          <t>Approved</t>
        </is>
      </c>
      <c r="I348" s="7" t="n"/>
      <c r="J348" s="4" t="inlineStr">
        <is>
          <t>Source document text 1/1. Conditional applicability not yet encoded.</t>
        </is>
      </c>
    </row>
    <row r="349" ht="40" customHeight="1">
      <c r="A349" s="8" t="inlineStr">
        <is>
          <t>C39</t>
        </is>
      </c>
      <c r="B349" s="8" t="inlineStr">
        <is>
          <t>Atal Bhujal Yojana</t>
        </is>
      </c>
      <c r="C349" s="8" t="inlineStr">
        <is>
          <t>C39-P0033</t>
        </is>
      </c>
      <c r="D349" s="8" t="inlineStr">
        <is>
          <t>Gram Sabha Resolution Approving The Water Security Plan.</t>
        </is>
      </c>
      <c r="E349" s="8" t="inlineStr"/>
      <c r="F349" s="8" t="inlineStr">
        <is>
          <t>MS-C39</t>
        </is>
      </c>
      <c r="G349" s="8" t="inlineStr">
        <is>
          <t>C39@20261028-5776a732</t>
        </is>
      </c>
      <c r="H349" s="7" t="inlineStr">
        <is>
          <t>Approved</t>
        </is>
      </c>
      <c r="I349" s="7" t="n"/>
      <c r="J349" s="8" t="inlineStr">
        <is>
          <t>Source document text 1/1. Conditional applicability not yet encoded.</t>
        </is>
      </c>
    </row>
    <row r="350" ht="40" customHeight="1">
      <c r="A350" s="4" t="inlineStr">
        <is>
          <t>C39</t>
        </is>
      </c>
      <c r="B350" s="4" t="inlineStr">
        <is>
          <t>Atal Bhujal Yojana</t>
        </is>
      </c>
      <c r="C350" s="4" t="inlineStr">
        <is>
          <t>C39-P0034</t>
        </is>
      </c>
      <c r="D350" s="4" t="inlineStr">
        <is>
          <t>Record Of Minutes Of Community-Level Meetings.</t>
        </is>
      </c>
      <c r="E350" s="4" t="inlineStr"/>
      <c r="F350" s="4" t="inlineStr">
        <is>
          <t>MS-C39</t>
        </is>
      </c>
      <c r="G350" s="4" t="inlineStr">
        <is>
          <t>C39@20261028-5776a732</t>
        </is>
      </c>
      <c r="H350" s="7" t="inlineStr">
        <is>
          <t>Approved</t>
        </is>
      </c>
      <c r="I350" s="7" t="n"/>
      <c r="J350" s="4" t="inlineStr">
        <is>
          <t>Source document text 1/1. Conditional applicability not yet encoded.</t>
        </is>
      </c>
    </row>
    <row r="351" ht="40" customHeight="1">
      <c r="A351" s="8" t="inlineStr">
        <is>
          <t>C39</t>
        </is>
      </c>
      <c r="B351" s="8" t="inlineStr">
        <is>
          <t>Atal Bhujal Yojana</t>
        </is>
      </c>
      <c r="C351" s="8" t="inlineStr">
        <is>
          <t>C39-P0035</t>
        </is>
      </c>
      <c r="D351" s="8" t="inlineStr">
        <is>
          <t>Attendance Sheets Of The Gram Sabha (Ensuring At Least 20 Percent Women Members).</t>
        </is>
      </c>
      <c r="E351" s="8" t="inlineStr"/>
      <c r="F351" s="8" t="inlineStr">
        <is>
          <t>MS-C39</t>
        </is>
      </c>
      <c r="G351" s="8" t="inlineStr">
        <is>
          <t>C39@20261028-5776a732</t>
        </is>
      </c>
      <c r="H351" s="7" t="inlineStr">
        <is>
          <t>Approved</t>
        </is>
      </c>
      <c r="I351" s="7" t="n"/>
      <c r="J351" s="8" t="inlineStr">
        <is>
          <t>Source document text 1/1. Conditional applicability not yet encoded.</t>
        </is>
      </c>
    </row>
    <row r="352" ht="40" customHeight="1">
      <c r="A352" s="4" t="inlineStr">
        <is>
          <t>C39</t>
        </is>
      </c>
      <c r="B352" s="4" t="inlineStr">
        <is>
          <t>Atal Bhujal Yojana</t>
        </is>
      </c>
      <c r="C352" s="4" t="inlineStr">
        <is>
          <t>C39-P0036</t>
        </is>
      </c>
      <c r="D352" s="4" t="inlineStr">
        <is>
          <t>At The Benefit Disbursal And Monitoring Stage</t>
        </is>
      </c>
      <c r="E352" s="4" t="inlineStr"/>
      <c r="F352" s="4" t="inlineStr">
        <is>
          <t>MS-C39</t>
        </is>
      </c>
      <c r="G352" s="4" t="inlineStr">
        <is>
          <t>C39@20261028-5776a732</t>
        </is>
      </c>
      <c r="H352" s="7" t="inlineStr">
        <is>
          <t>Approved</t>
        </is>
      </c>
      <c r="I352" s="7" t="n"/>
      <c r="J352" s="4" t="inlineStr">
        <is>
          <t>Source document text 1/1. Conditional applicability not yet encoded.</t>
        </is>
      </c>
    </row>
    <row r="353" ht="40" customHeight="1">
      <c r="A353" s="8" t="inlineStr">
        <is>
          <t>C39</t>
        </is>
      </c>
      <c r="B353" s="8" t="inlineStr">
        <is>
          <t>Atal Bhujal Yojana</t>
        </is>
      </c>
      <c r="C353" s="8" t="inlineStr">
        <is>
          <t>C39-P0037</t>
        </is>
      </c>
      <c r="D353" s="8" t="inlineStr">
        <is>
          <t>Audited Financial Statements Of The Gram Panchayat.</t>
        </is>
      </c>
      <c r="E353" s="8" t="inlineStr"/>
      <c r="F353" s="8" t="inlineStr">
        <is>
          <t>MS-C39</t>
        </is>
      </c>
      <c r="G353" s="8" t="inlineStr">
        <is>
          <t>C39@20261028-5776a732</t>
        </is>
      </c>
      <c r="H353" s="7" t="inlineStr">
        <is>
          <t>Approved</t>
        </is>
      </c>
      <c r="I353" s="7" t="n"/>
      <c r="J353" s="8" t="inlineStr">
        <is>
          <t>Source document text 1/1. Conditional applicability not yet encoded.</t>
        </is>
      </c>
    </row>
    <row r="354" ht="40" customHeight="1">
      <c r="A354" s="4" t="inlineStr">
        <is>
          <t>C39</t>
        </is>
      </c>
      <c r="B354" s="4" t="inlineStr">
        <is>
          <t>Atal Bhujal Yojana</t>
        </is>
      </c>
      <c r="C354" s="4" t="inlineStr">
        <is>
          <t>C39-P0038</t>
        </is>
      </c>
      <c r="D354" s="4" t="inlineStr">
        <is>
          <t>Monthly Expenditure Statements With Supporting Documentation.</t>
        </is>
      </c>
      <c r="E354" s="4" t="inlineStr"/>
      <c r="F354" s="4" t="inlineStr">
        <is>
          <t>MS-C39</t>
        </is>
      </c>
      <c r="G354" s="4" t="inlineStr">
        <is>
          <t>C39@20261028-5776a732</t>
        </is>
      </c>
      <c r="H354" s="7" t="inlineStr">
        <is>
          <t>Approved</t>
        </is>
      </c>
      <c r="I354" s="7" t="n"/>
      <c r="J354" s="4" t="inlineStr">
        <is>
          <t>Source document text 1/1. Conditional applicability not yet encoded.</t>
        </is>
      </c>
    </row>
    <row r="355" ht="40" customHeight="1">
      <c r="A355" s="8" t="inlineStr">
        <is>
          <t>C39</t>
        </is>
      </c>
      <c r="B355" s="8" t="inlineStr">
        <is>
          <t>Atal Bhujal Yojana</t>
        </is>
      </c>
      <c r="C355" s="8" t="inlineStr">
        <is>
          <t>C39-P0039</t>
        </is>
      </c>
      <c r="D355" s="8" t="inlineStr">
        <is>
          <t>Utilization Certificates For The Received Scheme Funds.</t>
        </is>
      </c>
      <c r="E355" s="8" t="inlineStr"/>
      <c r="F355" s="8" t="inlineStr">
        <is>
          <t>MS-C39</t>
        </is>
      </c>
      <c r="G355" s="8" t="inlineStr">
        <is>
          <t>C39@20261028-5776a732</t>
        </is>
      </c>
      <c r="H355" s="7" t="inlineStr">
        <is>
          <t>Approved</t>
        </is>
      </c>
      <c r="I355" s="7" t="n"/>
      <c r="J355" s="8" t="inlineStr">
        <is>
          <t>Source document text 1/1. Conditional applicability not yet encoded.</t>
        </is>
      </c>
    </row>
    <row r="356" ht="40" customHeight="1">
      <c r="A356" s="4" t="inlineStr">
        <is>
          <t>M05</t>
        </is>
      </c>
      <c r="B356" s="4" t="inlineStr">
        <is>
          <t>State Post-metric Scholarship For Disabled</t>
        </is>
      </c>
      <c r="C356" s="4" t="inlineStr">
        <is>
          <t>M05-P0036</t>
        </is>
      </c>
      <c r="D356" s="4" t="inlineStr">
        <is>
          <t>Aadhaar Card.</t>
        </is>
      </c>
      <c r="E356" s="4" t="inlineStr"/>
      <c r="F356" s="4" t="inlineStr">
        <is>
          <t>MS-M05</t>
        </is>
      </c>
      <c r="G356" s="4" t="inlineStr">
        <is>
          <t>M05@20261028-b94d6a7d</t>
        </is>
      </c>
      <c r="H356" s="7" t="inlineStr">
        <is>
          <t>Approved</t>
        </is>
      </c>
      <c r="I356" s="7" t="n"/>
      <c r="J356" s="4" t="inlineStr">
        <is>
          <t>Source document text 1/1. Conditional applicability not yet encoded.</t>
        </is>
      </c>
    </row>
    <row r="357" ht="40" customHeight="1">
      <c r="A357" s="8" t="inlineStr">
        <is>
          <t>M05</t>
        </is>
      </c>
      <c r="B357" s="8" t="inlineStr">
        <is>
          <t>State Post-metric Scholarship For Disabled</t>
        </is>
      </c>
      <c r="C357" s="8" t="inlineStr">
        <is>
          <t>M05-P0037</t>
        </is>
      </c>
      <c r="D357" s="8" t="inlineStr">
        <is>
          <t>2-Passport Sized Photograph (Signed Across).</t>
        </is>
      </c>
      <c r="E357" s="8" t="inlineStr"/>
      <c r="F357" s="8" t="inlineStr">
        <is>
          <t>MS-M05</t>
        </is>
      </c>
      <c r="G357" s="8" t="inlineStr">
        <is>
          <t>M05@20261028-b94d6a7d</t>
        </is>
      </c>
      <c r="H357" s="7" t="inlineStr">
        <is>
          <t>Approved</t>
        </is>
      </c>
      <c r="I357" s="7" t="n"/>
      <c r="J357" s="8" t="inlineStr">
        <is>
          <t>Source document text 1/1. Conditional applicability not yet encoded.</t>
        </is>
      </c>
    </row>
    <row r="358" ht="40" customHeight="1">
      <c r="A358" s="4" t="inlineStr">
        <is>
          <t>M05</t>
        </is>
      </c>
      <c r="B358" s="4" t="inlineStr">
        <is>
          <t>State Post-metric Scholarship For Disabled</t>
        </is>
      </c>
      <c r="C358" s="4" t="inlineStr">
        <is>
          <t>M05-P0038</t>
        </is>
      </c>
      <c r="D358" s="4" t="inlineStr">
        <is>
          <t>Residential Certificate / Domicile Certificate of the State of Maharashtra.</t>
        </is>
      </c>
      <c r="E358" s="4" t="inlineStr"/>
      <c r="F358" s="4" t="inlineStr">
        <is>
          <t>MS-M05</t>
        </is>
      </c>
      <c r="G358" s="4" t="inlineStr">
        <is>
          <t>M05@20261028-b94d6a7d</t>
        </is>
      </c>
      <c r="H358" s="7" t="inlineStr">
        <is>
          <t>Approved</t>
        </is>
      </c>
      <c r="I358" s="7" t="n"/>
      <c r="J358" s="4" t="inlineStr">
        <is>
          <t>Source document text 1/1. Conditional applicability not yet encoded.</t>
        </is>
      </c>
    </row>
    <row r="359" ht="40" customHeight="1">
      <c r="A359" s="8" t="inlineStr">
        <is>
          <t>M05</t>
        </is>
      </c>
      <c r="B359" s="8" t="inlineStr">
        <is>
          <t>State Post-metric Scholarship For Disabled</t>
        </is>
      </c>
      <c r="C359" s="8" t="inlineStr">
        <is>
          <t>M05-P0039</t>
        </is>
      </c>
      <c r="D359" s="8" t="inlineStr">
        <is>
          <t>Disability Certificate.</t>
        </is>
      </c>
      <c r="E359" s="8" t="inlineStr"/>
      <c r="F359" s="8" t="inlineStr">
        <is>
          <t>MS-M05</t>
        </is>
      </c>
      <c r="G359" s="8" t="inlineStr">
        <is>
          <t>M05@20261028-b94d6a7d</t>
        </is>
      </c>
      <c r="H359" s="7" t="inlineStr">
        <is>
          <t>Approved</t>
        </is>
      </c>
      <c r="I359" s="7" t="n"/>
      <c r="J359" s="8" t="inlineStr">
        <is>
          <t>Source document text 1/1. Conditional applicability not yet encoded.</t>
        </is>
      </c>
    </row>
    <row r="360" ht="40" customHeight="1">
      <c r="A360" s="4" t="inlineStr">
        <is>
          <t>M05</t>
        </is>
      </c>
      <c r="B360" s="4" t="inlineStr">
        <is>
          <t>State Post-metric Scholarship For Disabled</t>
        </is>
      </c>
      <c r="C360" s="4" t="inlineStr">
        <is>
          <t>M05-P0040</t>
        </is>
      </c>
      <c r="D360" s="4" t="inlineStr">
        <is>
          <t>Details of the Bank Account (Bank Name, Branch Name, Address, IFSC, etc).</t>
        </is>
      </c>
      <c r="E360" s="4" t="inlineStr"/>
      <c r="F360" s="4" t="inlineStr">
        <is>
          <t>MS-M05</t>
        </is>
      </c>
      <c r="G360" s="4" t="inlineStr">
        <is>
          <t>M05@20261028-b94d6a7d</t>
        </is>
      </c>
      <c r="H360" s="7" t="inlineStr">
        <is>
          <t>Approved</t>
        </is>
      </c>
      <c r="I360" s="7" t="n"/>
      <c r="J360" s="4" t="inlineStr">
        <is>
          <t>Source document text 1/1. Conditional applicability not yet encoded.</t>
        </is>
      </c>
    </row>
    <row r="361" ht="40" customHeight="1">
      <c r="A361" s="8" t="inlineStr">
        <is>
          <t>M05</t>
        </is>
      </c>
      <c r="B361" s="8" t="inlineStr">
        <is>
          <t>State Post-metric Scholarship For Disabled</t>
        </is>
      </c>
      <c r="C361" s="8" t="inlineStr">
        <is>
          <t>M05-P0041</t>
        </is>
      </c>
      <c r="D361" s="8" t="inlineStr">
        <is>
          <t>Proof of the Latest Educational Qualification (Passing Certificate or Marksheet)</t>
        </is>
      </c>
      <c r="E361" s="8" t="inlineStr"/>
      <c r="F361" s="8" t="inlineStr">
        <is>
          <t>MS-M05</t>
        </is>
      </c>
      <c r="G361" s="8" t="inlineStr">
        <is>
          <t>M05@20261028-b94d6a7d</t>
        </is>
      </c>
      <c r="H361" s="7" t="inlineStr">
        <is>
          <t>Approved</t>
        </is>
      </c>
      <c r="I361" s="7" t="n"/>
      <c r="J361" s="8" t="inlineStr">
        <is>
          <t>Source document text 1/1. Conditional applicability not yet encoded.</t>
        </is>
      </c>
    </row>
    <row r="362" ht="40" customHeight="1">
      <c r="A362" s="4" t="inlineStr">
        <is>
          <t>M05</t>
        </is>
      </c>
      <c r="B362" s="4" t="inlineStr">
        <is>
          <t>State Post-metric Scholarship For Disabled</t>
        </is>
      </c>
      <c r="C362" s="4" t="inlineStr">
        <is>
          <t>M05-P0042</t>
        </is>
      </c>
      <c r="D362" s="4" t="inlineStr">
        <is>
          <t>Proof of Passing Class 10th.</t>
        </is>
      </c>
      <c r="E362" s="4" t="inlineStr"/>
      <c r="F362" s="4" t="inlineStr">
        <is>
          <t>MS-M05</t>
        </is>
      </c>
      <c r="G362" s="4" t="inlineStr">
        <is>
          <t>M05@20261028-b94d6a7d</t>
        </is>
      </c>
      <c r="H362" s="7" t="inlineStr">
        <is>
          <t>Approved</t>
        </is>
      </c>
      <c r="I362" s="7" t="n"/>
      <c r="J362" s="4" t="inlineStr">
        <is>
          <t>Source document text 1/1. Conditional applicability not yet encoded.</t>
        </is>
      </c>
    </row>
    <row r="363" ht="40" customHeight="1">
      <c r="A363" s="8" t="inlineStr">
        <is>
          <t>M05</t>
        </is>
      </c>
      <c r="B363" s="8" t="inlineStr">
        <is>
          <t>State Post-metric Scholarship For Disabled</t>
        </is>
      </c>
      <c r="C363" s="8" t="inlineStr">
        <is>
          <t>M05-P0043</t>
        </is>
      </c>
      <c r="D363" s="8" t="inlineStr">
        <is>
          <t>Bonafide Certificate from the School/College</t>
        </is>
      </c>
      <c r="E363" s="8" t="inlineStr"/>
      <c r="F363" s="8" t="inlineStr">
        <is>
          <t>MS-M05</t>
        </is>
      </c>
      <c r="G363" s="8" t="inlineStr">
        <is>
          <t>M05@20261028-b94d6a7d</t>
        </is>
      </c>
      <c r="H363" s="7" t="inlineStr">
        <is>
          <t>Approved</t>
        </is>
      </c>
      <c r="I363" s="7" t="n"/>
      <c r="J363" s="8" t="inlineStr">
        <is>
          <t>Source document text 1/1. Conditional applicability not yet encoded.</t>
        </is>
      </c>
    </row>
    <row r="364" ht="40" customHeight="1">
      <c r="A364" s="4" t="inlineStr">
        <is>
          <t>M05</t>
        </is>
      </c>
      <c r="B364" s="4" t="inlineStr">
        <is>
          <t>State Post-metric Scholarship For Disabled</t>
        </is>
      </c>
      <c r="C364" s="4" t="inlineStr">
        <is>
          <t>M05-P0044</t>
        </is>
      </c>
      <c r="D364" s="4" t="inlineStr">
        <is>
          <t>Proof of Pursuance of a Post-Matric Qualification (Fee Receipt, etc)</t>
        </is>
      </c>
      <c r="E364" s="4" t="inlineStr"/>
      <c r="F364" s="4" t="inlineStr">
        <is>
          <t>MS-M05</t>
        </is>
      </c>
      <c r="G364" s="4" t="inlineStr">
        <is>
          <t>M05@20261028-b94d6a7d</t>
        </is>
      </c>
      <c r="H364" s="7" t="inlineStr">
        <is>
          <t>Approved</t>
        </is>
      </c>
      <c r="I364" s="7" t="n"/>
      <c r="J364" s="4" t="inlineStr">
        <is>
          <t>Source document text 1/1. Conditional applicability not yet encoded.</t>
        </is>
      </c>
    </row>
    <row r="365" ht="40" customHeight="1">
      <c r="A365" s="8" t="inlineStr">
        <is>
          <t>M05</t>
        </is>
      </c>
      <c r="B365" s="8" t="inlineStr">
        <is>
          <t>State Post-metric Scholarship For Disabled</t>
        </is>
      </c>
      <c r="C365" s="8" t="inlineStr">
        <is>
          <t>M05-P0045</t>
        </is>
      </c>
      <c r="D365" s="8" t="inlineStr">
        <is>
          <t>Any other document required by the School/College or the District Social Welfare Office.</t>
        </is>
      </c>
      <c r="E365" s="8" t="inlineStr"/>
      <c r="F365" s="8" t="inlineStr">
        <is>
          <t>MS-M05</t>
        </is>
      </c>
      <c r="G365" s="8" t="inlineStr">
        <is>
          <t>M05@20261028-b94d6a7d</t>
        </is>
      </c>
      <c r="H365" s="7" t="inlineStr">
        <is>
          <t>Approved</t>
        </is>
      </c>
      <c r="I365" s="7" t="n"/>
      <c r="J365" s="8" t="inlineStr">
        <is>
          <t>Source document text 1/1. Conditional applicability not yet encoded.</t>
        </is>
      </c>
    </row>
    <row r="366" ht="40" customHeight="1">
      <c r="A366" s="4" t="inlineStr">
        <is>
          <t>M06</t>
        </is>
      </c>
      <c r="B366" s="4" t="inlineStr">
        <is>
          <t>Homes For Intellectually Impaired Persons</t>
        </is>
      </c>
      <c r="C366" s="4" t="inlineStr">
        <is>
          <t>M06-P0009</t>
        </is>
      </c>
      <c r="D366" s="4" t="inlineStr">
        <is>
          <t>Aadhaar Card.</t>
        </is>
      </c>
      <c r="E366" s="4" t="inlineStr"/>
      <c r="F366" s="4" t="inlineStr">
        <is>
          <t>MS-M06</t>
        </is>
      </c>
      <c r="G366" s="4" t="inlineStr">
        <is>
          <t>M06@20261028-150cae35</t>
        </is>
      </c>
      <c r="H366" s="7" t="inlineStr">
        <is>
          <t>Approved</t>
        </is>
      </c>
      <c r="I366" s="7" t="n"/>
      <c r="J366" s="4" t="inlineStr">
        <is>
          <t>Source document text 1/1. Conditional applicability not yet encoded.</t>
        </is>
      </c>
    </row>
    <row r="367" ht="40" customHeight="1">
      <c r="A367" s="8" t="inlineStr">
        <is>
          <t>M06</t>
        </is>
      </c>
      <c r="B367" s="8" t="inlineStr">
        <is>
          <t>Homes For Intellectually Impaired Persons</t>
        </is>
      </c>
      <c r="C367" s="8" t="inlineStr">
        <is>
          <t>M06-P0010</t>
        </is>
      </c>
      <c r="D367" s="8" t="inlineStr">
        <is>
          <t>2-Passport Sized Photograph (Signed Across).</t>
        </is>
      </c>
      <c r="E367" s="8" t="inlineStr"/>
      <c r="F367" s="8" t="inlineStr">
        <is>
          <t>MS-M06</t>
        </is>
      </c>
      <c r="G367" s="8" t="inlineStr">
        <is>
          <t>M06@20261028-150cae35</t>
        </is>
      </c>
      <c r="H367" s="7" t="inlineStr">
        <is>
          <t>Approved</t>
        </is>
      </c>
      <c r="I367" s="7" t="n"/>
      <c r="J367" s="8" t="inlineStr">
        <is>
          <t>Source document text 1/1. Conditional applicability not yet encoded.</t>
        </is>
      </c>
    </row>
    <row r="368" ht="40" customHeight="1">
      <c r="A368" s="4" t="inlineStr">
        <is>
          <t>M06</t>
        </is>
      </c>
      <c r="B368" s="4" t="inlineStr">
        <is>
          <t>Homes For Intellectually Impaired Persons</t>
        </is>
      </c>
      <c r="C368" s="4" t="inlineStr">
        <is>
          <t>M06-P0011</t>
        </is>
      </c>
      <c r="D368" s="4" t="inlineStr">
        <is>
          <t>Proof of Age (Birth Certificate, etc).</t>
        </is>
      </c>
      <c r="E368" s="4" t="inlineStr"/>
      <c r="F368" s="4" t="inlineStr">
        <is>
          <t>MS-M06</t>
        </is>
      </c>
      <c r="G368" s="4" t="inlineStr">
        <is>
          <t>M06@20261028-150cae35</t>
        </is>
      </c>
      <c r="H368" s="7" t="inlineStr">
        <is>
          <t>Approved</t>
        </is>
      </c>
      <c r="I368" s="7" t="n"/>
      <c r="J368" s="4" t="inlineStr">
        <is>
          <t>Source document text 1/1. Conditional applicability not yet encoded.</t>
        </is>
      </c>
    </row>
    <row r="369" ht="40" customHeight="1">
      <c r="A369" s="8" t="inlineStr">
        <is>
          <t>M06</t>
        </is>
      </c>
      <c r="B369" s="8" t="inlineStr">
        <is>
          <t>Homes For Intellectually Impaired Persons</t>
        </is>
      </c>
      <c r="C369" s="8" t="inlineStr">
        <is>
          <t>M06-P0012</t>
        </is>
      </c>
      <c r="D369" s="8" t="inlineStr">
        <is>
          <t>Residential Certificate / Domicile Certificate of the State of Maharashtra.</t>
        </is>
      </c>
      <c r="E369" s="8" t="inlineStr"/>
      <c r="F369" s="8" t="inlineStr">
        <is>
          <t>MS-M06</t>
        </is>
      </c>
      <c r="G369" s="8" t="inlineStr">
        <is>
          <t>M06@20261028-150cae35</t>
        </is>
      </c>
      <c r="H369" s="7" t="inlineStr">
        <is>
          <t>Approved</t>
        </is>
      </c>
      <c r="I369" s="7" t="n"/>
      <c r="J369" s="8" t="inlineStr">
        <is>
          <t>Source document text 1/1. Conditional applicability not yet encoded.</t>
        </is>
      </c>
    </row>
    <row r="370" ht="40" customHeight="1">
      <c r="A370" s="4" t="inlineStr">
        <is>
          <t>M06</t>
        </is>
      </c>
      <c r="B370" s="4" t="inlineStr">
        <is>
          <t>Homes For Intellectually Impaired Persons</t>
        </is>
      </c>
      <c r="C370" s="4" t="inlineStr">
        <is>
          <t>M06-P0013</t>
        </is>
      </c>
      <c r="D370" s="4" t="inlineStr">
        <is>
          <t>Disability Certificate.</t>
        </is>
      </c>
      <c r="E370" s="4" t="inlineStr"/>
      <c r="F370" s="4" t="inlineStr">
        <is>
          <t>MS-M06</t>
        </is>
      </c>
      <c r="G370" s="4" t="inlineStr">
        <is>
          <t>M06@20261028-150cae35</t>
        </is>
      </c>
      <c r="H370" s="7" t="inlineStr">
        <is>
          <t>Approved</t>
        </is>
      </c>
      <c r="I370" s="7" t="n"/>
      <c r="J370" s="4" t="inlineStr">
        <is>
          <t>Source document text 1/1. Conditional applicability not yet encoded.</t>
        </is>
      </c>
    </row>
    <row r="371" ht="40" customHeight="1">
      <c r="A371" s="8" t="inlineStr">
        <is>
          <t>M06</t>
        </is>
      </c>
      <c r="B371" s="8" t="inlineStr">
        <is>
          <t>Homes For Intellectually Impaired Persons</t>
        </is>
      </c>
      <c r="C371" s="8" t="inlineStr">
        <is>
          <t>M06-P0014</t>
        </is>
      </c>
      <c r="D371" s="8" t="inlineStr">
        <is>
          <t>Details of the Bank Account (Bank Name, Branch Name, Address, IFSC, etc).</t>
        </is>
      </c>
      <c r="E371" s="8" t="inlineStr"/>
      <c r="F371" s="8" t="inlineStr">
        <is>
          <t>MS-M06</t>
        </is>
      </c>
      <c r="G371" s="8" t="inlineStr">
        <is>
          <t>M06@20261028-150cae35</t>
        </is>
      </c>
      <c r="H371" s="7" t="inlineStr">
        <is>
          <t>Approved</t>
        </is>
      </c>
      <c r="I371" s="7" t="n"/>
      <c r="J371" s="8" t="inlineStr">
        <is>
          <t>Source document text 1/1. Conditional applicability not yet encoded.</t>
        </is>
      </c>
    </row>
    <row r="372" ht="40" customHeight="1">
      <c r="A372" s="4" t="inlineStr">
        <is>
          <t>M06</t>
        </is>
      </c>
      <c r="B372" s="4" t="inlineStr">
        <is>
          <t>Homes For Intellectually Impaired Persons</t>
        </is>
      </c>
      <c r="C372" s="4" t="inlineStr">
        <is>
          <t>M06-P0015</t>
        </is>
      </c>
      <c r="D372" s="4" t="inlineStr">
        <is>
          <t>Any other document required by the Child Welfare Committee.</t>
        </is>
      </c>
      <c r="E372" s="4" t="inlineStr"/>
      <c r="F372" s="4" t="inlineStr">
        <is>
          <t>MS-M06</t>
        </is>
      </c>
      <c r="G372" s="4" t="inlineStr">
        <is>
          <t>M06@20261028-150cae35</t>
        </is>
      </c>
      <c r="H372" s="7" t="inlineStr">
        <is>
          <t>Approved</t>
        </is>
      </c>
      <c r="I372" s="7" t="n"/>
      <c r="J372" s="4" t="inlineStr">
        <is>
          <t>Source document text 1/1. Conditional applicability not yet encoded.</t>
        </is>
      </c>
    </row>
    <row r="373" ht="40" customHeight="1">
      <c r="A373" s="8" t="inlineStr">
        <is>
          <t>M07</t>
        </is>
      </c>
      <c r="B373" s="8" t="inlineStr">
        <is>
          <t>LIDCOM Gattai Stall Scheme</t>
        </is>
      </c>
      <c r="C373" s="8" t="inlineStr">
        <is>
          <t>M07-P0010</t>
        </is>
      </c>
      <c r="D373" s="8" t="inlineStr">
        <is>
          <t>Aadhaar Card.</t>
        </is>
      </c>
      <c r="E373" s="8" t="inlineStr"/>
      <c r="F373" s="8" t="inlineStr">
        <is>
          <t>MS-M07</t>
        </is>
      </c>
      <c r="G373" s="8" t="inlineStr">
        <is>
          <t>M07@20261028-8461c67b</t>
        </is>
      </c>
      <c r="H373" s="7" t="inlineStr">
        <is>
          <t>Approved</t>
        </is>
      </c>
      <c r="I373" s="7" t="n"/>
      <c r="J373" s="8" t="inlineStr">
        <is>
          <t>Source document text 1/1. Conditional applicability not yet encoded.</t>
        </is>
      </c>
    </row>
    <row r="374" ht="40" customHeight="1">
      <c r="A374" s="4" t="inlineStr">
        <is>
          <t>M07</t>
        </is>
      </c>
      <c r="B374" s="4" t="inlineStr">
        <is>
          <t>LIDCOM Gattai Stall Scheme</t>
        </is>
      </c>
      <c r="C374" s="4" t="inlineStr">
        <is>
          <t>M07-P0011</t>
        </is>
      </c>
      <c r="D374" s="4" t="inlineStr">
        <is>
          <t>Proof of Age (Birth Certificate, Marksheet of Class 10th/12th, etc)</t>
        </is>
      </c>
      <c r="E374" s="4" t="inlineStr"/>
      <c r="F374" s="4" t="inlineStr">
        <is>
          <t>MS-M07</t>
        </is>
      </c>
      <c r="G374" s="4" t="inlineStr">
        <is>
          <t>M07@20261028-8461c67b</t>
        </is>
      </c>
      <c r="H374" s="7" t="inlineStr">
        <is>
          <t>Approved</t>
        </is>
      </c>
      <c r="I374" s="7" t="n"/>
      <c r="J374" s="4" t="inlineStr">
        <is>
          <t>Source document text 1/1. Conditional applicability not yet encoded.</t>
        </is>
      </c>
    </row>
    <row r="375" ht="40" customHeight="1">
      <c r="A375" s="8" t="inlineStr">
        <is>
          <t>M07</t>
        </is>
      </c>
      <c r="B375" s="8" t="inlineStr">
        <is>
          <t>LIDCOM Gattai Stall Scheme</t>
        </is>
      </c>
      <c r="C375" s="8" t="inlineStr">
        <is>
          <t>M07-P0012</t>
        </is>
      </c>
      <c r="D375" s="8" t="inlineStr">
        <is>
          <t>2-Passport Sized Photograph (Signed Across)</t>
        </is>
      </c>
      <c r="E375" s="8" t="inlineStr"/>
      <c r="F375" s="8" t="inlineStr">
        <is>
          <t>MS-M07</t>
        </is>
      </c>
      <c r="G375" s="8" t="inlineStr">
        <is>
          <t>M07@20261028-8461c67b</t>
        </is>
      </c>
      <c r="H375" s="7" t="inlineStr">
        <is>
          <t>Approved</t>
        </is>
      </c>
      <c r="I375" s="7" t="n"/>
      <c r="J375" s="8" t="inlineStr">
        <is>
          <t>Source document text 1/1. Conditional applicability not yet encoded.</t>
        </is>
      </c>
    </row>
    <row r="376" ht="40" customHeight="1">
      <c r="A376" s="4" t="inlineStr">
        <is>
          <t>M07</t>
        </is>
      </c>
      <c r="B376" s="4" t="inlineStr">
        <is>
          <t>LIDCOM Gattai Stall Scheme</t>
        </is>
      </c>
      <c r="C376" s="4" t="inlineStr">
        <is>
          <t>M07-P0013</t>
        </is>
      </c>
      <c r="D376" s="4" t="inlineStr">
        <is>
          <t>Residential Certificate / Domicile Certificate of the State of Maharashtra.</t>
        </is>
      </c>
      <c r="E376" s="4" t="inlineStr"/>
      <c r="F376" s="4" t="inlineStr">
        <is>
          <t>MS-M07</t>
        </is>
      </c>
      <c r="G376" s="4" t="inlineStr">
        <is>
          <t>M07@20261028-8461c67b</t>
        </is>
      </c>
      <c r="H376" s="7" t="inlineStr">
        <is>
          <t>Approved</t>
        </is>
      </c>
      <c r="I376" s="7" t="n"/>
      <c r="J376" s="4" t="inlineStr">
        <is>
          <t>Source document text 1/1. Conditional applicability not yet encoded.</t>
        </is>
      </c>
    </row>
    <row r="377" ht="40" customHeight="1">
      <c r="A377" s="8" t="inlineStr">
        <is>
          <t>M07</t>
        </is>
      </c>
      <c r="B377" s="8" t="inlineStr">
        <is>
          <t>LIDCOM Gattai Stall Scheme</t>
        </is>
      </c>
      <c r="C377" s="8" t="inlineStr">
        <is>
          <t>M07-P0014</t>
        </is>
      </c>
      <c r="D377" s="8" t="inlineStr">
        <is>
          <t>Proof of being a Roadside Cobbler (issued by the Gram Panchayat),</t>
        </is>
      </c>
      <c r="E377" s="8" t="inlineStr"/>
      <c r="F377" s="8" t="inlineStr">
        <is>
          <t>MS-M07</t>
        </is>
      </c>
      <c r="G377" s="8" t="inlineStr">
        <is>
          <t>M07@20261028-8461c67b</t>
        </is>
      </c>
      <c r="H377" s="7" t="inlineStr">
        <is>
          <t>Approved</t>
        </is>
      </c>
      <c r="I377" s="7" t="n"/>
      <c r="J377" s="8" t="inlineStr">
        <is>
          <t>Source document text 1/1. Conditional applicability not yet encoded.</t>
        </is>
      </c>
    </row>
    <row r="378" ht="40" customHeight="1">
      <c r="A378" s="4" t="inlineStr">
        <is>
          <t>M07</t>
        </is>
      </c>
      <c r="B378" s="4" t="inlineStr">
        <is>
          <t>LIDCOM Gattai Stall Scheme</t>
        </is>
      </c>
      <c r="C378" s="4" t="inlineStr">
        <is>
          <t>M07-P0015</t>
        </is>
      </c>
      <c r="D378" s="4" t="inlineStr">
        <is>
          <t>Income Certificate issued by an Authorised Govt.Officer.</t>
        </is>
      </c>
      <c r="E378" s="4" t="inlineStr"/>
      <c r="F378" s="4" t="inlineStr">
        <is>
          <t>MS-M07</t>
        </is>
      </c>
      <c r="G378" s="4" t="inlineStr">
        <is>
          <t>M07@20261028-8461c67b</t>
        </is>
      </c>
      <c r="H378" s="7" t="inlineStr">
        <is>
          <t>Approved</t>
        </is>
      </c>
      <c r="I378" s="7" t="n"/>
      <c r="J378" s="4" t="inlineStr">
        <is>
          <t>Source document text 1/1. Conditional applicability not yet encoded.</t>
        </is>
      </c>
    </row>
    <row r="379" ht="40" customHeight="1">
      <c r="A379" s="8" t="inlineStr">
        <is>
          <t>M07</t>
        </is>
      </c>
      <c r="B379" s="8" t="inlineStr">
        <is>
          <t>LIDCOM Gattai Stall Scheme</t>
        </is>
      </c>
      <c r="C379" s="8" t="inlineStr">
        <is>
          <t>M07-P0016</t>
        </is>
      </c>
      <c r="D379" s="8" t="inlineStr">
        <is>
          <t>Caste Certificate issued by an Authorised Govt.Officer.</t>
        </is>
      </c>
      <c r="E379" s="8" t="inlineStr"/>
      <c r="F379" s="8" t="inlineStr">
        <is>
          <t>MS-M07</t>
        </is>
      </c>
      <c r="G379" s="8" t="inlineStr">
        <is>
          <t>M07@20261028-8461c67b</t>
        </is>
      </c>
      <c r="H379" s="7" t="inlineStr">
        <is>
          <t>Approved</t>
        </is>
      </c>
      <c r="I379" s="7" t="n"/>
      <c r="J379" s="8" t="inlineStr">
        <is>
          <t>Source document text 1/1. Conditional applicability not yet encoded.</t>
        </is>
      </c>
    </row>
    <row r="380" ht="40" customHeight="1">
      <c r="A380" s="4" t="inlineStr">
        <is>
          <t>M07</t>
        </is>
      </c>
      <c r="B380" s="4" t="inlineStr">
        <is>
          <t>LIDCOM Gattai Stall Scheme</t>
        </is>
      </c>
      <c r="C380" s="4" t="inlineStr">
        <is>
          <t>M07-P0017</t>
        </is>
      </c>
      <c r="D380" s="4" t="inlineStr">
        <is>
          <t>Details of the Bank Account (Bank Name, Branch Name, Address, IFSC, etc).</t>
        </is>
      </c>
      <c r="E380" s="4" t="inlineStr"/>
      <c r="F380" s="4" t="inlineStr">
        <is>
          <t>MS-M07</t>
        </is>
      </c>
      <c r="G380" s="4" t="inlineStr">
        <is>
          <t>M07@20261028-8461c67b</t>
        </is>
      </c>
      <c r="H380" s="7" t="inlineStr">
        <is>
          <t>Approved</t>
        </is>
      </c>
      <c r="I380" s="7" t="n"/>
      <c r="J380" s="4" t="inlineStr">
        <is>
          <t>Source document text 1/1. Conditional applicability not yet encoded.</t>
        </is>
      </c>
    </row>
    <row r="381" ht="40" customHeight="1">
      <c r="A381" s="8" t="inlineStr">
        <is>
          <t>M07</t>
        </is>
      </c>
      <c r="B381" s="8" t="inlineStr">
        <is>
          <t>LIDCOM Gattai Stall Scheme</t>
        </is>
      </c>
      <c r="C381" s="8" t="inlineStr">
        <is>
          <t>M07-P0018</t>
        </is>
      </c>
      <c r="D381" s="8" t="inlineStr">
        <is>
          <t>Any other document required by the District Office of LIDCOM.</t>
        </is>
      </c>
      <c r="E381" s="8" t="inlineStr"/>
      <c r="F381" s="8" t="inlineStr">
        <is>
          <t>MS-M07</t>
        </is>
      </c>
      <c r="G381" s="8" t="inlineStr">
        <is>
          <t>M07@20261028-8461c67b</t>
        </is>
      </c>
      <c r="H381" s="7" t="inlineStr">
        <is>
          <t>Approved</t>
        </is>
      </c>
      <c r="I381" s="7" t="n"/>
      <c r="J381" s="8" t="inlineStr">
        <is>
          <t>Source document text 1/1. Conditional applicability not yet encoded.</t>
        </is>
      </c>
    </row>
    <row r="382" ht="40" customHeight="1">
      <c r="A382" s="4" t="inlineStr">
        <is>
          <t>M08</t>
        </is>
      </c>
      <c r="B382" s="4" t="inlineStr">
        <is>
          <t>Mahila Kisan Yojana (Maharashtra)</t>
        </is>
      </c>
      <c r="C382" s="4" t="inlineStr">
        <is>
          <t>M08-P0013</t>
        </is>
      </c>
      <c r="D382" s="4" t="inlineStr">
        <is>
          <t>Completed application form from the LIDCOM District Office.</t>
        </is>
      </c>
      <c r="E382" s="4" t="inlineStr"/>
      <c r="F382" s="4" t="inlineStr">
        <is>
          <t>MS-M08</t>
        </is>
      </c>
      <c r="G382" s="4" t="inlineStr">
        <is>
          <t>M08@20261028-c1034a4d</t>
        </is>
      </c>
      <c r="H382" s="7" t="inlineStr">
        <is>
          <t>Approved</t>
        </is>
      </c>
      <c r="I382" s="7" t="n"/>
      <c r="J382" s="4" t="inlineStr">
        <is>
          <t>Source document text 1/1. Conditional applicability not yet encoded.</t>
        </is>
      </c>
    </row>
    <row r="383" ht="40" customHeight="1">
      <c r="A383" s="8" t="inlineStr">
        <is>
          <t>M08</t>
        </is>
      </c>
      <c r="B383" s="8" t="inlineStr">
        <is>
          <t>Mahila Kisan Yojana (Maharashtra)</t>
        </is>
      </c>
      <c r="C383" s="8" t="inlineStr">
        <is>
          <t>M08-P0014</t>
        </is>
      </c>
      <c r="D383" s="8" t="inlineStr">
        <is>
          <t>Recent passport-size photograph.</t>
        </is>
      </c>
      <c r="E383" s="8" t="inlineStr"/>
      <c r="F383" s="8" t="inlineStr">
        <is>
          <t>MS-M08</t>
        </is>
      </c>
      <c r="G383" s="8" t="inlineStr">
        <is>
          <t>M08@20261028-c1034a4d</t>
        </is>
      </c>
      <c r="H383" s="7" t="inlineStr">
        <is>
          <t>Approved</t>
        </is>
      </c>
      <c r="I383" s="7" t="n"/>
      <c r="J383" s="8" t="inlineStr">
        <is>
          <t>Source document text 1/1. Conditional applicability not yet encoded.</t>
        </is>
      </c>
    </row>
    <row r="384" ht="40" customHeight="1">
      <c r="A384" s="4" t="inlineStr">
        <is>
          <t>M08</t>
        </is>
      </c>
      <c r="B384" s="4" t="inlineStr">
        <is>
          <t>Mahila Kisan Yojana (Maharashtra)</t>
        </is>
      </c>
      <c r="C384" s="4" t="inlineStr">
        <is>
          <t>M08-P0015</t>
        </is>
      </c>
      <c r="D384" s="4" t="inlineStr">
        <is>
          <t>Valid Income Certificate (issued by an authorized government officer).</t>
        </is>
      </c>
      <c r="E384" s="4" t="inlineStr"/>
      <c r="F384" s="4" t="inlineStr">
        <is>
          <t>MS-M08</t>
        </is>
      </c>
      <c r="G384" s="4" t="inlineStr">
        <is>
          <t>M08@20261028-c1034a4d</t>
        </is>
      </c>
      <c r="H384" s="7" t="inlineStr">
        <is>
          <t>Approved</t>
        </is>
      </c>
      <c r="I384" s="7" t="n"/>
      <c r="J384" s="4" t="inlineStr">
        <is>
          <t>Source document text 1/1. Conditional applicability not yet encoded.</t>
        </is>
      </c>
    </row>
    <row r="385" ht="40" customHeight="1">
      <c r="A385" s="8" t="inlineStr">
        <is>
          <t>M08</t>
        </is>
      </c>
      <c r="B385" s="8" t="inlineStr">
        <is>
          <t>Mahila Kisan Yojana (Maharashtra)</t>
        </is>
      </c>
      <c r="C385" s="8" t="inlineStr">
        <is>
          <t>M08-P0016</t>
        </is>
      </c>
      <c r="D385" s="8" t="inlineStr">
        <is>
          <t>Caste Certificate (Charmakar Community).</t>
        </is>
      </c>
      <c r="E385" s="8" t="inlineStr"/>
      <c r="F385" s="8" t="inlineStr">
        <is>
          <t>MS-M08</t>
        </is>
      </c>
      <c r="G385" s="8" t="inlineStr">
        <is>
          <t>M08@20261028-c1034a4d</t>
        </is>
      </c>
      <c r="H385" s="7" t="inlineStr">
        <is>
          <t>Approved</t>
        </is>
      </c>
      <c r="I385" s="7" t="n"/>
      <c r="J385" s="8" t="inlineStr">
        <is>
          <t>Source document text 1/1. Conditional applicability not yet encoded.</t>
        </is>
      </c>
    </row>
    <row r="386" ht="40" customHeight="1">
      <c r="A386" s="4" t="inlineStr">
        <is>
          <t>M08</t>
        </is>
      </c>
      <c r="B386" s="4" t="inlineStr">
        <is>
          <t>Mahila Kisan Yojana (Maharashtra)</t>
        </is>
      </c>
      <c r="C386" s="4" t="inlineStr">
        <is>
          <t>M08-P0017</t>
        </is>
      </c>
      <c r="D386" s="4" t="inlineStr">
        <is>
          <t>Proof of Residence (Maharashtra).</t>
        </is>
      </c>
      <c r="E386" s="4" t="inlineStr"/>
      <c r="F386" s="4" t="inlineStr">
        <is>
          <t>MS-M08</t>
        </is>
      </c>
      <c r="G386" s="4" t="inlineStr">
        <is>
          <t>M08@20261028-c1034a4d</t>
        </is>
      </c>
      <c r="H386" s="7" t="inlineStr">
        <is>
          <t>Approved</t>
        </is>
      </c>
      <c r="I386" s="7" t="n"/>
      <c r="J386" s="4" t="inlineStr">
        <is>
          <t>Source document text 1/1. Conditional applicability not yet encoded.</t>
        </is>
      </c>
    </row>
    <row r="387" ht="40" customHeight="1">
      <c r="A387" s="8" t="inlineStr">
        <is>
          <t>M08</t>
        </is>
      </c>
      <c r="B387" s="8" t="inlineStr">
        <is>
          <t>Mahila Kisan Yojana (Maharashtra)</t>
        </is>
      </c>
      <c r="C387" s="8" t="inlineStr">
        <is>
          <t>M08-P0018</t>
        </is>
      </c>
      <c r="D387" s="8" t="inlineStr">
        <is>
          <t>7/12 Land Extract:</t>
        </is>
      </c>
      <c r="E387" s="8" t="inlineStr"/>
      <c r="F387" s="8" t="inlineStr">
        <is>
          <t>MS-M08</t>
        </is>
      </c>
      <c r="G387" s="8" t="inlineStr">
        <is>
          <t>M08@20261028-c1034a4d</t>
        </is>
      </c>
      <c r="H387" s="7" t="inlineStr">
        <is>
          <t>Approved</t>
        </is>
      </c>
      <c r="I387" s="7" t="n"/>
      <c r="J387" s="8" t="inlineStr">
        <is>
          <t>Source document text 1/1. Conditional applicability not yet encoded.</t>
        </is>
      </c>
    </row>
    <row r="388" ht="40" customHeight="1">
      <c r="A388" s="4" t="inlineStr">
        <is>
          <t>M08</t>
        </is>
      </c>
      <c r="B388" s="4" t="inlineStr">
        <is>
          <t>Mahila Kisan Yojana (Maharashtra)</t>
        </is>
      </c>
      <c r="C388" s="4" t="inlineStr">
        <is>
          <t>M08-P0019</t>
        </is>
      </c>
      <c r="D388" s="4" t="inlineStr">
        <is>
          <t>Applicant’s name, joint name with husband, or husband’s name (with affidavit) for agricultural loans.</t>
        </is>
      </c>
      <c r="E388" s="4" t="inlineStr"/>
      <c r="F388" s="4" t="inlineStr">
        <is>
          <t>MS-M08</t>
        </is>
      </c>
      <c r="G388" s="4" t="inlineStr">
        <is>
          <t>M08@20261028-c1034a4d</t>
        </is>
      </c>
      <c r="H388" s="7" t="inlineStr">
        <is>
          <t>Approved</t>
        </is>
      </c>
      <c r="I388" s="7" t="n"/>
      <c r="J388" s="4" t="inlineStr">
        <is>
          <t>Source document text 1/1. Conditional applicability not yet encoded.</t>
        </is>
      </c>
    </row>
    <row r="389" ht="40" customHeight="1">
      <c r="A389" s="8" t="inlineStr">
        <is>
          <t>M08</t>
        </is>
      </c>
      <c r="B389" s="8" t="inlineStr">
        <is>
          <t>Mahila Kisan Yojana (Maharashtra)</t>
        </is>
      </c>
      <c r="C389" s="8" t="inlineStr">
        <is>
          <t>M08-P0020</t>
        </is>
      </c>
      <c r="D389" s="8" t="inlineStr">
        <is>
          <t>Knowledge or experience proof relevant to the proposed business/project.</t>
        </is>
      </c>
      <c r="E389" s="8" t="inlineStr"/>
      <c r="F389" s="8" t="inlineStr">
        <is>
          <t>MS-M08</t>
        </is>
      </c>
      <c r="G389" s="8" t="inlineStr">
        <is>
          <t>M08@20261028-c1034a4d</t>
        </is>
      </c>
      <c r="H389" s="7" t="inlineStr">
        <is>
          <t>Approved</t>
        </is>
      </c>
      <c r="I389" s="7" t="n"/>
      <c r="J389" s="8" t="inlineStr">
        <is>
          <t>Source document text 1/1. Conditional applicability not yet encoded.</t>
        </is>
      </c>
    </row>
    <row r="390" ht="40" customHeight="1">
      <c r="A390" s="4" t="inlineStr">
        <is>
          <t>M09</t>
        </is>
      </c>
      <c r="B390" s="4" t="inlineStr">
        <is>
          <t>Mahila Samridhi Yojana (Maharashtra)</t>
        </is>
      </c>
      <c r="C390" s="4" t="inlineStr">
        <is>
          <t>M09-P0012</t>
        </is>
      </c>
      <c r="D390" s="4" t="inlineStr">
        <is>
          <t>The applicant must provide an income and caste certificate issued by an authorized government officer.</t>
        </is>
      </c>
      <c r="E390" s="4" t="inlineStr"/>
      <c r="F390" s="4" t="inlineStr">
        <is>
          <t>MS-M09</t>
        </is>
      </c>
      <c r="G390" s="4" t="inlineStr">
        <is>
          <t>M09@20261028-3555bc31</t>
        </is>
      </c>
      <c r="H390" s="7" t="inlineStr">
        <is>
          <t>Approved</t>
        </is>
      </c>
      <c r="I390" s="7" t="n"/>
      <c r="J390" s="4" t="inlineStr">
        <is>
          <t>Source document text 1/1. Conditional applicability not yet encoded.</t>
        </is>
      </c>
    </row>
    <row r="391" ht="40" customHeight="1">
      <c r="A391" s="8" t="inlineStr">
        <is>
          <t>M10</t>
        </is>
      </c>
      <c r="B391" s="8" t="inlineStr">
        <is>
          <t>Financial Assistance For Aids And Appliances For Disabled Persons</t>
        </is>
      </c>
      <c r="C391" s="8" t="inlineStr">
        <is>
          <t>M10-P0011</t>
        </is>
      </c>
      <c r="D391" s="8" t="inlineStr">
        <is>
          <t>Aadhaar Card.</t>
        </is>
      </c>
      <c r="E391" s="8" t="inlineStr"/>
      <c r="F391" s="8" t="inlineStr">
        <is>
          <t>MS-M10</t>
        </is>
      </c>
      <c r="G391" s="8" t="inlineStr">
        <is>
          <t>M10@20261028-72a47e36</t>
        </is>
      </c>
      <c r="H391" s="7" t="inlineStr">
        <is>
          <t>Approved</t>
        </is>
      </c>
      <c r="I391" s="7" t="n"/>
      <c r="J391" s="8" t="inlineStr">
        <is>
          <t>Source document text 1/1. Conditional applicability not yet encoded.</t>
        </is>
      </c>
    </row>
    <row r="392" ht="40" customHeight="1">
      <c r="A392" s="4" t="inlineStr">
        <is>
          <t>M10</t>
        </is>
      </c>
      <c r="B392" s="4" t="inlineStr">
        <is>
          <t>Financial Assistance For Aids And Appliances For Disabled Persons</t>
        </is>
      </c>
      <c r="C392" s="4" t="inlineStr">
        <is>
          <t>M10-P0012</t>
        </is>
      </c>
      <c r="D392" s="4" t="inlineStr">
        <is>
          <t>Proof of Age (Birth Certificate, Marksheet of Class 10th/12th, etc).</t>
        </is>
      </c>
      <c r="E392" s="4" t="inlineStr"/>
      <c r="F392" s="4" t="inlineStr">
        <is>
          <t>MS-M10</t>
        </is>
      </c>
      <c r="G392" s="4" t="inlineStr">
        <is>
          <t>M10@20261028-72a47e36</t>
        </is>
      </c>
      <c r="H392" s="7" t="inlineStr">
        <is>
          <t>Approved</t>
        </is>
      </c>
      <c r="I392" s="7" t="n"/>
      <c r="J392" s="4" t="inlineStr">
        <is>
          <t>Source document text 1/1. Conditional applicability not yet encoded.</t>
        </is>
      </c>
    </row>
    <row r="393" ht="40" customHeight="1">
      <c r="A393" s="8" t="inlineStr">
        <is>
          <t>M10</t>
        </is>
      </c>
      <c r="B393" s="8" t="inlineStr">
        <is>
          <t>Financial Assistance For Aids And Appliances For Disabled Persons</t>
        </is>
      </c>
      <c r="C393" s="8" t="inlineStr">
        <is>
          <t>M10-P0013</t>
        </is>
      </c>
      <c r="D393" s="8" t="inlineStr">
        <is>
          <t>2-Passport Sized Photograph (Signed Across).</t>
        </is>
      </c>
      <c r="E393" s="8" t="inlineStr"/>
      <c r="F393" s="8" t="inlineStr">
        <is>
          <t>MS-M10</t>
        </is>
      </c>
      <c r="G393" s="8" t="inlineStr">
        <is>
          <t>M10@20261028-72a47e36</t>
        </is>
      </c>
      <c r="H393" s="7" t="inlineStr">
        <is>
          <t>Approved</t>
        </is>
      </c>
      <c r="I393" s="7" t="n"/>
      <c r="J393" s="8" t="inlineStr">
        <is>
          <t>Source document text 1/1. Conditional applicability not yet encoded.</t>
        </is>
      </c>
    </row>
    <row r="394" ht="40" customHeight="1">
      <c r="A394" s="4" t="inlineStr">
        <is>
          <t>M10</t>
        </is>
      </c>
      <c r="B394" s="4" t="inlineStr">
        <is>
          <t>Financial Assistance For Aids And Appliances For Disabled Persons</t>
        </is>
      </c>
      <c r="C394" s="4" t="inlineStr">
        <is>
          <t>M10-P0014</t>
        </is>
      </c>
      <c r="D394" s="4" t="inlineStr">
        <is>
          <t>Residential Certificate / Domicile Certificate of the State of Maharashtra.</t>
        </is>
      </c>
      <c r="E394" s="4" t="inlineStr"/>
      <c r="F394" s="4" t="inlineStr">
        <is>
          <t>MS-M10</t>
        </is>
      </c>
      <c r="G394" s="4" t="inlineStr">
        <is>
          <t>M10@20261028-72a47e36</t>
        </is>
      </c>
      <c r="H394" s="7" t="inlineStr">
        <is>
          <t>Approved</t>
        </is>
      </c>
      <c r="I394" s="7" t="n"/>
      <c r="J394" s="4" t="inlineStr">
        <is>
          <t>Source document text 1/1. Conditional applicability not yet encoded.</t>
        </is>
      </c>
    </row>
    <row r="395" ht="40" customHeight="1">
      <c r="A395" s="8" t="inlineStr">
        <is>
          <t>M10</t>
        </is>
      </c>
      <c r="B395" s="8" t="inlineStr">
        <is>
          <t>Financial Assistance For Aids And Appliances For Disabled Persons</t>
        </is>
      </c>
      <c r="C395" s="8" t="inlineStr">
        <is>
          <t>M10-P0015</t>
        </is>
      </c>
      <c r="D395" s="8" t="inlineStr">
        <is>
          <t>Disability Certificate.</t>
        </is>
      </c>
      <c r="E395" s="8" t="inlineStr"/>
      <c r="F395" s="8" t="inlineStr">
        <is>
          <t>MS-M10</t>
        </is>
      </c>
      <c r="G395" s="8" t="inlineStr">
        <is>
          <t>M10@20261028-72a47e36</t>
        </is>
      </c>
      <c r="H395" s="7" t="inlineStr">
        <is>
          <t>Approved</t>
        </is>
      </c>
      <c r="I395" s="7" t="n"/>
      <c r="J395" s="8" t="inlineStr">
        <is>
          <t>Source document text 1/1. Conditional applicability not yet encoded.</t>
        </is>
      </c>
    </row>
    <row r="396" ht="40" customHeight="1">
      <c r="A396" s="4" t="inlineStr">
        <is>
          <t>M10</t>
        </is>
      </c>
      <c r="B396" s="4" t="inlineStr">
        <is>
          <t>Financial Assistance For Aids And Appliances For Disabled Persons</t>
        </is>
      </c>
      <c r="C396" s="4" t="inlineStr">
        <is>
          <t>M10-P0016</t>
        </is>
      </c>
      <c r="D396" s="4" t="inlineStr">
        <is>
          <t>Details of the Bank Account (Bank Name, Branch Name, Address, IFSC, etc).</t>
        </is>
      </c>
      <c r="E396" s="4" t="inlineStr"/>
      <c r="F396" s="4" t="inlineStr">
        <is>
          <t>MS-M10</t>
        </is>
      </c>
      <c r="G396" s="4" t="inlineStr">
        <is>
          <t>M10@20261028-72a47e36</t>
        </is>
      </c>
      <c r="H396" s="7" t="inlineStr">
        <is>
          <t>Approved</t>
        </is>
      </c>
      <c r="I396" s="7" t="n"/>
      <c r="J396" s="4" t="inlineStr">
        <is>
          <t>Source document text 1/1. Conditional applicability not yet encoded.</t>
        </is>
      </c>
    </row>
    <row r="397" ht="40" customHeight="1">
      <c r="A397" s="8" t="inlineStr">
        <is>
          <t>M10</t>
        </is>
      </c>
      <c r="B397" s="8" t="inlineStr">
        <is>
          <t>Financial Assistance For Aids And Appliances For Disabled Persons</t>
        </is>
      </c>
      <c r="C397" s="8" t="inlineStr">
        <is>
          <t>M10-P0017</t>
        </is>
      </c>
      <c r="D397" s="8" t="inlineStr">
        <is>
          <t>Any other document required by the District Social Welfare Office.</t>
        </is>
      </c>
      <c r="E397" s="8" t="inlineStr"/>
      <c r="F397" s="8" t="inlineStr">
        <is>
          <t>MS-M10</t>
        </is>
      </c>
      <c r="G397" s="8" t="inlineStr">
        <is>
          <t>M10@20261028-72a47e36</t>
        </is>
      </c>
      <c r="H397" s="7" t="inlineStr">
        <is>
          <t>Approved</t>
        </is>
      </c>
      <c r="I397" s="7" t="n"/>
      <c r="J397" s="8" t="inlineStr">
        <is>
          <t>Source document text 1/1. Conditional applicability not yet encoded.</t>
        </is>
      </c>
    </row>
    <row r="398" ht="40" customHeight="1">
      <c r="A398" s="4" t="inlineStr">
        <is>
          <t>M11</t>
        </is>
      </c>
      <c r="B398" s="4" t="inlineStr">
        <is>
          <t>Financial Assistance To Disabled For Self Employment</t>
        </is>
      </c>
      <c r="C398" s="4" t="inlineStr">
        <is>
          <t>M11-P0010</t>
        </is>
      </c>
      <c r="D398" s="4" t="inlineStr">
        <is>
          <t>Aadhaar Card.</t>
        </is>
      </c>
      <c r="E398" s="4" t="inlineStr"/>
      <c r="F398" s="4" t="inlineStr">
        <is>
          <t>MS-M11</t>
        </is>
      </c>
      <c r="G398" s="4" t="inlineStr">
        <is>
          <t>M11@20261028-8915f15c</t>
        </is>
      </c>
      <c r="H398" s="7" t="inlineStr">
        <is>
          <t>Approved</t>
        </is>
      </c>
      <c r="I398" s="7" t="n"/>
      <c r="J398" s="4" t="inlineStr">
        <is>
          <t>Source document text 1/1. Conditional applicability not yet encoded.</t>
        </is>
      </c>
    </row>
    <row r="399" ht="40" customHeight="1">
      <c r="A399" s="8" t="inlineStr">
        <is>
          <t>M11</t>
        </is>
      </c>
      <c r="B399" s="8" t="inlineStr">
        <is>
          <t>Financial Assistance To Disabled For Self Employment</t>
        </is>
      </c>
      <c r="C399" s="8" t="inlineStr">
        <is>
          <t>M11-P0011</t>
        </is>
      </c>
      <c r="D399" s="8" t="inlineStr">
        <is>
          <t>Proof of Age (Birth Certificate, Marksheet of Class 10th/12th, etc).</t>
        </is>
      </c>
      <c r="E399" s="8" t="inlineStr"/>
      <c r="F399" s="8" t="inlineStr">
        <is>
          <t>MS-M11</t>
        </is>
      </c>
      <c r="G399" s="8" t="inlineStr">
        <is>
          <t>M11@20261028-8915f15c</t>
        </is>
      </c>
      <c r="H399" s="7" t="inlineStr">
        <is>
          <t>Approved</t>
        </is>
      </c>
      <c r="I399" s="7" t="n"/>
      <c r="J399" s="8" t="inlineStr">
        <is>
          <t>Source document text 1/1. Conditional applicability not yet encoded.</t>
        </is>
      </c>
    </row>
    <row r="400" ht="40" customHeight="1">
      <c r="A400" s="4" t="inlineStr">
        <is>
          <t>M11</t>
        </is>
      </c>
      <c r="B400" s="4" t="inlineStr">
        <is>
          <t>Financial Assistance To Disabled For Self Employment</t>
        </is>
      </c>
      <c r="C400" s="4" t="inlineStr">
        <is>
          <t>M11-P0012</t>
        </is>
      </c>
      <c r="D400" s="4" t="inlineStr">
        <is>
          <t>2-Passport Sized Photograph (Signed Across).</t>
        </is>
      </c>
      <c r="E400" s="4" t="inlineStr"/>
      <c r="F400" s="4" t="inlineStr">
        <is>
          <t>MS-M11</t>
        </is>
      </c>
      <c r="G400" s="4" t="inlineStr">
        <is>
          <t>M11@20261028-8915f15c</t>
        </is>
      </c>
      <c r="H400" s="7" t="inlineStr">
        <is>
          <t>Approved</t>
        </is>
      </c>
      <c r="I400" s="7" t="n"/>
      <c r="J400" s="4" t="inlineStr">
        <is>
          <t>Source document text 1/1. Conditional applicability not yet encoded.</t>
        </is>
      </c>
    </row>
    <row r="401" ht="40" customHeight="1">
      <c r="A401" s="8" t="inlineStr">
        <is>
          <t>M11</t>
        </is>
      </c>
      <c r="B401" s="8" t="inlineStr">
        <is>
          <t>Financial Assistance To Disabled For Self Employment</t>
        </is>
      </c>
      <c r="C401" s="8" t="inlineStr">
        <is>
          <t>M11-P0013</t>
        </is>
      </c>
      <c r="D401" s="8" t="inlineStr">
        <is>
          <t>Residential Certificate / Domicile Certificate of the State of Maharashtra.</t>
        </is>
      </c>
      <c r="E401" s="8" t="inlineStr"/>
      <c r="F401" s="8" t="inlineStr">
        <is>
          <t>MS-M11</t>
        </is>
      </c>
      <c r="G401" s="8" t="inlineStr">
        <is>
          <t>M11@20261028-8915f15c</t>
        </is>
      </c>
      <c r="H401" s="7" t="inlineStr">
        <is>
          <t>Approved</t>
        </is>
      </c>
      <c r="I401" s="7" t="n"/>
      <c r="J401" s="8" t="inlineStr">
        <is>
          <t>Source document text 1/1. Conditional applicability not yet encoded.</t>
        </is>
      </c>
    </row>
    <row r="402" ht="40" customHeight="1">
      <c r="A402" s="4" t="inlineStr">
        <is>
          <t>M11</t>
        </is>
      </c>
      <c r="B402" s="4" t="inlineStr">
        <is>
          <t>Financial Assistance To Disabled For Self Employment</t>
        </is>
      </c>
      <c r="C402" s="4" t="inlineStr">
        <is>
          <t>M11-P0014</t>
        </is>
      </c>
      <c r="D402" s="4" t="inlineStr">
        <is>
          <t>Disability Certificate.</t>
        </is>
      </c>
      <c r="E402" s="4" t="inlineStr"/>
      <c r="F402" s="4" t="inlineStr">
        <is>
          <t>MS-M11</t>
        </is>
      </c>
      <c r="G402" s="4" t="inlineStr">
        <is>
          <t>M11@20261028-8915f15c</t>
        </is>
      </c>
      <c r="H402" s="7" t="inlineStr">
        <is>
          <t>Approved</t>
        </is>
      </c>
      <c r="I402" s="7" t="n"/>
      <c r="J402" s="4" t="inlineStr">
        <is>
          <t>Source document text 1/1. Conditional applicability not yet encoded.</t>
        </is>
      </c>
    </row>
    <row r="403" ht="40" customHeight="1">
      <c r="A403" s="8" t="inlineStr">
        <is>
          <t>M11</t>
        </is>
      </c>
      <c r="B403" s="8" t="inlineStr">
        <is>
          <t>Financial Assistance To Disabled For Self Employment</t>
        </is>
      </c>
      <c r="C403" s="8" t="inlineStr">
        <is>
          <t>M11-P0015</t>
        </is>
      </c>
      <c r="D403" s="8" t="inlineStr">
        <is>
          <t>Income Certificate.</t>
        </is>
      </c>
      <c r="E403" s="8" t="inlineStr"/>
      <c r="F403" s="8" t="inlineStr">
        <is>
          <t>MS-M11</t>
        </is>
      </c>
      <c r="G403" s="8" t="inlineStr">
        <is>
          <t>M11@20261028-8915f15c</t>
        </is>
      </c>
      <c r="H403" s="7" t="inlineStr">
        <is>
          <t>Approved</t>
        </is>
      </c>
      <c r="I403" s="7" t="n"/>
      <c r="J403" s="8" t="inlineStr">
        <is>
          <t>Source document text 1/1. Conditional applicability not yet encoded.</t>
        </is>
      </c>
    </row>
    <row r="404" ht="40" customHeight="1">
      <c r="A404" s="4" t="inlineStr">
        <is>
          <t>M11</t>
        </is>
      </c>
      <c r="B404" s="4" t="inlineStr">
        <is>
          <t>Financial Assistance To Disabled For Self Employment</t>
        </is>
      </c>
      <c r="C404" s="4" t="inlineStr">
        <is>
          <t>M11-P0016</t>
        </is>
      </c>
      <c r="D404" s="4" t="inlineStr">
        <is>
          <t>Details of the Bank Account (Bank Name, Branch Name, Address, IFSC, etc).</t>
        </is>
      </c>
      <c r="E404" s="4" t="inlineStr"/>
      <c r="F404" s="4" t="inlineStr">
        <is>
          <t>MS-M11</t>
        </is>
      </c>
      <c r="G404" s="4" t="inlineStr">
        <is>
          <t>M11@20261028-8915f15c</t>
        </is>
      </c>
      <c r="H404" s="7" t="inlineStr">
        <is>
          <t>Approved</t>
        </is>
      </c>
      <c r="I404" s="7" t="n"/>
      <c r="J404" s="4" t="inlineStr">
        <is>
          <t>Source document text 1/1. Conditional applicability not yet encoded.</t>
        </is>
      </c>
    </row>
    <row r="405" ht="40" customHeight="1">
      <c r="A405" s="8" t="inlineStr">
        <is>
          <t>M11</t>
        </is>
      </c>
      <c r="B405" s="8" t="inlineStr">
        <is>
          <t>Financial Assistance To Disabled For Self Employment</t>
        </is>
      </c>
      <c r="C405" s="8" t="inlineStr">
        <is>
          <t>M11-P0017</t>
        </is>
      </c>
      <c r="D405" s="8" t="inlineStr">
        <is>
          <t>Any other document required by the District Social Welfare Office.</t>
        </is>
      </c>
      <c r="E405" s="8" t="inlineStr"/>
      <c r="F405" s="8" t="inlineStr">
        <is>
          <t>MS-M11</t>
        </is>
      </c>
      <c r="G405" s="8" t="inlineStr">
        <is>
          <t>M11@20261028-8915f15c</t>
        </is>
      </c>
      <c r="H405" s="7" t="inlineStr">
        <is>
          <t>Approved</t>
        </is>
      </c>
      <c r="I405" s="7" t="n"/>
      <c r="J405" s="8" t="inlineStr">
        <is>
          <t>Source document text 1/1. Conditional applicability not yet encoded.</t>
        </is>
      </c>
    </row>
    <row r="406" ht="40" customHeight="1">
      <c r="A406" s="4" t="inlineStr">
        <is>
          <t>M12</t>
        </is>
      </c>
      <c r="B406" s="4" t="inlineStr">
        <is>
          <t>Ramai Awas (Gharkul) Scheme for SC &amp; Nav-Buddha (Urban and Rural)</t>
        </is>
      </c>
      <c r="C406" s="4" t="inlineStr">
        <is>
          <t>M12-P0016</t>
        </is>
      </c>
      <c r="D406" s="4" t="inlineStr">
        <is>
          <t>Residential / Domicile Certificate.</t>
        </is>
      </c>
      <c r="E406" s="4" t="inlineStr"/>
      <c r="F406" s="4" t="inlineStr">
        <is>
          <t>MS-M12</t>
        </is>
      </c>
      <c r="G406" s="4" t="inlineStr">
        <is>
          <t>M12@20261028-70d4cb3b</t>
        </is>
      </c>
      <c r="H406" s="7" t="inlineStr">
        <is>
          <t>Approved</t>
        </is>
      </c>
      <c r="I406" s="7" t="n"/>
      <c r="J406" s="4" t="inlineStr">
        <is>
          <t>Source document text 1/1. Conditional applicability not yet encoded.</t>
        </is>
      </c>
    </row>
    <row r="407" ht="40" customHeight="1">
      <c r="A407" s="8" t="inlineStr">
        <is>
          <t>M12</t>
        </is>
      </c>
      <c r="B407" s="8" t="inlineStr">
        <is>
          <t>Ramai Awas (Gharkul) Scheme for SC &amp; Nav-Buddha (Urban and Rural)</t>
        </is>
      </c>
      <c r="C407" s="8" t="inlineStr">
        <is>
          <t>M12-P0017</t>
        </is>
      </c>
      <c r="D407" s="8" t="inlineStr">
        <is>
          <t>Caste Certificate.</t>
        </is>
      </c>
      <c r="E407" s="8" t="inlineStr"/>
      <c r="F407" s="8" t="inlineStr">
        <is>
          <t>MS-M12</t>
        </is>
      </c>
      <c r="G407" s="8" t="inlineStr">
        <is>
          <t>M12@20261028-70d4cb3b</t>
        </is>
      </c>
      <c r="H407" s="7" t="inlineStr">
        <is>
          <t>Approved</t>
        </is>
      </c>
      <c r="I407" s="7" t="n"/>
      <c r="J407" s="8" t="inlineStr">
        <is>
          <t>Source document text 1/1. Conditional applicability not yet encoded.</t>
        </is>
      </c>
    </row>
    <row r="408" ht="40" customHeight="1">
      <c r="A408" s="4" t="inlineStr">
        <is>
          <t>M12</t>
        </is>
      </c>
      <c r="B408" s="4" t="inlineStr">
        <is>
          <t>Ramai Awas (Gharkul) Scheme for SC &amp; Nav-Buddha (Urban and Rural)</t>
        </is>
      </c>
      <c r="C408" s="4" t="inlineStr">
        <is>
          <t>M12-P0018</t>
        </is>
      </c>
      <c r="D408" s="4" t="inlineStr">
        <is>
          <t>Aadhaar Card</t>
        </is>
      </c>
      <c r="E408" s="4" t="inlineStr"/>
      <c r="F408" s="4" t="inlineStr">
        <is>
          <t>MS-M12</t>
        </is>
      </c>
      <c r="G408" s="4" t="inlineStr">
        <is>
          <t>M12@20261028-70d4cb3b</t>
        </is>
      </c>
      <c r="H408" s="7" t="inlineStr">
        <is>
          <t>Approved</t>
        </is>
      </c>
      <c r="I408" s="7" t="n"/>
      <c r="J408" s="4" t="inlineStr">
        <is>
          <t>Source document text 1/1. Conditional applicability not yet encoded.</t>
        </is>
      </c>
    </row>
    <row r="409" ht="40" customHeight="1">
      <c r="A409" s="8" t="inlineStr">
        <is>
          <t>M12</t>
        </is>
      </c>
      <c r="B409" s="8" t="inlineStr">
        <is>
          <t>Ramai Awas (Gharkul) Scheme for SC &amp; Nav-Buddha (Urban and Rural)</t>
        </is>
      </c>
      <c r="C409" s="8" t="inlineStr">
        <is>
          <t>M12-P0019</t>
        </is>
      </c>
      <c r="D409" s="8" t="inlineStr">
        <is>
          <t>Address Proof.</t>
        </is>
      </c>
      <c r="E409" s="8" t="inlineStr"/>
      <c r="F409" s="8" t="inlineStr">
        <is>
          <t>MS-M12</t>
        </is>
      </c>
      <c r="G409" s="8" t="inlineStr">
        <is>
          <t>M12@20261028-70d4cb3b</t>
        </is>
      </c>
      <c r="H409" s="7" t="inlineStr">
        <is>
          <t>Approved</t>
        </is>
      </c>
      <c r="I409" s="7" t="n"/>
      <c r="J409" s="8" t="inlineStr">
        <is>
          <t>Source document text 1/1. Conditional applicability not yet encoded.</t>
        </is>
      </c>
    </row>
    <row r="410" ht="40" customHeight="1">
      <c r="A410" s="4" t="inlineStr">
        <is>
          <t>M12</t>
        </is>
      </c>
      <c r="B410" s="4" t="inlineStr">
        <is>
          <t>Ramai Awas (Gharkul) Scheme for SC &amp; Nav-Buddha (Urban and Rural)</t>
        </is>
      </c>
      <c r="C410" s="4" t="inlineStr">
        <is>
          <t>M12-P0020</t>
        </is>
      </c>
      <c r="D410" s="4" t="inlineStr">
        <is>
          <t>Identity Card.</t>
        </is>
      </c>
      <c r="E410" s="4" t="inlineStr"/>
      <c r="F410" s="4" t="inlineStr">
        <is>
          <t>MS-M12</t>
        </is>
      </c>
      <c r="G410" s="4" t="inlineStr">
        <is>
          <t>M12@20261028-70d4cb3b</t>
        </is>
      </c>
      <c r="H410" s="7" t="inlineStr">
        <is>
          <t>Approved</t>
        </is>
      </c>
      <c r="I410" s="7" t="n"/>
      <c r="J410" s="4" t="inlineStr">
        <is>
          <t>Source document text 1/1. Conditional applicability not yet encoded.</t>
        </is>
      </c>
    </row>
    <row r="411" ht="40" customHeight="1">
      <c r="A411" s="8" t="inlineStr">
        <is>
          <t>M12</t>
        </is>
      </c>
      <c r="B411" s="8" t="inlineStr">
        <is>
          <t>Ramai Awas (Gharkul) Scheme for SC &amp; Nav-Buddha (Urban and Rural)</t>
        </is>
      </c>
      <c r="C411" s="8" t="inlineStr">
        <is>
          <t>M12-P0021</t>
        </is>
      </c>
      <c r="D411" s="8" t="inlineStr">
        <is>
          <t>Passport Size Photo.</t>
        </is>
      </c>
      <c r="E411" s="8" t="inlineStr"/>
      <c r="F411" s="8" t="inlineStr">
        <is>
          <t>MS-M12</t>
        </is>
      </c>
      <c r="G411" s="8" t="inlineStr">
        <is>
          <t>M12@20261028-70d4cb3b</t>
        </is>
      </c>
      <c r="H411" s="7" t="inlineStr">
        <is>
          <t>Approved</t>
        </is>
      </c>
      <c r="I411" s="7" t="n"/>
      <c r="J411" s="8" t="inlineStr">
        <is>
          <t>Source document text 1/1. Conditional applicability not yet encoded.</t>
        </is>
      </c>
    </row>
    <row r="412" ht="40" customHeight="1">
      <c r="A412" s="4" t="inlineStr">
        <is>
          <t>M13</t>
        </is>
      </c>
      <c r="B412" s="4" t="inlineStr">
        <is>
          <t>Namo Shetkari Mahasanman Nidhi Yojana</t>
        </is>
      </c>
      <c r="C412" s="4" t="inlineStr">
        <is>
          <t>M13-P0024</t>
        </is>
      </c>
      <c r="D412" s="4" t="inlineStr">
        <is>
          <t>1.	Aadhar Card,</t>
        </is>
      </c>
      <c r="E412" s="4" t="inlineStr"/>
      <c r="F412" s="4" t="inlineStr">
        <is>
          <t>MS-M13</t>
        </is>
      </c>
      <c r="G412" s="4" t="inlineStr">
        <is>
          <t>M13@20261028-01fda9a0</t>
        </is>
      </c>
      <c r="H412" s="7" t="inlineStr">
        <is>
          <t>Approved</t>
        </is>
      </c>
      <c r="I412" s="7" t="n"/>
      <c r="J412" s="4" t="inlineStr">
        <is>
          <t>Source document text 1/1. Conditional applicability not yet encoded.</t>
        </is>
      </c>
    </row>
    <row r="413" ht="40" customHeight="1">
      <c r="A413" s="8" t="inlineStr">
        <is>
          <t>M13</t>
        </is>
      </c>
      <c r="B413" s="8" t="inlineStr">
        <is>
          <t>Namo Shetkari Mahasanman Nidhi Yojana</t>
        </is>
      </c>
      <c r="C413" s="8" t="inlineStr">
        <is>
          <t>M13-P0025</t>
        </is>
      </c>
      <c r="D413" s="8" t="inlineStr">
        <is>
          <t>2.	7/12,</t>
        </is>
      </c>
      <c r="E413" s="8" t="inlineStr"/>
      <c r="F413" s="8" t="inlineStr">
        <is>
          <t>MS-M13</t>
        </is>
      </c>
      <c r="G413" s="8" t="inlineStr">
        <is>
          <t>M13@20261028-01fda9a0</t>
        </is>
      </c>
      <c r="H413" s="7" t="inlineStr">
        <is>
          <t>Approved</t>
        </is>
      </c>
      <c r="I413" s="7" t="n"/>
      <c r="J413" s="8" t="inlineStr">
        <is>
          <t>Source document text 1/1. Conditional applicability not yet encoded.</t>
        </is>
      </c>
    </row>
    <row r="414" ht="40" customHeight="1">
      <c r="A414" s="4" t="inlineStr">
        <is>
          <t>M13</t>
        </is>
      </c>
      <c r="B414" s="4" t="inlineStr">
        <is>
          <t>Namo Shetkari Mahasanman Nidhi Yojana</t>
        </is>
      </c>
      <c r="C414" s="4" t="inlineStr">
        <is>
          <t>M13-P0026</t>
        </is>
      </c>
      <c r="D414" s="4" t="inlineStr">
        <is>
          <t>3.	8-A,</t>
        </is>
      </c>
      <c r="E414" s="4" t="inlineStr"/>
      <c r="F414" s="4" t="inlineStr">
        <is>
          <t>MS-M13</t>
        </is>
      </c>
      <c r="G414" s="4" t="inlineStr">
        <is>
          <t>M13@20261028-01fda9a0</t>
        </is>
      </c>
      <c r="H414" s="7" t="inlineStr">
        <is>
          <t>Approved</t>
        </is>
      </c>
      <c r="I414" s="7" t="n"/>
      <c r="J414" s="4" t="inlineStr">
        <is>
          <t>Source document text 1/1. Conditional applicability not yet encoded.</t>
        </is>
      </c>
    </row>
    <row r="415" ht="40" customHeight="1">
      <c r="A415" s="8" t="inlineStr">
        <is>
          <t>M13</t>
        </is>
      </c>
      <c r="B415" s="8" t="inlineStr">
        <is>
          <t>Namo Shetkari Mahasanman Nidhi Yojana</t>
        </is>
      </c>
      <c r="C415" s="8" t="inlineStr">
        <is>
          <t>M13-P0027</t>
        </is>
      </c>
      <c r="D415" s="8" t="inlineStr">
        <is>
          <t>4.	Ferfar,</t>
        </is>
      </c>
      <c r="E415" s="8" t="inlineStr"/>
      <c r="F415" s="8" t="inlineStr">
        <is>
          <t>MS-M13</t>
        </is>
      </c>
      <c r="G415" s="8" t="inlineStr">
        <is>
          <t>M13@20261028-01fda9a0</t>
        </is>
      </c>
      <c r="H415" s="7" t="inlineStr">
        <is>
          <t>Approved</t>
        </is>
      </c>
      <c r="I415" s="7" t="n"/>
      <c r="J415" s="8" t="inlineStr">
        <is>
          <t>Source document text 1/1. Conditional applicability not yet encoded.</t>
        </is>
      </c>
    </row>
    <row r="416" ht="40" customHeight="1">
      <c r="A416" s="4" t="inlineStr">
        <is>
          <t>M13</t>
        </is>
      </c>
      <c r="B416" s="4" t="inlineStr">
        <is>
          <t>Namo Shetkari Mahasanman Nidhi Yojana</t>
        </is>
      </c>
      <c r="C416" s="4" t="inlineStr">
        <is>
          <t>M13-P0028</t>
        </is>
      </c>
      <c r="D416" s="4" t="inlineStr">
        <is>
          <t>5.	Ration card etc</t>
        </is>
      </c>
      <c r="E416" s="4" t="inlineStr"/>
      <c r="F416" s="4" t="inlineStr">
        <is>
          <t>MS-M13</t>
        </is>
      </c>
      <c r="G416" s="4" t="inlineStr">
        <is>
          <t>M13@20261028-01fda9a0</t>
        </is>
      </c>
      <c r="H416" s="7" t="inlineStr">
        <is>
          <t>Approved</t>
        </is>
      </c>
      <c r="I416" s="7" t="n"/>
      <c r="J416" s="4" t="inlineStr">
        <is>
          <t>Source document text 1/1. Conditional applicability not yet encoded.</t>
        </is>
      </c>
    </row>
    <row r="417" ht="40" customHeight="1">
      <c r="A417" s="8" t="inlineStr">
        <is>
          <t>M14</t>
        </is>
      </c>
      <c r="B417" s="8" t="inlineStr">
        <is>
          <t>CHIEF MINISTER  EMPLOYMENT GENERATION  PROGRAMME (CMEGP)</t>
        </is>
      </c>
      <c r="C417" s="8" t="inlineStr">
        <is>
          <t>M14-P0027</t>
        </is>
      </c>
      <c r="D417" s="8" t="inlineStr">
        <is>
          <t>1)	Passport size photo</t>
        </is>
      </c>
      <c r="E417" s="8" t="inlineStr"/>
      <c r="F417" s="8" t="inlineStr">
        <is>
          <t>MS-M14</t>
        </is>
      </c>
      <c r="G417" s="8" t="inlineStr">
        <is>
          <t>M14@20261028-57cd7d50</t>
        </is>
      </c>
      <c r="H417" s="7" t="inlineStr">
        <is>
          <t>Approved</t>
        </is>
      </c>
      <c r="I417" s="7" t="n"/>
      <c r="J417" s="8" t="inlineStr">
        <is>
          <t>Source document text 1/1. Conditional applicability not yet encoded.</t>
        </is>
      </c>
    </row>
    <row r="418" ht="40" customHeight="1">
      <c r="A418" s="4" t="inlineStr">
        <is>
          <t>M14</t>
        </is>
      </c>
      <c r="B418" s="4" t="inlineStr">
        <is>
          <t>CHIEF MINISTER  EMPLOYMENT GENERATION  PROGRAMME (CMEGP)</t>
        </is>
      </c>
      <c r="C418" s="4" t="inlineStr">
        <is>
          <t>M14-P0028</t>
        </is>
      </c>
      <c r="D418" s="4" t="inlineStr">
        <is>
          <t>2)	Aadhar card</t>
        </is>
      </c>
      <c r="E418" s="4" t="inlineStr"/>
      <c r="F418" s="4" t="inlineStr">
        <is>
          <t>MS-M14</t>
        </is>
      </c>
      <c r="G418" s="4" t="inlineStr">
        <is>
          <t>M14@20261028-57cd7d50</t>
        </is>
      </c>
      <c r="H418" s="7" t="inlineStr">
        <is>
          <t>Approved</t>
        </is>
      </c>
      <c r="I418" s="7" t="n"/>
      <c r="J418" s="4" t="inlineStr">
        <is>
          <t>Source document text 1/1. Conditional applicability not yet encoded.</t>
        </is>
      </c>
    </row>
    <row r="419" ht="40" customHeight="1">
      <c r="A419" s="8" t="inlineStr">
        <is>
          <t>M14</t>
        </is>
      </c>
      <c r="B419" s="8" t="inlineStr">
        <is>
          <t>CHIEF MINISTER  EMPLOYMENT GENERATION  PROGRAMME (CMEGP)</t>
        </is>
      </c>
      <c r="C419" s="8" t="inlineStr">
        <is>
          <t>M14-P0029</t>
        </is>
      </c>
      <c r="D419" s="8" t="inlineStr">
        <is>
          <t>3)	Domicile certificate</t>
        </is>
      </c>
      <c r="E419" s="8" t="inlineStr"/>
      <c r="F419" s="8" t="inlineStr">
        <is>
          <t>MS-M14</t>
        </is>
      </c>
      <c r="G419" s="8" t="inlineStr">
        <is>
          <t>M14@20261028-57cd7d50</t>
        </is>
      </c>
      <c r="H419" s="7" t="inlineStr">
        <is>
          <t>Approved</t>
        </is>
      </c>
      <c r="I419" s="7" t="n"/>
      <c r="J419" s="8" t="inlineStr">
        <is>
          <t>Source document text 1/1. Conditional applicability not yet encoded.</t>
        </is>
      </c>
    </row>
    <row r="420" ht="40" customHeight="1">
      <c r="A420" s="4" t="inlineStr">
        <is>
          <t>M14</t>
        </is>
      </c>
      <c r="B420" s="4" t="inlineStr">
        <is>
          <t>CHIEF MINISTER  EMPLOYMENT GENERATION  PROGRAMME (CMEGP)</t>
        </is>
      </c>
      <c r="C420" s="4" t="inlineStr">
        <is>
          <t>M14-P0030</t>
        </is>
      </c>
      <c r="D420" s="4" t="inlineStr">
        <is>
          <t>4)	Educational cetifiacate</t>
        </is>
      </c>
      <c r="E420" s="4" t="inlineStr"/>
      <c r="F420" s="4" t="inlineStr">
        <is>
          <t>MS-M14</t>
        </is>
      </c>
      <c r="G420" s="4" t="inlineStr">
        <is>
          <t>M14@20261028-57cd7d50</t>
        </is>
      </c>
      <c r="H420" s="7" t="inlineStr">
        <is>
          <t>Approved</t>
        </is>
      </c>
      <c r="I420" s="7" t="n"/>
      <c r="J420" s="4" t="inlineStr">
        <is>
          <t>Source document text 1/1. Conditional applicability not yet encoded.</t>
        </is>
      </c>
    </row>
    <row r="421" ht="40" customHeight="1">
      <c r="A421" s="8" t="inlineStr">
        <is>
          <t>M14</t>
        </is>
      </c>
      <c r="B421" s="8" t="inlineStr">
        <is>
          <t>CHIEF MINISTER  EMPLOYMENT GENERATION  PROGRAMME (CMEGP)</t>
        </is>
      </c>
      <c r="C421" s="8" t="inlineStr">
        <is>
          <t>M14-P0031</t>
        </is>
      </c>
      <c r="D421" s="8" t="inlineStr">
        <is>
          <t>5)	Undertaking form</t>
        </is>
      </c>
      <c r="E421" s="8" t="inlineStr"/>
      <c r="F421" s="8" t="inlineStr">
        <is>
          <t>MS-M14</t>
        </is>
      </c>
      <c r="G421" s="8" t="inlineStr">
        <is>
          <t>M14@20261028-57cd7d50</t>
        </is>
      </c>
      <c r="H421" s="7" t="inlineStr">
        <is>
          <t>Approved</t>
        </is>
      </c>
      <c r="I421" s="7" t="n"/>
      <c r="J421" s="8" t="inlineStr">
        <is>
          <t>Source document text 1/1. Conditional applicability not yet encoded.</t>
        </is>
      </c>
    </row>
    <row r="422" ht="40" customHeight="1">
      <c r="A422" s="4" t="inlineStr">
        <is>
          <t>M14</t>
        </is>
      </c>
      <c r="B422" s="4" t="inlineStr">
        <is>
          <t>CHIEF MINISTER  EMPLOYMENT GENERATION  PROGRAMME (CMEGP)</t>
        </is>
      </c>
      <c r="C422" s="4" t="inlineStr">
        <is>
          <t>M14-P0032</t>
        </is>
      </c>
      <c r="D422" s="4" t="inlineStr">
        <is>
          <t>6)	Project profile</t>
        </is>
      </c>
      <c r="E422" s="4" t="inlineStr"/>
      <c r="F422" s="4" t="inlineStr">
        <is>
          <t>MS-M14</t>
        </is>
      </c>
      <c r="G422" s="4" t="inlineStr">
        <is>
          <t>M14@20261028-57cd7d50</t>
        </is>
      </c>
      <c r="H422" s="7" t="inlineStr">
        <is>
          <t>Approved</t>
        </is>
      </c>
      <c r="I422" s="7" t="n"/>
      <c r="J422" s="4" t="inlineStr">
        <is>
          <t>Source document text 1/1. Conditional applicability not yet encoded.</t>
        </is>
      </c>
    </row>
    <row r="423" ht="40" customHeight="1">
      <c r="A423" s="8" t="inlineStr">
        <is>
          <t>M14</t>
        </is>
      </c>
      <c r="B423" s="8" t="inlineStr">
        <is>
          <t>CHIEF MINISTER  EMPLOYMENT GENERATION  PROGRAMME (CMEGP)</t>
        </is>
      </c>
      <c r="C423" s="8" t="inlineStr">
        <is>
          <t>M14-P0033</t>
        </is>
      </c>
      <c r="D423" s="8" t="inlineStr">
        <is>
          <t>7)	Caste certificate(If applicable)</t>
        </is>
      </c>
      <c r="E423" s="8" t="inlineStr"/>
      <c r="F423" s="8" t="inlineStr">
        <is>
          <t>MS-M14</t>
        </is>
      </c>
      <c r="G423" s="8" t="inlineStr">
        <is>
          <t>M14@20261028-57cd7d50</t>
        </is>
      </c>
      <c r="H423" s="7" t="inlineStr">
        <is>
          <t>Approved</t>
        </is>
      </c>
      <c r="I423" s="7" t="n"/>
      <c r="J423" s="8" t="inlineStr">
        <is>
          <t>Source document text 1/1. Conditional applicability not yet encoded.</t>
        </is>
      </c>
    </row>
    <row r="424" ht="40" customHeight="1">
      <c r="A424" s="4" t="inlineStr">
        <is>
          <t>M14</t>
        </is>
      </c>
      <c r="B424" s="4" t="inlineStr">
        <is>
          <t>CHIEF MINISTER  EMPLOYMENT GENERATION  PROGRAMME (CMEGP)</t>
        </is>
      </c>
      <c r="C424" s="4" t="inlineStr">
        <is>
          <t>M14-P0034</t>
        </is>
      </c>
      <c r="D424" s="4" t="inlineStr">
        <is>
          <t>8)	Special categary certificate(If applicable)</t>
        </is>
      </c>
      <c r="E424" s="4" t="inlineStr"/>
      <c r="F424" s="4" t="inlineStr">
        <is>
          <t>MS-M14</t>
        </is>
      </c>
      <c r="G424" s="4" t="inlineStr">
        <is>
          <t>M14@20261028-57cd7d50</t>
        </is>
      </c>
      <c r="H424" s="7" t="inlineStr">
        <is>
          <t>Approved</t>
        </is>
      </c>
      <c r="I424" s="7" t="n"/>
      <c r="J424" s="4" t="inlineStr">
        <is>
          <t>Source document text 1/1. Conditional applicability not yet encoded.</t>
        </is>
      </c>
    </row>
    <row r="425" ht="40" customHeight="1">
      <c r="A425" s="8" t="inlineStr">
        <is>
          <t>M14</t>
        </is>
      </c>
      <c r="B425" s="8" t="inlineStr">
        <is>
          <t>CHIEF MINISTER  EMPLOYMENT GENERATION  PROGRAMME (CMEGP)</t>
        </is>
      </c>
      <c r="C425" s="8" t="inlineStr">
        <is>
          <t>M14-P0035</t>
        </is>
      </c>
      <c r="D425" s="8" t="inlineStr">
        <is>
          <t>9)	Pan card</t>
        </is>
      </c>
      <c r="E425" s="8" t="inlineStr"/>
      <c r="F425" s="8" t="inlineStr">
        <is>
          <t>MS-M14</t>
        </is>
      </c>
      <c r="G425" s="8" t="inlineStr">
        <is>
          <t>M14@20261028-57cd7d50</t>
        </is>
      </c>
      <c r="H425" s="7" t="inlineStr">
        <is>
          <t>Approved</t>
        </is>
      </c>
      <c r="I425" s="7" t="n"/>
      <c r="J425" s="8" t="inlineStr">
        <is>
          <t>Source document text 1/1. Conditional applicability not yet encoded.</t>
        </is>
      </c>
    </row>
    <row r="426" ht="40" customHeight="1">
      <c r="A426" s="4" t="inlineStr">
        <is>
          <t>M14</t>
        </is>
      </c>
      <c r="B426" s="4" t="inlineStr">
        <is>
          <t>CHIEF MINISTER  EMPLOYMENT GENERATION  PROGRAMME (CMEGP)</t>
        </is>
      </c>
      <c r="C426" s="4" t="inlineStr">
        <is>
          <t>M14-P0036</t>
        </is>
      </c>
      <c r="D426" s="4" t="inlineStr">
        <is>
          <t>10)	Populatuion certificate (Only for rural applicant)</t>
        </is>
      </c>
      <c r="E426" s="4" t="inlineStr"/>
      <c r="F426" s="4" t="inlineStr">
        <is>
          <t>MS-M14</t>
        </is>
      </c>
      <c r="G426" s="4" t="inlineStr">
        <is>
          <t>M14@20261028-57cd7d50</t>
        </is>
      </c>
      <c r="H426" s="7" t="inlineStr">
        <is>
          <t>Approved</t>
        </is>
      </c>
      <c r="I426" s="7" t="n"/>
      <c r="J426" s="4" t="inlineStr">
        <is>
          <t>Source document text 1/1. Conditional applicability not yet encoded.</t>
        </is>
      </c>
    </row>
    <row r="427" ht="40" customHeight="1">
      <c r="A427" s="8" t="inlineStr">
        <is>
          <t>M14</t>
        </is>
      </c>
      <c r="B427" s="8" t="inlineStr">
        <is>
          <t>CHIEF MINISTER  EMPLOYMENT GENERATION  PROGRAMME (CMEGP)</t>
        </is>
      </c>
      <c r="C427" s="8" t="inlineStr">
        <is>
          <t>M14-P0037</t>
        </is>
      </c>
      <c r="D427" s="8" t="inlineStr">
        <is>
          <t>11)	Clearance /approved certificate (bank)(If Working capital is zero for project cost more than 5 lac)</t>
        </is>
      </c>
      <c r="E427" s="8" t="inlineStr"/>
      <c r="F427" s="8" t="inlineStr">
        <is>
          <t>MS-M14</t>
        </is>
      </c>
      <c r="G427" s="8" t="inlineStr">
        <is>
          <t>M14@20261028-57cd7d50</t>
        </is>
      </c>
      <c r="H427" s="7" t="inlineStr">
        <is>
          <t>Approved</t>
        </is>
      </c>
      <c r="I427" s="7" t="n"/>
      <c r="J427" s="8" t="inlineStr">
        <is>
          <t>Source document text 1/1. Conditional applicability not yet encoded.</t>
        </is>
      </c>
    </row>
    <row r="428" ht="40" customHeight="1">
      <c r="A428" s="4" t="inlineStr">
        <is>
          <t>M15</t>
        </is>
      </c>
      <c r="B428" s="4" t="inlineStr">
        <is>
          <t>Nanaji Deshmukh Krishi Sanjivani Prakalp</t>
        </is>
      </c>
      <c r="C428" s="4" t="inlineStr">
        <is>
          <t>M15-P0019</t>
        </is>
      </c>
      <c r="D428" s="4" t="inlineStr">
        <is>
          <t>1)	Aadhaar Number</t>
        </is>
      </c>
      <c r="E428" s="4" t="inlineStr"/>
      <c r="F428" s="4" t="inlineStr">
        <is>
          <t>MS-M15</t>
        </is>
      </c>
      <c r="G428" s="4" t="inlineStr">
        <is>
          <t>M15@20261028-58f85607</t>
        </is>
      </c>
      <c r="H428" s="7" t="inlineStr">
        <is>
          <t>Approved</t>
        </is>
      </c>
      <c r="I428" s="7" t="n"/>
      <c r="J428" s="4" t="inlineStr">
        <is>
          <t>Source document text 1/1. Conditional applicability not yet encoded.</t>
        </is>
      </c>
    </row>
    <row r="429" ht="40" customHeight="1">
      <c r="A429" s="8" t="inlineStr">
        <is>
          <t>M15</t>
        </is>
      </c>
      <c r="B429" s="8" t="inlineStr">
        <is>
          <t>Nanaji Deshmukh Krishi Sanjivani Prakalp</t>
        </is>
      </c>
      <c r="C429" s="8" t="inlineStr">
        <is>
          <t>M15-P0020</t>
        </is>
      </c>
      <c r="D429" s="8" t="inlineStr">
        <is>
          <t>2)	Land details – 8A &amp; 7/12 extract</t>
        </is>
      </c>
      <c r="E429" s="8" t="inlineStr"/>
      <c r="F429" s="8" t="inlineStr">
        <is>
          <t>MS-M15</t>
        </is>
      </c>
      <c r="G429" s="8" t="inlineStr">
        <is>
          <t>M15@20261028-58f85607</t>
        </is>
      </c>
      <c r="H429" s="7" t="inlineStr">
        <is>
          <t>Approved</t>
        </is>
      </c>
      <c r="I429" s="7" t="n"/>
      <c r="J429" s="8" t="inlineStr">
        <is>
          <t>Source document text 1/1. Conditional applicability not yet encoded.</t>
        </is>
      </c>
    </row>
    <row r="430" ht="40" customHeight="1">
      <c r="A430" s="4" t="inlineStr">
        <is>
          <t>M15</t>
        </is>
      </c>
      <c r="B430" s="4" t="inlineStr">
        <is>
          <t>Nanaji Deshmukh Krishi Sanjivani Prakalp</t>
        </is>
      </c>
      <c r="C430" s="4" t="inlineStr">
        <is>
          <t>M15-P0021</t>
        </is>
      </c>
      <c r="D430" s="4" t="inlineStr">
        <is>
          <t>3)	Cast certificate (for applicants from SC ST communities)</t>
        </is>
      </c>
      <c r="E430" s="4" t="inlineStr"/>
      <c r="F430" s="4" t="inlineStr">
        <is>
          <t>MS-M15</t>
        </is>
      </c>
      <c r="G430" s="4" t="inlineStr">
        <is>
          <t>M15@20261028-58f85607</t>
        </is>
      </c>
      <c r="H430" s="7" t="inlineStr">
        <is>
          <t>Approved</t>
        </is>
      </c>
      <c r="I430" s="7" t="n"/>
      <c r="J430" s="4" t="inlineStr">
        <is>
          <t>Source document text 1/1. Conditional applicability not yet encoded.</t>
        </is>
      </c>
    </row>
    <row r="431" ht="40" customHeight="1">
      <c r="A431" s="8" t="inlineStr">
        <is>
          <t>M15</t>
        </is>
      </c>
      <c r="B431" s="8" t="inlineStr">
        <is>
          <t>Nanaji Deshmukh Krishi Sanjivani Prakalp</t>
        </is>
      </c>
      <c r="C431" s="8" t="inlineStr">
        <is>
          <t>M15-P0022</t>
        </is>
      </c>
      <c r="D431" s="8" t="inlineStr">
        <is>
          <t>4)	Landless certificate (for landless farmers &amp; labourers)</t>
        </is>
      </c>
      <c r="E431" s="8" t="inlineStr"/>
      <c r="F431" s="8" t="inlineStr">
        <is>
          <t>MS-M15</t>
        </is>
      </c>
      <c r="G431" s="8" t="inlineStr">
        <is>
          <t>M15@20261028-58f85607</t>
        </is>
      </c>
      <c r="H431" s="7" t="inlineStr">
        <is>
          <t>Approved</t>
        </is>
      </c>
      <c r="I431" s="7" t="n"/>
      <c r="J431" s="8" t="inlineStr">
        <is>
          <t>Source document text 1/1. Conditional applicability not yet encoded.</t>
        </is>
      </c>
    </row>
    <row r="432" ht="40" customHeight="1">
      <c r="A432" s="4" t="inlineStr">
        <is>
          <t>M15</t>
        </is>
      </c>
      <c r="B432" s="4" t="inlineStr">
        <is>
          <t>Nanaji Deshmukh Krishi Sanjivani Prakalp</t>
        </is>
      </c>
      <c r="C432" s="4" t="inlineStr">
        <is>
          <t>M15-P0023</t>
        </is>
      </c>
      <c r="D432" s="4" t="inlineStr">
        <is>
          <t>5)	Death certificate of husband (for Widows)</t>
        </is>
      </c>
      <c r="E432" s="4" t="inlineStr"/>
      <c r="F432" s="4" t="inlineStr">
        <is>
          <t>MS-M15</t>
        </is>
      </c>
      <c r="G432" s="4" t="inlineStr">
        <is>
          <t>M15@20261028-58f85607</t>
        </is>
      </c>
      <c r="H432" s="7" t="inlineStr">
        <is>
          <t>Approved</t>
        </is>
      </c>
      <c r="I432" s="7" t="n"/>
      <c r="J432" s="4" t="inlineStr">
        <is>
          <t>Source document text 1/1. Conditional applicability not yet encoded.</t>
        </is>
      </c>
    </row>
    <row r="433" ht="40" customHeight="1">
      <c r="A433" s="8" t="inlineStr">
        <is>
          <t>M15</t>
        </is>
      </c>
      <c r="B433" s="8" t="inlineStr">
        <is>
          <t>Nanaji Deshmukh Krishi Sanjivani Prakalp</t>
        </is>
      </c>
      <c r="C433" s="8" t="inlineStr">
        <is>
          <t>M15-P0024</t>
        </is>
      </c>
      <c r="D433" s="8" t="inlineStr">
        <is>
          <t>6)	Divorce certificate (for divorcee female)</t>
        </is>
      </c>
      <c r="E433" s="8" t="inlineStr"/>
      <c r="F433" s="8" t="inlineStr">
        <is>
          <t>MS-M15</t>
        </is>
      </c>
      <c r="G433" s="8" t="inlineStr">
        <is>
          <t>M15@20261028-58f85607</t>
        </is>
      </c>
      <c r="H433" s="7" t="inlineStr">
        <is>
          <t>Approved</t>
        </is>
      </c>
      <c r="I433" s="7" t="n"/>
      <c r="J433" s="8" t="inlineStr">
        <is>
          <t>Source document text 1/1. Conditional applicability not yet encoded.</t>
        </is>
      </c>
    </row>
    <row r="434" ht="40" customHeight="1">
      <c r="A434" s="4" t="inlineStr">
        <is>
          <t>M16</t>
        </is>
      </c>
      <c r="B434" s="4" t="inlineStr">
        <is>
          <t>Medical Assistance for the Treatment of Critical Illness</t>
        </is>
      </c>
      <c r="C434" s="4" t="inlineStr">
        <is>
          <t>M16-P0006</t>
        </is>
      </c>
      <c r="D434" s="4" t="inlineStr">
        <is>
          <t>Passport-size Photo.</t>
        </is>
      </c>
      <c r="E434" s="4" t="inlineStr"/>
      <c r="F434" s="4" t="inlineStr">
        <is>
          <t>MS-M16</t>
        </is>
      </c>
      <c r="G434" s="4" t="inlineStr">
        <is>
          <t>M16@20261028-bf3cf03f</t>
        </is>
      </c>
      <c r="H434" s="7" t="inlineStr">
        <is>
          <t>Approved</t>
        </is>
      </c>
      <c r="I434" s="7" t="n"/>
      <c r="J434" s="4" t="inlineStr">
        <is>
          <t>Source document text 1/1. Conditional applicability not yet encoded.</t>
        </is>
      </c>
    </row>
    <row r="435" ht="40" customHeight="1">
      <c r="A435" s="8" t="inlineStr">
        <is>
          <t>M16</t>
        </is>
      </c>
      <c r="B435" s="8" t="inlineStr">
        <is>
          <t>Medical Assistance for the Treatment of Critical Illness</t>
        </is>
      </c>
      <c r="C435" s="8" t="inlineStr">
        <is>
          <t>M16-P0007</t>
        </is>
      </c>
      <c r="D435" s="8" t="inlineStr">
        <is>
          <t>Aadhaar Card.</t>
        </is>
      </c>
      <c r="E435" s="8" t="inlineStr"/>
      <c r="F435" s="8" t="inlineStr">
        <is>
          <t>MS-M16</t>
        </is>
      </c>
      <c r="G435" s="8" t="inlineStr">
        <is>
          <t>M16@20261028-bf3cf03f</t>
        </is>
      </c>
      <c r="H435" s="7" t="inlineStr">
        <is>
          <t>Approved</t>
        </is>
      </c>
      <c r="I435" s="7" t="n"/>
      <c r="J435" s="8" t="inlineStr">
        <is>
          <t>Source document text 1/1. Conditional applicability not yet encoded.</t>
        </is>
      </c>
    </row>
    <row r="436" ht="40" customHeight="1">
      <c r="A436" s="4" t="inlineStr">
        <is>
          <t>M16</t>
        </is>
      </c>
      <c r="B436" s="4" t="inlineStr">
        <is>
          <t>Medical Assistance for the Treatment of Critical Illness</t>
        </is>
      </c>
      <c r="C436" s="4" t="inlineStr">
        <is>
          <t>M16-P0008</t>
        </is>
      </c>
      <c r="D436" s="4" t="inlineStr">
        <is>
          <t>Identity Card of Maharashtra Building and Other Construction Workers Welfare Board.</t>
        </is>
      </c>
      <c r="E436" s="4" t="inlineStr"/>
      <c r="F436" s="4" t="inlineStr">
        <is>
          <t>MS-M16</t>
        </is>
      </c>
      <c r="G436" s="4" t="inlineStr">
        <is>
          <t>M16@20261028-bf3cf03f</t>
        </is>
      </c>
      <c r="H436" s="7" t="inlineStr">
        <is>
          <t>Approved</t>
        </is>
      </c>
      <c r="I436" s="7" t="n"/>
      <c r="J436" s="4" t="inlineStr">
        <is>
          <t>Source document text 1/1. Conditional applicability not yet encoded.</t>
        </is>
      </c>
    </row>
    <row r="437" ht="40" customHeight="1">
      <c r="A437" s="8" t="inlineStr">
        <is>
          <t>M16</t>
        </is>
      </c>
      <c r="B437" s="8" t="inlineStr">
        <is>
          <t>Medical Assistance for the Treatment of Critical Illness</t>
        </is>
      </c>
      <c r="C437" s="8" t="inlineStr">
        <is>
          <t>M16-P0009</t>
        </is>
      </c>
      <c r="D437" s="8" t="inlineStr">
        <is>
          <t>Bank Passbook.</t>
        </is>
      </c>
      <c r="E437" s="8" t="inlineStr"/>
      <c r="F437" s="8" t="inlineStr">
        <is>
          <t>MS-M16</t>
        </is>
      </c>
      <c r="G437" s="8" t="inlineStr">
        <is>
          <t>M16@20261028-bf3cf03f</t>
        </is>
      </c>
      <c r="H437" s="7" t="inlineStr">
        <is>
          <t>Approved</t>
        </is>
      </c>
      <c r="I437" s="7" t="n"/>
      <c r="J437" s="8" t="inlineStr">
        <is>
          <t>Source document text 1/1. Conditional applicability not yet encoded.</t>
        </is>
      </c>
    </row>
    <row r="438" ht="40" customHeight="1">
      <c r="A438" s="4" t="inlineStr">
        <is>
          <t>M16</t>
        </is>
      </c>
      <c r="B438" s="4" t="inlineStr">
        <is>
          <t>Medical Assistance for the Treatment of Critical Illness</t>
        </is>
      </c>
      <c r="C438" s="4" t="inlineStr">
        <is>
          <t>M16-P0010</t>
        </is>
      </c>
      <c r="D438" s="4" t="inlineStr">
        <is>
          <t>Medical Certificate (issued by competent medical authorities about serious illness).</t>
        </is>
      </c>
      <c r="E438" s="4" t="inlineStr"/>
      <c r="F438" s="4" t="inlineStr">
        <is>
          <t>MS-M16</t>
        </is>
      </c>
      <c r="G438" s="4" t="inlineStr">
        <is>
          <t>M16@20261028-bf3cf03f</t>
        </is>
      </c>
      <c r="H438" s="7" t="inlineStr">
        <is>
          <t>Approved</t>
        </is>
      </c>
      <c r="I438" s="7" t="n"/>
      <c r="J438" s="4" t="inlineStr">
        <is>
          <t>Source document text 1/1. Conditional applicability not yet encoded.</t>
        </is>
      </c>
    </row>
    <row r="439" ht="40" customHeight="1">
      <c r="A439" s="8" t="inlineStr">
        <is>
          <t>M16</t>
        </is>
      </c>
      <c r="B439" s="8" t="inlineStr">
        <is>
          <t>Medical Assistance for the Treatment of Critical Illness</t>
        </is>
      </c>
      <c r="C439" s="8" t="inlineStr">
        <is>
          <t>M16-P0011</t>
        </is>
      </c>
      <c r="D439" s="8" t="inlineStr">
        <is>
          <t>Medical Treatment Papers.</t>
        </is>
      </c>
      <c r="E439" s="8" t="inlineStr"/>
      <c r="F439" s="8" t="inlineStr">
        <is>
          <t>MS-M16</t>
        </is>
      </c>
      <c r="G439" s="8" t="inlineStr">
        <is>
          <t>M16@20261028-bf3cf03f</t>
        </is>
      </c>
      <c r="H439" s="7" t="inlineStr">
        <is>
          <t>Approved</t>
        </is>
      </c>
      <c r="I439" s="7" t="n"/>
      <c r="J439" s="8" t="inlineStr">
        <is>
          <t>Source document text 1/1. Conditional applicability not yet encoded.</t>
        </is>
      </c>
    </row>
    <row r="440" ht="40" customHeight="1">
      <c r="A440" s="4" t="inlineStr">
        <is>
          <t>M16</t>
        </is>
      </c>
      <c r="B440" s="4" t="inlineStr">
        <is>
          <t>Medical Assistance for the Treatment of Critical Illness</t>
        </is>
      </c>
      <c r="C440" s="4" t="inlineStr">
        <is>
          <t>M16-P0012</t>
        </is>
      </c>
      <c r="D440" s="4" t="inlineStr">
        <is>
          <t>Proof of Residence (One of Aadhaar Card/Passport/Driving Licence/Ration Sheet/Last Month's Electricity Bill/Gram Panchayat Certificate).</t>
        </is>
      </c>
      <c r="E440" s="4" t="inlineStr"/>
      <c r="F440" s="4" t="inlineStr">
        <is>
          <t>MS-M16</t>
        </is>
      </c>
      <c r="G440" s="4" t="inlineStr">
        <is>
          <t>M16@20261028-bf3cf03f</t>
        </is>
      </c>
      <c r="H440" s="7" t="inlineStr">
        <is>
          <t>Approved</t>
        </is>
      </c>
      <c r="I440" s="7" t="n"/>
      <c r="J440" s="4" t="inlineStr">
        <is>
          <t>Source document text 1/1. Conditional applicability not yet encoded.</t>
        </is>
      </c>
    </row>
    <row r="441" ht="40" customHeight="1">
      <c r="A441" s="8" t="inlineStr">
        <is>
          <t>M17</t>
        </is>
      </c>
      <c r="B441" s="8" t="inlineStr">
        <is>
          <t>Grant In Aid To Old Age Home</t>
        </is>
      </c>
      <c r="C441" s="8" t="inlineStr">
        <is>
          <t>M17-P0008</t>
        </is>
      </c>
      <c r="D441" s="8" t="inlineStr">
        <is>
          <t>Aadhaar Card.</t>
        </is>
      </c>
      <c r="E441" s="8" t="inlineStr"/>
      <c r="F441" s="8" t="inlineStr">
        <is>
          <t>MS-M17</t>
        </is>
      </c>
      <c r="G441" s="8" t="inlineStr">
        <is>
          <t>M17@20261028-cc52e2ad</t>
        </is>
      </c>
      <c r="H441" s="7" t="inlineStr">
        <is>
          <t>Approved</t>
        </is>
      </c>
      <c r="I441" s="7" t="n"/>
      <c r="J441" s="8" t="inlineStr">
        <is>
          <t>Source document text 1/1. Conditional applicability not yet encoded.</t>
        </is>
      </c>
    </row>
    <row r="442" ht="40" customHeight="1">
      <c r="A442" s="4" t="inlineStr">
        <is>
          <t>M17</t>
        </is>
      </c>
      <c r="B442" s="4" t="inlineStr">
        <is>
          <t>Grant In Aid To Old Age Home</t>
        </is>
      </c>
      <c r="C442" s="4" t="inlineStr">
        <is>
          <t>M17-P0009</t>
        </is>
      </c>
      <c r="D442" s="4" t="inlineStr">
        <is>
          <t>2-Passport Sized Photograph (Signed Across).</t>
        </is>
      </c>
      <c r="E442" s="4" t="inlineStr"/>
      <c r="F442" s="4" t="inlineStr">
        <is>
          <t>MS-M17</t>
        </is>
      </c>
      <c r="G442" s="4" t="inlineStr">
        <is>
          <t>M17@20261028-cc52e2ad</t>
        </is>
      </c>
      <c r="H442" s="7" t="inlineStr">
        <is>
          <t>Approved</t>
        </is>
      </c>
      <c r="I442" s="7" t="n"/>
      <c r="J442" s="4" t="inlineStr">
        <is>
          <t>Source document text 1/1. Conditional applicability not yet encoded.</t>
        </is>
      </c>
    </row>
    <row r="443" ht="40" customHeight="1">
      <c r="A443" s="8" t="inlineStr">
        <is>
          <t>M17</t>
        </is>
      </c>
      <c r="B443" s="8" t="inlineStr">
        <is>
          <t>Grant In Aid To Old Age Home</t>
        </is>
      </c>
      <c r="C443" s="8" t="inlineStr">
        <is>
          <t>M17-P0010</t>
        </is>
      </c>
      <c r="D443" s="8" t="inlineStr">
        <is>
          <t>Residential Certificate / Domicile Certificate of the State of Maharashtra.</t>
        </is>
      </c>
      <c r="E443" s="8" t="inlineStr"/>
      <c r="F443" s="8" t="inlineStr">
        <is>
          <t>MS-M17</t>
        </is>
      </c>
      <c r="G443" s="8" t="inlineStr">
        <is>
          <t>M17@20261028-cc52e2ad</t>
        </is>
      </c>
      <c r="H443" s="7" t="inlineStr">
        <is>
          <t>Approved</t>
        </is>
      </c>
      <c r="I443" s="7" t="n"/>
      <c r="J443" s="8" t="inlineStr">
        <is>
          <t>Source document text 1/1. Conditional applicability not yet encoded.</t>
        </is>
      </c>
    </row>
    <row r="444" ht="40" customHeight="1">
      <c r="A444" s="4" t="inlineStr">
        <is>
          <t>M17</t>
        </is>
      </c>
      <c r="B444" s="4" t="inlineStr">
        <is>
          <t>Grant In Aid To Old Age Home</t>
        </is>
      </c>
      <c r="C444" s="4" t="inlineStr">
        <is>
          <t>M17-P0011</t>
        </is>
      </c>
      <c r="D444" s="4" t="inlineStr">
        <is>
          <t>Details of the Bank Account (Bank Name, Branch Name, Address, IFSC, etc).</t>
        </is>
      </c>
      <c r="E444" s="4" t="inlineStr"/>
      <c r="F444" s="4" t="inlineStr">
        <is>
          <t>MS-M17</t>
        </is>
      </c>
      <c r="G444" s="4" t="inlineStr">
        <is>
          <t>M17@20261028-cc52e2ad</t>
        </is>
      </c>
      <c r="H444" s="7" t="inlineStr">
        <is>
          <t>Approved</t>
        </is>
      </c>
      <c r="I444" s="7" t="n"/>
      <c r="J444" s="4" t="inlineStr">
        <is>
          <t>Source document text 1/1. Conditional applicability not yet encoded.</t>
        </is>
      </c>
    </row>
    <row r="445" ht="40" customHeight="1">
      <c r="A445" s="8" t="inlineStr">
        <is>
          <t>M17</t>
        </is>
      </c>
      <c r="B445" s="8" t="inlineStr">
        <is>
          <t>Grant In Aid To Old Age Home</t>
        </is>
      </c>
      <c r="C445" s="8" t="inlineStr">
        <is>
          <t>M17-P0012</t>
        </is>
      </c>
      <c r="D445" s="8" t="inlineStr">
        <is>
          <t>Proof of Age (Birth Certificate, etc).</t>
        </is>
      </c>
      <c r="E445" s="8" t="inlineStr"/>
      <c r="F445" s="8" t="inlineStr">
        <is>
          <t>MS-M17</t>
        </is>
      </c>
      <c r="G445" s="8" t="inlineStr">
        <is>
          <t>M17@20261028-cc52e2ad</t>
        </is>
      </c>
      <c r="H445" s="7" t="inlineStr">
        <is>
          <t>Approved</t>
        </is>
      </c>
      <c r="I445" s="7" t="n"/>
      <c r="J445" s="8" t="inlineStr">
        <is>
          <t>Source document text 1/1. Conditional applicability not yet encoded.</t>
        </is>
      </c>
    </row>
    <row r="446" ht="40" customHeight="1">
      <c r="A446" s="4" t="inlineStr">
        <is>
          <t>M17</t>
        </is>
      </c>
      <c r="B446" s="4" t="inlineStr">
        <is>
          <t>Grant In Aid To Old Age Home</t>
        </is>
      </c>
      <c r="C446" s="4" t="inlineStr">
        <is>
          <t>M17-P0013</t>
        </is>
      </c>
      <c r="D446" s="4" t="inlineStr">
        <is>
          <t>Any other document required by the District Social Welfare Office.</t>
        </is>
      </c>
      <c r="E446" s="4" t="inlineStr"/>
      <c r="F446" s="4" t="inlineStr">
        <is>
          <t>MS-M17</t>
        </is>
      </c>
      <c r="G446" s="4" t="inlineStr">
        <is>
          <t>M17@20261028-cc52e2ad</t>
        </is>
      </c>
      <c r="H446" s="7" t="inlineStr">
        <is>
          <t>Approved</t>
        </is>
      </c>
      <c r="I446" s="7" t="n"/>
      <c r="J446" s="4" t="inlineStr">
        <is>
          <t>Source document text 1/1. Conditional applicability not yet encoded.</t>
        </is>
      </c>
    </row>
    <row r="447" ht="40" customHeight="1">
      <c r="A447" s="8" t="inlineStr">
        <is>
          <t>M18</t>
        </is>
      </c>
      <c r="B447" s="8" t="inlineStr">
        <is>
          <t>Training Of Motor Driving To VJNT, SBS &amp; OBC</t>
        </is>
      </c>
      <c r="C447" s="8" t="inlineStr">
        <is>
          <t>M18-P0010</t>
        </is>
      </c>
      <c r="D447" s="8" t="inlineStr">
        <is>
          <t>Aadhaar Number.</t>
        </is>
      </c>
      <c r="E447" s="8" t="inlineStr"/>
      <c r="F447" s="8" t="inlineStr">
        <is>
          <t>MS-M18</t>
        </is>
      </c>
      <c r="G447" s="8" t="inlineStr">
        <is>
          <t>M18@20261028-ef817fa6</t>
        </is>
      </c>
      <c r="H447" s="7" t="inlineStr">
        <is>
          <t>Approved</t>
        </is>
      </c>
      <c r="I447" s="7" t="n"/>
      <c r="J447" s="8" t="inlineStr">
        <is>
          <t>Source document text 1/1. Conditional applicability not yet encoded.</t>
        </is>
      </c>
    </row>
    <row r="448" ht="40" customHeight="1">
      <c r="A448" s="4" t="inlineStr">
        <is>
          <t>M18</t>
        </is>
      </c>
      <c r="B448" s="4" t="inlineStr">
        <is>
          <t>Training Of Motor Driving To VJNT, SBS &amp; OBC</t>
        </is>
      </c>
      <c r="C448" s="4" t="inlineStr">
        <is>
          <t>M18-P0011</t>
        </is>
      </c>
      <c r="D448" s="4" t="inlineStr">
        <is>
          <t>Proof of Identity.</t>
        </is>
      </c>
      <c r="E448" s="4" t="inlineStr"/>
      <c r="F448" s="4" t="inlineStr">
        <is>
          <t>MS-M18</t>
        </is>
      </c>
      <c r="G448" s="4" t="inlineStr">
        <is>
          <t>M18@20261028-ef817fa6</t>
        </is>
      </c>
      <c r="H448" s="7" t="inlineStr">
        <is>
          <t>Approved</t>
        </is>
      </c>
      <c r="I448" s="7" t="n"/>
      <c r="J448" s="4" t="inlineStr">
        <is>
          <t>Source document text 1/1. Conditional applicability not yet encoded.</t>
        </is>
      </c>
    </row>
    <row r="449" ht="40" customHeight="1">
      <c r="A449" s="8" t="inlineStr">
        <is>
          <t>M18</t>
        </is>
      </c>
      <c r="B449" s="8" t="inlineStr">
        <is>
          <t>Training Of Motor Driving To VJNT, SBS &amp; OBC</t>
        </is>
      </c>
      <c r="C449" s="8" t="inlineStr">
        <is>
          <t>M18-P0012</t>
        </is>
      </c>
      <c r="D449" s="8" t="inlineStr">
        <is>
          <t>Proof of Age (Birth Certificate).</t>
        </is>
      </c>
      <c r="E449" s="8" t="inlineStr"/>
      <c r="F449" s="8" t="inlineStr">
        <is>
          <t>MS-M18</t>
        </is>
      </c>
      <c r="G449" s="8" t="inlineStr">
        <is>
          <t>M18@20261028-ef817fa6</t>
        </is>
      </c>
      <c r="H449" s="7" t="inlineStr">
        <is>
          <t>Approved</t>
        </is>
      </c>
      <c r="I449" s="7" t="n"/>
      <c r="J449" s="8" t="inlineStr">
        <is>
          <t>Source document text 1/1. Conditional applicability not yet encoded.</t>
        </is>
      </c>
    </row>
    <row r="450" ht="40" customHeight="1">
      <c r="A450" s="4" t="inlineStr">
        <is>
          <t>M18</t>
        </is>
      </c>
      <c r="B450" s="4" t="inlineStr">
        <is>
          <t>Training Of Motor Driving To VJNT, SBS &amp; OBC</t>
        </is>
      </c>
      <c r="C450" s="4" t="inlineStr">
        <is>
          <t>M18-P0013</t>
        </is>
      </c>
      <c r="D450" s="4" t="inlineStr">
        <is>
          <t>Proof of Address.</t>
        </is>
      </c>
      <c r="E450" s="4" t="inlineStr"/>
      <c r="F450" s="4" t="inlineStr">
        <is>
          <t>MS-M18</t>
        </is>
      </c>
      <c r="G450" s="4" t="inlineStr">
        <is>
          <t>M18@20261028-ef817fa6</t>
        </is>
      </c>
      <c r="H450" s="7" t="inlineStr">
        <is>
          <t>Approved</t>
        </is>
      </c>
      <c r="I450" s="7" t="n"/>
      <c r="J450" s="4" t="inlineStr">
        <is>
          <t>Source document text 1/1. Conditional applicability not yet encoded.</t>
        </is>
      </c>
    </row>
    <row r="451" ht="40" customHeight="1">
      <c r="A451" s="8" t="inlineStr">
        <is>
          <t>M18</t>
        </is>
      </c>
      <c r="B451" s="8" t="inlineStr">
        <is>
          <t>Training Of Motor Driving To VJNT, SBS &amp; OBC</t>
        </is>
      </c>
      <c r="C451" s="8" t="inlineStr">
        <is>
          <t>M18-P0014</t>
        </is>
      </c>
      <c r="D451" s="8" t="inlineStr">
        <is>
          <t>Domicile Certificate of Maharashtra.</t>
        </is>
      </c>
      <c r="E451" s="8" t="inlineStr"/>
      <c r="F451" s="8" t="inlineStr">
        <is>
          <t>MS-M18</t>
        </is>
      </c>
      <c r="G451" s="8" t="inlineStr">
        <is>
          <t>M18@20261028-ef817fa6</t>
        </is>
      </c>
      <c r="H451" s="7" t="inlineStr">
        <is>
          <t>Approved</t>
        </is>
      </c>
      <c r="I451" s="7" t="n"/>
      <c r="J451" s="8" t="inlineStr">
        <is>
          <t>Source document text 1/1. Conditional applicability not yet encoded.</t>
        </is>
      </c>
    </row>
    <row r="452" ht="40" customHeight="1">
      <c r="A452" s="4" t="inlineStr">
        <is>
          <t>M18</t>
        </is>
      </c>
      <c r="B452" s="4" t="inlineStr">
        <is>
          <t>Training Of Motor Driving To VJNT, SBS &amp; OBC</t>
        </is>
      </c>
      <c r="C452" s="4" t="inlineStr">
        <is>
          <t>M18-P0015</t>
        </is>
      </c>
      <c r="D452" s="4" t="inlineStr">
        <is>
          <t>Caste Certificate VJNT or SBC Community (duly signed by an authorized Revenue Officer, not below the rank of Tehsildar).</t>
        </is>
      </c>
      <c r="E452" s="4" t="inlineStr"/>
      <c r="F452" s="4" t="inlineStr">
        <is>
          <t>MS-M18</t>
        </is>
      </c>
      <c r="G452" s="4" t="inlineStr">
        <is>
          <t>M18@20261028-ef817fa6</t>
        </is>
      </c>
      <c r="H452" s="7" t="inlineStr">
        <is>
          <t>Approved</t>
        </is>
      </c>
      <c r="I452" s="7" t="n"/>
      <c r="J452" s="4" t="inlineStr">
        <is>
          <t>Source document text 1/1. Conditional applicability not yet encoded.</t>
        </is>
      </c>
    </row>
    <row r="453" ht="40" customHeight="1">
      <c r="A453" s="8" t="inlineStr">
        <is>
          <t>M18</t>
        </is>
      </c>
      <c r="B453" s="8" t="inlineStr">
        <is>
          <t>Training Of Motor Driving To VJNT, SBS &amp; OBC</t>
        </is>
      </c>
      <c r="C453" s="8" t="inlineStr">
        <is>
          <t>M18-P0016</t>
        </is>
      </c>
      <c r="D453" s="8" t="inlineStr">
        <is>
          <t>Marksheet of the Latest Educational Qualification.</t>
        </is>
      </c>
      <c r="E453" s="8" t="inlineStr"/>
      <c r="F453" s="8" t="inlineStr">
        <is>
          <t>MS-M18</t>
        </is>
      </c>
      <c r="G453" s="8" t="inlineStr">
        <is>
          <t>M18@20261028-ef817fa6</t>
        </is>
      </c>
      <c r="H453" s="7" t="inlineStr">
        <is>
          <t>Approved</t>
        </is>
      </c>
      <c r="I453" s="7" t="n"/>
      <c r="J453" s="8" t="inlineStr">
        <is>
          <t>Source document text 1/1. Conditional applicability not yet encoded.</t>
        </is>
      </c>
    </row>
    <row r="454" ht="40" customHeight="1">
      <c r="A454" s="4" t="inlineStr">
        <is>
          <t>M18</t>
        </is>
      </c>
      <c r="B454" s="4" t="inlineStr">
        <is>
          <t>Training Of Motor Driving To VJNT, SBS &amp; OBC</t>
        </is>
      </c>
      <c r="C454" s="4" t="inlineStr">
        <is>
          <t>M18-P0017</t>
        </is>
      </c>
      <c r="D454" s="4" t="inlineStr">
        <is>
          <t>Bank Account Details.</t>
        </is>
      </c>
      <c r="E454" s="4" t="inlineStr"/>
      <c r="F454" s="4" t="inlineStr">
        <is>
          <t>MS-M18</t>
        </is>
      </c>
      <c r="G454" s="4" t="inlineStr">
        <is>
          <t>M18@20261028-ef817fa6</t>
        </is>
      </c>
      <c r="H454" s="7" t="inlineStr">
        <is>
          <t>Approved</t>
        </is>
      </c>
      <c r="I454" s="7" t="n"/>
      <c r="J454" s="4" t="inlineStr">
        <is>
          <t>Source document text 1/1. Conditional applicability not yet encoded.</t>
        </is>
      </c>
    </row>
    <row r="455" ht="40" customHeight="1">
      <c r="A455" s="8" t="inlineStr">
        <is>
          <t>M18</t>
        </is>
      </c>
      <c r="B455" s="8" t="inlineStr">
        <is>
          <t>Training Of Motor Driving To VJNT, SBS &amp; OBC</t>
        </is>
      </c>
      <c r="C455" s="8" t="inlineStr">
        <is>
          <t>M18-P0018</t>
        </is>
      </c>
      <c r="D455" s="8" t="inlineStr">
        <is>
          <t>Passport-sized Photograph.</t>
        </is>
      </c>
      <c r="E455" s="8" t="inlineStr"/>
      <c r="F455" s="8" t="inlineStr">
        <is>
          <t>MS-M18</t>
        </is>
      </c>
      <c r="G455" s="8" t="inlineStr">
        <is>
          <t>M18@20261028-ef817fa6</t>
        </is>
      </c>
      <c r="H455" s="7" t="inlineStr">
        <is>
          <t>Approved</t>
        </is>
      </c>
      <c r="I455" s="7" t="n"/>
      <c r="J455" s="8" t="inlineStr">
        <is>
          <t>Source document text 1/1. Conditional applicability not yet encoded.</t>
        </is>
      </c>
    </row>
    <row r="456" ht="40" customHeight="1">
      <c r="A456" s="4" t="inlineStr">
        <is>
          <t>M19</t>
        </is>
      </c>
      <c r="B456" s="4" t="inlineStr">
        <is>
          <t>Mukhyamantri - Majhi Ladki Bahin Yojana</t>
        </is>
      </c>
      <c r="C456" s="4" t="inlineStr">
        <is>
          <t>M19-P0022</t>
        </is>
      </c>
      <c r="D456" s="4" t="inlineStr">
        <is>
          <t>Photograph of the Beneficiary Woman</t>
        </is>
      </c>
      <c r="E456" s="4" t="inlineStr"/>
      <c r="F456" s="4" t="inlineStr">
        <is>
          <t>MS-M19</t>
        </is>
      </c>
      <c r="G456" s="4" t="inlineStr">
        <is>
          <t>M19@20261028-8107d501</t>
        </is>
      </c>
      <c r="H456" s="7" t="inlineStr">
        <is>
          <t>Approved</t>
        </is>
      </c>
      <c r="I456" s="7" t="n"/>
      <c r="J456" s="4" t="inlineStr">
        <is>
          <t>Source document text 1/1. Conditional applicability not yet encoded.</t>
        </is>
      </c>
    </row>
    <row r="457" ht="40" customHeight="1">
      <c r="A457" s="8" t="inlineStr">
        <is>
          <t>M19</t>
        </is>
      </c>
      <c r="B457" s="8" t="inlineStr">
        <is>
          <t>Mukhyamantri - Majhi Ladki Bahin Yojana</t>
        </is>
      </c>
      <c r="C457" s="8" t="inlineStr">
        <is>
          <t>M19-P0023</t>
        </is>
      </c>
      <c r="D457" s="8" t="inlineStr">
        <is>
          <t>Aadhaar Card</t>
        </is>
      </c>
      <c r="E457" s="8" t="inlineStr"/>
      <c r="F457" s="8" t="inlineStr">
        <is>
          <t>MS-M19</t>
        </is>
      </c>
      <c r="G457" s="8" t="inlineStr">
        <is>
          <t>M19@20261028-8107d501</t>
        </is>
      </c>
      <c r="H457" s="7" t="inlineStr">
        <is>
          <t>Approved</t>
        </is>
      </c>
      <c r="I457" s="7" t="n"/>
      <c r="J457" s="8" t="inlineStr">
        <is>
          <t>Source document text 1/1. Conditional applicability not yet encoded.</t>
        </is>
      </c>
    </row>
    <row r="458" ht="54" customHeight="1">
      <c r="A458" s="4" t="inlineStr">
        <is>
          <t>M19</t>
        </is>
      </c>
      <c r="B458" s="4" t="inlineStr">
        <is>
          <t>Mukhyamantri - Majhi Ladki Bahin Yojana</t>
        </is>
      </c>
      <c r="C458" s="4" t="inlineStr">
        <is>
          <t>M19-P0024</t>
        </is>
      </c>
      <c r="D458" s="4" t="inlineStr">
        <is>
          <t>Domicile Certificate (If the Domicile Certificate is not available, any one of the following can be submitted: Ration Card issued before 15 years, Voter ID card issued before 15 years, Birth Certificate, or School Leaving Certificate).</t>
        </is>
      </c>
      <c r="E458" s="4" t="inlineStr"/>
      <c r="F458" s="4" t="inlineStr">
        <is>
          <t>MS-M19</t>
        </is>
      </c>
      <c r="G458" s="4" t="inlineStr">
        <is>
          <t>M19@20261028-8107d501</t>
        </is>
      </c>
      <c r="H458" s="7" t="inlineStr">
        <is>
          <t>Approved</t>
        </is>
      </c>
      <c r="I458" s="7" t="n"/>
      <c r="J458" s="4" t="inlineStr">
        <is>
          <t>Source document text 1/1. Conditional applicability not yet encoded.</t>
        </is>
      </c>
    </row>
    <row r="459" ht="54" customHeight="1">
      <c r="A459" s="8" t="inlineStr">
        <is>
          <t>M19</t>
        </is>
      </c>
      <c r="B459" s="8" t="inlineStr">
        <is>
          <t>Mukhyamantri - Majhi Ladki Bahin Yojana</t>
        </is>
      </c>
      <c r="C459" s="8" t="inlineStr">
        <is>
          <t>M19-P0025</t>
        </is>
      </c>
      <c r="D459" s="8" t="inlineStr">
        <is>
          <t>For Women Born Abroad (Submit the Husband's Ration Card issued before 15 years, Voter ID card issued before 15 years, Birth Certificate, School Leaving Certificate, or Domicile Certificate).</t>
        </is>
      </c>
      <c r="E459" s="8" t="inlineStr"/>
      <c r="F459" s="8" t="inlineStr">
        <is>
          <t>MS-M19</t>
        </is>
      </c>
      <c r="G459" s="8" t="inlineStr">
        <is>
          <t>M19@20261028-8107d501</t>
        </is>
      </c>
      <c r="H459" s="7" t="inlineStr">
        <is>
          <t>Approved</t>
        </is>
      </c>
      <c r="I459" s="7" t="n"/>
      <c r="J459" s="8" t="inlineStr">
        <is>
          <t>Source document text 1/1. Conditional applicability not yet encoded.</t>
        </is>
      </c>
    </row>
    <row r="460" ht="40" customHeight="1">
      <c r="A460" s="4" t="inlineStr">
        <is>
          <t>M19</t>
        </is>
      </c>
      <c r="B460" s="4" t="inlineStr">
        <is>
          <t>Mukhyamantri - Majhi Ladki Bahin Yojana</t>
        </is>
      </c>
      <c r="C460" s="4" t="inlineStr">
        <is>
          <t>M19-P0026</t>
        </is>
      </c>
      <c r="D460" s="4" t="inlineStr">
        <is>
          <t>Income Certificate (Not required if the woman has a Yellow or Orange Ration Card. Required if the woman has a White Ration Card or no Ration Card).</t>
        </is>
      </c>
      <c r="E460" s="4" t="inlineStr"/>
      <c r="F460" s="4" t="inlineStr">
        <is>
          <t>MS-M19</t>
        </is>
      </c>
      <c r="G460" s="4" t="inlineStr">
        <is>
          <t>M19@20261028-8107d501</t>
        </is>
      </c>
      <c r="H460" s="7" t="inlineStr">
        <is>
          <t>Approved</t>
        </is>
      </c>
      <c r="I460" s="7" t="n"/>
      <c r="J460" s="4" t="inlineStr">
        <is>
          <t>Source document text 1/1. Conditional applicability not yet encoded.</t>
        </is>
      </c>
    </row>
    <row r="461" ht="40" customHeight="1">
      <c r="A461" s="8" t="inlineStr">
        <is>
          <t>M19</t>
        </is>
      </c>
      <c r="B461" s="8" t="inlineStr">
        <is>
          <t>Mukhyamantri - Majhi Ladki Bahin Yojana</t>
        </is>
      </c>
      <c r="C461" s="8" t="inlineStr">
        <is>
          <t>M19-P0027</t>
        </is>
      </c>
      <c r="D461" s="8" t="inlineStr">
        <is>
          <t>Marriage Certificate (If your name is not listed on the Ration Card and you are newly married, your husband’s Ration Card can be used as proof of income)</t>
        </is>
      </c>
      <c r="E461" s="8" t="inlineStr"/>
      <c r="F461" s="8" t="inlineStr">
        <is>
          <t>MS-M19</t>
        </is>
      </c>
      <c r="G461" s="8" t="inlineStr">
        <is>
          <t>M19@20261028-8107d501</t>
        </is>
      </c>
      <c r="H461" s="7" t="inlineStr">
        <is>
          <t>Approved</t>
        </is>
      </c>
      <c r="I461" s="7" t="n"/>
      <c r="J461" s="8" t="inlineStr">
        <is>
          <t>Source document text 1/1. Conditional applicability not yet encoded.</t>
        </is>
      </c>
    </row>
    <row r="462" ht="40" customHeight="1">
      <c r="A462" s="4" t="inlineStr">
        <is>
          <t>M19</t>
        </is>
      </c>
      <c r="B462" s="4" t="inlineStr">
        <is>
          <t>Mukhyamantri - Majhi Ladki Bahin Yojana</t>
        </is>
      </c>
      <c r="C462" s="4" t="inlineStr">
        <is>
          <t>M19-P0028</t>
        </is>
      </c>
      <c r="D462" s="4" t="inlineStr">
        <is>
          <t>Bank Account Details (account should be Aadhaar-linked)</t>
        </is>
      </c>
      <c r="E462" s="4" t="inlineStr"/>
      <c r="F462" s="4" t="inlineStr">
        <is>
          <t>MS-M19</t>
        </is>
      </c>
      <c r="G462" s="4" t="inlineStr">
        <is>
          <t>M19@20261028-8107d501</t>
        </is>
      </c>
      <c r="H462" s="7" t="inlineStr">
        <is>
          <t>Approved</t>
        </is>
      </c>
      <c r="I462" s="7" t="n"/>
      <c r="J462" s="4" t="inlineStr">
        <is>
          <t>Source document text 1/1. Conditional applicability not yet encoded.</t>
        </is>
      </c>
    </row>
    <row r="463" ht="40" customHeight="1">
      <c r="A463" s="8" t="inlineStr">
        <is>
          <t>M19</t>
        </is>
      </c>
      <c r="B463" s="8" t="inlineStr">
        <is>
          <t>Mukhyamantri - Majhi Ladki Bahin Yojana</t>
        </is>
      </c>
      <c r="C463" s="8" t="inlineStr">
        <is>
          <t>M19-P0029</t>
        </is>
      </c>
      <c r="D463" s="8" t="inlineStr">
        <is>
          <t>Affirmation Letter</t>
        </is>
      </c>
      <c r="E463" s="8" t="inlineStr"/>
      <c r="F463" s="8" t="inlineStr">
        <is>
          <t>MS-M19</t>
        </is>
      </c>
      <c r="G463" s="8" t="inlineStr">
        <is>
          <t>M19@20261028-8107d501</t>
        </is>
      </c>
      <c r="H463" s="7" t="inlineStr">
        <is>
          <t>Approved</t>
        </is>
      </c>
      <c r="I463" s="7" t="n"/>
      <c r="J463" s="8" t="inlineStr">
        <is>
          <t>Source document text 1/1. Conditional applicability not yet encoded.</t>
        </is>
      </c>
    </row>
    <row r="464" ht="40" customHeight="1">
      <c r="A464" s="4" t="inlineStr">
        <is>
          <t>M20</t>
        </is>
      </c>
      <c r="B464" s="4" t="inlineStr">
        <is>
          <t>Mahatma Jyotirao Phule Jan Arogya Yojana</t>
        </is>
      </c>
      <c r="C464" s="4" t="inlineStr">
        <is>
          <t>M20-P0048</t>
        </is>
      </c>
      <c r="D464" s="4" t="inlineStr">
        <is>
          <t>List of valid photo ID proofs to be accepted along with document of eligible criteria:</t>
        </is>
      </c>
      <c r="E464" s="4" t="inlineStr">
        <is>
          <t>List of valid photo ID proofs to be accepted along with document of eligible criteria:</t>
        </is>
      </c>
      <c r="F464" s="4" t="inlineStr">
        <is>
          <t>MS-M20</t>
        </is>
      </c>
      <c r="G464" s="4" t="inlineStr">
        <is>
          <t>M20@20261028-dcae286f</t>
        </is>
      </c>
      <c r="H464" s="7" t="inlineStr">
        <is>
          <t>Approved</t>
        </is>
      </c>
      <c r="I464" s="7" t="n"/>
      <c r="J464" s="4" t="inlineStr">
        <is>
          <t>Source heading</t>
        </is>
      </c>
    </row>
    <row r="465" ht="68" customHeight="1">
      <c r="A465" s="8" t="inlineStr">
        <is>
          <t>M20</t>
        </is>
      </c>
      <c r="B465" s="8" t="inlineStr">
        <is>
          <t>Mahatma Jyotirao Phule Jan Arogya Yojana</t>
        </is>
      </c>
      <c r="C465" s="8" t="inlineStr">
        <is>
          <t>M20-P0049</t>
        </is>
      </c>
      <c r="D465" s="8" t="inlineStr">
        <is>
          <t>1. Aadhaar Card or Aadhaar Registration Slip with a photo of the beneficiary. An Aadhaar Card would be insisted upon as an identification document and in the absence of an Aadhaar card/number; any document that is accepted for issuance of an Aadhaar card will also be accepted.</t>
        </is>
      </c>
      <c r="E465" s="8" t="inlineStr">
        <is>
          <t>List of valid photo ID proofs to be accepted along with document of eligible criteria:</t>
        </is>
      </c>
      <c r="F465" s="8" t="inlineStr">
        <is>
          <t>MS-M20</t>
        </is>
      </c>
      <c r="G465" s="8" t="inlineStr">
        <is>
          <t>M20@20261028-dcae286f</t>
        </is>
      </c>
      <c r="H465" s="7" t="inlineStr">
        <is>
          <t>Approved</t>
        </is>
      </c>
      <c r="I465" s="7" t="n"/>
      <c r="J465" s="8" t="inlineStr">
        <is>
          <t>Source document text 1/1. Conditional applicability not yet encoded.</t>
        </is>
      </c>
    </row>
    <row r="466" ht="40" customHeight="1">
      <c r="A466" s="4" t="inlineStr">
        <is>
          <t>M20</t>
        </is>
      </c>
      <c r="B466" s="4" t="inlineStr">
        <is>
          <t>Mahatma Jyotirao Phule Jan Arogya Yojana</t>
        </is>
      </c>
      <c r="C466" s="4" t="inlineStr">
        <is>
          <t>M20-P0050</t>
        </is>
      </c>
      <c r="D466" s="4" t="inlineStr">
        <is>
          <t>2. Pan Card</t>
        </is>
      </c>
      <c r="E466" s="4" t="inlineStr">
        <is>
          <t>List of valid photo ID proofs to be accepted along with document of eligible criteria:</t>
        </is>
      </c>
      <c r="F466" s="4" t="inlineStr">
        <is>
          <t>MS-M20</t>
        </is>
      </c>
      <c r="G466" s="4" t="inlineStr">
        <is>
          <t>M20@20261028-dcae286f</t>
        </is>
      </c>
      <c r="H466" s="7" t="inlineStr">
        <is>
          <t>Approved</t>
        </is>
      </c>
      <c r="I466" s="7" t="n"/>
      <c r="J466" s="4" t="inlineStr">
        <is>
          <t>Source document text 1/1. Conditional applicability not yet encoded.</t>
        </is>
      </c>
    </row>
    <row r="467" ht="40" customHeight="1">
      <c r="A467" s="8" t="inlineStr">
        <is>
          <t>M20</t>
        </is>
      </c>
      <c r="B467" s="8" t="inlineStr">
        <is>
          <t>Mahatma Jyotirao Phule Jan Arogya Yojana</t>
        </is>
      </c>
      <c r="C467" s="8" t="inlineStr">
        <is>
          <t>M20-P0051</t>
        </is>
      </c>
      <c r="D467" s="8" t="inlineStr">
        <is>
          <t>3. Voter ID</t>
        </is>
      </c>
      <c r="E467" s="8" t="inlineStr">
        <is>
          <t>List of valid photo ID proofs to be accepted along with document of eligible criteria:</t>
        </is>
      </c>
      <c r="F467" s="8" t="inlineStr">
        <is>
          <t>MS-M20</t>
        </is>
      </c>
      <c r="G467" s="8" t="inlineStr">
        <is>
          <t>M20@20261028-dcae286f</t>
        </is>
      </c>
      <c r="H467" s="7" t="inlineStr">
        <is>
          <t>Approved</t>
        </is>
      </c>
      <c r="I467" s="7" t="n"/>
      <c r="J467" s="8" t="inlineStr">
        <is>
          <t>Source document text 1/1. Conditional applicability not yet encoded.</t>
        </is>
      </c>
    </row>
    <row r="468" ht="40" customHeight="1">
      <c r="A468" s="4" t="inlineStr">
        <is>
          <t>M20</t>
        </is>
      </c>
      <c r="B468" s="4" t="inlineStr">
        <is>
          <t>Mahatma Jyotirao Phule Jan Arogya Yojana</t>
        </is>
      </c>
      <c r="C468" s="4" t="inlineStr">
        <is>
          <t>M20-P0052</t>
        </is>
      </c>
      <c r="D468" s="4" t="inlineStr">
        <is>
          <t>4. Driving License</t>
        </is>
      </c>
      <c r="E468" s="4" t="inlineStr">
        <is>
          <t>List of valid photo ID proofs to be accepted along with document of eligible criteria:</t>
        </is>
      </c>
      <c r="F468" s="4" t="inlineStr">
        <is>
          <t>MS-M20</t>
        </is>
      </c>
      <c r="G468" s="4" t="inlineStr">
        <is>
          <t>M20@20261028-dcae286f</t>
        </is>
      </c>
      <c r="H468" s="7" t="inlineStr">
        <is>
          <t>Approved</t>
        </is>
      </c>
      <c r="I468" s="7" t="n"/>
      <c r="J468" s="4" t="inlineStr">
        <is>
          <t>Source document text 1/1. Conditional applicability not yet encoded.</t>
        </is>
      </c>
    </row>
    <row r="469" ht="40" customHeight="1">
      <c r="A469" s="8" t="inlineStr">
        <is>
          <t>M20</t>
        </is>
      </c>
      <c r="B469" s="8" t="inlineStr">
        <is>
          <t>Mahatma Jyotirao Phule Jan Arogya Yojana</t>
        </is>
      </c>
      <c r="C469" s="8" t="inlineStr">
        <is>
          <t>M20-P0053</t>
        </is>
      </c>
      <c r="D469" s="8" t="inlineStr">
        <is>
          <t>5. School/College Id</t>
        </is>
      </c>
      <c r="E469" s="8" t="inlineStr">
        <is>
          <t>List of valid photo ID proofs to be accepted along with document of eligible criteria:</t>
        </is>
      </c>
      <c r="F469" s="8" t="inlineStr">
        <is>
          <t>MS-M20</t>
        </is>
      </c>
      <c r="G469" s="8" t="inlineStr">
        <is>
          <t>M20@20261028-dcae286f</t>
        </is>
      </c>
      <c r="H469" s="7" t="inlineStr">
        <is>
          <t>Approved</t>
        </is>
      </c>
      <c r="I469" s="7" t="n"/>
      <c r="J469" s="8" t="inlineStr">
        <is>
          <t>Source document text 1/1. Conditional applicability not yet encoded.</t>
        </is>
      </c>
    </row>
    <row r="470" ht="40" customHeight="1">
      <c r="A470" s="4" t="inlineStr">
        <is>
          <t>M20</t>
        </is>
      </c>
      <c r="B470" s="4" t="inlineStr">
        <is>
          <t>Mahatma Jyotirao Phule Jan Arogya Yojana</t>
        </is>
      </c>
      <c r="C470" s="4" t="inlineStr">
        <is>
          <t>M20-P0054</t>
        </is>
      </c>
      <c r="D470" s="4" t="inlineStr">
        <is>
          <t>6. Passport</t>
        </is>
      </c>
      <c r="E470" s="4" t="inlineStr">
        <is>
          <t>List of valid photo ID proofs to be accepted along with document of eligible criteria:</t>
        </is>
      </c>
      <c r="F470" s="4" t="inlineStr">
        <is>
          <t>MS-M20</t>
        </is>
      </c>
      <c r="G470" s="4" t="inlineStr">
        <is>
          <t>M20@20261028-dcae286f</t>
        </is>
      </c>
      <c r="H470" s="7" t="inlineStr">
        <is>
          <t>Approved</t>
        </is>
      </c>
      <c r="I470" s="7" t="n"/>
      <c r="J470" s="4" t="inlineStr">
        <is>
          <t>Source document text 1/1. Conditional applicability not yet encoded.</t>
        </is>
      </c>
    </row>
    <row r="471" ht="40" customHeight="1">
      <c r="A471" s="8" t="inlineStr">
        <is>
          <t>M20</t>
        </is>
      </c>
      <c r="B471" s="8" t="inlineStr">
        <is>
          <t>Mahatma Jyotirao Phule Jan Arogya Yojana</t>
        </is>
      </c>
      <c r="C471" s="8" t="inlineStr">
        <is>
          <t>M20-P0055</t>
        </is>
      </c>
      <c r="D471" s="8" t="inlineStr">
        <is>
          <t>7. Freedom Fighter ID card</t>
        </is>
      </c>
      <c r="E471" s="8" t="inlineStr">
        <is>
          <t>List of valid photo ID proofs to be accepted along with document of eligible criteria:</t>
        </is>
      </c>
      <c r="F471" s="8" t="inlineStr">
        <is>
          <t>MS-M20</t>
        </is>
      </c>
      <c r="G471" s="8" t="inlineStr">
        <is>
          <t>M20@20261028-dcae286f</t>
        </is>
      </c>
      <c r="H471" s="7" t="inlineStr">
        <is>
          <t>Approved</t>
        </is>
      </c>
      <c r="I471" s="7" t="n"/>
      <c r="J471" s="8" t="inlineStr">
        <is>
          <t>Source document text 1/1. Conditional applicability not yet encoded.</t>
        </is>
      </c>
    </row>
    <row r="472" ht="40" customHeight="1">
      <c r="A472" s="4" t="inlineStr">
        <is>
          <t>M20</t>
        </is>
      </c>
      <c r="B472" s="4" t="inlineStr">
        <is>
          <t>Mahatma Jyotirao Phule Jan Arogya Yojana</t>
        </is>
      </c>
      <c r="C472" s="4" t="inlineStr">
        <is>
          <t>M20-P0056</t>
        </is>
      </c>
      <c r="D472" s="4" t="inlineStr">
        <is>
          <t>8. Health Card of RGJAY / MJPJAY</t>
        </is>
      </c>
      <c r="E472" s="4" t="inlineStr">
        <is>
          <t>List of valid photo ID proofs to be accepted along with document of eligible criteria:</t>
        </is>
      </c>
      <c r="F472" s="4" t="inlineStr">
        <is>
          <t>MS-M20</t>
        </is>
      </c>
      <c r="G472" s="4" t="inlineStr">
        <is>
          <t>M20@20261028-dcae286f</t>
        </is>
      </c>
      <c r="H472" s="7" t="inlineStr">
        <is>
          <t>Approved</t>
        </is>
      </c>
      <c r="I472" s="7" t="n"/>
      <c r="J472" s="4" t="inlineStr">
        <is>
          <t>Source document text 1/1. Conditional applicability not yet encoded.</t>
        </is>
      </c>
    </row>
    <row r="473" ht="40" customHeight="1">
      <c r="A473" s="8" t="inlineStr">
        <is>
          <t>M20</t>
        </is>
      </c>
      <c r="B473" s="8" t="inlineStr">
        <is>
          <t>Mahatma Jyotirao Phule Jan Arogya Yojana</t>
        </is>
      </c>
      <c r="C473" s="8" t="inlineStr">
        <is>
          <t>M20-P0057</t>
        </is>
      </c>
      <c r="D473" s="8" t="inlineStr">
        <is>
          <t>9. Handicap Certificate</t>
        </is>
      </c>
      <c r="E473" s="8" t="inlineStr">
        <is>
          <t>List of valid photo ID proofs to be accepted along with document of eligible criteria:</t>
        </is>
      </c>
      <c r="F473" s="8" t="inlineStr">
        <is>
          <t>MS-M20</t>
        </is>
      </c>
      <c r="G473" s="8" t="inlineStr">
        <is>
          <t>M20@20261028-dcae286f</t>
        </is>
      </c>
      <c r="H473" s="7" t="inlineStr">
        <is>
          <t>Approved</t>
        </is>
      </c>
      <c r="I473" s="7" t="n"/>
      <c r="J473" s="8" t="inlineStr">
        <is>
          <t>Source document text 1/1. Conditional applicability not yet encoded.</t>
        </is>
      </c>
    </row>
    <row r="474" ht="40" customHeight="1">
      <c r="A474" s="4" t="inlineStr">
        <is>
          <t>M20</t>
        </is>
      </c>
      <c r="B474" s="4" t="inlineStr">
        <is>
          <t>Mahatma Jyotirao Phule Jan Arogya Yojana</t>
        </is>
      </c>
      <c r="C474" s="4" t="inlineStr">
        <is>
          <t>M20-P0058</t>
        </is>
      </c>
      <c r="D474" s="4" t="inlineStr">
        <is>
          <t>10. Nationalized Bank Passbook with Photo</t>
        </is>
      </c>
      <c r="E474" s="4" t="inlineStr">
        <is>
          <t>List of valid photo ID proofs to be accepted along with document of eligible criteria:</t>
        </is>
      </c>
      <c r="F474" s="4" t="inlineStr">
        <is>
          <t>MS-M20</t>
        </is>
      </c>
      <c r="G474" s="4" t="inlineStr">
        <is>
          <t>M20@20261028-dcae286f</t>
        </is>
      </c>
      <c r="H474" s="7" t="inlineStr">
        <is>
          <t>Approved</t>
        </is>
      </c>
      <c r="I474" s="7" t="n"/>
      <c r="J474" s="4" t="inlineStr">
        <is>
          <t>Source document text 1/1. Conditional applicability not yet encoded.</t>
        </is>
      </c>
    </row>
    <row r="475" ht="40" customHeight="1">
      <c r="A475" s="8" t="inlineStr">
        <is>
          <t>M20</t>
        </is>
      </c>
      <c r="B475" s="8" t="inlineStr">
        <is>
          <t>Mahatma Jyotirao Phule Jan Arogya Yojana</t>
        </is>
      </c>
      <c r="C475" s="8" t="inlineStr">
        <is>
          <t>M20-P0059</t>
        </is>
      </c>
      <c r="D475" s="8" t="inlineStr">
        <is>
          <t>11. Senior citizen card issued by the Central Government or State Government</t>
        </is>
      </c>
      <c r="E475" s="8" t="inlineStr">
        <is>
          <t>List of valid photo ID proofs to be accepted along with document of eligible criteria:</t>
        </is>
      </c>
      <c r="F475" s="8" t="inlineStr">
        <is>
          <t>MS-M20</t>
        </is>
      </c>
      <c r="G475" s="8" t="inlineStr">
        <is>
          <t>M20@20261028-dcae286f</t>
        </is>
      </c>
      <c r="H475" s="7" t="inlineStr">
        <is>
          <t>Approved</t>
        </is>
      </c>
      <c r="I475" s="7" t="n"/>
      <c r="J475" s="8" t="inlineStr">
        <is>
          <t>Source document text 1/1. Conditional applicability not yet encoded.</t>
        </is>
      </c>
    </row>
    <row r="476" ht="40" customHeight="1">
      <c r="A476" s="4" t="inlineStr">
        <is>
          <t>M20</t>
        </is>
      </c>
      <c r="B476" s="4" t="inlineStr">
        <is>
          <t>Mahatma Jyotirao Phule Jan Arogya Yojana</t>
        </is>
      </c>
      <c r="C476" s="4" t="inlineStr">
        <is>
          <t>M20-P0060</t>
        </is>
      </c>
      <c r="D476" s="4" t="inlineStr">
        <is>
          <t>12. Defense ex-servicemen card issued by Sainik Board</t>
        </is>
      </c>
      <c r="E476" s="4" t="inlineStr">
        <is>
          <t>List of valid photo ID proofs to be accepted along with document of eligible criteria:</t>
        </is>
      </c>
      <c r="F476" s="4" t="inlineStr">
        <is>
          <t>MS-M20</t>
        </is>
      </c>
      <c r="G476" s="4" t="inlineStr">
        <is>
          <t>M20@20261028-dcae286f</t>
        </is>
      </c>
      <c r="H476" s="7" t="inlineStr">
        <is>
          <t>Approved</t>
        </is>
      </c>
      <c r="I476" s="7" t="n"/>
      <c r="J476" s="4" t="inlineStr">
        <is>
          <t>Source document text 1/1. Conditional applicability not yet encoded.</t>
        </is>
      </c>
    </row>
    <row r="477" ht="40" customHeight="1">
      <c r="A477" s="8" t="inlineStr">
        <is>
          <t>M20</t>
        </is>
      </c>
      <c r="B477" s="8" t="inlineStr">
        <is>
          <t>Mahatma Jyotirao Phule Jan Arogya Yojana</t>
        </is>
      </c>
      <c r="C477" s="8" t="inlineStr">
        <is>
          <t>M20-P0061</t>
        </is>
      </c>
      <c r="D477" s="8" t="inlineStr">
        <is>
          <t>13. Marine Fishery Identity card (Issued by Ministry of Agriculture / Fisheries Department Government of Maharashtra).</t>
        </is>
      </c>
      <c r="E477" s="8" t="inlineStr">
        <is>
          <t>List of valid photo ID proofs to be accepted along with document of eligible criteria:</t>
        </is>
      </c>
      <c r="F477" s="8" t="inlineStr">
        <is>
          <t>MS-M20</t>
        </is>
      </c>
      <c r="G477" s="8" t="inlineStr">
        <is>
          <t>M20@20261028-dcae286f</t>
        </is>
      </c>
      <c r="H477" s="7" t="inlineStr">
        <is>
          <t>Approved</t>
        </is>
      </c>
      <c r="I477" s="7" t="n"/>
      <c r="J477" s="8" t="inlineStr">
        <is>
          <t>Source document text 1/1. Conditional applicability not yet encoded.</t>
        </is>
      </c>
    </row>
    <row r="478" ht="40" customHeight="1">
      <c r="A478" s="4" t="inlineStr">
        <is>
          <t>M20</t>
        </is>
      </c>
      <c r="B478" s="4" t="inlineStr">
        <is>
          <t>Mahatma Jyotirao Phule Jan Arogya Yojana</t>
        </is>
      </c>
      <c r="C478" s="4" t="inlineStr">
        <is>
          <t>M20-P0062</t>
        </is>
      </c>
      <c r="D478" s="4" t="inlineStr">
        <is>
          <t>14. Any photo ID proof issued by the Government of Maharashtra/ Government of India</t>
        </is>
      </c>
      <c r="E478" s="4" t="inlineStr">
        <is>
          <t>List of valid photo ID proofs to be accepted along with document of eligible criteria:</t>
        </is>
      </c>
      <c r="F478" s="4" t="inlineStr">
        <is>
          <t>MS-M20</t>
        </is>
      </c>
      <c r="G478" s="4" t="inlineStr">
        <is>
          <t>M20@20261028-dcae286f</t>
        </is>
      </c>
      <c r="H478" s="7" t="inlineStr">
        <is>
          <t>Approved</t>
        </is>
      </c>
      <c r="I478" s="7" t="n"/>
      <c r="J478" s="4" t="inlineStr">
        <is>
          <t>Source document text 1/1. Conditional applicability not yet encoded.</t>
        </is>
      </c>
    </row>
    <row r="479" ht="40" customHeight="1">
      <c r="A479" s="8" t="inlineStr">
        <is>
          <t>M21</t>
        </is>
      </c>
      <c r="B479" s="8" t="inlineStr">
        <is>
          <t>Mukhyamantri Yuva Karya Prashikshan Yojana</t>
        </is>
      </c>
      <c r="C479" s="8" t="inlineStr">
        <is>
          <t>M21-P0013</t>
        </is>
      </c>
      <c r="D479" s="8" t="inlineStr">
        <is>
          <t>Passport-size Photograph</t>
        </is>
      </c>
      <c r="E479" s="8" t="inlineStr"/>
      <c r="F479" s="8" t="inlineStr">
        <is>
          <t>MS-M21</t>
        </is>
      </c>
      <c r="G479" s="8" t="inlineStr">
        <is>
          <t>M21@20261028-91a37a49</t>
        </is>
      </c>
      <c r="H479" s="7" t="inlineStr">
        <is>
          <t>Approved</t>
        </is>
      </c>
      <c r="I479" s="7" t="n"/>
      <c r="J479" s="8" t="inlineStr">
        <is>
          <t>Source document text 1/1. Conditional applicability not yet encoded.</t>
        </is>
      </c>
    </row>
    <row r="480" ht="40" customHeight="1">
      <c r="A480" s="4" t="inlineStr">
        <is>
          <t>M21</t>
        </is>
      </c>
      <c r="B480" s="4" t="inlineStr">
        <is>
          <t>Mukhyamantri Yuva Karya Prashikshan Yojana</t>
        </is>
      </c>
      <c r="C480" s="4" t="inlineStr">
        <is>
          <t>M21-P0014</t>
        </is>
      </c>
      <c r="D480" s="4" t="inlineStr">
        <is>
          <t>Aadhaar Card</t>
        </is>
      </c>
      <c r="E480" s="4" t="inlineStr"/>
      <c r="F480" s="4" t="inlineStr">
        <is>
          <t>MS-M21</t>
        </is>
      </c>
      <c r="G480" s="4" t="inlineStr">
        <is>
          <t>M21@20261028-91a37a49</t>
        </is>
      </c>
      <c r="H480" s="7" t="inlineStr">
        <is>
          <t>Approved</t>
        </is>
      </c>
      <c r="I480" s="7" t="n"/>
      <c r="J480" s="4" t="inlineStr">
        <is>
          <t>Source document text 1/1. Conditional applicability not yet encoded.</t>
        </is>
      </c>
    </row>
    <row r="481" ht="40" customHeight="1">
      <c r="A481" s="8" t="inlineStr">
        <is>
          <t>M21</t>
        </is>
      </c>
      <c r="B481" s="8" t="inlineStr">
        <is>
          <t>Mukhyamantri Yuva Karya Prashikshan Yojana</t>
        </is>
      </c>
      <c r="C481" s="8" t="inlineStr">
        <is>
          <t>M21-P0015</t>
        </is>
      </c>
      <c r="D481" s="8" t="inlineStr">
        <is>
          <t>Bank Passbook or Cancelled Cheque</t>
        </is>
      </c>
      <c r="E481" s="8" t="inlineStr"/>
      <c r="F481" s="8" t="inlineStr">
        <is>
          <t>MS-M21</t>
        </is>
      </c>
      <c r="G481" s="8" t="inlineStr">
        <is>
          <t>M21@20261028-91a37a49</t>
        </is>
      </c>
      <c r="H481" s="7" t="inlineStr">
        <is>
          <t>Approved</t>
        </is>
      </c>
      <c r="I481" s="7" t="n"/>
      <c r="J481" s="8" t="inlineStr">
        <is>
          <t>Source document text 1/1. Conditional applicability not yet encoded.</t>
        </is>
      </c>
    </row>
    <row r="482" ht="40" customHeight="1">
      <c r="A482" s="4" t="inlineStr">
        <is>
          <t>M21</t>
        </is>
      </c>
      <c r="B482" s="4" t="inlineStr">
        <is>
          <t>Mukhyamantri Yuva Karya Prashikshan Yojana</t>
        </is>
      </c>
      <c r="C482" s="4" t="inlineStr">
        <is>
          <t>M21-P0016</t>
        </is>
      </c>
      <c r="D482" s="4" t="inlineStr">
        <is>
          <t>Living Certificate</t>
        </is>
      </c>
      <c r="E482" s="4" t="inlineStr"/>
      <c r="F482" s="4" t="inlineStr">
        <is>
          <t>MS-M21</t>
        </is>
      </c>
      <c r="G482" s="4" t="inlineStr">
        <is>
          <t>M21@20261028-91a37a49</t>
        </is>
      </c>
      <c r="H482" s="7" t="inlineStr">
        <is>
          <t>Approved</t>
        </is>
      </c>
      <c r="I482" s="7" t="n"/>
      <c r="J482" s="4" t="inlineStr">
        <is>
          <t>Source document text 1/1. Conditional applicability not yet encoded.</t>
        </is>
      </c>
    </row>
    <row r="483" ht="40" customHeight="1">
      <c r="A483" s="8" t="inlineStr">
        <is>
          <t>M21</t>
        </is>
      </c>
      <c r="B483" s="8" t="inlineStr">
        <is>
          <t>Mukhyamantri Yuva Karya Prashikshan Yojana</t>
        </is>
      </c>
      <c r="C483" s="8" t="inlineStr">
        <is>
          <t>M21-P0017</t>
        </is>
      </c>
      <c r="D483" s="8" t="inlineStr">
        <is>
          <t>Birth Certificate</t>
        </is>
      </c>
      <c r="E483" s="8" t="inlineStr"/>
      <c r="F483" s="8" t="inlineStr">
        <is>
          <t>MS-M21</t>
        </is>
      </c>
      <c r="G483" s="8" t="inlineStr">
        <is>
          <t>M21@20261028-91a37a49</t>
        </is>
      </c>
      <c r="H483" s="7" t="inlineStr">
        <is>
          <t>Approved</t>
        </is>
      </c>
      <c r="I483" s="7" t="n"/>
      <c r="J483" s="8" t="inlineStr">
        <is>
          <t>Source document text 1/1. Conditional applicability not yet encoded.</t>
        </is>
      </c>
    </row>
    <row r="484" ht="40" customHeight="1">
      <c r="A484" s="4" t="inlineStr">
        <is>
          <t>M21</t>
        </is>
      </c>
      <c r="B484" s="4" t="inlineStr">
        <is>
          <t>Mukhyamantri Yuva Karya Prashikshan Yojana</t>
        </is>
      </c>
      <c r="C484" s="4" t="inlineStr">
        <is>
          <t>M21-P0018</t>
        </is>
      </c>
      <c r="D484" s="4" t="inlineStr">
        <is>
          <t>Education Certificate</t>
        </is>
      </c>
      <c r="E484" s="4" t="inlineStr"/>
      <c r="F484" s="4" t="inlineStr">
        <is>
          <t>MS-M21</t>
        </is>
      </c>
      <c r="G484" s="4" t="inlineStr">
        <is>
          <t>M21@20261028-91a37a49</t>
        </is>
      </c>
      <c r="H484" s="7" t="inlineStr">
        <is>
          <t>Approved</t>
        </is>
      </c>
      <c r="I484" s="7" t="n"/>
      <c r="J484" s="4" t="inlineStr">
        <is>
          <t>Source document text 1/1. Conditional applicability not yet encoded.</t>
        </is>
      </c>
    </row>
    <row r="485" ht="40" customHeight="1">
      <c r="A485" s="8" t="inlineStr">
        <is>
          <t>M21</t>
        </is>
      </c>
      <c r="B485" s="8" t="inlineStr">
        <is>
          <t>Mukhyamantri Yuva Karya Prashikshan Yojana</t>
        </is>
      </c>
      <c r="C485" s="8" t="inlineStr">
        <is>
          <t>M21-P0019</t>
        </is>
      </c>
      <c r="D485" s="8" t="inlineStr">
        <is>
          <t>Domicile Certificate or SSC Passing Certificate</t>
        </is>
      </c>
      <c r="E485" s="8" t="inlineStr"/>
      <c r="F485" s="8" t="inlineStr">
        <is>
          <t>MS-M21</t>
        </is>
      </c>
      <c r="G485" s="8" t="inlineStr">
        <is>
          <t>M21@20261028-91a37a49</t>
        </is>
      </c>
      <c r="H485" s="7" t="inlineStr">
        <is>
          <t>Approved</t>
        </is>
      </c>
      <c r="I485" s="7" t="n"/>
      <c r="J485" s="8" t="inlineStr">
        <is>
          <t>Source document text 1/1. Conditional applicability not yet encoded.</t>
        </is>
      </c>
    </row>
  </sheetData>
  <conditionalFormatting sqref="H6:H485">
    <cfRule type="containsText" priority="1" operator="containsText" dxfId="0" stopIfTrue="1" text="Approved">
      <formula>NOT(ISERROR(SEARCH("Approved",H6)))</formula>
    </cfRule>
  </conditionalFormatting>
  <dataValidations count="1">
    <dataValidation sqref="H6:H485" showDropDown="0" showInputMessage="1" showErrorMessage="1" allowBlank="1" type="list">
      <formula1>"Not started,In review,Approved,Needs correction,Not applicable,Excluded"</formula1>
    </dataValidation>
  </dataValidations>
  <pageMargins left="0.7" right="0.7" top="0.75" bottom="0.75" header="0.3" footer="0.3"/>
  <pageSetup orientation="landscape" paperSize="9" fitToHeight="0"/>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2:N3166"/>
  <sheetViews>
    <sheetView showGridLines="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24.7109375" customWidth="1" min="1" max="1"/>
    <col width="13.7109375" customWidth="1" min="2" max="2"/>
    <col width="48.7109375" customWidth="1" min="3" max="3"/>
    <col width="25.7109375" customWidth="1" min="4" max="4"/>
    <col width="65.7109375" customWidth="1" min="5" max="5"/>
    <col width="75.7109375" customWidth="1" min="6" max="6"/>
    <col width="50.7109375" customWidth="1" min="7" max="7"/>
    <col width="10.7109375" customWidth="1" min="8" max="9"/>
    <col width="110.7109375" customWidth="1" min="10" max="10"/>
    <col width="20.7109375" customWidth="1" min="11" max="11"/>
    <col width="17.7109375" customWidth="1" min="12" max="12"/>
    <col width="35.7109375" customWidth="1" min="13" max="13"/>
    <col width="25.7109375" customWidth="1" min="14" max="14"/>
  </cols>
  <sheetData>
    <row r="2" ht="28" customHeight="1">
      <c r="A2" s="1" t="inlineStr">
        <is>
          <t>Source passages for RAG and schema testing</t>
        </is>
      </c>
    </row>
    <row r="3" ht="22" customHeight="1">
      <c r="A3" s="2" t="inlineStr">
        <is>
          <t>Exact source text retained. Reassemble continuation parts in order before chunking; metadata is not a policy approval.</t>
        </is>
      </c>
    </row>
    <row r="5" ht="45" customHeight="1">
      <c r="A5" s="3" t="inlineStr">
        <is>
          <t>Passage ID</t>
        </is>
      </c>
      <c r="B5" s="3" t="inlineStr">
        <is>
          <t>Scheme ID</t>
        </is>
      </c>
      <c r="C5" s="3" t="inlineStr">
        <is>
          <t>Scheme</t>
        </is>
      </c>
      <c r="D5" s="3" t="inlineStr">
        <is>
          <t>Section</t>
        </is>
      </c>
      <c r="E5" s="3" t="inlineStr">
        <is>
          <t>Source heading</t>
        </is>
      </c>
      <c r="F5" s="3" t="inlineStr">
        <is>
          <t>Original source path</t>
        </is>
      </c>
      <c r="G5" s="3" t="inlineStr">
        <is>
          <t>Version ID</t>
        </is>
      </c>
      <c r="H5" s="3" t="inlineStr">
        <is>
          <t>Part</t>
        </is>
      </c>
      <c r="I5" s="3" t="inlineStr">
        <is>
          <t>Parts</t>
        </is>
      </c>
      <c r="J5" s="3" t="inlineStr">
        <is>
          <t>Source text</t>
        </is>
      </c>
      <c r="K5" s="3" t="inlineStr">
        <is>
          <t>Source ID</t>
        </is>
      </c>
      <c r="L5" s="3" t="inlineStr">
        <is>
          <t>Research date</t>
        </is>
      </c>
      <c r="M5" s="3" t="inlineStr">
        <is>
          <t>Review state</t>
        </is>
      </c>
      <c r="N5" s="3" t="inlineStr">
        <is>
          <t>Source node type</t>
        </is>
      </c>
    </row>
    <row r="6" ht="82" customHeight="1">
      <c r="A6" s="4" t="inlineStr">
        <is>
          <t>C01-P0001</t>
        </is>
      </c>
      <c r="B6" s="4" t="inlineStr">
        <is>
          <t>C01</t>
        </is>
      </c>
      <c r="C6" s="4" t="inlineStr">
        <is>
          <t>Pradhan Mantri Jeevan Jyoti Bima Yojana</t>
        </is>
      </c>
      <c r="D6" s="4" t="inlineStr">
        <is>
          <t>Details</t>
        </is>
      </c>
      <c r="E6" s="4" t="inlineStr"/>
      <c r="F6" s="4" t="inlineStr">
        <is>
          <t>en.schemeContent.detailedDescription[0]</t>
        </is>
      </c>
      <c r="G6" s="4" t="inlineStr">
        <is>
          <t>C01@20261028-6a583ea3</t>
        </is>
      </c>
      <c r="H6" s="4" t="n">
        <v>1</v>
      </c>
      <c r="I6" s="4" t="n">
        <v>1</v>
      </c>
      <c r="J6" s="4" t="inlineStr">
        <is>
          <t>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t>
        </is>
      </c>
      <c r="K6" s="4" t="inlineStr">
        <is>
          <t>MS-C01</t>
        </is>
      </c>
      <c r="L6" s="6" t="n">
        <v>46323</v>
      </c>
      <c r="M6" s="4" t="inlineStr">
        <is>
          <t>Approved</t>
        </is>
      </c>
      <c r="N6" s="4" t="inlineStr">
        <is>
          <t>paragraph</t>
        </is>
      </c>
    </row>
    <row r="7" ht="40" customHeight="1">
      <c r="A7" s="8" t="inlineStr">
        <is>
          <t>C01-P0002</t>
        </is>
      </c>
      <c r="B7" s="8" t="inlineStr">
        <is>
          <t>C01</t>
        </is>
      </c>
      <c r="C7" s="8" t="inlineStr">
        <is>
          <t>Pradhan Mantri Jeevan Jyoti Bima Yojana</t>
        </is>
      </c>
      <c r="D7" s="8" t="inlineStr">
        <is>
          <t>Benefits</t>
        </is>
      </c>
      <c r="E7" s="8" t="inlineStr"/>
      <c r="F7" s="8" t="inlineStr">
        <is>
          <t>en.schemeContent.benefits[0].children[0]</t>
        </is>
      </c>
      <c r="G7" s="8" t="inlineStr">
        <is>
          <t>C01@20261028-6a583ea3</t>
        </is>
      </c>
      <c r="H7" s="8" t="n">
        <v>1</v>
      </c>
      <c r="I7" s="8" t="n">
        <v>1</v>
      </c>
      <c r="J7" s="8" t="inlineStr">
        <is>
          <t>PMJJBY offers one- year term life cover of ₹ 2.00 Lakh to all the subscribers in the age group of 18-50 years.</t>
        </is>
      </c>
      <c r="K7" s="8" t="inlineStr">
        <is>
          <t>MS-C01</t>
        </is>
      </c>
      <c r="L7" s="9" t="n">
        <v>46323</v>
      </c>
      <c r="M7" s="8" t="inlineStr">
        <is>
          <t>Approved</t>
        </is>
      </c>
      <c r="N7" s="8" t="inlineStr">
        <is>
          <t>list_item</t>
        </is>
      </c>
    </row>
    <row r="8" ht="40" customHeight="1">
      <c r="A8" s="4" t="inlineStr">
        <is>
          <t>C01-P0003</t>
        </is>
      </c>
      <c r="B8" s="4" t="inlineStr">
        <is>
          <t>C01</t>
        </is>
      </c>
      <c r="C8" s="4" t="inlineStr">
        <is>
          <t>Pradhan Mantri Jeevan Jyoti Bima Yojana</t>
        </is>
      </c>
      <c r="D8" s="4" t="inlineStr">
        <is>
          <t>Benefits</t>
        </is>
      </c>
      <c r="E8" s="4" t="inlineStr"/>
      <c r="F8" s="4" t="inlineStr">
        <is>
          <t>en.schemeContent.benefits[0].children[1]</t>
        </is>
      </c>
      <c r="G8" s="4" t="inlineStr">
        <is>
          <t>C01@20261028-6a583ea3</t>
        </is>
      </c>
      <c r="H8" s="4" t="n">
        <v>1</v>
      </c>
      <c r="I8" s="4" t="n">
        <v>1</v>
      </c>
      <c r="J8" s="4" t="inlineStr">
        <is>
          <t>It covers death due to any reason.</t>
        </is>
      </c>
      <c r="K8" s="4" t="inlineStr">
        <is>
          <t>MS-C01</t>
        </is>
      </c>
      <c r="L8" s="6" t="n">
        <v>46323</v>
      </c>
      <c r="M8" s="4" t="inlineStr">
        <is>
          <t>Approved</t>
        </is>
      </c>
      <c r="N8" s="4" t="inlineStr">
        <is>
          <t>list_item</t>
        </is>
      </c>
    </row>
    <row r="9" ht="40" customHeight="1">
      <c r="A9" s="8" t="inlineStr">
        <is>
          <t>C01-P0004</t>
        </is>
      </c>
      <c r="B9" s="8" t="inlineStr">
        <is>
          <t>C01</t>
        </is>
      </c>
      <c r="C9" s="8" t="inlineStr">
        <is>
          <t>Pradhan Mantri Jeevan Jyoti Bima Yojana</t>
        </is>
      </c>
      <c r="D9" s="8" t="inlineStr">
        <is>
          <t>Benefits</t>
        </is>
      </c>
      <c r="E9" s="8" t="inlineStr"/>
      <c r="F9" s="8" t="inlineStr">
        <is>
          <t>en.schemeContent.benefits[0].children[2]</t>
        </is>
      </c>
      <c r="G9" s="8" t="inlineStr">
        <is>
          <t>C01@20261028-6a583ea3</t>
        </is>
      </c>
      <c r="H9" s="8" t="n">
        <v>1</v>
      </c>
      <c r="I9" s="8" t="n">
        <v>1</v>
      </c>
      <c r="J9" s="8" t="inlineStr">
        <is>
          <t>Premium payable is ₹ 436/- per annum per subscriber, to be auto debited from the subscriber’s bank/post office account.</t>
        </is>
      </c>
      <c r="K9" s="8" t="inlineStr">
        <is>
          <t>MS-C01</t>
        </is>
      </c>
      <c r="L9" s="9" t="n">
        <v>46323</v>
      </c>
      <c r="M9" s="8" t="inlineStr">
        <is>
          <t>Approved</t>
        </is>
      </c>
      <c r="N9" s="8" t="inlineStr">
        <is>
          <t>list_item</t>
        </is>
      </c>
    </row>
    <row r="10" ht="40" customHeight="1">
      <c r="A10" s="4" t="inlineStr">
        <is>
          <t>C01-P0005</t>
        </is>
      </c>
      <c r="B10" s="4" t="inlineStr">
        <is>
          <t>C01</t>
        </is>
      </c>
      <c r="C10" s="4" t="inlineStr">
        <is>
          <t>Pradhan Mantri Jeevan Jyoti Bima Yojana</t>
        </is>
      </c>
      <c r="D10" s="4" t="inlineStr">
        <is>
          <t>Eligibility</t>
        </is>
      </c>
      <c r="E10" s="4" t="inlineStr"/>
      <c r="F10" s="4" t="inlineStr">
        <is>
          <t>en.eligibilityCriteria.eligibilityDescription[0].children[0]</t>
        </is>
      </c>
      <c r="G10" s="4" t="inlineStr">
        <is>
          <t>C01@20261028-6a583ea3</t>
        </is>
      </c>
      <c r="H10" s="4" t="n">
        <v>1</v>
      </c>
      <c r="I10" s="4" t="n">
        <v>1</v>
      </c>
      <c r="J10" s="4" t="inlineStr">
        <is>
          <t>The age of the applicant must be between 18 to 50 Years.</t>
        </is>
      </c>
      <c r="K10" s="4" t="inlineStr">
        <is>
          <t>MS-C01</t>
        </is>
      </c>
      <c r="L10" s="6" t="n">
        <v>46323</v>
      </c>
      <c r="M10" s="4" t="inlineStr">
        <is>
          <t>Approved</t>
        </is>
      </c>
      <c r="N10" s="4" t="inlineStr">
        <is>
          <t>list_item</t>
        </is>
      </c>
    </row>
    <row r="11" ht="40" customHeight="1">
      <c r="A11" s="8" t="inlineStr">
        <is>
          <t>C01-P0006</t>
        </is>
      </c>
      <c r="B11" s="8" t="inlineStr">
        <is>
          <t>C01</t>
        </is>
      </c>
      <c r="C11" s="8" t="inlineStr">
        <is>
          <t>Pradhan Mantri Jeevan Jyoti Bima Yojana</t>
        </is>
      </c>
      <c r="D11" s="8" t="inlineStr">
        <is>
          <t>Eligibility</t>
        </is>
      </c>
      <c r="E11" s="8" t="inlineStr"/>
      <c r="F11" s="8" t="inlineStr">
        <is>
          <t>en.eligibilityCriteria.eligibilityDescription[0].children[1]</t>
        </is>
      </c>
      <c r="G11" s="8" t="inlineStr">
        <is>
          <t>C01@20261028-6a583ea3</t>
        </is>
      </c>
      <c r="H11" s="8" t="n">
        <v>1</v>
      </c>
      <c r="I11" s="8" t="n">
        <v>1</v>
      </c>
      <c r="J11" s="8" t="inlineStr">
        <is>
          <t>The applicant must hold an individual bank / post office account.</t>
        </is>
      </c>
      <c r="K11" s="8" t="inlineStr">
        <is>
          <t>MS-C01</t>
        </is>
      </c>
      <c r="L11" s="9" t="n">
        <v>46323</v>
      </c>
      <c r="M11" s="8" t="inlineStr">
        <is>
          <t>Approved</t>
        </is>
      </c>
      <c r="N11" s="8" t="inlineStr">
        <is>
          <t>list_item</t>
        </is>
      </c>
    </row>
    <row r="12" ht="40" customHeight="1">
      <c r="A12" s="4" t="inlineStr">
        <is>
          <t>C01-P0007</t>
        </is>
      </c>
      <c r="B12" s="4" t="inlineStr">
        <is>
          <t>C01</t>
        </is>
      </c>
      <c r="C12" s="4" t="inlineStr">
        <is>
          <t>Pradhan Mantri Jeevan Jyoti Bima Yojana</t>
        </is>
      </c>
      <c r="D12" s="4" t="inlineStr">
        <is>
          <t>Application process</t>
        </is>
      </c>
      <c r="E12" s="4" t="inlineStr">
        <is>
          <t>Offline</t>
        </is>
      </c>
      <c r="F12" s="4" t="inlineStr">
        <is>
          <t>en.applicationProcess[0].process[0]</t>
        </is>
      </c>
      <c r="G12" s="4" t="inlineStr">
        <is>
          <t>C01@20261028-6a583ea3</t>
        </is>
      </c>
      <c r="H12" s="4" t="n">
        <v>1</v>
      </c>
      <c r="I12" s="4" t="n">
        <v>1</v>
      </c>
      <c r="J12" s="4" t="inlineStr">
        <is>
          <t>Offline</t>
        </is>
      </c>
      <c r="K12" s="4" t="inlineStr">
        <is>
          <t>MS-C01</t>
        </is>
      </c>
      <c r="L12" s="6" t="n">
        <v>46323</v>
      </c>
      <c r="M12" s="4" t="inlineStr">
        <is>
          <t>Approved</t>
        </is>
      </c>
      <c r="N12" s="4" t="inlineStr">
        <is>
          <t>paragraph</t>
        </is>
      </c>
    </row>
    <row r="13" ht="40" customHeight="1">
      <c r="A13" s="8" t="inlineStr">
        <is>
          <t>C01-P0008</t>
        </is>
      </c>
      <c r="B13" s="8" t="inlineStr">
        <is>
          <t>C01</t>
        </is>
      </c>
      <c r="C13" s="8" t="inlineStr">
        <is>
          <t>Pradhan Mantri Jeevan Jyoti Bima Yojana</t>
        </is>
      </c>
      <c r="D13" s="8" t="inlineStr">
        <is>
          <t>Application process</t>
        </is>
      </c>
      <c r="E13" s="8" t="inlineStr">
        <is>
          <t>Offline</t>
        </is>
      </c>
      <c r="F13" s="8" t="inlineStr">
        <is>
          <t>en.applicationProcess[0].process[1].children[0]</t>
        </is>
      </c>
      <c r="G13" s="8" t="inlineStr">
        <is>
          <t>C01@20261028-6a583ea3</t>
        </is>
      </c>
      <c r="H13" s="8" t="n">
        <v>1</v>
      </c>
      <c r="I13" s="8" t="n">
        <v>1</v>
      </c>
      <c r="J13" s="8" t="inlineStr">
        <is>
          <t>Step 01: Download and take print of the “CONSENT-CUM-DECLARATION FORM” given in the link below: https://www.jansuraksha.gov.in/Files/PMJJBY/English/ApplicationForm.pdf#zoom=250</t>
        </is>
      </c>
      <c r="K13" s="8" t="inlineStr">
        <is>
          <t>MS-C01</t>
        </is>
      </c>
      <c r="L13" s="9" t="n">
        <v>46323</v>
      </c>
      <c r="M13" s="8" t="inlineStr">
        <is>
          <t>Approved</t>
        </is>
      </c>
      <c r="N13" s="8" t="inlineStr">
        <is>
          <t>paragraph</t>
        </is>
      </c>
    </row>
    <row r="14" ht="54" customHeight="1">
      <c r="A14" s="4" t="inlineStr">
        <is>
          <t>C01-P0009</t>
        </is>
      </c>
      <c r="B14" s="4" t="inlineStr">
        <is>
          <t>C01</t>
        </is>
      </c>
      <c r="C14" s="4" t="inlineStr">
        <is>
          <t>Pradhan Mantri Jeevan Jyoti Bima Yojana</t>
        </is>
      </c>
      <c r="D14" s="4" t="inlineStr">
        <is>
          <t>Application process</t>
        </is>
      </c>
      <c r="E14" s="4" t="inlineStr">
        <is>
          <t>Offline</t>
        </is>
      </c>
      <c r="F14" s="4" t="inlineStr">
        <is>
          <t>en.applicationProcess[0].process[2].children[0]</t>
        </is>
      </c>
      <c r="G14" s="4" t="inlineStr">
        <is>
          <t>C01@20261028-6a583ea3</t>
        </is>
      </c>
      <c r="H14" s="4" t="n">
        <v>1</v>
      </c>
      <c r="I14" s="4" t="n">
        <v>1</v>
      </c>
      <c r="J14" s="4" t="inlineStr">
        <is>
          <t>Step 02: Duly fill and sign the application form, attach the self-attested copies of the required documents, and submit the case to the authorised official of Bank / Post Office. The official will return you the “ACKNOWLEDGEMENT SLIP CUM CERTIFICATE OF INSURANCE”.</t>
        </is>
      </c>
      <c r="K14" s="4" t="inlineStr">
        <is>
          <t>MS-C01</t>
        </is>
      </c>
      <c r="L14" s="6" t="n">
        <v>46323</v>
      </c>
      <c r="M14" s="4" t="inlineStr">
        <is>
          <t>Approved</t>
        </is>
      </c>
      <c r="N14" s="4" t="inlineStr">
        <is>
          <t>paragraph</t>
        </is>
      </c>
    </row>
    <row r="15" ht="40" customHeight="1">
      <c r="A15" s="8" t="inlineStr">
        <is>
          <t>C01-P0010</t>
        </is>
      </c>
      <c r="B15" s="8" t="inlineStr">
        <is>
          <t>C01</t>
        </is>
      </c>
      <c r="C15" s="8" t="inlineStr">
        <is>
          <t>Pradhan Mantri Jeevan Jyoti Bima Yojana</t>
        </is>
      </c>
      <c r="D15" s="8" t="inlineStr">
        <is>
          <t>Application process</t>
        </is>
      </c>
      <c r="E15" s="8" t="inlineStr"/>
      <c r="F15" s="8" t="inlineStr">
        <is>
          <t>en.applicationProcess[1].process[0]</t>
        </is>
      </c>
      <c r="G15" s="8" t="inlineStr">
        <is>
          <t>C01@20261028-6a583ea3</t>
        </is>
      </c>
      <c r="H15" s="8" t="n">
        <v>1</v>
      </c>
      <c r="I15" s="8" t="n">
        <v>1</v>
      </c>
      <c r="J15" s="8" t="inlineStr">
        <is>
          <t>One can also avail cover under PMJJBY online using their bank's Net banking facility.</t>
        </is>
      </c>
      <c r="K15" s="8" t="inlineStr">
        <is>
          <t>MS-C01</t>
        </is>
      </c>
      <c r="L15" s="9" t="n">
        <v>46323</v>
      </c>
      <c r="M15" s="8" t="inlineStr">
        <is>
          <t>Approved</t>
        </is>
      </c>
      <c r="N15" s="8" t="inlineStr">
        <is>
          <t>paragraph</t>
        </is>
      </c>
    </row>
    <row r="16" ht="54" customHeight="1">
      <c r="A16" s="4" t="inlineStr">
        <is>
          <t>C01-P0011</t>
        </is>
      </c>
      <c r="B16" s="4" t="inlineStr">
        <is>
          <t>C01</t>
        </is>
      </c>
      <c r="C16" s="4" t="inlineStr">
        <is>
          <t>Pradhan Mantri Jeevan Jyoti Bima Yojana</t>
        </is>
      </c>
      <c r="D16" s="4" t="inlineStr">
        <is>
          <t>FAQ</t>
        </is>
      </c>
      <c r="E16" s="4" t="inlineStr"/>
      <c r="F16" s="4" t="inlineStr">
        <is>
          <t>faqs.en.faqs[0]</t>
        </is>
      </c>
      <c r="G16" s="4" t="inlineStr">
        <is>
          <t>C01@20261028-6a583ea3</t>
        </is>
      </c>
      <c r="H16" s="4" t="n">
        <v>1</v>
      </c>
      <c r="I16" s="4" t="n">
        <v>1</v>
      </c>
      <c r="J16" s="4" t="inlineStr">
        <is>
          <t>How do I pay the premium for PMJJBY?
The premium will be deducted from the account holder’s bank / Post office account through ‘auto debit’ facility.</t>
        </is>
      </c>
      <c r="K16" s="4" t="inlineStr">
        <is>
          <t>MS-C01</t>
        </is>
      </c>
      <c r="L16" s="6" t="n">
        <v>46323</v>
      </c>
      <c r="M16" s="4" t="inlineStr">
        <is>
          <t>Approved</t>
        </is>
      </c>
      <c r="N16" s="4" t="inlineStr">
        <is>
          <t>faq</t>
        </is>
      </c>
    </row>
    <row r="17" ht="54" customHeight="1">
      <c r="A17" s="8" t="inlineStr">
        <is>
          <t>C01-P0012</t>
        </is>
      </c>
      <c r="B17" s="8" t="inlineStr">
        <is>
          <t>C01</t>
        </is>
      </c>
      <c r="C17" s="8" t="inlineStr">
        <is>
          <t>Pradhan Mantri Jeevan Jyoti Bima Yojana</t>
        </is>
      </c>
      <c r="D17" s="8" t="inlineStr">
        <is>
          <t>FAQ</t>
        </is>
      </c>
      <c r="E17" s="8" t="inlineStr"/>
      <c r="F17" s="8" t="inlineStr">
        <is>
          <t>faqs.en.faqs[1]</t>
        </is>
      </c>
      <c r="G17" s="8" t="inlineStr">
        <is>
          <t>C01@20261028-6a583ea3</t>
        </is>
      </c>
      <c r="H17" s="8" t="n">
        <v>1</v>
      </c>
      <c r="I17" s="8" t="n">
        <v>1</v>
      </c>
      <c r="J17" s="8" t="inlineStr">
        <is>
          <t>What is the validity of the insurance cover in PMJJBY?
Coverage under PMJJBY is valid for one year from 1st June to 31st May on payment of annual premium.</t>
        </is>
      </c>
      <c r="K17" s="8" t="inlineStr">
        <is>
          <t>MS-C01</t>
        </is>
      </c>
      <c r="L17" s="9" t="n">
        <v>46323</v>
      </c>
      <c r="M17" s="8" t="inlineStr">
        <is>
          <t>Approved</t>
        </is>
      </c>
      <c r="N17" s="8" t="inlineStr">
        <is>
          <t>faq</t>
        </is>
      </c>
    </row>
    <row r="18" ht="124" customHeight="1">
      <c r="A18" s="4" t="inlineStr">
        <is>
          <t>C01-P0013</t>
        </is>
      </c>
      <c r="B18" s="4" t="inlineStr">
        <is>
          <t>C01</t>
        </is>
      </c>
      <c r="C18" s="4" t="inlineStr">
        <is>
          <t>Pradhan Mantri Jeevan Jyoti Bima Yojana</t>
        </is>
      </c>
      <c r="D18" s="4" t="inlineStr">
        <is>
          <t>FAQ</t>
        </is>
      </c>
      <c r="E18" s="4" t="inlineStr"/>
      <c r="F18" s="4" t="inlineStr">
        <is>
          <t>faqs.en.faqs[2]</t>
        </is>
      </c>
      <c r="G18" s="4" t="inlineStr">
        <is>
          <t>C01@20261028-6a583ea3</t>
        </is>
      </c>
      <c r="H18" s="4" t="n">
        <v>1</v>
      </c>
      <c r="I18" s="4" t="n">
        <v>1</v>
      </c>
      <c r="J18" s="4" t="inlineStr">
        <is>
          <t>Is delayed enrolment for prospective cover  possible under this scheme?
Yes. 
Delayed enrolment for prospective cover is possible on payment of premium as described below – 
a)	For enrolment in June, July and August – Full Annual Premium of Rs.436/- is payable.
b)  	For enrolment in September, October, and November –premium of Rs. 342/- is payable
c)	    For enrolment in December, January and February –premium of Rs. 228/- is payable.
d)	For enrolment in March, April and May –premium of    Rs. 114/- is payable.</t>
        </is>
      </c>
      <c r="K18" s="4" t="inlineStr">
        <is>
          <t>MS-C01</t>
        </is>
      </c>
      <c r="L18" s="6" t="n">
        <v>46323</v>
      </c>
      <c r="M18" s="4" t="inlineStr">
        <is>
          <t>Approved</t>
        </is>
      </c>
      <c r="N18" s="4" t="inlineStr">
        <is>
          <t>faq</t>
        </is>
      </c>
    </row>
    <row r="19" ht="68" customHeight="1">
      <c r="A19" s="8" t="inlineStr">
        <is>
          <t>C01-P0014</t>
        </is>
      </c>
      <c r="B19" s="8" t="inlineStr">
        <is>
          <t>C01</t>
        </is>
      </c>
      <c r="C19" s="8" t="inlineStr">
        <is>
          <t>Pradhan Mantri Jeevan Jyoti Bima Yojana</t>
        </is>
      </c>
      <c r="D19" s="8" t="inlineStr">
        <is>
          <t>FAQ</t>
        </is>
      </c>
      <c r="E19" s="8" t="inlineStr"/>
      <c r="F19" s="8" t="inlineStr">
        <is>
          <t>faqs.en.faqs[3]</t>
        </is>
      </c>
      <c r="G19" s="8" t="inlineStr">
        <is>
          <t>C01@20261028-6a583ea3</t>
        </is>
      </c>
      <c r="H19" s="8" t="n">
        <v>1</v>
      </c>
      <c r="I19" s="8" t="n">
        <v>1</v>
      </c>
      <c r="J19" s="8" t="inlineStr">
        <is>
          <t>If I decide to exit the scheme, is there any possibility that I can rejoin at a later point of time?
Yes.
One can enroll again under the same conditions of eligibility stipulated in the Scheme.</t>
        </is>
      </c>
      <c r="K19" s="8" t="inlineStr">
        <is>
          <t>MS-C01</t>
        </is>
      </c>
      <c r="L19" s="9" t="n">
        <v>46323</v>
      </c>
      <c r="M19" s="8" t="inlineStr">
        <is>
          <t>Approved</t>
        </is>
      </c>
      <c r="N19" s="8" t="inlineStr">
        <is>
          <t>faq</t>
        </is>
      </c>
    </row>
    <row r="20" ht="82" customHeight="1">
      <c r="A20" s="4" t="inlineStr">
        <is>
          <t>C01-P0015</t>
        </is>
      </c>
      <c r="B20" s="4" t="inlineStr">
        <is>
          <t>C01</t>
        </is>
      </c>
      <c r="C20" s="4" t="inlineStr">
        <is>
          <t>Pradhan Mantri Jeevan Jyoti Bima Yojana</t>
        </is>
      </c>
      <c r="D20" s="4" t="inlineStr">
        <is>
          <t>FAQ</t>
        </is>
      </c>
      <c r="E20" s="4" t="inlineStr"/>
      <c r="F20" s="4" t="inlineStr">
        <is>
          <t>faqs.en.faqs[4]</t>
        </is>
      </c>
      <c r="G20" s="4" t="inlineStr">
        <is>
          <t>C01@20261028-6a583ea3</t>
        </is>
      </c>
      <c r="H20" s="4" t="n">
        <v>1</v>
      </c>
      <c r="I20" s="4" t="n">
        <v>1</v>
      </c>
      <c r="J20" s="4" t="inlineStr">
        <is>
          <t>Who will offer / administer the scheme?
The scheme would be offered / administered through Insurance   companies willing to offer the product with necessary approvals on similar terms, in collaboration with participating Banks. Participating banks will be free to engage any such insurance company for implementing the scheme for their subscribers.</t>
        </is>
      </c>
      <c r="K20" s="4" t="inlineStr">
        <is>
          <t>MS-C01</t>
        </is>
      </c>
      <c r="L20" s="6" t="n">
        <v>46323</v>
      </c>
      <c r="M20" s="4" t="inlineStr">
        <is>
          <t>Approved</t>
        </is>
      </c>
      <c r="N20" s="4" t="inlineStr">
        <is>
          <t>faq</t>
        </is>
      </c>
    </row>
    <row r="21" ht="82" customHeight="1">
      <c r="A21" s="8" t="inlineStr">
        <is>
          <t>C01-P0016</t>
        </is>
      </c>
      <c r="B21" s="8" t="inlineStr">
        <is>
          <t>C01</t>
        </is>
      </c>
      <c r="C21" s="8" t="inlineStr">
        <is>
          <t>Pradhan Mantri Jeevan Jyoti Bima Yojana</t>
        </is>
      </c>
      <c r="D21" s="8" t="inlineStr">
        <is>
          <t>FAQ</t>
        </is>
      </c>
      <c r="E21" s="8" t="inlineStr"/>
      <c r="F21" s="8" t="inlineStr">
        <is>
          <t>faqs.en.faqs[5]</t>
        </is>
      </c>
      <c r="G21" s="8" t="inlineStr">
        <is>
          <t>C01@20261028-6a583ea3</t>
        </is>
      </c>
      <c r="H21" s="8" t="n">
        <v>1</v>
      </c>
      <c r="I21" s="8" t="n">
        <v>1</v>
      </c>
      <c r="J21" s="8" t="inlineStr">
        <is>
          <t>What is the minimum eligibility to subscribe to PMJJBY?
All savings bank account holders in the age 18 to 50 years in participating banks will be entitled to join. 
In case of multiple bank accounts held by an individual in one or different banks, the person would be eligible to join the scheme through one saving bank account only.</t>
        </is>
      </c>
      <c r="K21" s="8" t="inlineStr">
        <is>
          <t>MS-C01</t>
        </is>
      </c>
      <c r="L21" s="9" t="n">
        <v>46323</v>
      </c>
      <c r="M21" s="8" t="inlineStr">
        <is>
          <t>Approved</t>
        </is>
      </c>
      <c r="N21" s="8" t="inlineStr">
        <is>
          <t>faq</t>
        </is>
      </c>
    </row>
    <row r="22" ht="40" customHeight="1">
      <c r="A22" s="4" t="inlineStr">
        <is>
          <t>C01-P0017</t>
        </is>
      </c>
      <c r="B22" s="4" t="inlineStr">
        <is>
          <t>C01</t>
        </is>
      </c>
      <c r="C22" s="4" t="inlineStr">
        <is>
          <t>Pradhan Mantri Jeevan Jyoti Bima Yojana</t>
        </is>
      </c>
      <c r="D22" s="4" t="inlineStr">
        <is>
          <t>FAQ</t>
        </is>
      </c>
      <c r="E22" s="4" t="inlineStr"/>
      <c r="F22" s="4" t="inlineStr">
        <is>
          <t>faqs.en.faqs[6]</t>
        </is>
      </c>
      <c r="G22" s="4" t="inlineStr">
        <is>
          <t>C01@20261028-6a583ea3</t>
        </is>
      </c>
      <c r="H22" s="4" t="n">
        <v>1</v>
      </c>
      <c r="I22" s="4" t="n">
        <v>1</v>
      </c>
      <c r="J22" s="4" t="inlineStr">
        <is>
          <t>Who would be the Master policy holder for the scheme?
Participating Banks/ Post Offices will be the Master policy holders.</t>
        </is>
      </c>
      <c r="K22" s="4" t="inlineStr">
        <is>
          <t>MS-C01</t>
        </is>
      </c>
      <c r="L22" s="6" t="n">
        <v>46323</v>
      </c>
      <c r="M22" s="4" t="inlineStr">
        <is>
          <t>Approved</t>
        </is>
      </c>
      <c r="N22" s="4" t="inlineStr">
        <is>
          <t>faq</t>
        </is>
      </c>
    </row>
    <row r="23" ht="82" customHeight="1">
      <c r="A23" s="8" t="inlineStr">
        <is>
          <t>C01-P0018</t>
        </is>
      </c>
      <c r="B23" s="8" t="inlineStr">
        <is>
          <t>C01</t>
        </is>
      </c>
      <c r="C23" s="8" t="inlineStr">
        <is>
          <t>Pradhan Mantri Jeevan Jyoti Bima Yojana</t>
        </is>
      </c>
      <c r="D23" s="8" t="inlineStr">
        <is>
          <t>FAQ</t>
        </is>
      </c>
      <c r="E23" s="8" t="inlineStr"/>
      <c r="F23" s="8" t="inlineStr">
        <is>
          <t>faqs.en.faqs[7]</t>
        </is>
      </c>
      <c r="G23" s="8" t="inlineStr">
        <is>
          <t>C01@20261028-6a583ea3</t>
        </is>
      </c>
      <c r="H23" s="8" t="n">
        <v>1</v>
      </c>
      <c r="I23" s="8" t="n">
        <v>1</v>
      </c>
      <c r="J23" s="8" t="inlineStr">
        <is>
          <t>Are NRIs eligible for coverage under PMJJBY?
Any NRI having an eligible bank account with a bank branch located in India is eligible for purchase of PMJJBY cover subject to fulfilment of the terms and conditions relating to the scheme. However, in case a claim arises, the claim benefit will be paid to the beneficiary/ nominee only in Indian currency.</t>
        </is>
      </c>
      <c r="K23" s="8" t="inlineStr">
        <is>
          <t>MS-C01</t>
        </is>
      </c>
      <c r="L23" s="9" t="n">
        <v>46323</v>
      </c>
      <c r="M23" s="8" t="inlineStr">
        <is>
          <t>Approved</t>
        </is>
      </c>
      <c r="N23" s="8" t="inlineStr">
        <is>
          <t>faq</t>
        </is>
      </c>
    </row>
    <row r="24" ht="54" customHeight="1">
      <c r="A24" s="4" t="inlineStr">
        <is>
          <t>C01-P0019</t>
        </is>
      </c>
      <c r="B24" s="4" t="inlineStr">
        <is>
          <t>C01</t>
        </is>
      </c>
      <c r="C24" s="4" t="inlineStr">
        <is>
          <t>Pradhan Mantri Jeevan Jyoti Bima Yojana</t>
        </is>
      </c>
      <c r="D24" s="4" t="inlineStr">
        <is>
          <t>FAQ</t>
        </is>
      </c>
      <c r="E24" s="4" t="inlineStr"/>
      <c r="F24" s="4" t="inlineStr">
        <is>
          <t>faqs.en.faqs[8]</t>
        </is>
      </c>
      <c r="G24" s="4" t="inlineStr">
        <is>
          <t>C01@20261028-6a583ea3</t>
        </is>
      </c>
      <c r="H24" s="4" t="n">
        <v>1</v>
      </c>
      <c r="I24" s="4" t="n">
        <v>1</v>
      </c>
      <c r="J24" s="4" t="inlineStr">
        <is>
          <t>Does the PMJJBY cover death resulting from natural calamities such as earthquake, flood and other convulsions of nature? What about coverage from suicide / murder?
Yes, all these events are covered under PMJJBY.</t>
        </is>
      </c>
      <c r="K24" s="4" t="inlineStr">
        <is>
          <t>MS-C01</t>
        </is>
      </c>
      <c r="L24" s="6" t="n">
        <v>46323</v>
      </c>
      <c r="M24" s="4" t="inlineStr">
        <is>
          <t>Approved</t>
        </is>
      </c>
      <c r="N24" s="4" t="inlineStr">
        <is>
          <t>faq</t>
        </is>
      </c>
    </row>
    <row r="25" ht="82" customHeight="1">
      <c r="A25" s="8" t="inlineStr">
        <is>
          <t>C01-P0020</t>
        </is>
      </c>
      <c r="B25" s="8" t="inlineStr">
        <is>
          <t>C01</t>
        </is>
      </c>
      <c r="C25" s="8" t="inlineStr">
        <is>
          <t>Pradhan Mantri Jeevan Jyoti Bima Yojana</t>
        </is>
      </c>
      <c r="D25" s="8" t="inlineStr">
        <is>
          <t>FAQ</t>
        </is>
      </c>
      <c r="E25" s="8" t="inlineStr"/>
      <c r="F25" s="8" t="inlineStr">
        <is>
          <t>faqs.en.faqs[9]</t>
        </is>
      </c>
      <c r="G25" s="8" t="inlineStr">
        <is>
          <t>C01@20261028-6a583ea3</t>
        </is>
      </c>
      <c r="H25" s="8" t="n">
        <v>1</v>
      </c>
      <c r="I25" s="8" t="n">
        <v>1</v>
      </c>
      <c r="J25" s="8" t="inlineStr">
        <is>
          <t>What are the changes in the terms of insurance coverage applicable to new subscribers?
For subscribers enrolling for the first time on or after 1st June 2016, insurance benefit shall not be available for death (due to any cause other than accident) occurring during the first 30 days from the date of enrolment into the scheme. Death due to accidental causes will be covered from day one of insurance coverage.</t>
        </is>
      </c>
      <c r="K25" s="8" t="inlineStr">
        <is>
          <t>MS-C01</t>
        </is>
      </c>
      <c r="L25" s="9" t="n">
        <v>46323</v>
      </c>
      <c r="M25" s="8" t="inlineStr">
        <is>
          <t>Approved</t>
        </is>
      </c>
      <c r="N25" s="8" t="inlineStr">
        <is>
          <t>faq</t>
        </is>
      </c>
    </row>
    <row r="26" ht="54" customHeight="1">
      <c r="A26" s="4" t="inlineStr">
        <is>
          <t>C01-P0021</t>
        </is>
      </c>
      <c r="B26" s="4" t="inlineStr">
        <is>
          <t>C01</t>
        </is>
      </c>
      <c r="C26" s="4" t="inlineStr">
        <is>
          <t>Pradhan Mantri Jeevan Jyoti Bima Yojana</t>
        </is>
      </c>
      <c r="D26" s="4" t="inlineStr">
        <is>
          <t>FAQ</t>
        </is>
      </c>
      <c r="E26" s="4" t="inlineStr"/>
      <c r="F26" s="4" t="inlineStr">
        <is>
          <t>faqs.en.faqs[10]</t>
        </is>
      </c>
      <c r="G26" s="4" t="inlineStr">
        <is>
          <t>C01@20261028-6a583ea3</t>
        </is>
      </c>
      <c r="H26" s="4" t="n">
        <v>1</v>
      </c>
      <c r="I26" s="4" t="n">
        <v>1</v>
      </c>
      <c r="J26" s="4" t="inlineStr">
        <is>
          <t>How do I access the Claim Form for PMJJBY?
The claim forms can be accessed from the link - https://www.jansuraksha.gov.in/Files/PMJJBY/English/ClaimForm.pdf</t>
        </is>
      </c>
      <c r="K26" s="4" t="inlineStr">
        <is>
          <t>MS-C01</t>
        </is>
      </c>
      <c r="L26" s="6" t="n">
        <v>46323</v>
      </c>
      <c r="M26" s="4" t="inlineStr">
        <is>
          <t>Approved</t>
        </is>
      </c>
      <c r="N26" s="4" t="inlineStr">
        <is>
          <t>faq</t>
        </is>
      </c>
    </row>
    <row r="27" ht="40" customHeight="1">
      <c r="A27" s="8" t="inlineStr">
        <is>
          <t>C02-P0001</t>
        </is>
      </c>
      <c r="B27" s="8" t="inlineStr">
        <is>
          <t>C02</t>
        </is>
      </c>
      <c r="C27" s="8" t="inlineStr">
        <is>
          <t>Pradhan Mantri Suraksha Bima Yojana</t>
        </is>
      </c>
      <c r="D27" s="8" t="inlineStr">
        <is>
          <t>Details</t>
        </is>
      </c>
      <c r="E27" s="8" t="inlineStr"/>
      <c r="F27" s="8" t="inlineStr">
        <is>
          <t>en.schemeContent.detailedDescription[0]</t>
        </is>
      </c>
      <c r="G27" s="8" t="inlineStr">
        <is>
          <t>C02@20261028-35fcf7ad</t>
        </is>
      </c>
      <c r="H27" s="8" t="n">
        <v>1</v>
      </c>
      <c r="I27" s="8" t="n">
        <v>1</v>
      </c>
      <c r="J27" s="8" t="inlineStr">
        <is>
          <t>An Accident Insurance Scheme offering accidental death and disability cover for death or disability on account of an accident.</t>
        </is>
      </c>
      <c r="K27" s="8" t="inlineStr">
        <is>
          <t>MS-C02</t>
        </is>
      </c>
      <c r="L27" s="9" t="n">
        <v>46323</v>
      </c>
      <c r="M27" s="8" t="inlineStr">
        <is>
          <t>Approved</t>
        </is>
      </c>
      <c r="N27" s="8" t="inlineStr">
        <is>
          <t>paragraph</t>
        </is>
      </c>
    </row>
    <row r="28" ht="40" customHeight="1">
      <c r="A28" s="4" t="inlineStr">
        <is>
          <t>C02-P0002</t>
        </is>
      </c>
      <c r="B28" s="4" t="inlineStr">
        <is>
          <t>C02</t>
        </is>
      </c>
      <c r="C28" s="4" t="inlineStr">
        <is>
          <t>Pradhan Mantri Suraksha Bima Yojana</t>
        </is>
      </c>
      <c r="D28" s="4" t="inlineStr">
        <is>
          <t>Details</t>
        </is>
      </c>
      <c r="E28" s="4" t="inlineStr">
        <is>
          <t>Premium:</t>
        </is>
      </c>
      <c r="F28" s="4" t="inlineStr">
        <is>
          <t>en.schemeContent.detailedDescription[1]</t>
        </is>
      </c>
      <c r="G28" s="4" t="inlineStr">
        <is>
          <t>C02@20261028-35fcf7ad</t>
        </is>
      </c>
      <c r="H28" s="4" t="n">
        <v>1</v>
      </c>
      <c r="I28" s="4" t="n">
        <v>1</v>
      </c>
      <c r="J28" s="4" t="inlineStr">
        <is>
          <t>Premium:</t>
        </is>
      </c>
      <c r="K28" s="4" t="inlineStr">
        <is>
          <t>MS-C02</t>
        </is>
      </c>
      <c r="L28" s="6" t="n">
        <v>46323</v>
      </c>
      <c r="M28" s="4" t="inlineStr">
        <is>
          <t>Approved</t>
        </is>
      </c>
      <c r="N28" s="4" t="inlineStr">
        <is>
          <t>paragraph</t>
        </is>
      </c>
    </row>
    <row r="29" ht="54" customHeight="1">
      <c r="A29" s="8" t="inlineStr">
        <is>
          <t>C02-P0003</t>
        </is>
      </c>
      <c r="B29" s="8" t="inlineStr">
        <is>
          <t>C02</t>
        </is>
      </c>
      <c r="C29" s="8" t="inlineStr">
        <is>
          <t>Pradhan Mantri Suraksha Bima Yojana</t>
        </is>
      </c>
      <c r="D29" s="8" t="inlineStr">
        <is>
          <t>Details</t>
        </is>
      </c>
      <c r="E29" s="8" t="inlineStr">
        <is>
          <t>Premium:</t>
        </is>
      </c>
      <c r="F29" s="8" t="inlineStr">
        <is>
          <t>en.schemeContent.detailedDescription[2]</t>
        </is>
      </c>
      <c r="G29" s="8" t="inlineStr">
        <is>
          <t>C02@20261028-35fcf7ad</t>
        </is>
      </c>
      <c r="H29" s="8" t="n">
        <v>1</v>
      </c>
      <c r="I29" s="8" t="n">
        <v>1</v>
      </c>
      <c r="J29" s="8" t="inlineStr">
        <is>
          <t>Rs.20/- per annum per member. The premium will be deducted from the account holder’s bank / Post office account through ‘auto debit’ facility on or before 1st June of each annual coverage period under the scheme.</t>
        </is>
      </c>
      <c r="K29" s="8" t="inlineStr">
        <is>
          <t>MS-C02</t>
        </is>
      </c>
      <c r="L29" s="9" t="n">
        <v>46323</v>
      </c>
      <c r="M29" s="8" t="inlineStr">
        <is>
          <t>Approved</t>
        </is>
      </c>
      <c r="N29" s="8" t="inlineStr">
        <is>
          <t>paragraph</t>
        </is>
      </c>
    </row>
    <row r="30" ht="40" customHeight="1">
      <c r="A30" s="4" t="inlineStr">
        <is>
          <t>C02-P0004</t>
        </is>
      </c>
      <c r="B30" s="4" t="inlineStr">
        <is>
          <t>C02</t>
        </is>
      </c>
      <c r="C30" s="4" t="inlineStr">
        <is>
          <t>Pradhan Mantri Suraksha Bima Yojana</t>
        </is>
      </c>
      <c r="D30" s="4" t="inlineStr">
        <is>
          <t>Details</t>
        </is>
      </c>
      <c r="E30" s="4" t="inlineStr">
        <is>
          <t>Coverage Duration:</t>
        </is>
      </c>
      <c r="F30" s="4" t="inlineStr">
        <is>
          <t>en.schemeContent.detailedDescription[3]</t>
        </is>
      </c>
      <c r="G30" s="4" t="inlineStr">
        <is>
          <t>C02@20261028-35fcf7ad</t>
        </is>
      </c>
      <c r="H30" s="4" t="n">
        <v>1</v>
      </c>
      <c r="I30" s="4" t="n">
        <v>1</v>
      </c>
      <c r="J30" s="4" t="inlineStr">
        <is>
          <t>Coverage Duration:</t>
        </is>
      </c>
      <c r="K30" s="4" t="inlineStr">
        <is>
          <t>MS-C02</t>
        </is>
      </c>
      <c r="L30" s="6" t="n">
        <v>46323</v>
      </c>
      <c r="M30" s="4" t="inlineStr">
        <is>
          <t>Approved</t>
        </is>
      </c>
      <c r="N30" s="4" t="inlineStr">
        <is>
          <t>paragraph</t>
        </is>
      </c>
    </row>
    <row r="31" ht="40" customHeight="1">
      <c r="A31" s="8" t="inlineStr">
        <is>
          <t>C02-P0005</t>
        </is>
      </c>
      <c r="B31" s="8" t="inlineStr">
        <is>
          <t>C02</t>
        </is>
      </c>
      <c r="C31" s="8" t="inlineStr">
        <is>
          <t>Pradhan Mantri Suraksha Bima Yojana</t>
        </is>
      </c>
      <c r="D31" s="8" t="inlineStr">
        <is>
          <t>Details</t>
        </is>
      </c>
      <c r="E31" s="8" t="inlineStr">
        <is>
          <t>Coverage Duration:</t>
        </is>
      </c>
      <c r="F31" s="8" t="inlineStr">
        <is>
          <t>en.schemeContent.detailedDescription[4]</t>
        </is>
      </c>
      <c r="G31" s="8" t="inlineStr">
        <is>
          <t>C02@20261028-35fcf7ad</t>
        </is>
      </c>
      <c r="H31" s="8" t="n">
        <v>1</v>
      </c>
      <c r="I31" s="8" t="n">
        <v>1</v>
      </c>
      <c r="J31" s="8" t="inlineStr">
        <is>
          <t>Coverage under PMJJBY is valid for one year from 1st June to 31st May on payment of annual premium.</t>
        </is>
      </c>
      <c r="K31" s="8" t="inlineStr">
        <is>
          <t>MS-C02</t>
        </is>
      </c>
      <c r="L31" s="9" t="n">
        <v>46323</v>
      </c>
      <c r="M31" s="8" t="inlineStr">
        <is>
          <t>Approved</t>
        </is>
      </c>
      <c r="N31" s="8" t="inlineStr">
        <is>
          <t>paragraph</t>
        </is>
      </c>
    </row>
    <row r="32" ht="40" customHeight="1">
      <c r="A32" s="4" t="inlineStr">
        <is>
          <t>C02-P0006</t>
        </is>
      </c>
      <c r="B32" s="4" t="inlineStr">
        <is>
          <t>C02</t>
        </is>
      </c>
      <c r="C32" s="4" t="inlineStr">
        <is>
          <t>Pradhan Mantri Suraksha Bima Yojana</t>
        </is>
      </c>
      <c r="D32" s="4" t="inlineStr">
        <is>
          <t>Details</t>
        </is>
      </c>
      <c r="E32" s="4" t="inlineStr">
        <is>
          <t>Accident cover assurance termination:</t>
        </is>
      </c>
      <c r="F32" s="4" t="inlineStr">
        <is>
          <t>en.schemeContent.detailedDescription[5]</t>
        </is>
      </c>
      <c r="G32" s="4" t="inlineStr">
        <is>
          <t>C02@20261028-35fcf7ad</t>
        </is>
      </c>
      <c r="H32" s="4" t="n">
        <v>1</v>
      </c>
      <c r="I32" s="4" t="n">
        <v>1</v>
      </c>
      <c r="J32" s="4" t="inlineStr">
        <is>
          <t>Accident cover assurance termination:</t>
        </is>
      </c>
      <c r="K32" s="4" t="inlineStr">
        <is>
          <t>MS-C02</t>
        </is>
      </c>
      <c r="L32" s="6" t="n">
        <v>46323</v>
      </c>
      <c r="M32" s="4" t="inlineStr">
        <is>
          <t>Approved</t>
        </is>
      </c>
      <c r="N32" s="4" t="inlineStr">
        <is>
          <t>paragraph</t>
        </is>
      </c>
    </row>
    <row r="33" ht="40" customHeight="1">
      <c r="A33" s="8" t="inlineStr">
        <is>
          <t>C02-P0007</t>
        </is>
      </c>
      <c r="B33" s="8" t="inlineStr">
        <is>
          <t>C02</t>
        </is>
      </c>
      <c r="C33" s="8" t="inlineStr">
        <is>
          <t>Pradhan Mantri Suraksha Bima Yojana</t>
        </is>
      </c>
      <c r="D33" s="8" t="inlineStr">
        <is>
          <t>Details</t>
        </is>
      </c>
      <c r="E33" s="8" t="inlineStr">
        <is>
          <t>Accident cover assurance termination:</t>
        </is>
      </c>
      <c r="F33" s="8" t="inlineStr">
        <is>
          <t>en.schemeContent.detailedDescription[6]</t>
        </is>
      </c>
      <c r="G33" s="8" t="inlineStr">
        <is>
          <t>C02@20261028-35fcf7ad</t>
        </is>
      </c>
      <c r="H33" s="8" t="n">
        <v>1</v>
      </c>
      <c r="I33" s="8" t="n">
        <v>1</v>
      </c>
      <c r="J33" s="8" t="inlineStr">
        <is>
          <t>The accident cover of the member shall terminate / be restricted accordingly on any of the following events:</t>
        </is>
      </c>
      <c r="K33" s="8" t="inlineStr">
        <is>
          <t>MS-C02</t>
        </is>
      </c>
      <c r="L33" s="9" t="n">
        <v>46323</v>
      </c>
      <c r="M33" s="8" t="inlineStr">
        <is>
          <t>Approved</t>
        </is>
      </c>
      <c r="N33" s="8" t="inlineStr">
        <is>
          <t>paragraph</t>
        </is>
      </c>
    </row>
    <row r="34" ht="40" customHeight="1">
      <c r="A34" s="4" t="inlineStr">
        <is>
          <t>C02-P0008</t>
        </is>
      </c>
      <c r="B34" s="4" t="inlineStr">
        <is>
          <t>C02</t>
        </is>
      </c>
      <c r="C34" s="4" t="inlineStr">
        <is>
          <t>Pradhan Mantri Suraksha Bima Yojana</t>
        </is>
      </c>
      <c r="D34" s="4" t="inlineStr">
        <is>
          <t>Details</t>
        </is>
      </c>
      <c r="E34" s="4" t="inlineStr">
        <is>
          <t>Accident cover assurance termination:</t>
        </is>
      </c>
      <c r="F34" s="4" t="inlineStr">
        <is>
          <t>en.schemeContent.detailedDescription[7]</t>
        </is>
      </c>
      <c r="G34" s="4" t="inlineStr">
        <is>
          <t>C02@20261028-35fcf7ad</t>
        </is>
      </c>
      <c r="H34" s="4" t="n">
        <v>1</v>
      </c>
      <c r="I34" s="4" t="n">
        <v>1</v>
      </c>
      <c r="J34" s="4" t="inlineStr">
        <is>
          <t>•	On attaining age 70 years (age nearer birth day).</t>
        </is>
      </c>
      <c r="K34" s="4" t="inlineStr">
        <is>
          <t>MS-C02</t>
        </is>
      </c>
      <c r="L34" s="6" t="n">
        <v>46323</v>
      </c>
      <c r="M34" s="4" t="inlineStr">
        <is>
          <t>Approved</t>
        </is>
      </c>
      <c r="N34" s="4" t="inlineStr">
        <is>
          <t>paragraph</t>
        </is>
      </c>
    </row>
    <row r="35" ht="40" customHeight="1">
      <c r="A35" s="8" t="inlineStr">
        <is>
          <t>C02-P0009</t>
        </is>
      </c>
      <c r="B35" s="8" t="inlineStr">
        <is>
          <t>C02</t>
        </is>
      </c>
      <c r="C35" s="8" t="inlineStr">
        <is>
          <t>Pradhan Mantri Suraksha Bima Yojana</t>
        </is>
      </c>
      <c r="D35" s="8" t="inlineStr">
        <is>
          <t>Details</t>
        </is>
      </c>
      <c r="E35" s="8" t="inlineStr">
        <is>
          <t>Accident cover assurance termination:</t>
        </is>
      </c>
      <c r="F35" s="8" t="inlineStr">
        <is>
          <t>en.schemeContent.detailedDescription[8]</t>
        </is>
      </c>
      <c r="G35" s="8" t="inlineStr">
        <is>
          <t>C02@20261028-35fcf7ad</t>
        </is>
      </c>
      <c r="H35" s="8" t="n">
        <v>1</v>
      </c>
      <c r="I35" s="8" t="n">
        <v>1</v>
      </c>
      <c r="J35" s="8" t="inlineStr">
        <is>
          <t>•	Closure of account with the Bank or insufficiency of balance to keep the insurance in force.</t>
        </is>
      </c>
      <c r="K35" s="8" t="inlineStr">
        <is>
          <t>MS-C02</t>
        </is>
      </c>
      <c r="L35" s="9" t="n">
        <v>46323</v>
      </c>
      <c r="M35" s="8" t="inlineStr">
        <is>
          <t>Approved</t>
        </is>
      </c>
      <c r="N35" s="8" t="inlineStr">
        <is>
          <t>paragraph</t>
        </is>
      </c>
    </row>
    <row r="36" ht="40" customHeight="1">
      <c r="A36" s="4" t="inlineStr">
        <is>
          <t>C02-P0010</t>
        </is>
      </c>
      <c r="B36" s="4" t="inlineStr">
        <is>
          <t>C02</t>
        </is>
      </c>
      <c r="C36" s="4" t="inlineStr">
        <is>
          <t>Pradhan Mantri Suraksha Bima Yojana</t>
        </is>
      </c>
      <c r="D36" s="4" t="inlineStr">
        <is>
          <t>Details</t>
        </is>
      </c>
      <c r="E36" s="4" t="inlineStr">
        <is>
          <t>Accident cover assurance termination:</t>
        </is>
      </c>
      <c r="F36" s="4" t="inlineStr">
        <is>
          <t>en.schemeContent.detailedDescription[9]</t>
        </is>
      </c>
      <c r="G36" s="4" t="inlineStr">
        <is>
          <t>C02@20261028-35fcf7ad</t>
        </is>
      </c>
      <c r="H36" s="4" t="n">
        <v>1</v>
      </c>
      <c r="I36" s="4" t="n">
        <v>1</v>
      </c>
      <c r="J36" s="4" t="inlineStr">
        <is>
          <t>In case a member is covered under PMSBY through more than one account and premium is received by insurance company inadvertently, insurance cover will be restricted to Rs. 2 lakh.</t>
        </is>
      </c>
      <c r="K36" s="4" t="inlineStr">
        <is>
          <t>MS-C02</t>
        </is>
      </c>
      <c r="L36" s="6" t="n">
        <v>46323</v>
      </c>
      <c r="M36" s="4" t="inlineStr">
        <is>
          <t>Approved</t>
        </is>
      </c>
      <c r="N36" s="4" t="inlineStr">
        <is>
          <t>paragraph</t>
        </is>
      </c>
    </row>
    <row r="37" ht="40" customHeight="1">
      <c r="A37" s="8" t="inlineStr">
        <is>
          <t>C02-P0011</t>
        </is>
      </c>
      <c r="B37" s="8" t="inlineStr">
        <is>
          <t>C02</t>
        </is>
      </c>
      <c r="C37" s="8" t="inlineStr">
        <is>
          <t>Pradhan Mantri Suraksha Bima Yojana</t>
        </is>
      </c>
      <c r="D37" s="8" t="inlineStr">
        <is>
          <t>Benefits</t>
        </is>
      </c>
      <c r="E37" s="8" t="inlineStr"/>
      <c r="F37" s="8" t="inlineStr">
        <is>
          <t>en.schemeContent.benefits[0].children[0]</t>
        </is>
      </c>
      <c r="G37" s="8" t="inlineStr">
        <is>
          <t>C02@20261028-35fcf7ad</t>
        </is>
      </c>
      <c r="H37" s="8" t="n">
        <v>1</v>
      </c>
      <c r="I37" s="8" t="n">
        <v>1</v>
      </c>
      <c r="J37" s="8" t="inlineStr">
        <is>
          <t>On Death- the Nominee shall get Rs. 2 Lakhs.</t>
        </is>
      </c>
      <c r="K37" s="8" t="inlineStr">
        <is>
          <t>MS-C02</t>
        </is>
      </c>
      <c r="L37" s="9" t="n">
        <v>46323</v>
      </c>
      <c r="M37" s="8" t="inlineStr">
        <is>
          <t>Approved</t>
        </is>
      </c>
      <c r="N37" s="8" t="inlineStr">
        <is>
          <t>list_item</t>
        </is>
      </c>
    </row>
    <row r="38" ht="40" customHeight="1">
      <c r="A38" s="4" t="inlineStr">
        <is>
          <t>C02-P0012</t>
        </is>
      </c>
      <c r="B38" s="4" t="inlineStr">
        <is>
          <t>C02</t>
        </is>
      </c>
      <c r="C38" s="4" t="inlineStr">
        <is>
          <t>Pradhan Mantri Suraksha Bima Yojana</t>
        </is>
      </c>
      <c r="D38" s="4" t="inlineStr">
        <is>
          <t>Benefits</t>
        </is>
      </c>
      <c r="E38" s="4" t="inlineStr"/>
      <c r="F38" s="4" t="inlineStr">
        <is>
          <t>en.schemeContent.benefits[0].children[1]</t>
        </is>
      </c>
      <c r="G38" s="4" t="inlineStr">
        <is>
          <t>C02@20261028-35fcf7ad</t>
        </is>
      </c>
      <c r="H38" s="4" t="n">
        <v>1</v>
      </c>
      <c r="I38" s="4" t="n">
        <v>1</v>
      </c>
      <c r="J38" s="4" t="inlineStr">
        <is>
          <t>Total and irrecoverable loss of both eyes or loss of use of both hands or feet or loss of sight of one eye and loss of use of hand or foot-  Subscriber shall get Rs. 2 Lakhs.</t>
        </is>
      </c>
      <c r="K38" s="4" t="inlineStr">
        <is>
          <t>MS-C02</t>
        </is>
      </c>
      <c r="L38" s="6" t="n">
        <v>46323</v>
      </c>
      <c r="M38" s="4" t="inlineStr">
        <is>
          <t>Approved</t>
        </is>
      </c>
      <c r="N38" s="4" t="inlineStr">
        <is>
          <t>list_item</t>
        </is>
      </c>
    </row>
    <row r="39" ht="40" customHeight="1">
      <c r="A39" s="8" t="inlineStr">
        <is>
          <t>C02-P0013</t>
        </is>
      </c>
      <c r="B39" s="8" t="inlineStr">
        <is>
          <t>C02</t>
        </is>
      </c>
      <c r="C39" s="8" t="inlineStr">
        <is>
          <t>Pradhan Mantri Suraksha Bima Yojana</t>
        </is>
      </c>
      <c r="D39" s="8" t="inlineStr">
        <is>
          <t>Benefits</t>
        </is>
      </c>
      <c r="E39" s="8" t="inlineStr"/>
      <c r="F39" s="8" t="inlineStr">
        <is>
          <t>en.schemeContent.benefits[0].children[2]</t>
        </is>
      </c>
      <c r="G39" s="8" t="inlineStr">
        <is>
          <t>C02@20261028-35fcf7ad</t>
        </is>
      </c>
      <c r="H39" s="8" t="n">
        <v>1</v>
      </c>
      <c r="I39" s="8" t="n">
        <v>1</v>
      </c>
      <c r="J39" s="8" t="inlineStr">
        <is>
          <t>Total and irrecoverable loss of sight of one eye or loss of use of one hand or foot –subscriber shall get Rs. 1 Lakh.</t>
        </is>
      </c>
      <c r="K39" s="8" t="inlineStr">
        <is>
          <t>MS-C02</t>
        </is>
      </c>
      <c r="L39" s="9" t="n">
        <v>46323</v>
      </c>
      <c r="M39" s="8" t="inlineStr">
        <is>
          <t>Approved</t>
        </is>
      </c>
      <c r="N39" s="8" t="inlineStr">
        <is>
          <t>list_item</t>
        </is>
      </c>
    </row>
    <row r="40" ht="54" customHeight="1">
      <c r="A40" s="4" t="inlineStr">
        <is>
          <t>C02-P0014</t>
        </is>
      </c>
      <c r="B40" s="4" t="inlineStr">
        <is>
          <t>C02</t>
        </is>
      </c>
      <c r="C40" s="4" t="inlineStr">
        <is>
          <t>Pradhan Mantri Suraksha Bima Yojana</t>
        </is>
      </c>
      <c r="D40" s="4" t="inlineStr">
        <is>
          <t>Eligibility</t>
        </is>
      </c>
      <c r="E40" s="4" t="inlineStr"/>
      <c r="F40" s="4" t="inlineStr">
        <is>
          <t>en.eligibilityCriteria.eligibilityDescription[0]</t>
        </is>
      </c>
      <c r="G40" s="4" t="inlineStr">
        <is>
          <t>C02@20261028-35fcf7ad</t>
        </is>
      </c>
      <c r="H40" s="4" t="n">
        <v>1</v>
      </c>
      <c r="I40" s="4" t="n">
        <v>1</v>
      </c>
      <c r="J40" s="4" t="inlineStr">
        <is>
          <t>Individual bank account holders of participating banks aged between 18 years (completed) and 70 years (age nearer birthday) who give their consent to join / enable auto-debit, will be enrolled into the scheme.</t>
        </is>
      </c>
      <c r="K40" s="4" t="inlineStr">
        <is>
          <t>MS-C02</t>
        </is>
      </c>
      <c r="L40" s="6" t="n">
        <v>46323</v>
      </c>
      <c r="M40" s="4" t="inlineStr">
        <is>
          <t>Approved</t>
        </is>
      </c>
      <c r="N40" s="4" t="inlineStr">
        <is>
          <t>paragraph</t>
        </is>
      </c>
    </row>
    <row r="41" ht="54" customHeight="1">
      <c r="A41" s="8" t="inlineStr">
        <is>
          <t>C02-P0015</t>
        </is>
      </c>
      <c r="B41" s="8" t="inlineStr">
        <is>
          <t>C02</t>
        </is>
      </c>
      <c r="C41" s="8" t="inlineStr">
        <is>
          <t>Pradhan Mantri Suraksha Bima Yojana</t>
        </is>
      </c>
      <c r="D41" s="8" t="inlineStr">
        <is>
          <t>Application process</t>
        </is>
      </c>
      <c r="E41" s="8" t="inlineStr"/>
      <c r="F41" s="8" t="inlineStr">
        <is>
          <t>en.applicationProcess[0].process[0].children[0]</t>
        </is>
      </c>
      <c r="G41" s="8" t="inlineStr">
        <is>
          <t>C02@20261028-35fcf7ad</t>
        </is>
      </c>
      <c r="H41" s="8" t="n">
        <v>1</v>
      </c>
      <c r="I41" s="8" t="n">
        <v>1</v>
      </c>
      <c r="J41" s="8" t="inlineStr">
        <is>
          <t>Step 01: In order to enrol in PMSBY offline, one can visit the bank branch where one has a savings account or the candidate can visit the official site: https://jansuraksha.gov.in/Forms-PMSBY.aspx to download the form.</t>
        </is>
      </c>
      <c r="K41" s="8" t="inlineStr">
        <is>
          <t>MS-C02</t>
        </is>
      </c>
      <c r="L41" s="9" t="n">
        <v>46323</v>
      </c>
      <c r="M41" s="8" t="inlineStr">
        <is>
          <t>Approved</t>
        </is>
      </c>
      <c r="N41" s="8" t="inlineStr">
        <is>
          <t>paragraph</t>
        </is>
      </c>
    </row>
    <row r="42" ht="40" customHeight="1">
      <c r="A42" s="4" t="inlineStr">
        <is>
          <t>C02-P0016</t>
        </is>
      </c>
      <c r="B42" s="4" t="inlineStr">
        <is>
          <t>C02</t>
        </is>
      </c>
      <c r="C42" s="4" t="inlineStr">
        <is>
          <t>Pradhan Mantri Suraksha Bima Yojana</t>
        </is>
      </c>
      <c r="D42" s="4" t="inlineStr">
        <is>
          <t>Application process</t>
        </is>
      </c>
      <c r="E42" s="4" t="inlineStr"/>
      <c r="F42" s="4" t="inlineStr">
        <is>
          <t>en.applicationProcess[0].process[1]</t>
        </is>
      </c>
      <c r="G42" s="4" t="inlineStr">
        <is>
          <t>C02@20261028-35fcf7ad</t>
        </is>
      </c>
      <c r="H42" s="4" t="n">
        <v>1</v>
      </c>
      <c r="I42" s="4" t="n">
        <v>1</v>
      </c>
      <c r="J42" s="4" t="inlineStr">
        <is>
          <t>Step 02: After downloading the application form , candidate can fill in all the details and submit  them to the bank along with the  required documents.</t>
        </is>
      </c>
      <c r="K42" s="4" t="inlineStr">
        <is>
          <t>MS-C02</t>
        </is>
      </c>
      <c r="L42" s="6" t="n">
        <v>46323</v>
      </c>
      <c r="M42" s="4" t="inlineStr">
        <is>
          <t>Approved</t>
        </is>
      </c>
      <c r="N42" s="4" t="inlineStr">
        <is>
          <t>paragraph</t>
        </is>
      </c>
    </row>
    <row r="43" ht="40" customHeight="1">
      <c r="A43" s="8" t="inlineStr">
        <is>
          <t>C02-P0017</t>
        </is>
      </c>
      <c r="B43" s="8" t="inlineStr">
        <is>
          <t>C02</t>
        </is>
      </c>
      <c r="C43" s="8" t="inlineStr">
        <is>
          <t>Pradhan Mantri Suraksha Bima Yojana</t>
        </is>
      </c>
      <c r="D43" s="8" t="inlineStr">
        <is>
          <t>Application process</t>
        </is>
      </c>
      <c r="E43" s="8" t="inlineStr"/>
      <c r="F43" s="8" t="inlineStr">
        <is>
          <t>en.applicationProcess[0].process[2]</t>
        </is>
      </c>
      <c r="G43" s="8" t="inlineStr">
        <is>
          <t>C02@20261028-35fcf7ad</t>
        </is>
      </c>
      <c r="H43" s="8" t="n">
        <v>1</v>
      </c>
      <c r="I43" s="8" t="n">
        <v>1</v>
      </c>
      <c r="J43" s="8" t="inlineStr">
        <is>
          <t>Step 03: Once it is successfully submitted , subscriber will get an Acknowledgement Slip Cum Certificate of Insurance.</t>
        </is>
      </c>
      <c r="K43" s="8" t="inlineStr">
        <is>
          <t>MS-C02</t>
        </is>
      </c>
      <c r="L43" s="9" t="n">
        <v>46323</v>
      </c>
      <c r="M43" s="8" t="inlineStr">
        <is>
          <t>Approved</t>
        </is>
      </c>
      <c r="N43" s="8" t="inlineStr">
        <is>
          <t>paragraph</t>
        </is>
      </c>
    </row>
    <row r="44" ht="40" customHeight="1">
      <c r="A44" s="4" t="inlineStr">
        <is>
          <t>C02-P0018</t>
        </is>
      </c>
      <c r="B44" s="4" t="inlineStr">
        <is>
          <t>C02</t>
        </is>
      </c>
      <c r="C44" s="4" t="inlineStr">
        <is>
          <t>Pradhan Mantri Suraksha Bima Yojana</t>
        </is>
      </c>
      <c r="D44" s="4" t="inlineStr">
        <is>
          <t>Application process</t>
        </is>
      </c>
      <c r="E44" s="4" t="inlineStr"/>
      <c r="F44" s="4" t="inlineStr">
        <is>
          <t>en.applicationProcess[0].process[3]</t>
        </is>
      </c>
      <c r="G44" s="4" t="inlineStr">
        <is>
          <t>C02@20261028-35fcf7ad</t>
        </is>
      </c>
      <c r="H44" s="4" t="n">
        <v>1</v>
      </c>
      <c r="I44" s="4" t="n">
        <v>1</v>
      </c>
      <c r="J44" s="4" t="inlineStr">
        <is>
          <t>Contact:</t>
        </is>
      </c>
      <c r="K44" s="4" t="inlineStr">
        <is>
          <t>MS-C02</t>
        </is>
      </c>
      <c r="L44" s="6" t="n">
        <v>46323</v>
      </c>
      <c r="M44" s="4" t="inlineStr">
        <is>
          <t>Approved</t>
        </is>
      </c>
      <c r="N44" s="4" t="inlineStr">
        <is>
          <t>paragraph</t>
        </is>
      </c>
    </row>
    <row r="45" ht="40" customHeight="1">
      <c r="A45" s="8" t="inlineStr">
        <is>
          <t>C02-P0019</t>
        </is>
      </c>
      <c r="B45" s="8" t="inlineStr">
        <is>
          <t>C02</t>
        </is>
      </c>
      <c r="C45" s="8" t="inlineStr">
        <is>
          <t>Pradhan Mantri Suraksha Bima Yojana</t>
        </is>
      </c>
      <c r="D45" s="8" t="inlineStr">
        <is>
          <t>Application process</t>
        </is>
      </c>
      <c r="E45" s="8" t="inlineStr"/>
      <c r="F45" s="8" t="inlineStr">
        <is>
          <t>en.applicationProcess[0].process[4]</t>
        </is>
      </c>
      <c r="G45" s="8" t="inlineStr">
        <is>
          <t>C02@20261028-35fcf7ad</t>
        </is>
      </c>
      <c r="H45" s="8" t="n">
        <v>1</v>
      </c>
      <c r="I45" s="8" t="n">
        <v>1</v>
      </c>
      <c r="J45" s="8" t="inlineStr">
        <is>
          <t>State wise tollfree number - https://jansuraksha.gov.in/files/STATEWISETOLLFREE.pdf</t>
        </is>
      </c>
      <c r="K45" s="8" t="inlineStr">
        <is>
          <t>MS-C02</t>
        </is>
      </c>
      <c r="L45" s="9" t="n">
        <v>46323</v>
      </c>
      <c r="M45" s="8" t="inlineStr">
        <is>
          <t>Approved</t>
        </is>
      </c>
      <c r="N45" s="8" t="inlineStr">
        <is>
          <t>paragraph</t>
        </is>
      </c>
    </row>
    <row r="46" ht="40" customHeight="1">
      <c r="A46" s="4" t="inlineStr">
        <is>
          <t>C02-P0020</t>
        </is>
      </c>
      <c r="B46" s="4" t="inlineStr">
        <is>
          <t>C02</t>
        </is>
      </c>
      <c r="C46" s="4" t="inlineStr">
        <is>
          <t>Pradhan Mantri Suraksha Bima Yojana</t>
        </is>
      </c>
      <c r="D46" s="4" t="inlineStr">
        <is>
          <t>Application process</t>
        </is>
      </c>
      <c r="E46" s="4" t="inlineStr"/>
      <c r="F46" s="4" t="inlineStr">
        <is>
          <t>en.applicationProcess[0].process[5]</t>
        </is>
      </c>
      <c r="G46" s="4" t="inlineStr">
        <is>
          <t>C02@20261028-35fcf7ad</t>
        </is>
      </c>
      <c r="H46" s="4" t="n">
        <v>1</v>
      </c>
      <c r="I46" s="4" t="n">
        <v>1</v>
      </c>
      <c r="J46" s="4" t="inlineStr">
        <is>
          <t>National Toll Free Number - 1800-180-1111 / 1800-110-001</t>
        </is>
      </c>
      <c r="K46" s="4" t="inlineStr">
        <is>
          <t>MS-C02</t>
        </is>
      </c>
      <c r="L46" s="6" t="n">
        <v>46323</v>
      </c>
      <c r="M46" s="4" t="inlineStr">
        <is>
          <t>Approved</t>
        </is>
      </c>
      <c r="N46" s="4" t="inlineStr">
        <is>
          <t>paragraph</t>
        </is>
      </c>
    </row>
    <row r="47" ht="40" customHeight="1">
      <c r="A47" s="8" t="inlineStr">
        <is>
          <t>C02-P0021</t>
        </is>
      </c>
      <c r="B47" s="8" t="inlineStr">
        <is>
          <t>C02</t>
        </is>
      </c>
      <c r="C47" s="8" t="inlineStr">
        <is>
          <t>Pradhan Mantri Suraksha Bima Yojana</t>
        </is>
      </c>
      <c r="D47" s="8" t="inlineStr">
        <is>
          <t>Application process</t>
        </is>
      </c>
      <c r="E47" s="8" t="inlineStr"/>
      <c r="F47" s="8" t="inlineStr">
        <is>
          <t>en.applicationProcess[1].process[0]</t>
        </is>
      </c>
      <c r="G47" s="8" t="inlineStr">
        <is>
          <t>C02@20261028-35fcf7ad</t>
        </is>
      </c>
      <c r="H47" s="8" t="n">
        <v>1</v>
      </c>
      <c r="I47" s="8" t="n">
        <v>1</v>
      </c>
      <c r="J47" s="8" t="inlineStr">
        <is>
          <t>One can also avail cover under PMSBY online using their bank's Net banking facility.</t>
        </is>
      </c>
      <c r="K47" s="8" t="inlineStr">
        <is>
          <t>MS-C02</t>
        </is>
      </c>
      <c r="L47" s="9" t="n">
        <v>46323</v>
      </c>
      <c r="M47" s="8" t="inlineStr">
        <is>
          <t>Approved</t>
        </is>
      </c>
      <c r="N47" s="8" t="inlineStr">
        <is>
          <t>paragraph</t>
        </is>
      </c>
    </row>
    <row r="48" ht="54" customHeight="1">
      <c r="A48" s="4" t="inlineStr">
        <is>
          <t>C02-P0022</t>
        </is>
      </c>
      <c r="B48" s="4" t="inlineStr">
        <is>
          <t>C02</t>
        </is>
      </c>
      <c r="C48" s="4" t="inlineStr">
        <is>
          <t>Pradhan Mantri Suraksha Bima Yojana</t>
        </is>
      </c>
      <c r="D48" s="4" t="inlineStr">
        <is>
          <t>FAQ</t>
        </is>
      </c>
      <c r="E48" s="4" t="inlineStr"/>
      <c r="F48" s="4" t="inlineStr">
        <is>
          <t>faqs.en.faqs[0]</t>
        </is>
      </c>
      <c r="G48" s="4" t="inlineStr">
        <is>
          <t>C02@20261028-35fcf7ad</t>
        </is>
      </c>
      <c r="H48" s="4" t="n">
        <v>1</v>
      </c>
      <c r="I48" s="4" t="n">
        <v>1</v>
      </c>
      <c r="J48" s="4" t="inlineStr">
        <is>
          <t>Is There Any Provision For Reimbursement of Hospitalization expenses following accident Resulting In Death Or Disablement? 
No.</t>
        </is>
      </c>
      <c r="K48" s="4" t="inlineStr">
        <is>
          <t>MS-C02</t>
        </is>
      </c>
      <c r="L48" s="6" t="n">
        <v>46323</v>
      </c>
      <c r="M48" s="4" t="inlineStr">
        <is>
          <t>Approved</t>
        </is>
      </c>
      <c r="N48" s="4" t="inlineStr">
        <is>
          <t>faq</t>
        </is>
      </c>
    </row>
    <row r="49" ht="82" customHeight="1">
      <c r="A49" s="8" t="inlineStr">
        <is>
          <t>C02-P0023</t>
        </is>
      </c>
      <c r="B49" s="8" t="inlineStr">
        <is>
          <t>C02</t>
        </is>
      </c>
      <c r="C49" s="8" t="inlineStr">
        <is>
          <t>Pradhan Mantri Suraksha Bima Yojana</t>
        </is>
      </c>
      <c r="D49" s="8" t="inlineStr">
        <is>
          <t>FAQ</t>
        </is>
      </c>
      <c r="E49" s="8" t="inlineStr"/>
      <c r="F49" s="8" t="inlineStr">
        <is>
          <t>faqs.en.faqs[1]</t>
        </is>
      </c>
      <c r="G49" s="8" t="inlineStr">
        <is>
          <t>C02@20261028-35fcf7ad</t>
        </is>
      </c>
      <c r="H49" s="8" t="n">
        <v>1</v>
      </c>
      <c r="I49" s="8" t="n">
        <v>1</v>
      </c>
      <c r="J49" s="8" t="inlineStr">
        <is>
          <t>Who Can Claim Insurance Benefit In Case Of Death Of The Bank Account Holder Who Gave The Enrolment Form? 
In case of death of the Account holder who enrolled in the scheme, claim can be filed by the nominee/appointee as per the enrolment form or by the legal heir/s in case there is no nomination made by the subscriber bank account holder.</t>
        </is>
      </c>
      <c r="K49" s="8" t="inlineStr">
        <is>
          <t>MS-C02</t>
        </is>
      </c>
      <c r="L49" s="9" t="n">
        <v>46323</v>
      </c>
      <c r="M49" s="8" t="inlineStr">
        <is>
          <t>Approved</t>
        </is>
      </c>
      <c r="N49" s="8" t="inlineStr">
        <is>
          <t>faq</t>
        </is>
      </c>
    </row>
    <row r="50" ht="54" customHeight="1">
      <c r="A50" s="4" t="inlineStr">
        <is>
          <t>C02-P0024</t>
        </is>
      </c>
      <c r="B50" s="4" t="inlineStr">
        <is>
          <t>C02</t>
        </is>
      </c>
      <c r="C50" s="4" t="inlineStr">
        <is>
          <t>Pradhan Mantri Suraksha Bima Yojana</t>
        </is>
      </c>
      <c r="D50" s="4" t="inlineStr">
        <is>
          <t>FAQ</t>
        </is>
      </c>
      <c r="E50" s="4" t="inlineStr"/>
      <c r="F50" s="4" t="inlineStr">
        <is>
          <t>faqs.en.faqs[2]</t>
        </is>
      </c>
      <c r="G50" s="4" t="inlineStr">
        <is>
          <t>C02@20261028-35fcf7ad</t>
        </is>
      </c>
      <c r="H50" s="4" t="n">
        <v>1</v>
      </c>
      <c r="I50" s="4" t="n">
        <v>1</v>
      </c>
      <c r="J50" s="4" t="inlineStr">
        <is>
          <t>What Is The Mode Of Payment Of The Claim Amount? 
Disability Claim will be credited in the bank account of the insured bank account holder. Death claims will be remitted to the bank account of the nominee / legal heir(s).</t>
        </is>
      </c>
      <c r="K50" s="4" t="inlineStr">
        <is>
          <t>MS-C02</t>
        </is>
      </c>
      <c r="L50" s="6" t="n">
        <v>46323</v>
      </c>
      <c r="M50" s="4" t="inlineStr">
        <is>
          <t>Approved</t>
        </is>
      </c>
      <c r="N50" s="4" t="inlineStr">
        <is>
          <t>faq</t>
        </is>
      </c>
    </row>
    <row r="51" ht="40" customHeight="1">
      <c r="A51" s="8" t="inlineStr">
        <is>
          <t>C02-P0025</t>
        </is>
      </c>
      <c r="B51" s="8" t="inlineStr">
        <is>
          <t>C02</t>
        </is>
      </c>
      <c r="C51" s="8" t="inlineStr">
        <is>
          <t>Pradhan Mantri Suraksha Bima Yojana</t>
        </is>
      </c>
      <c r="D51" s="8" t="inlineStr">
        <is>
          <t>FAQ</t>
        </is>
      </c>
      <c r="E51" s="8" t="inlineStr"/>
      <c r="F51" s="8" t="inlineStr">
        <is>
          <t>faqs.en.faqs[3]</t>
        </is>
      </c>
      <c r="G51" s="8" t="inlineStr">
        <is>
          <t>C02@20261028-35fcf7ad</t>
        </is>
      </c>
      <c r="H51" s="8" t="n">
        <v>1</v>
      </c>
      <c r="I51" s="8" t="n">
        <v>1</v>
      </c>
      <c r="J51" s="8" t="inlineStr">
        <is>
          <t>Will The Family Get Insurance Benefit If The Account Holder Commits Suicide? 
No.</t>
        </is>
      </c>
      <c r="K51" s="8" t="inlineStr">
        <is>
          <t>MS-C02</t>
        </is>
      </c>
      <c r="L51" s="9" t="n">
        <v>46323</v>
      </c>
      <c r="M51" s="8" t="inlineStr">
        <is>
          <t>Approved</t>
        </is>
      </c>
      <c r="N51" s="8" t="inlineStr">
        <is>
          <t>faq</t>
        </is>
      </c>
    </row>
    <row r="52" ht="82" customHeight="1">
      <c r="A52" s="4" t="inlineStr">
        <is>
          <t>C02-P0026</t>
        </is>
      </c>
      <c r="B52" s="4" t="inlineStr">
        <is>
          <t>C02</t>
        </is>
      </c>
      <c r="C52" s="4" t="inlineStr">
        <is>
          <t>Pradhan Mantri Suraksha Bima Yojana</t>
        </is>
      </c>
      <c r="D52" s="4" t="inlineStr">
        <is>
          <t>FAQ</t>
        </is>
      </c>
      <c r="E52" s="4" t="inlineStr"/>
      <c r="F52" s="4" t="inlineStr">
        <is>
          <t>faqs.en.faqs[4]</t>
        </is>
      </c>
      <c r="G52" s="4" t="inlineStr">
        <is>
          <t>C02@20261028-35fcf7ad</t>
        </is>
      </c>
      <c r="H52" s="4" t="n">
        <v>1</v>
      </c>
      <c r="I52" s="4" t="n">
        <v>1</v>
      </c>
      <c r="J52" s="4" t="inlineStr">
        <is>
          <t>Is It Necessary To Report Accidents To Police And Obtain FIR For Claiming Benefits Under The Policy?
In case of incidents like Road, Rail and similar vehicular accidents, drowning, death involving any crime etc., the accident should be reported to police. In case of incidents like snake bite, fall from tree etc., the cause should be supported by immediate hospital record.</t>
        </is>
      </c>
      <c r="K52" s="4" t="inlineStr">
        <is>
          <t>MS-C02</t>
        </is>
      </c>
      <c r="L52" s="6" t="n">
        <v>46323</v>
      </c>
      <c r="M52" s="4" t="inlineStr">
        <is>
          <t>Approved</t>
        </is>
      </c>
      <c r="N52" s="4" t="inlineStr">
        <is>
          <t>faq</t>
        </is>
      </c>
    </row>
    <row r="53" ht="54" customHeight="1">
      <c r="A53" s="8" t="inlineStr">
        <is>
          <t>C02-P0027</t>
        </is>
      </c>
      <c r="B53" s="8" t="inlineStr">
        <is>
          <t>C02</t>
        </is>
      </c>
      <c r="C53" s="8" t="inlineStr">
        <is>
          <t>Pradhan Mantri Suraksha Bima Yojana</t>
        </is>
      </c>
      <c r="D53" s="8" t="inlineStr">
        <is>
          <t>FAQ</t>
        </is>
      </c>
      <c r="E53" s="8" t="inlineStr"/>
      <c r="F53" s="8" t="inlineStr">
        <is>
          <t>faqs.en.faqs[5]</t>
        </is>
      </c>
      <c r="G53" s="8" t="inlineStr">
        <is>
          <t>C02@20261028-35fcf7ad</t>
        </is>
      </c>
      <c r="H53" s="8" t="n">
        <v>1</v>
      </c>
      <c r="I53" s="8" t="n">
        <v>1</v>
      </c>
      <c r="J53" s="8" t="inlineStr">
        <is>
          <t>If The Insured Is Missing And Death Is Not Confirmed, Will The Legal Heirs Get Benefit Of Insurance?
PMSBY covers deaths confirmed by documentary evidence to have been caused by accident.</t>
        </is>
      </c>
      <c r="K53" s="8" t="inlineStr">
        <is>
          <t>MS-C02</t>
        </is>
      </c>
      <c r="L53" s="9" t="n">
        <v>46323</v>
      </c>
      <c r="M53" s="8" t="inlineStr">
        <is>
          <t>Approved</t>
        </is>
      </c>
      <c r="N53" s="8" t="inlineStr">
        <is>
          <t>faq</t>
        </is>
      </c>
    </row>
    <row r="54" ht="54" customHeight="1">
      <c r="A54" s="4" t="inlineStr">
        <is>
          <t>C02-P0028</t>
        </is>
      </c>
      <c r="B54" s="4" t="inlineStr">
        <is>
          <t>C02</t>
        </is>
      </c>
      <c r="C54" s="4" t="inlineStr">
        <is>
          <t>Pradhan Mantri Suraksha Bima Yojana</t>
        </is>
      </c>
      <c r="D54" s="4" t="inlineStr">
        <is>
          <t>FAQ</t>
        </is>
      </c>
      <c r="E54" s="4" t="inlineStr"/>
      <c r="F54" s="4" t="inlineStr">
        <is>
          <t>faqs.en.faqs[6]</t>
        </is>
      </c>
      <c r="G54" s="4" t="inlineStr">
        <is>
          <t>C02@20261028-35fcf7ad</t>
        </is>
      </c>
      <c r="H54" s="4" t="n">
        <v>1</v>
      </c>
      <c r="I54" s="4" t="n">
        <v>1</v>
      </c>
      <c r="J54" s="4" t="inlineStr">
        <is>
          <t>What Benefit Will Be Payable if A Person Suffers Partial Disability Without Irrecoverable Loss Of Sight Of One Eye Or Loss Of Use Of One Hand Or Foot?
No benefit will be payable.</t>
        </is>
      </c>
      <c r="K54" s="4" t="inlineStr">
        <is>
          <t>MS-C02</t>
        </is>
      </c>
      <c r="L54" s="6" t="n">
        <v>46323</v>
      </c>
      <c r="M54" s="4" t="inlineStr">
        <is>
          <t>Approved</t>
        </is>
      </c>
      <c r="N54" s="4" t="inlineStr">
        <is>
          <t>faq</t>
        </is>
      </c>
    </row>
    <row r="55" ht="54" customHeight="1">
      <c r="A55" s="8" t="inlineStr">
        <is>
          <t>C02-P0029</t>
        </is>
      </c>
      <c r="B55" s="8" t="inlineStr">
        <is>
          <t>C02</t>
        </is>
      </c>
      <c r="C55" s="8" t="inlineStr">
        <is>
          <t>Pradhan Mantri Suraksha Bima Yojana</t>
        </is>
      </c>
      <c r="D55" s="8" t="inlineStr">
        <is>
          <t>FAQ</t>
        </is>
      </c>
      <c r="E55" s="8" t="inlineStr"/>
      <c r="F55" s="8" t="inlineStr">
        <is>
          <t>faqs.en.faqs[7]</t>
        </is>
      </c>
      <c r="G55" s="8" t="inlineStr">
        <is>
          <t>C02@20261028-35fcf7ad</t>
        </is>
      </c>
      <c r="H55" s="8" t="n">
        <v>1</v>
      </c>
      <c r="I55" s="8" t="n">
        <v>1</v>
      </c>
      <c r="J55" s="8" t="inlineStr">
        <is>
          <t>Can An Account Holder Get Claim From More Than One Bank Where He Has Enrolled And Premium Has Been Debited?
No. The insured/ Nominee shall be eligible for one claim only.</t>
        </is>
      </c>
      <c r="K55" s="8" t="inlineStr">
        <is>
          <t>MS-C02</t>
        </is>
      </c>
      <c r="L55" s="9" t="n">
        <v>46323</v>
      </c>
      <c r="M55" s="8" t="inlineStr">
        <is>
          <t>Approved</t>
        </is>
      </c>
      <c r="N55" s="8" t="inlineStr">
        <is>
          <t>faq</t>
        </is>
      </c>
    </row>
    <row r="56" ht="54" customHeight="1">
      <c r="A56" s="4" t="inlineStr">
        <is>
          <t>C02-P0030</t>
        </is>
      </c>
      <c r="B56" s="4" t="inlineStr">
        <is>
          <t>C02</t>
        </is>
      </c>
      <c r="C56" s="4" t="inlineStr">
        <is>
          <t>Pradhan Mantri Suraksha Bima Yojana</t>
        </is>
      </c>
      <c r="D56" s="4" t="inlineStr">
        <is>
          <t>FAQ</t>
        </is>
      </c>
      <c r="E56" s="4" t="inlineStr"/>
      <c r="F56" s="4" t="inlineStr">
        <is>
          <t>faqs.en.faqs[8]</t>
        </is>
      </c>
      <c r="G56" s="4" t="inlineStr">
        <is>
          <t>C02@20261028-35fcf7ad</t>
        </is>
      </c>
      <c r="H56" s="4" t="n">
        <v>1</v>
      </c>
      <c r="I56" s="4" t="n">
        <v>1</v>
      </c>
      <c r="J56" s="4" t="inlineStr">
        <is>
          <t>Can A Individual Join PMSBY From Multiple Bank Accounts?
No. In case of multiple bank accounts held by an individual in one or different banks, the person would be eligible to join the scheme through one bank/post office account only.</t>
        </is>
      </c>
      <c r="K56" s="4" t="inlineStr">
        <is>
          <t>MS-C02</t>
        </is>
      </c>
      <c r="L56" s="6" t="n">
        <v>46323</v>
      </c>
      <c r="M56" s="4" t="inlineStr">
        <is>
          <t>Approved</t>
        </is>
      </c>
      <c r="N56" s="4" t="inlineStr">
        <is>
          <t>faq</t>
        </is>
      </c>
    </row>
    <row r="57" ht="54" customHeight="1">
      <c r="A57" s="8" t="inlineStr">
        <is>
          <t>C02-P0031</t>
        </is>
      </c>
      <c r="B57" s="8" t="inlineStr">
        <is>
          <t>C02</t>
        </is>
      </c>
      <c r="C57" s="8" t="inlineStr">
        <is>
          <t>Pradhan Mantri Suraksha Bima Yojana</t>
        </is>
      </c>
      <c r="D57" s="8" t="inlineStr">
        <is>
          <t>FAQ</t>
        </is>
      </c>
      <c r="E57" s="8" t="inlineStr"/>
      <c r="F57" s="8" t="inlineStr">
        <is>
          <t>faqs.en.faqs[9]</t>
        </is>
      </c>
      <c r="G57" s="8" t="inlineStr">
        <is>
          <t>C02@20261028-35fcf7ad</t>
        </is>
      </c>
      <c r="H57" s="8" t="n">
        <v>1</v>
      </c>
      <c r="I57" s="8" t="n">
        <v>1</v>
      </c>
      <c r="J57" s="8" t="inlineStr">
        <is>
          <t>What Is The Minimum And Maximum Age Limit For Entry Into This Scheme? 
Individuals aged between 18 years (completed) and 70 years (age nearer birthday) are eligible for this scheme.</t>
        </is>
      </c>
      <c r="K57" s="8" t="inlineStr">
        <is>
          <t>MS-C02</t>
        </is>
      </c>
      <c r="L57" s="9" t="n">
        <v>46323</v>
      </c>
      <c r="M57" s="8" t="inlineStr">
        <is>
          <t>Approved</t>
        </is>
      </c>
      <c r="N57" s="8" t="inlineStr">
        <is>
          <t>faq</t>
        </is>
      </c>
    </row>
    <row r="58" ht="54" customHeight="1">
      <c r="A58" s="4" t="inlineStr">
        <is>
          <t>C02-P0032</t>
        </is>
      </c>
      <c r="B58" s="4" t="inlineStr">
        <is>
          <t>C02</t>
        </is>
      </c>
      <c r="C58" s="4" t="inlineStr">
        <is>
          <t>Pradhan Mantri Suraksha Bima Yojana</t>
        </is>
      </c>
      <c r="D58" s="4" t="inlineStr">
        <is>
          <t>FAQ</t>
        </is>
      </c>
      <c r="E58" s="4" t="inlineStr"/>
      <c r="F58" s="4" t="inlineStr">
        <is>
          <t>faqs.en.faqs[10]</t>
        </is>
      </c>
      <c r="G58" s="4" t="inlineStr">
        <is>
          <t>C02@20261028-35fcf7ad</t>
        </is>
      </c>
      <c r="H58" s="4" t="n">
        <v>1</v>
      </c>
      <c r="I58" s="4" t="n">
        <v>1</v>
      </c>
      <c r="J58" s="4" t="inlineStr">
        <is>
          <t>How Will The Premium Be Paid?
The premium will be deducted from the account holder’s bank / Post office account through ‘auto debit’ as per the consent given on enrolment.</t>
        </is>
      </c>
      <c r="K58" s="4" t="inlineStr">
        <is>
          <t>MS-C02</t>
        </is>
      </c>
      <c r="L58" s="6" t="n">
        <v>46323</v>
      </c>
      <c r="M58" s="4" t="inlineStr">
        <is>
          <t>Approved</t>
        </is>
      </c>
      <c r="N58" s="4" t="inlineStr">
        <is>
          <t>faq</t>
        </is>
      </c>
    </row>
    <row r="59" ht="68" customHeight="1">
      <c r="A59" s="8" t="inlineStr">
        <is>
          <t>C02-P0033</t>
        </is>
      </c>
      <c r="B59" s="8" t="inlineStr">
        <is>
          <t>C02</t>
        </is>
      </c>
      <c r="C59" s="8" t="inlineStr">
        <is>
          <t>Pradhan Mantri Suraksha Bima Yojana</t>
        </is>
      </c>
      <c r="D59" s="8" t="inlineStr">
        <is>
          <t>FAQ</t>
        </is>
      </c>
      <c r="E59" s="8" t="inlineStr"/>
      <c r="F59" s="8" t="inlineStr">
        <is>
          <t>faqs.en.faqs[11]</t>
        </is>
      </c>
      <c r="G59" s="8" t="inlineStr">
        <is>
          <t>C02@20261028-35fcf7ad</t>
        </is>
      </c>
      <c r="H59" s="8" t="n">
        <v>1</v>
      </c>
      <c r="I59" s="8" t="n">
        <v>1</v>
      </c>
      <c r="J59" s="8" t="inlineStr">
        <is>
          <t>Can Eligible Individuals Who Fail To Join The Scheme In The Initial Year Join In Subsequent Years? 
Yes, on payment of premium through auto-debit. New eligible entrants in future years can also join accordingly.</t>
        </is>
      </c>
      <c r="K59" s="8" t="inlineStr">
        <is>
          <t>MS-C02</t>
        </is>
      </c>
      <c r="L59" s="9" t="n">
        <v>46323</v>
      </c>
      <c r="M59" s="8" t="inlineStr">
        <is>
          <t>Approved</t>
        </is>
      </c>
      <c r="N59" s="8" t="inlineStr">
        <is>
          <t>faq</t>
        </is>
      </c>
    </row>
    <row r="60" ht="54" customHeight="1">
      <c r="A60" s="4" t="inlineStr">
        <is>
          <t>C02-P0034</t>
        </is>
      </c>
      <c r="B60" s="4" t="inlineStr">
        <is>
          <t>C02</t>
        </is>
      </c>
      <c r="C60" s="4" t="inlineStr">
        <is>
          <t>Pradhan Mantri Suraksha Bima Yojana</t>
        </is>
      </c>
      <c r="D60" s="4" t="inlineStr">
        <is>
          <t>FAQ</t>
        </is>
      </c>
      <c r="E60" s="4" t="inlineStr"/>
      <c r="F60" s="4" t="inlineStr">
        <is>
          <t>faqs.en.faqs[12]</t>
        </is>
      </c>
      <c r="G60" s="4" t="inlineStr">
        <is>
          <t>C02@20261028-35fcf7ad</t>
        </is>
      </c>
      <c r="H60" s="4" t="n">
        <v>1</v>
      </c>
      <c r="I60" s="4" t="n">
        <v>1</v>
      </c>
      <c r="J60" s="4" t="inlineStr">
        <is>
          <t>Can Individuals Who Leave The Scheme Rejoin?
Individuals who exit the scheme at any point may re-join the scheme in future years by paying the annual premium, subject to conditions that may be laid down.</t>
        </is>
      </c>
      <c r="K60" s="4" t="inlineStr">
        <is>
          <t>MS-C02</t>
        </is>
      </c>
      <c r="L60" s="6" t="n">
        <v>46323</v>
      </c>
      <c r="M60" s="4" t="inlineStr">
        <is>
          <t>Approved</t>
        </is>
      </c>
      <c r="N60" s="4" t="inlineStr">
        <is>
          <t>faq</t>
        </is>
      </c>
    </row>
    <row r="61" ht="54" customHeight="1">
      <c r="A61" s="8" t="inlineStr">
        <is>
          <t>C02-P0035</t>
        </is>
      </c>
      <c r="B61" s="8" t="inlineStr">
        <is>
          <t>C02</t>
        </is>
      </c>
      <c r="C61" s="8" t="inlineStr">
        <is>
          <t>Pradhan Mantri Suraksha Bima Yojana</t>
        </is>
      </c>
      <c r="D61" s="8" t="inlineStr">
        <is>
          <t>FAQ</t>
        </is>
      </c>
      <c r="E61" s="8" t="inlineStr"/>
      <c r="F61" s="8" t="inlineStr">
        <is>
          <t>faqs.en.faqs[13]</t>
        </is>
      </c>
      <c r="G61" s="8" t="inlineStr">
        <is>
          <t>C02@20261028-35fcf7ad</t>
        </is>
      </c>
      <c r="H61" s="8" t="n">
        <v>1</v>
      </c>
      <c r="I61" s="8" t="n">
        <v>1</v>
      </c>
      <c r="J61" s="8" t="inlineStr">
        <is>
          <t>Will This Cover Be In Addition To Cover Under Any Other Insurance Scheme The Subscriber May Be Covered Under?  
Yes.</t>
        </is>
      </c>
      <c r="K61" s="8" t="inlineStr">
        <is>
          <t>MS-C02</t>
        </is>
      </c>
      <c r="L61" s="9" t="n">
        <v>46323</v>
      </c>
      <c r="M61" s="8" t="inlineStr">
        <is>
          <t>Approved</t>
        </is>
      </c>
      <c r="N61" s="8" t="inlineStr">
        <is>
          <t>faq</t>
        </is>
      </c>
    </row>
    <row r="62" ht="82" customHeight="1">
      <c r="A62" s="4" t="inlineStr">
        <is>
          <t>C02-P0036</t>
        </is>
      </c>
      <c r="B62" s="4" t="inlineStr">
        <is>
          <t>C02</t>
        </is>
      </c>
      <c r="C62" s="4" t="inlineStr">
        <is>
          <t>Pradhan Mantri Suraksha Bima Yojana</t>
        </is>
      </c>
      <c r="D62" s="4" t="inlineStr">
        <is>
          <t>FAQ</t>
        </is>
      </c>
      <c r="E62" s="4" t="inlineStr"/>
      <c r="F62" s="4" t="inlineStr">
        <is>
          <t>faqs.en.faqs[14]</t>
        </is>
      </c>
      <c r="G62" s="4" t="inlineStr">
        <is>
          <t>C02@20261028-35fcf7ad</t>
        </is>
      </c>
      <c r="H62" s="4" t="n">
        <v>1</v>
      </c>
      <c r="I62" s="4" t="n">
        <v>1</v>
      </c>
      <c r="J62" s="4" t="inlineStr">
        <is>
          <t>Does The PMSBY Cover Death / Disability Resulting From Natural Calamities Such As Earthquake, Flood And Other Convulsions Of Nature? What about coverage of suicide / murder?
Natural calamities being in the nature of accidents, any death / disability (as defined under PMSBY) resulting from such natural calamities is also covered under PMSBY. While death due to suicide is not covered, that from murder is covered</t>
        </is>
      </c>
      <c r="K62" s="4" t="inlineStr">
        <is>
          <t>MS-C02</t>
        </is>
      </c>
      <c r="L62" s="6" t="n">
        <v>46323</v>
      </c>
      <c r="M62" s="4" t="inlineStr">
        <is>
          <t>Approved</t>
        </is>
      </c>
      <c r="N62" s="4" t="inlineStr">
        <is>
          <t>faq</t>
        </is>
      </c>
    </row>
    <row r="63" ht="68" customHeight="1">
      <c r="A63" s="8" t="inlineStr">
        <is>
          <t>C02-P0037</t>
        </is>
      </c>
      <c r="B63" s="8" t="inlineStr">
        <is>
          <t>C02</t>
        </is>
      </c>
      <c r="C63" s="8" t="inlineStr">
        <is>
          <t>Pradhan Mantri Suraksha Bima Yojana</t>
        </is>
      </c>
      <c r="D63" s="8" t="inlineStr">
        <is>
          <t>FAQ</t>
        </is>
      </c>
      <c r="E63" s="8" t="inlineStr"/>
      <c r="F63" s="8" t="inlineStr">
        <is>
          <t>faqs.en.faqs[15]</t>
        </is>
      </c>
      <c r="G63" s="8" t="inlineStr">
        <is>
          <t>C02@20261028-35fcf7ad</t>
        </is>
      </c>
      <c r="H63" s="8" t="n">
        <v>1</v>
      </c>
      <c r="I63" s="8" t="n">
        <v>1</v>
      </c>
      <c r="J63" s="8" t="inlineStr">
        <is>
          <t>Can All Holders Of A Joint Bank Account Join The Scheme Through The Said Account? 
In case of a joint account, all holders of the said account can join the scheme provided they satisfy its eligibility criteria and pay the premium at the rate of Rs.20 per person, per annum through auto-debit.</t>
        </is>
      </c>
      <c r="K63" s="8" t="inlineStr">
        <is>
          <t>MS-C02</t>
        </is>
      </c>
      <c r="L63" s="9" t="n">
        <v>46323</v>
      </c>
      <c r="M63" s="8" t="inlineStr">
        <is>
          <t>Approved</t>
        </is>
      </c>
      <c r="N63" s="8" t="inlineStr">
        <is>
          <t>faq</t>
        </is>
      </c>
    </row>
    <row r="64" ht="54" customHeight="1">
      <c r="A64" s="4" t="inlineStr">
        <is>
          <t>C02-P0038</t>
        </is>
      </c>
      <c r="B64" s="4" t="inlineStr">
        <is>
          <t>C02</t>
        </is>
      </c>
      <c r="C64" s="4" t="inlineStr">
        <is>
          <t>Pradhan Mantri Suraksha Bima Yojana</t>
        </is>
      </c>
      <c r="D64" s="4" t="inlineStr">
        <is>
          <t>FAQ</t>
        </is>
      </c>
      <c r="E64" s="4" t="inlineStr"/>
      <c r="F64" s="4" t="inlineStr">
        <is>
          <t>faqs.en.faqs[16]</t>
        </is>
      </c>
      <c r="G64" s="4" t="inlineStr">
        <is>
          <t>C02@20261028-35fcf7ad</t>
        </is>
      </c>
      <c r="H64" s="4" t="n">
        <v>1</v>
      </c>
      <c r="I64" s="4" t="n">
        <v>1</v>
      </c>
      <c r="J64" s="4" t="inlineStr">
        <is>
          <t>Which Bank Accounts Are Eligible For Subscribing To PMSBY? 
All bank/post office account holders other than institutional account holders are eligible for subscribing to PMSBY scheme.</t>
        </is>
      </c>
      <c r="K64" s="4" t="inlineStr">
        <is>
          <t>MS-C02</t>
        </is>
      </c>
      <c r="L64" s="6" t="n">
        <v>46323</v>
      </c>
      <c r="M64" s="4" t="inlineStr">
        <is>
          <t>Approved</t>
        </is>
      </c>
      <c r="N64" s="4" t="inlineStr">
        <is>
          <t>faq</t>
        </is>
      </c>
    </row>
    <row r="65" ht="82" customHeight="1">
      <c r="A65" s="8" t="inlineStr">
        <is>
          <t>C02-P0039</t>
        </is>
      </c>
      <c r="B65" s="8" t="inlineStr">
        <is>
          <t>C02</t>
        </is>
      </c>
      <c r="C65" s="8" t="inlineStr">
        <is>
          <t>Pradhan Mantri Suraksha Bima Yojana</t>
        </is>
      </c>
      <c r="D65" s="8" t="inlineStr">
        <is>
          <t>FAQ</t>
        </is>
      </c>
      <c r="E65" s="8" t="inlineStr"/>
      <c r="F65" s="8" t="inlineStr">
        <is>
          <t>faqs.en.faqs[17]</t>
        </is>
      </c>
      <c r="G65" s="8" t="inlineStr">
        <is>
          <t>C02@20261028-35fcf7ad</t>
        </is>
      </c>
      <c r="H65" s="8" t="n">
        <v>1</v>
      </c>
      <c r="I65" s="8" t="n">
        <v>1</v>
      </c>
      <c r="J65" s="8" t="inlineStr">
        <is>
          <t>Are NRIs Eligible For Coverage Under PMSBY?
Any NRI having an eligible bank account with a bank branch located in India is eligible for purchase of PMSBY cover through this account subject to fulfilment of the terms and conditions relating to the scheme. However, in cases of a claim , the claim benefit will be paid to the beneficiary/ nominee only in Indian currency.</t>
        </is>
      </c>
      <c r="K65" s="8" t="inlineStr">
        <is>
          <t>MS-C02</t>
        </is>
      </c>
      <c r="L65" s="9" t="n">
        <v>46323</v>
      </c>
      <c r="M65" s="8" t="inlineStr">
        <is>
          <t>Approved</t>
        </is>
      </c>
      <c r="N65" s="8" t="inlineStr">
        <is>
          <t>faq</t>
        </is>
      </c>
    </row>
    <row r="66" ht="82" customHeight="1">
      <c r="A66" s="4" t="inlineStr">
        <is>
          <t>C03-P0001</t>
        </is>
      </c>
      <c r="B66" s="4" t="inlineStr">
        <is>
          <t>C03</t>
        </is>
      </c>
      <c r="C66" s="4" t="inlineStr">
        <is>
          <t>Pradhan Mantri Kisan Maandhan Yojana</t>
        </is>
      </c>
      <c r="D66" s="4" t="inlineStr">
        <is>
          <t>Details</t>
        </is>
      </c>
      <c r="E66" s="4" t="inlineStr"/>
      <c r="F66" s="4" t="inlineStr">
        <is>
          <t>en.schemeContent.detailedDescription[0].children[0]</t>
        </is>
      </c>
      <c r="G66" s="4" t="inlineStr">
        <is>
          <t>C03@20261028-b25487a7</t>
        </is>
      </c>
      <c r="H66" s="4" t="n">
        <v>1</v>
      </c>
      <c r="I66" s="4" t="n">
        <v>1</v>
      </c>
      <c r="J66" s="4" t="inlineStr">
        <is>
          <t>"Pradhan Mantri Kisan Maandhan Yojana" by the Department of Agriculture &amp; Farmers Welfare, Government of India is a government scheme meant for old age protection and social security of Small and Marginal Farmers (SMF). All Small and Marginal Farmers having cultivable landholding up to 2 hectares falling in the age group of 18 to 40 years, whose names appear in the land records of States/UTs as on 01.08.2019, are eligible to get benefits under the scheme.</t>
        </is>
      </c>
      <c r="K66" s="4" t="inlineStr">
        <is>
          <t>MS-C03</t>
        </is>
      </c>
      <c r="L66" s="6" t="n">
        <v>46323</v>
      </c>
      <c r="M66" s="4" t="inlineStr">
        <is>
          <t>Approved</t>
        </is>
      </c>
      <c r="N66" s="4" t="inlineStr">
        <is>
          <t>paragraph</t>
        </is>
      </c>
    </row>
    <row r="67" ht="68" customHeight="1">
      <c r="A67" s="8" t="inlineStr">
        <is>
          <t>C03-P0002</t>
        </is>
      </c>
      <c r="B67" s="8" t="inlineStr">
        <is>
          <t>C03</t>
        </is>
      </c>
      <c r="C67" s="8" t="inlineStr">
        <is>
          <t>Pradhan Mantri Kisan Maandhan Yojana</t>
        </is>
      </c>
      <c r="D67" s="8" t="inlineStr">
        <is>
          <t>Details</t>
        </is>
      </c>
      <c r="E67" s="8" t="inlineStr"/>
      <c r="F67" s="8" t="inlineStr">
        <is>
          <t>en.schemeContent.detailedDescription[0].children[1]</t>
        </is>
      </c>
      <c r="G67" s="8" t="inlineStr">
        <is>
          <t>C03@20261028-b25487a7</t>
        </is>
      </c>
      <c r="H67" s="8" t="n">
        <v>1</v>
      </c>
      <c r="I67" s="8" t="n">
        <v>1</v>
      </c>
      <c r="J67" s="8" t="inlineStr">
        <is>
          <t>Under this scheme, the farmers would receive a minimum assured pension of ₹,3000/- per month after attaining the age of 60 years and if the farmer dies, the spouse of the farmer shall be entitled to receive 50% of the pension as family pension. Family pension is applicable only to the spouse.</t>
        </is>
      </c>
      <c r="K67" s="8" t="inlineStr">
        <is>
          <t>MS-C03</t>
        </is>
      </c>
      <c r="L67" s="9" t="n">
        <v>46323</v>
      </c>
      <c r="M67" s="8" t="inlineStr">
        <is>
          <t>Approved</t>
        </is>
      </c>
      <c r="N67" s="8" t="inlineStr">
        <is>
          <t>paragraph</t>
        </is>
      </c>
    </row>
    <row r="68" ht="40" customHeight="1">
      <c r="A68" s="4" t="inlineStr">
        <is>
          <t>C03-P0003</t>
        </is>
      </c>
      <c r="B68" s="4" t="inlineStr">
        <is>
          <t>C03</t>
        </is>
      </c>
      <c r="C68" s="4" t="inlineStr">
        <is>
          <t>Pradhan Mantri Kisan Maandhan Yojana</t>
        </is>
      </c>
      <c r="D68" s="4" t="inlineStr">
        <is>
          <t>Benefits</t>
        </is>
      </c>
      <c r="E68" s="4" t="inlineStr">
        <is>
          <t>Monthly Pension Benefit:</t>
        </is>
      </c>
      <c r="F68" s="4" t="inlineStr">
        <is>
          <t>en.schemeContent.benefits[0].children[0]</t>
        </is>
      </c>
      <c r="G68" s="4" t="inlineStr">
        <is>
          <t>C03@20261028-b25487a7</t>
        </is>
      </c>
      <c r="H68" s="4" t="n">
        <v>1</v>
      </c>
      <c r="I68" s="4" t="n">
        <v>1</v>
      </c>
      <c r="J68" s="4" t="inlineStr">
        <is>
          <t>Monthly Pension Benefit:</t>
        </is>
      </c>
      <c r="K68" s="4" t="inlineStr">
        <is>
          <t>MS-C03</t>
        </is>
      </c>
      <c r="L68" s="6" t="n">
        <v>46323</v>
      </c>
      <c r="M68" s="4" t="inlineStr">
        <is>
          <t>Approved</t>
        </is>
      </c>
      <c r="N68" s="4" t="inlineStr">
        <is>
          <t>list_item</t>
        </is>
      </c>
    </row>
    <row r="69" ht="40" customHeight="1">
      <c r="A69" s="8" t="inlineStr">
        <is>
          <t>C03-P0004</t>
        </is>
      </c>
      <c r="B69" s="8" t="inlineStr">
        <is>
          <t>C03</t>
        </is>
      </c>
      <c r="C69" s="8" t="inlineStr">
        <is>
          <t>Pradhan Mantri Kisan Maandhan Yojana</t>
        </is>
      </c>
      <c r="D69" s="8" t="inlineStr">
        <is>
          <t>Benefits</t>
        </is>
      </c>
      <c r="E69" s="8" t="inlineStr">
        <is>
          <t>Monthly Pension Benefit:</t>
        </is>
      </c>
      <c r="F69" s="8" t="inlineStr">
        <is>
          <t>en.schemeContent.benefits[1].children[0].children[0]</t>
        </is>
      </c>
      <c r="G69" s="8" t="inlineStr">
        <is>
          <t>C03@20261028-b25487a7</t>
        </is>
      </c>
      <c r="H69" s="8" t="n">
        <v>1</v>
      </c>
      <c r="I69" s="8" t="n">
        <v>1</v>
      </c>
      <c r="J69" s="8" t="inlineStr">
        <is>
          <t>The subscriber will receive a minimum assured pension of ₹ 3,000/- per month after attaining the age of 60 years.</t>
        </is>
      </c>
      <c r="K69" s="8" t="inlineStr">
        <is>
          <t>MS-C03</t>
        </is>
      </c>
      <c r="L69" s="9" t="n">
        <v>46323</v>
      </c>
      <c r="M69" s="8" t="inlineStr">
        <is>
          <t>Approved</t>
        </is>
      </c>
      <c r="N69" s="8" t="inlineStr">
        <is>
          <t>list_item</t>
        </is>
      </c>
    </row>
    <row r="70" ht="40" customHeight="1">
      <c r="A70" s="4" t="inlineStr">
        <is>
          <t>C03-P0005</t>
        </is>
      </c>
      <c r="B70" s="4" t="inlineStr">
        <is>
          <t>C03</t>
        </is>
      </c>
      <c r="C70" s="4" t="inlineStr">
        <is>
          <t>Pradhan Mantri Kisan Maandhan Yojana</t>
        </is>
      </c>
      <c r="D70" s="4" t="inlineStr">
        <is>
          <t>Benefits</t>
        </is>
      </c>
      <c r="E70" s="4" t="inlineStr">
        <is>
          <t>Family Pension Benefit:</t>
        </is>
      </c>
      <c r="F70" s="4" t="inlineStr">
        <is>
          <t>en.schemeContent.benefits[2].children[0]</t>
        </is>
      </c>
      <c r="G70" s="4" t="inlineStr">
        <is>
          <t>C03@20261028-b25487a7</t>
        </is>
      </c>
      <c r="H70" s="4" t="n">
        <v>1</v>
      </c>
      <c r="I70" s="4" t="n">
        <v>1</v>
      </c>
      <c r="J70" s="4" t="inlineStr">
        <is>
          <t>Family Pension Benefit:</t>
        </is>
      </c>
      <c r="K70" s="4" t="inlineStr">
        <is>
          <t>MS-C03</t>
        </is>
      </c>
      <c r="L70" s="6" t="n">
        <v>46323</v>
      </c>
      <c r="M70" s="4" t="inlineStr">
        <is>
          <t>Approved</t>
        </is>
      </c>
      <c r="N70" s="4" t="inlineStr">
        <is>
          <t>list_item</t>
        </is>
      </c>
    </row>
    <row r="71" ht="40" customHeight="1">
      <c r="A71" s="8" t="inlineStr">
        <is>
          <t>C03-P0006</t>
        </is>
      </c>
      <c r="B71" s="8" t="inlineStr">
        <is>
          <t>C03</t>
        </is>
      </c>
      <c r="C71" s="8" t="inlineStr">
        <is>
          <t>Pradhan Mantri Kisan Maandhan Yojana</t>
        </is>
      </c>
      <c r="D71" s="8" t="inlineStr">
        <is>
          <t>Benefits</t>
        </is>
      </c>
      <c r="E71" s="8" t="inlineStr">
        <is>
          <t>Family Pension Benefit:</t>
        </is>
      </c>
      <c r="F71" s="8" t="inlineStr">
        <is>
          <t>en.schemeContent.benefits[3].children[0].children[0]</t>
        </is>
      </c>
      <c r="G71" s="8" t="inlineStr">
        <is>
          <t>C03@20261028-b25487a7</t>
        </is>
      </c>
      <c r="H71" s="8" t="n">
        <v>1</v>
      </c>
      <c r="I71" s="8" t="n">
        <v>1</v>
      </c>
      <c r="J71" s="8" t="inlineStr">
        <is>
          <t>In case of death of the subscriber, the spouse will receive 50% of the pension amount as family pension.</t>
        </is>
      </c>
      <c r="K71" s="8" t="inlineStr">
        <is>
          <t>MS-C03</t>
        </is>
      </c>
      <c r="L71" s="9" t="n">
        <v>46323</v>
      </c>
      <c r="M71" s="8" t="inlineStr">
        <is>
          <t>Approved</t>
        </is>
      </c>
      <c r="N71" s="8" t="inlineStr">
        <is>
          <t>list_item</t>
        </is>
      </c>
    </row>
    <row r="72" ht="40" customHeight="1">
      <c r="A72" s="4" t="inlineStr">
        <is>
          <t>C03-P0007</t>
        </is>
      </c>
      <c r="B72" s="4" t="inlineStr">
        <is>
          <t>C03</t>
        </is>
      </c>
      <c r="C72" s="4" t="inlineStr">
        <is>
          <t>Pradhan Mantri Kisan Maandhan Yojana</t>
        </is>
      </c>
      <c r="D72" s="4" t="inlineStr">
        <is>
          <t>Benefits</t>
        </is>
      </c>
      <c r="E72" s="4" t="inlineStr">
        <is>
          <t>Family Pension Benefit:</t>
        </is>
      </c>
      <c r="F72" s="4" t="inlineStr">
        <is>
          <t>en.schemeContent.benefits[3].children[1].children[0]</t>
        </is>
      </c>
      <c r="G72" s="4" t="inlineStr">
        <is>
          <t>C03@20261028-b25487a7</t>
        </is>
      </c>
      <c r="H72" s="4" t="n">
        <v>1</v>
      </c>
      <c r="I72" s="4" t="n">
        <v>1</v>
      </c>
      <c r="J72" s="4" t="inlineStr">
        <is>
          <t>Family pension is applicable only to the spouse.</t>
        </is>
      </c>
      <c r="K72" s="4" t="inlineStr">
        <is>
          <t>MS-C03</t>
        </is>
      </c>
      <c r="L72" s="6" t="n">
        <v>46323</v>
      </c>
      <c r="M72" s="4" t="inlineStr">
        <is>
          <t>Approved</t>
        </is>
      </c>
      <c r="N72" s="4" t="inlineStr">
        <is>
          <t>list_item</t>
        </is>
      </c>
    </row>
    <row r="73" ht="40" customHeight="1">
      <c r="A73" s="8" t="inlineStr">
        <is>
          <t>C03-P0008</t>
        </is>
      </c>
      <c r="B73" s="8" t="inlineStr">
        <is>
          <t>C03</t>
        </is>
      </c>
      <c r="C73" s="8" t="inlineStr">
        <is>
          <t>Pradhan Mantri Kisan Maandhan Yojana</t>
        </is>
      </c>
      <c r="D73" s="8" t="inlineStr">
        <is>
          <t>Benefits</t>
        </is>
      </c>
      <c r="E73" s="8" t="inlineStr">
        <is>
          <t>Government Matching Contribution:</t>
        </is>
      </c>
      <c r="F73" s="8" t="inlineStr">
        <is>
          <t>en.schemeContent.benefits[4].children[0]</t>
        </is>
      </c>
      <c r="G73" s="8" t="inlineStr">
        <is>
          <t>C03@20261028-b25487a7</t>
        </is>
      </c>
      <c r="H73" s="8" t="n">
        <v>1</v>
      </c>
      <c r="I73" s="8" t="n">
        <v>1</v>
      </c>
      <c r="J73" s="8" t="inlineStr">
        <is>
          <t>Government Matching Contribution:</t>
        </is>
      </c>
      <c r="K73" s="8" t="inlineStr">
        <is>
          <t>MS-C03</t>
        </is>
      </c>
      <c r="L73" s="9" t="n">
        <v>46323</v>
      </c>
      <c r="M73" s="8" t="inlineStr">
        <is>
          <t>Approved</t>
        </is>
      </c>
      <c r="N73" s="8" t="inlineStr">
        <is>
          <t>list_item</t>
        </is>
      </c>
    </row>
    <row r="74" ht="40" customHeight="1">
      <c r="A74" s="4" t="inlineStr">
        <is>
          <t>C03-P0009</t>
        </is>
      </c>
      <c r="B74" s="4" t="inlineStr">
        <is>
          <t>C03</t>
        </is>
      </c>
      <c r="C74" s="4" t="inlineStr">
        <is>
          <t>Pradhan Mantri Kisan Maandhan Yojana</t>
        </is>
      </c>
      <c r="D74" s="4" t="inlineStr">
        <is>
          <t>Benefits</t>
        </is>
      </c>
      <c r="E74" s="4" t="inlineStr">
        <is>
          <t>Government Matching Contribution:</t>
        </is>
      </c>
      <c r="F74" s="4" t="inlineStr">
        <is>
          <t>en.schemeContent.benefits[5].children[0].children[0]</t>
        </is>
      </c>
      <c r="G74" s="4" t="inlineStr">
        <is>
          <t>C03@20261028-b25487a7</t>
        </is>
      </c>
      <c r="H74" s="4" t="n">
        <v>1</v>
      </c>
      <c r="I74" s="4" t="n">
        <v>1</v>
      </c>
      <c r="J74" s="4" t="inlineStr">
        <is>
          <t>The Government of India will contribute an amount equal to the subscriber’s monthly contribution to the pension fund.</t>
        </is>
      </c>
      <c r="K74" s="4" t="inlineStr">
        <is>
          <t>MS-C03</t>
        </is>
      </c>
      <c r="L74" s="6" t="n">
        <v>46323</v>
      </c>
      <c r="M74" s="4" t="inlineStr">
        <is>
          <t>Approved</t>
        </is>
      </c>
      <c r="N74" s="4" t="inlineStr">
        <is>
          <t>list_item</t>
        </is>
      </c>
    </row>
    <row r="75" ht="40" customHeight="1">
      <c r="A75" s="8" t="inlineStr">
        <is>
          <t>C03-P0010</t>
        </is>
      </c>
      <c r="B75" s="8" t="inlineStr">
        <is>
          <t>C03</t>
        </is>
      </c>
      <c r="C75" s="8" t="inlineStr">
        <is>
          <t>Pradhan Mantri Kisan Maandhan Yojana</t>
        </is>
      </c>
      <c r="D75" s="8" t="inlineStr">
        <is>
          <t>Benefits</t>
        </is>
      </c>
      <c r="E75" s="8" t="inlineStr">
        <is>
          <t>Disablement Benefit:</t>
        </is>
      </c>
      <c r="F75" s="8" t="inlineStr">
        <is>
          <t>en.schemeContent.benefits[6].children[0]</t>
        </is>
      </c>
      <c r="G75" s="8" t="inlineStr">
        <is>
          <t>C03@20261028-b25487a7</t>
        </is>
      </c>
      <c r="H75" s="8" t="n">
        <v>1</v>
      </c>
      <c r="I75" s="8" t="n">
        <v>1</v>
      </c>
      <c r="J75" s="8" t="inlineStr">
        <is>
          <t>Disablement Benefit:</t>
        </is>
      </c>
      <c r="K75" s="8" t="inlineStr">
        <is>
          <t>MS-C03</t>
        </is>
      </c>
      <c r="L75" s="9" t="n">
        <v>46323</v>
      </c>
      <c r="M75" s="8" t="inlineStr">
        <is>
          <t>Approved</t>
        </is>
      </c>
      <c r="N75" s="8" t="inlineStr">
        <is>
          <t>list_item</t>
        </is>
      </c>
    </row>
    <row r="76" ht="54" customHeight="1">
      <c r="A76" s="4" t="inlineStr">
        <is>
          <t>C03-P0011</t>
        </is>
      </c>
      <c r="B76" s="4" t="inlineStr">
        <is>
          <t>C03</t>
        </is>
      </c>
      <c r="C76" s="4" t="inlineStr">
        <is>
          <t>Pradhan Mantri Kisan Maandhan Yojana</t>
        </is>
      </c>
      <c r="D76" s="4" t="inlineStr">
        <is>
          <t>Benefits</t>
        </is>
      </c>
      <c r="E76" s="4" t="inlineStr">
        <is>
          <t>Disablement Benefit:</t>
        </is>
      </c>
      <c r="F76" s="4" t="inlineStr">
        <is>
          <t>en.schemeContent.benefits[7].children[0].children[0].children[0].children[0]</t>
        </is>
      </c>
      <c r="G76" s="4" t="inlineStr">
        <is>
          <t>C03@20261028-b25487a7</t>
        </is>
      </c>
      <c r="H76" s="4" t="n">
        <v>1</v>
      </c>
      <c r="I76" s="4" t="n">
        <v>1</v>
      </c>
      <c r="J76" s="4" t="inlineStr">
        <is>
          <t>If the subscriber becomes permanently disabled before the age of 60 years, the spouse can continue the scheme by paying contributions or exit by receiving the subscriber’s contribution with interest.</t>
        </is>
      </c>
      <c r="K76" s="4" t="inlineStr">
        <is>
          <t>MS-C03</t>
        </is>
      </c>
      <c r="L76" s="6" t="n">
        <v>46323</v>
      </c>
      <c r="M76" s="4" t="inlineStr">
        <is>
          <t>Approved</t>
        </is>
      </c>
      <c r="N76" s="4" t="inlineStr">
        <is>
          <t>list_item</t>
        </is>
      </c>
    </row>
    <row r="77" ht="40" customHeight="1">
      <c r="A77" s="8" t="inlineStr">
        <is>
          <t>C03-P0012</t>
        </is>
      </c>
      <c r="B77" s="8" t="inlineStr">
        <is>
          <t>C03</t>
        </is>
      </c>
      <c r="C77" s="8" t="inlineStr">
        <is>
          <t>Pradhan Mantri Kisan Maandhan Yojana</t>
        </is>
      </c>
      <c r="D77" s="8" t="inlineStr">
        <is>
          <t>Benefits</t>
        </is>
      </c>
      <c r="E77" s="8" t="inlineStr">
        <is>
          <t>Disablement Benefit:</t>
        </is>
      </c>
      <c r="F77" s="8" t="inlineStr">
        <is>
          <t>en.schemeContent.benefits[7].children[0].children[0].children[0].children[1]</t>
        </is>
      </c>
      <c r="G77" s="8" t="inlineStr">
        <is>
          <t>C03@20261028-b25487a7</t>
        </is>
      </c>
      <c r="H77" s="8" t="n">
        <v>1</v>
      </c>
      <c r="I77" s="8" t="n">
        <v>1</v>
      </c>
      <c r="J77" s="8" t="inlineStr">
        <is>
          <t>Exit Benefits:</t>
        </is>
      </c>
      <c r="K77" s="8" t="inlineStr">
        <is>
          <t>MS-C03</t>
        </is>
      </c>
      <c r="L77" s="9" t="n">
        <v>46323</v>
      </c>
      <c r="M77" s="8" t="inlineStr">
        <is>
          <t>Approved</t>
        </is>
      </c>
      <c r="N77" s="8" t="inlineStr">
        <is>
          <t>list_item</t>
        </is>
      </c>
    </row>
    <row r="78" ht="40" customHeight="1">
      <c r="A78" s="4" t="inlineStr">
        <is>
          <t>C03-P0013</t>
        </is>
      </c>
      <c r="B78" s="4" t="inlineStr">
        <is>
          <t>C03</t>
        </is>
      </c>
      <c r="C78" s="4" t="inlineStr">
        <is>
          <t>Pradhan Mantri Kisan Maandhan Yojana</t>
        </is>
      </c>
      <c r="D78" s="4" t="inlineStr">
        <is>
          <t>Benefits</t>
        </is>
      </c>
      <c r="E78" s="4" t="inlineStr">
        <is>
          <t>Disablement Benefit:</t>
        </is>
      </c>
      <c r="F78" s="4" t="inlineStr">
        <is>
          <t>en.schemeContent.benefits[7].children[0].children[0].children[0].children[2]</t>
        </is>
      </c>
      <c r="G78" s="4" t="inlineStr">
        <is>
          <t>C03@20261028-b25487a7</t>
        </is>
      </c>
      <c r="H78" s="4" t="n">
        <v>1</v>
      </c>
      <c r="I78" s="4" t="n">
        <v>1</v>
      </c>
      <c r="J78" s="4" t="inlineStr">
        <is>
          <t>If the subscriber exits within 10 years, only the subscriber’s contribution will be refunded with savings bank interest.</t>
        </is>
      </c>
      <c r="K78" s="4" t="inlineStr">
        <is>
          <t>MS-C03</t>
        </is>
      </c>
      <c r="L78" s="6" t="n">
        <v>46323</v>
      </c>
      <c r="M78" s="4" t="inlineStr">
        <is>
          <t>Approved</t>
        </is>
      </c>
      <c r="N78" s="4" t="inlineStr">
        <is>
          <t>list_item</t>
        </is>
      </c>
    </row>
    <row r="79" ht="40" customHeight="1">
      <c r="A79" s="8" t="inlineStr">
        <is>
          <t>C03-P0014</t>
        </is>
      </c>
      <c r="B79" s="8" t="inlineStr">
        <is>
          <t>C03</t>
        </is>
      </c>
      <c r="C79" s="8" t="inlineStr">
        <is>
          <t>Pradhan Mantri Kisan Maandhan Yojana</t>
        </is>
      </c>
      <c r="D79" s="8" t="inlineStr">
        <is>
          <t>Benefits</t>
        </is>
      </c>
      <c r="E79" s="8" t="inlineStr">
        <is>
          <t>Disablement Benefit:</t>
        </is>
      </c>
      <c r="F79" s="8" t="inlineStr">
        <is>
          <t>en.schemeContent.benefits[7].children[0].children[0].children[0].children[3]</t>
        </is>
      </c>
      <c r="G79" s="8" t="inlineStr">
        <is>
          <t>C03@20261028-b25487a7</t>
        </is>
      </c>
      <c r="H79" s="8" t="n">
        <v>1</v>
      </c>
      <c r="I79" s="8" t="n">
        <v>1</v>
      </c>
      <c r="J79" s="8" t="inlineStr">
        <is>
          <t>If the subscriber exits after 10 years but before 60 years, the subscriber’s contribution will be refunded with accumulated interest or savings bank interest, whichever is higher.</t>
        </is>
      </c>
      <c r="K79" s="8" t="inlineStr">
        <is>
          <t>MS-C03</t>
        </is>
      </c>
      <c r="L79" s="9" t="n">
        <v>46323</v>
      </c>
      <c r="M79" s="8" t="inlineStr">
        <is>
          <t>Approved</t>
        </is>
      </c>
      <c r="N79" s="8" t="inlineStr">
        <is>
          <t>list_item</t>
        </is>
      </c>
    </row>
    <row r="80" ht="40" customHeight="1">
      <c r="A80" s="4" t="inlineStr">
        <is>
          <t>C03-P0015</t>
        </is>
      </c>
      <c r="B80" s="4" t="inlineStr">
        <is>
          <t>C03</t>
        </is>
      </c>
      <c r="C80" s="4" t="inlineStr">
        <is>
          <t>Pradhan Mantri Kisan Maandhan Yojana</t>
        </is>
      </c>
      <c r="D80" s="4" t="inlineStr">
        <is>
          <t>Benefits</t>
        </is>
      </c>
      <c r="E80" s="4" t="inlineStr">
        <is>
          <t>Disablement Benefit:</t>
        </is>
      </c>
      <c r="F80" s="4" t="inlineStr">
        <is>
          <t>en.schemeContent.benefits[7].children[0].children[0].children[0].children[4]</t>
        </is>
      </c>
      <c r="G80" s="4" t="inlineStr">
        <is>
          <t>C03@20261028-b25487a7</t>
        </is>
      </c>
      <c r="H80" s="4" t="n">
        <v>1</v>
      </c>
      <c r="I80" s="4" t="n">
        <v>1</v>
      </c>
      <c r="J80" s="4" t="inlineStr">
        <is>
          <t>If the subscriber dies before 60 years, the spouse can continue the scheme or exit with a refund of the subscriber’s contribution with interest.</t>
        </is>
      </c>
      <c r="K80" s="4" t="inlineStr">
        <is>
          <t>MS-C03</t>
        </is>
      </c>
      <c r="L80" s="6" t="n">
        <v>46323</v>
      </c>
      <c r="M80" s="4" t="inlineStr">
        <is>
          <t>Approved</t>
        </is>
      </c>
      <c r="N80" s="4" t="inlineStr">
        <is>
          <t>list_item</t>
        </is>
      </c>
    </row>
    <row r="81" ht="40" customHeight="1">
      <c r="A81" s="8" t="inlineStr">
        <is>
          <t>C03-P0016</t>
        </is>
      </c>
      <c r="B81" s="8" t="inlineStr">
        <is>
          <t>C03</t>
        </is>
      </c>
      <c r="C81" s="8" t="inlineStr">
        <is>
          <t>Pradhan Mantri Kisan Maandhan Yojana</t>
        </is>
      </c>
      <c r="D81" s="8" t="inlineStr">
        <is>
          <t>Benefits</t>
        </is>
      </c>
      <c r="E81" s="8" t="inlineStr">
        <is>
          <t>Disablement Benefit:</t>
        </is>
      </c>
      <c r="F81" s="8" t="inlineStr">
        <is>
          <t>en.schemeContent.benefits[7].children[0].children[0].children[0].children[5]</t>
        </is>
      </c>
      <c r="G81" s="8" t="inlineStr">
        <is>
          <t>C03@20261028-b25487a7</t>
        </is>
      </c>
      <c r="H81" s="8" t="n">
        <v>1</v>
      </c>
      <c r="I81" s="8" t="n">
        <v>1</v>
      </c>
      <c r="J81" s="8" t="inlineStr">
        <is>
          <t>After the death of both subscriber and spouse, the corpus will be credited back to the pension fund.</t>
        </is>
      </c>
      <c r="K81" s="8" t="inlineStr">
        <is>
          <t>MS-C03</t>
        </is>
      </c>
      <c r="L81" s="9" t="n">
        <v>46323</v>
      </c>
      <c r="M81" s="8" t="inlineStr">
        <is>
          <t>Approved</t>
        </is>
      </c>
      <c r="N81" s="8" t="inlineStr">
        <is>
          <t>list_item</t>
        </is>
      </c>
    </row>
    <row r="82" ht="40" customHeight="1">
      <c r="A82" s="4" t="inlineStr">
        <is>
          <t>C03-P0017</t>
        </is>
      </c>
      <c r="B82" s="4" t="inlineStr">
        <is>
          <t>C03</t>
        </is>
      </c>
      <c r="C82" s="4" t="inlineStr">
        <is>
          <t>Pradhan Mantri Kisan Maandhan Yojana</t>
        </is>
      </c>
      <c r="D82" s="4" t="inlineStr">
        <is>
          <t>Eligibility</t>
        </is>
      </c>
      <c r="E82" s="4" t="inlineStr"/>
      <c r="F82" s="4" t="inlineStr">
        <is>
          <t>en.eligibilityCriteria.eligibilityDescription[0].children[0].children[0]</t>
        </is>
      </c>
      <c r="G82" s="4" t="inlineStr">
        <is>
          <t>C03@20261028-b25487a7</t>
        </is>
      </c>
      <c r="H82" s="4" t="n">
        <v>1</v>
      </c>
      <c r="I82" s="4" t="n">
        <v>1</v>
      </c>
      <c r="J82" s="4" t="inlineStr">
        <is>
          <t>The applicant should be a Small or Marginal Farmer.</t>
        </is>
      </c>
      <c r="K82" s="4" t="inlineStr">
        <is>
          <t>MS-C03</t>
        </is>
      </c>
      <c r="L82" s="6" t="n">
        <v>46323</v>
      </c>
      <c r="M82" s="4" t="inlineStr">
        <is>
          <t>Approved</t>
        </is>
      </c>
      <c r="N82" s="4" t="inlineStr">
        <is>
          <t>list_item</t>
        </is>
      </c>
    </row>
    <row r="83" ht="40" customHeight="1">
      <c r="A83" s="8" t="inlineStr">
        <is>
          <t>C03-P0018</t>
        </is>
      </c>
      <c r="B83" s="8" t="inlineStr">
        <is>
          <t>C03</t>
        </is>
      </c>
      <c r="C83" s="8" t="inlineStr">
        <is>
          <t>Pradhan Mantri Kisan Maandhan Yojana</t>
        </is>
      </c>
      <c r="D83" s="8" t="inlineStr">
        <is>
          <t>Eligibility</t>
        </is>
      </c>
      <c r="E83" s="8" t="inlineStr"/>
      <c r="F83" s="8" t="inlineStr">
        <is>
          <t>en.eligibilityCriteria.eligibilityDescription[0].children[0].children[1]</t>
        </is>
      </c>
      <c r="G83" s="8" t="inlineStr">
        <is>
          <t>C03@20261028-b25487a7</t>
        </is>
      </c>
      <c r="H83" s="8" t="n">
        <v>1</v>
      </c>
      <c r="I83" s="8" t="n">
        <v>1</v>
      </c>
      <c r="J83" s="8" t="inlineStr">
        <is>
          <t>The applicant should have cultivable landholding up to 2 hectares as per State or Union Territory land records.</t>
        </is>
      </c>
      <c r="K83" s="8" t="inlineStr">
        <is>
          <t>MS-C03</t>
        </is>
      </c>
      <c r="L83" s="9" t="n">
        <v>46323</v>
      </c>
      <c r="M83" s="8" t="inlineStr">
        <is>
          <t>Approved</t>
        </is>
      </c>
      <c r="N83" s="8" t="inlineStr">
        <is>
          <t>list_item</t>
        </is>
      </c>
    </row>
    <row r="84" ht="40" customHeight="1">
      <c r="A84" s="4" t="inlineStr">
        <is>
          <t>C03-P0019</t>
        </is>
      </c>
      <c r="B84" s="4" t="inlineStr">
        <is>
          <t>C03</t>
        </is>
      </c>
      <c r="C84" s="4" t="inlineStr">
        <is>
          <t>Pradhan Mantri Kisan Maandhan Yojana</t>
        </is>
      </c>
      <c r="D84" s="4" t="inlineStr">
        <is>
          <t>Eligibility</t>
        </is>
      </c>
      <c r="E84" s="4" t="inlineStr"/>
      <c r="F84" s="4" t="inlineStr">
        <is>
          <t>en.eligibilityCriteria.eligibilityDescription[0].children[0].children[2]</t>
        </is>
      </c>
      <c r="G84" s="4" t="inlineStr">
        <is>
          <t>C03@20261028-b25487a7</t>
        </is>
      </c>
      <c r="H84" s="4" t="n">
        <v>1</v>
      </c>
      <c r="I84" s="4" t="n">
        <v>1</v>
      </c>
      <c r="J84" s="4" t="inlineStr">
        <is>
          <t>The applicant should be between 18 and 40 years of age at the time of entry.</t>
        </is>
      </c>
      <c r="K84" s="4" t="inlineStr">
        <is>
          <t>MS-C03</t>
        </is>
      </c>
      <c r="L84" s="6" t="n">
        <v>46323</v>
      </c>
      <c r="M84" s="4" t="inlineStr">
        <is>
          <t>Approved</t>
        </is>
      </c>
      <c r="N84" s="4" t="inlineStr">
        <is>
          <t>list_item</t>
        </is>
      </c>
    </row>
    <row r="85" ht="40" customHeight="1">
      <c r="A85" s="8" t="inlineStr">
        <is>
          <t>C03-P0020</t>
        </is>
      </c>
      <c r="B85" s="8" t="inlineStr">
        <is>
          <t>C03</t>
        </is>
      </c>
      <c r="C85" s="8" t="inlineStr">
        <is>
          <t>Pradhan Mantri Kisan Maandhan Yojana</t>
        </is>
      </c>
      <c r="D85" s="8" t="inlineStr">
        <is>
          <t>Eligibility</t>
        </is>
      </c>
      <c r="E85" s="8" t="inlineStr"/>
      <c r="F85" s="8" t="inlineStr">
        <is>
          <t>en.eligibilityCriteria.eligibilityDescription[0].children[0].children[3]</t>
        </is>
      </c>
      <c r="G85" s="8" t="inlineStr">
        <is>
          <t>C03@20261028-b25487a7</t>
        </is>
      </c>
      <c r="H85" s="8" t="n">
        <v>1</v>
      </c>
      <c r="I85" s="8" t="n">
        <v>1</v>
      </c>
      <c r="J85" s="8" t="inlineStr">
        <is>
          <t>The applicant’s name should appear in land records as on 01.08.2019.</t>
        </is>
      </c>
      <c r="K85" s="8" t="inlineStr">
        <is>
          <t>MS-C03</t>
        </is>
      </c>
      <c r="L85" s="9" t="n">
        <v>46323</v>
      </c>
      <c r="M85" s="8" t="inlineStr">
        <is>
          <t>Approved</t>
        </is>
      </c>
      <c r="N85" s="8" t="inlineStr">
        <is>
          <t>list_item</t>
        </is>
      </c>
    </row>
    <row r="86" ht="40" customHeight="1">
      <c r="A86" s="4" t="inlineStr">
        <is>
          <t>C03-P0021</t>
        </is>
      </c>
      <c r="B86" s="4" t="inlineStr">
        <is>
          <t>C03</t>
        </is>
      </c>
      <c r="C86" s="4" t="inlineStr">
        <is>
          <t>Pradhan Mantri Kisan Maandhan Yojana</t>
        </is>
      </c>
      <c r="D86" s="4" t="inlineStr">
        <is>
          <t>Eligibility</t>
        </is>
      </c>
      <c r="E86" s="4" t="inlineStr"/>
      <c r="F86" s="4" t="inlineStr">
        <is>
          <t>en.eligibilityCriteria.eligibilityDescription[0].children[0].children[4]</t>
        </is>
      </c>
      <c r="G86" s="4" t="inlineStr">
        <is>
          <t>C03@20261028-b25487a7</t>
        </is>
      </c>
      <c r="H86" s="4" t="n">
        <v>1</v>
      </c>
      <c r="I86" s="4" t="n">
        <v>1</v>
      </c>
      <c r="J86" s="4" t="inlineStr">
        <is>
          <t>The applicant should possess an Aadhaar card.</t>
        </is>
      </c>
      <c r="K86" s="4" t="inlineStr">
        <is>
          <t>MS-C03</t>
        </is>
      </c>
      <c r="L86" s="6" t="n">
        <v>46323</v>
      </c>
      <c r="M86" s="4" t="inlineStr">
        <is>
          <t>Approved</t>
        </is>
      </c>
      <c r="N86" s="4" t="inlineStr">
        <is>
          <t>list_item</t>
        </is>
      </c>
    </row>
    <row r="87" ht="40" customHeight="1">
      <c r="A87" s="8" t="inlineStr">
        <is>
          <t>C03-P0022</t>
        </is>
      </c>
      <c r="B87" s="8" t="inlineStr">
        <is>
          <t>C03</t>
        </is>
      </c>
      <c r="C87" s="8" t="inlineStr">
        <is>
          <t>Pradhan Mantri Kisan Maandhan Yojana</t>
        </is>
      </c>
      <c r="D87" s="8" t="inlineStr">
        <is>
          <t>Eligibility</t>
        </is>
      </c>
      <c r="E87" s="8" t="inlineStr"/>
      <c r="F87" s="8" t="inlineStr">
        <is>
          <t>en.eligibilityCriteria.eligibilityDescription[0].children[0].children[5]</t>
        </is>
      </c>
      <c r="G87" s="8" t="inlineStr">
        <is>
          <t>C03@20261028-b25487a7</t>
        </is>
      </c>
      <c r="H87" s="8" t="n">
        <v>1</v>
      </c>
      <c r="I87" s="8" t="n">
        <v>1</v>
      </c>
      <c r="J87" s="8" t="inlineStr">
        <is>
          <t>The applicant should have a savings bank account or PM-KISAN account.</t>
        </is>
      </c>
      <c r="K87" s="8" t="inlineStr">
        <is>
          <t>MS-C03</t>
        </is>
      </c>
      <c r="L87" s="9" t="n">
        <v>46323</v>
      </c>
      <c r="M87" s="8" t="inlineStr">
        <is>
          <t>Approved</t>
        </is>
      </c>
      <c r="N87" s="8" t="inlineStr">
        <is>
          <t>list_item</t>
        </is>
      </c>
    </row>
    <row r="88" ht="40" customHeight="1">
      <c r="A88" s="4" t="inlineStr">
        <is>
          <t>C03-P0023</t>
        </is>
      </c>
      <c r="B88" s="4" t="inlineStr">
        <is>
          <t>C03</t>
        </is>
      </c>
      <c r="C88" s="4" t="inlineStr">
        <is>
          <t>Pradhan Mantri Kisan Maandhan Yojana</t>
        </is>
      </c>
      <c r="D88" s="4" t="inlineStr">
        <is>
          <t>Exclusions</t>
        </is>
      </c>
      <c r="E88" s="4" t="inlineStr"/>
      <c r="F88" s="4" t="inlineStr">
        <is>
          <t>en.schemeContent.exclusions[0].children[0]</t>
        </is>
      </c>
      <c r="G88" s="4" t="inlineStr">
        <is>
          <t>C03@20261028-b25487a7</t>
        </is>
      </c>
      <c r="H88" s="4" t="n">
        <v>1</v>
      </c>
      <c r="I88" s="4" t="n">
        <v>1</v>
      </c>
      <c r="J88" s="4" t="inlineStr">
        <is>
          <t>SMFs covered under any other statuary social security schemes such as National Pension Scheme (NPS), Employees’ State Insurance Corporation scheme, Employees’ Fund Organization Scheme etc.</t>
        </is>
      </c>
      <c r="K88" s="4" t="inlineStr">
        <is>
          <t>MS-C03</t>
        </is>
      </c>
      <c r="L88" s="6" t="n">
        <v>46323</v>
      </c>
      <c r="M88" s="4" t="inlineStr">
        <is>
          <t>Approved</t>
        </is>
      </c>
      <c r="N88" s="4" t="inlineStr">
        <is>
          <t>list_item</t>
        </is>
      </c>
    </row>
    <row r="89" ht="40" customHeight="1">
      <c r="A89" s="8" t="inlineStr">
        <is>
          <t>C03-P0024</t>
        </is>
      </c>
      <c r="B89" s="8" t="inlineStr">
        <is>
          <t>C03</t>
        </is>
      </c>
      <c r="C89" s="8" t="inlineStr">
        <is>
          <t>Pradhan Mantri Kisan Maandhan Yojana</t>
        </is>
      </c>
      <c r="D89" s="8" t="inlineStr">
        <is>
          <t>Exclusions</t>
        </is>
      </c>
      <c r="E89" s="8" t="inlineStr"/>
      <c r="F89" s="8" t="inlineStr">
        <is>
          <t>en.schemeContent.exclusions[0].children[1]</t>
        </is>
      </c>
      <c r="G89" s="8" t="inlineStr">
        <is>
          <t>C03@20261028-b25487a7</t>
        </is>
      </c>
      <c r="H89" s="8" t="n">
        <v>1</v>
      </c>
      <c r="I89" s="8" t="n">
        <v>1</v>
      </c>
      <c r="J89" s="8" t="inlineStr">
        <is>
          <t>Farmers who have opted for Pradhan Mantri Shram Yogi Maandhan Yojana and Pradhan Mantri Vyapari Maandhan administered by the Ministry of Labour &amp; Employment.</t>
        </is>
      </c>
      <c r="K89" s="8" t="inlineStr">
        <is>
          <t>MS-C03</t>
        </is>
      </c>
      <c r="L89" s="9" t="n">
        <v>46323</v>
      </c>
      <c r="M89" s="8" t="inlineStr">
        <is>
          <t>Approved</t>
        </is>
      </c>
      <c r="N89" s="8" t="inlineStr">
        <is>
          <t>list_item</t>
        </is>
      </c>
    </row>
    <row r="90" ht="40" customHeight="1">
      <c r="A90" s="4" t="inlineStr">
        <is>
          <t>C03-P0025</t>
        </is>
      </c>
      <c r="B90" s="4" t="inlineStr">
        <is>
          <t>C03</t>
        </is>
      </c>
      <c r="C90" s="4" t="inlineStr">
        <is>
          <t>Pradhan Mantri Kisan Maandhan Yojana</t>
        </is>
      </c>
      <c r="D90" s="4" t="inlineStr">
        <is>
          <t>Exclusions</t>
        </is>
      </c>
      <c r="E90" s="4" t="inlineStr"/>
      <c r="F90" s="4" t="inlineStr">
        <is>
          <t>en.schemeContent.exclusions[0].children[2]</t>
        </is>
      </c>
      <c r="G90" s="4" t="inlineStr">
        <is>
          <t>C03@20261028-b25487a7</t>
        </is>
      </c>
      <c r="H90" s="4" t="n">
        <v>1</v>
      </c>
      <c r="I90" s="4" t="n">
        <v>1</v>
      </c>
      <c r="J90" s="4" t="inlineStr">
        <is>
          <t>Further, the following categories of beneficiaries of higher economic status shall not be eligible for benefits under the scheme:</t>
        </is>
      </c>
      <c r="K90" s="4" t="inlineStr">
        <is>
          <t>MS-C03</t>
        </is>
      </c>
      <c r="L90" s="6" t="n">
        <v>46323</v>
      </c>
      <c r="M90" s="4" t="inlineStr">
        <is>
          <t>Approved</t>
        </is>
      </c>
      <c r="N90" s="4" t="inlineStr">
        <is>
          <t>list_item</t>
        </is>
      </c>
    </row>
    <row r="91" ht="40" customHeight="1">
      <c r="A91" s="8" t="inlineStr">
        <is>
          <t>C03-P0026</t>
        </is>
      </c>
      <c r="B91" s="8" t="inlineStr">
        <is>
          <t>C03</t>
        </is>
      </c>
      <c r="C91" s="8" t="inlineStr">
        <is>
          <t>Pradhan Mantri Kisan Maandhan Yojana</t>
        </is>
      </c>
      <c r="D91" s="8" t="inlineStr">
        <is>
          <t>Exclusions</t>
        </is>
      </c>
      <c r="E91" s="8" t="inlineStr"/>
      <c r="F91" s="8" t="inlineStr">
        <is>
          <t>en.schemeContent.exclusions[0].children[3].children[0]</t>
        </is>
      </c>
      <c r="G91" s="8" t="inlineStr">
        <is>
          <t>C03@20261028-b25487a7</t>
        </is>
      </c>
      <c r="H91" s="8" t="n">
        <v>1</v>
      </c>
      <c r="I91" s="8" t="n">
        <v>1</v>
      </c>
      <c r="J91" s="8" t="inlineStr">
        <is>
          <t>All Institutional Landholders.</t>
        </is>
      </c>
      <c r="K91" s="8" t="inlineStr">
        <is>
          <t>MS-C03</t>
        </is>
      </c>
      <c r="L91" s="9" t="n">
        <v>46323</v>
      </c>
      <c r="M91" s="8" t="inlineStr">
        <is>
          <t>Approved</t>
        </is>
      </c>
      <c r="N91" s="8" t="inlineStr">
        <is>
          <t>list_item</t>
        </is>
      </c>
    </row>
    <row r="92" ht="40" customHeight="1">
      <c r="A92" s="4" t="inlineStr">
        <is>
          <t>C03-P0027</t>
        </is>
      </c>
      <c r="B92" s="4" t="inlineStr">
        <is>
          <t>C03</t>
        </is>
      </c>
      <c r="C92" s="4" t="inlineStr">
        <is>
          <t>Pradhan Mantri Kisan Maandhan Yojana</t>
        </is>
      </c>
      <c r="D92" s="4" t="inlineStr">
        <is>
          <t>Exclusions</t>
        </is>
      </c>
      <c r="E92" s="4" t="inlineStr"/>
      <c r="F92" s="4" t="inlineStr">
        <is>
          <t>en.schemeContent.exclusions[0].children[3].children[1]</t>
        </is>
      </c>
      <c r="G92" s="4" t="inlineStr">
        <is>
          <t>C03@20261028-b25487a7</t>
        </is>
      </c>
      <c r="H92" s="4" t="n">
        <v>1</v>
      </c>
      <c r="I92" s="4" t="n">
        <v>1</v>
      </c>
      <c r="J92" s="4" t="inlineStr">
        <is>
          <t>Former and present holders of constitutional posts.</t>
        </is>
      </c>
      <c r="K92" s="4" t="inlineStr">
        <is>
          <t>MS-C03</t>
        </is>
      </c>
      <c r="L92" s="6" t="n">
        <v>46323</v>
      </c>
      <c r="M92" s="4" t="inlineStr">
        <is>
          <t>Approved</t>
        </is>
      </c>
      <c r="N92" s="4" t="inlineStr">
        <is>
          <t>list_item</t>
        </is>
      </c>
    </row>
    <row r="93" ht="54" customHeight="1">
      <c r="A93" s="8" t="inlineStr">
        <is>
          <t>C03-P0028</t>
        </is>
      </c>
      <c r="B93" s="8" t="inlineStr">
        <is>
          <t>C03</t>
        </is>
      </c>
      <c r="C93" s="8" t="inlineStr">
        <is>
          <t>Pradhan Mantri Kisan Maandhan Yojana</t>
        </is>
      </c>
      <c r="D93" s="8" t="inlineStr">
        <is>
          <t>Exclusions</t>
        </is>
      </c>
      <c r="E93" s="8" t="inlineStr"/>
      <c r="F93" s="8" t="inlineStr">
        <is>
          <t>en.schemeContent.exclusions[0].children[3].children[2]</t>
        </is>
      </c>
      <c r="G93" s="8" t="inlineStr">
        <is>
          <t>C03@20261028-b25487a7</t>
        </is>
      </c>
      <c r="H93" s="8" t="n">
        <v>1</v>
      </c>
      <c r="I93" s="8" t="n">
        <v>1</v>
      </c>
      <c r="J93" s="8" t="inlineStr">
        <is>
          <t>Former and present Ministers/ State Ministers and former/present Members of Lok Sabha/ Rajya Sabha/ State Legislative Assemblies/ State Legislative Councils, former and present Mayors of Municipal Corporations, former and present Chairpersons of District Panchayats.</t>
        </is>
      </c>
      <c r="K93" s="8" t="inlineStr">
        <is>
          <t>MS-C03</t>
        </is>
      </c>
      <c r="L93" s="9" t="n">
        <v>46323</v>
      </c>
      <c r="M93" s="8" t="inlineStr">
        <is>
          <t>Approved</t>
        </is>
      </c>
      <c r="N93" s="8" t="inlineStr">
        <is>
          <t>list_item</t>
        </is>
      </c>
    </row>
    <row r="94" ht="68" customHeight="1">
      <c r="A94" s="4" t="inlineStr">
        <is>
          <t>C03-P0029</t>
        </is>
      </c>
      <c r="B94" s="4" t="inlineStr">
        <is>
          <t>C03</t>
        </is>
      </c>
      <c r="C94" s="4" t="inlineStr">
        <is>
          <t>Pradhan Mantri Kisan Maandhan Yojana</t>
        </is>
      </c>
      <c r="D94" s="4" t="inlineStr">
        <is>
          <t>Exclusions</t>
        </is>
      </c>
      <c r="E94" s="4" t="inlineStr"/>
      <c r="F94" s="4" t="inlineStr">
        <is>
          <t>en.schemeContent.exclusions[0].children[3].children[3]</t>
        </is>
      </c>
      <c r="G94" s="4" t="inlineStr">
        <is>
          <t>C03@20261028-b25487a7</t>
        </is>
      </c>
      <c r="H94" s="4" t="n">
        <v>1</v>
      </c>
      <c r="I94" s="4" t="n">
        <v>1</v>
      </c>
      <c r="J94" s="4" t="inlineStr">
        <is>
          <t>All serving or retired officers and employees of Central/ State Government Ministries/ Offices/Departments and their field units, Central or State PSEs and Attached offices/ Autonomous Institutions under Government as well as regular employees of the Local Bodies (Excluding Multi Tasking Staff / Class IV/Group D employees).</t>
        </is>
      </c>
      <c r="K94" s="4" t="inlineStr">
        <is>
          <t>MS-C03</t>
        </is>
      </c>
      <c r="L94" s="6" t="n">
        <v>46323</v>
      </c>
      <c r="M94" s="4" t="inlineStr">
        <is>
          <t>Approved</t>
        </is>
      </c>
      <c r="N94" s="4" t="inlineStr">
        <is>
          <t>list_item</t>
        </is>
      </c>
    </row>
    <row r="95" ht="54" customHeight="1">
      <c r="A95" s="8" t="inlineStr">
        <is>
          <t>C03-P0030</t>
        </is>
      </c>
      <c r="B95" s="8" t="inlineStr">
        <is>
          <t>C03</t>
        </is>
      </c>
      <c r="C95" s="8" t="inlineStr">
        <is>
          <t>Pradhan Mantri Kisan Maandhan Yojana</t>
        </is>
      </c>
      <c r="D95" s="8" t="inlineStr">
        <is>
          <t>Exclusions</t>
        </is>
      </c>
      <c r="E95" s="8" t="inlineStr"/>
      <c r="F95" s="8" t="inlineStr">
        <is>
          <t>en.schemeContent.exclusions[0].children[3].children[4]</t>
        </is>
      </c>
      <c r="G95" s="8" t="inlineStr">
        <is>
          <t>C03@20261028-b25487a7</t>
        </is>
      </c>
      <c r="H95" s="8" t="n">
        <v>1</v>
      </c>
      <c r="I95" s="8" t="n">
        <v>1</v>
      </c>
      <c r="J95" s="8" t="inlineStr">
        <is>
          <t>All Persons who paid Income Tax in the last assessment year Professionals like Doctors, Engineers, Lawyers, Chartered Accountants, and Architects registered with Professional bodies and carrying out profession by undertaking practice.</t>
        </is>
      </c>
      <c r="K95" s="8" t="inlineStr">
        <is>
          <t>MS-C03</t>
        </is>
      </c>
      <c r="L95" s="9" t="n">
        <v>46323</v>
      </c>
      <c r="M95" s="8" t="inlineStr">
        <is>
          <t>Approved</t>
        </is>
      </c>
      <c r="N95" s="8" t="inlineStr">
        <is>
          <t>list_item</t>
        </is>
      </c>
    </row>
    <row r="96" ht="40" customHeight="1">
      <c r="A96" s="4" t="inlineStr">
        <is>
          <t>C03-P0031</t>
        </is>
      </c>
      <c r="B96" s="4" t="inlineStr">
        <is>
          <t>C03</t>
        </is>
      </c>
      <c r="C96" s="4" t="inlineStr">
        <is>
          <t>Pradhan Mantri Kisan Maandhan Yojana</t>
        </is>
      </c>
      <c r="D96" s="4" t="inlineStr">
        <is>
          <t>Applicant documents</t>
        </is>
      </c>
      <c r="E96" s="4" t="inlineStr"/>
      <c r="F96" s="4" t="inlineStr">
        <is>
          <t>documents.en.documents_required[0].children[0].children[0]</t>
        </is>
      </c>
      <c r="G96" s="4" t="inlineStr">
        <is>
          <t>C03@20261028-b25487a7</t>
        </is>
      </c>
      <c r="H96" s="4" t="n">
        <v>1</v>
      </c>
      <c r="I96" s="4" t="n">
        <v>1</v>
      </c>
      <c r="J96" s="4" t="inlineStr">
        <is>
          <t>Aadhaar Card</t>
        </is>
      </c>
      <c r="K96" s="4" t="inlineStr">
        <is>
          <t>MS-C03</t>
        </is>
      </c>
      <c r="L96" s="6" t="n">
        <v>46323</v>
      </c>
      <c r="M96" s="4" t="inlineStr">
        <is>
          <t>Approved</t>
        </is>
      </c>
      <c r="N96" s="4" t="inlineStr">
        <is>
          <t>list_item</t>
        </is>
      </c>
    </row>
    <row r="97" ht="40" customHeight="1">
      <c r="A97" s="8" t="inlineStr">
        <is>
          <t>C03-P0032</t>
        </is>
      </c>
      <c r="B97" s="8" t="inlineStr">
        <is>
          <t>C03</t>
        </is>
      </c>
      <c r="C97" s="8" t="inlineStr">
        <is>
          <t>Pradhan Mantri Kisan Maandhan Yojana</t>
        </is>
      </c>
      <c r="D97" s="8" t="inlineStr">
        <is>
          <t>Applicant documents</t>
        </is>
      </c>
      <c r="E97" s="8" t="inlineStr"/>
      <c r="F97" s="8" t="inlineStr">
        <is>
          <t>documents.en.documents_required[0].children[0].children[1]</t>
        </is>
      </c>
      <c r="G97" s="8" t="inlineStr">
        <is>
          <t>C03@20261028-b25487a7</t>
        </is>
      </c>
      <c r="H97" s="8" t="n">
        <v>1</v>
      </c>
      <c r="I97" s="8" t="n">
        <v>1</v>
      </c>
      <c r="J97" s="8" t="inlineStr">
        <is>
          <t>Savings Bank Account Number along with IFSC Code ( Bank Passbook or Cheque Leaf/book or copy of bank statement as evidence of bank account).</t>
        </is>
      </c>
      <c r="K97" s="8" t="inlineStr">
        <is>
          <t>MS-C03</t>
        </is>
      </c>
      <c r="L97" s="9" t="n">
        <v>46323</v>
      </c>
      <c r="M97" s="8" t="inlineStr">
        <is>
          <t>Approved</t>
        </is>
      </c>
      <c r="N97" s="8" t="inlineStr">
        <is>
          <t>list_item</t>
        </is>
      </c>
    </row>
    <row r="98" ht="40" customHeight="1">
      <c r="A98" s="4" t="inlineStr">
        <is>
          <t>C03-P0033</t>
        </is>
      </c>
      <c r="B98" s="4" t="inlineStr">
        <is>
          <t>C03</t>
        </is>
      </c>
      <c r="C98" s="4" t="inlineStr">
        <is>
          <t>Pradhan Mantri Kisan Maandhan Yojana</t>
        </is>
      </c>
      <c r="D98" s="4" t="inlineStr">
        <is>
          <t>Application process</t>
        </is>
      </c>
      <c r="E98" s="4" t="inlineStr"/>
      <c r="F98" s="4" t="inlineStr">
        <is>
          <t>en.applicationProcess[0].process[0].children[0]</t>
        </is>
      </c>
      <c r="G98" s="4" t="inlineStr">
        <is>
          <t>C03@20261028-b25487a7</t>
        </is>
      </c>
      <c r="H98" s="4" t="n">
        <v>1</v>
      </c>
      <c r="I98" s="4" t="n">
        <v>1</v>
      </c>
      <c r="J98" s="4" t="inlineStr">
        <is>
          <t>Step 1: The Eligible SMFs desirous of joining the scheme shall visit the nearest Common Service Centre (CSC).</t>
        </is>
      </c>
      <c r="K98" s="4" t="inlineStr">
        <is>
          <t>MS-C03</t>
        </is>
      </c>
      <c r="L98" s="6" t="n">
        <v>46323</v>
      </c>
      <c r="M98" s="4" t="inlineStr">
        <is>
          <t>Approved</t>
        </is>
      </c>
      <c r="N98" s="4" t="inlineStr">
        <is>
          <t>paragraph</t>
        </is>
      </c>
    </row>
    <row r="99" ht="40" customHeight="1">
      <c r="A99" s="8" t="inlineStr">
        <is>
          <t>C03-P0034</t>
        </is>
      </c>
      <c r="B99" s="8" t="inlineStr">
        <is>
          <t>C03</t>
        </is>
      </c>
      <c r="C99" s="8" t="inlineStr">
        <is>
          <t>Pradhan Mantri Kisan Maandhan Yojana</t>
        </is>
      </c>
      <c r="D99" s="8" t="inlineStr">
        <is>
          <t>Application process</t>
        </is>
      </c>
      <c r="E99" s="8" t="inlineStr"/>
      <c r="F99" s="8" t="inlineStr">
        <is>
          <t>en.applicationProcess[0].process[0].children[1]</t>
        </is>
      </c>
      <c r="G99" s="8" t="inlineStr">
        <is>
          <t>C03@20261028-b25487a7</t>
        </is>
      </c>
      <c r="H99" s="8" t="n">
        <v>1</v>
      </c>
      <c r="I99" s="8" t="n">
        <v>1</v>
      </c>
      <c r="J99" s="8" t="inlineStr">
        <is>
          <t>Step 2: Following are the prerequisites for the enrolment process:</t>
        </is>
      </c>
      <c r="K99" s="8" t="inlineStr">
        <is>
          <t>MS-C03</t>
        </is>
      </c>
      <c r="L99" s="9" t="n">
        <v>46323</v>
      </c>
      <c r="M99" s="8" t="inlineStr">
        <is>
          <t>Approved</t>
        </is>
      </c>
      <c r="N99" s="8" t="inlineStr">
        <is>
          <t>paragraph</t>
        </is>
      </c>
    </row>
    <row r="100" ht="40" customHeight="1">
      <c r="A100" s="4" t="inlineStr">
        <is>
          <t>C03-P0035</t>
        </is>
      </c>
      <c r="B100" s="4" t="inlineStr">
        <is>
          <t>C03</t>
        </is>
      </c>
      <c r="C100" s="4" t="inlineStr">
        <is>
          <t>Pradhan Mantri Kisan Maandhan Yojana</t>
        </is>
      </c>
      <c r="D100" s="4" t="inlineStr">
        <is>
          <t>Application process</t>
        </is>
      </c>
      <c r="E100" s="4" t="inlineStr"/>
      <c r="F100" s="4" t="inlineStr">
        <is>
          <t>en.applicationProcess[0].process[0].children[2].children[0].children[0].children[0].children[0].children[0]</t>
        </is>
      </c>
      <c r="G100" s="4" t="inlineStr">
        <is>
          <t>C03@20261028-b25487a7</t>
        </is>
      </c>
      <c r="H100" s="4" t="n">
        <v>1</v>
      </c>
      <c r="I100" s="4" t="n">
        <v>1</v>
      </c>
      <c r="J100" s="4" t="inlineStr">
        <is>
          <t>Aadhaar Card</t>
        </is>
      </c>
      <c r="K100" s="4" t="inlineStr">
        <is>
          <t>MS-C03</t>
        </is>
      </c>
      <c r="L100" s="6" t="n">
        <v>46323</v>
      </c>
      <c r="M100" s="4" t="inlineStr">
        <is>
          <t>Approved</t>
        </is>
      </c>
      <c r="N100" s="4" t="inlineStr">
        <is>
          <t>list_item</t>
        </is>
      </c>
    </row>
    <row r="101" ht="40" customHeight="1">
      <c r="A101" s="8" t="inlineStr">
        <is>
          <t>C03-P0036</t>
        </is>
      </c>
      <c r="B101" s="8" t="inlineStr">
        <is>
          <t>C03</t>
        </is>
      </c>
      <c r="C101" s="8" t="inlineStr">
        <is>
          <t>Pradhan Mantri Kisan Maandhan Yojana</t>
        </is>
      </c>
      <c r="D101" s="8" t="inlineStr">
        <is>
          <t>Application process</t>
        </is>
      </c>
      <c r="E101" s="8" t="inlineStr"/>
      <c r="F101" s="8" t="inlineStr">
        <is>
          <t>en.applicationProcess[0].process[0].children[2].children[0].children[0].children[0].children[0].children[1]</t>
        </is>
      </c>
      <c r="G101" s="8" t="inlineStr">
        <is>
          <t>C03@20261028-b25487a7</t>
        </is>
      </c>
      <c r="H101" s="8" t="n">
        <v>1</v>
      </c>
      <c r="I101" s="8" t="n">
        <v>1</v>
      </c>
      <c r="J101" s="8" t="inlineStr">
        <is>
          <t>Savings Bank Account Number along with IFSC Code ( Bank Passbook or Cheque Leave/book or copy of bank statement as evidence of bank account ).</t>
        </is>
      </c>
      <c r="K101" s="8" t="inlineStr">
        <is>
          <t>MS-C03</t>
        </is>
      </c>
      <c r="L101" s="9" t="n">
        <v>46323</v>
      </c>
      <c r="M101" s="8" t="inlineStr">
        <is>
          <t>Approved</t>
        </is>
      </c>
      <c r="N101" s="8" t="inlineStr">
        <is>
          <t>list_item</t>
        </is>
      </c>
    </row>
    <row r="102" ht="40" customHeight="1">
      <c r="A102" s="4" t="inlineStr">
        <is>
          <t>C03-P0037</t>
        </is>
      </c>
      <c r="B102" s="4" t="inlineStr">
        <is>
          <t>C03</t>
        </is>
      </c>
      <c r="C102" s="4" t="inlineStr">
        <is>
          <t>Pradhan Mantri Kisan Maandhan Yojana</t>
        </is>
      </c>
      <c r="D102" s="4" t="inlineStr">
        <is>
          <t>Application process</t>
        </is>
      </c>
      <c r="E102" s="4" t="inlineStr"/>
      <c r="F102" s="4" t="inlineStr">
        <is>
          <t>en.applicationProcess[0].process[0].children[3]</t>
        </is>
      </c>
      <c r="G102" s="4" t="inlineStr">
        <is>
          <t>C03@20261028-b25487a7</t>
        </is>
      </c>
      <c r="H102" s="4" t="n">
        <v>1</v>
      </c>
      <c r="I102" s="4" t="n">
        <v>1</v>
      </c>
      <c r="J102" s="4" t="inlineStr">
        <is>
          <t>Step 3: Initial contribution amount in cash will be made to the Village Level Entrepreneur (VLE).</t>
        </is>
      </c>
      <c r="K102" s="4" t="inlineStr">
        <is>
          <t>MS-C03</t>
        </is>
      </c>
      <c r="L102" s="6" t="n">
        <v>46323</v>
      </c>
      <c r="M102" s="4" t="inlineStr">
        <is>
          <t>Approved</t>
        </is>
      </c>
      <c r="N102" s="4" t="inlineStr">
        <is>
          <t>paragraph</t>
        </is>
      </c>
    </row>
    <row r="103" ht="40" customHeight="1">
      <c r="A103" s="8" t="inlineStr">
        <is>
          <t>C03-P0038</t>
        </is>
      </c>
      <c r="B103" s="8" t="inlineStr">
        <is>
          <t>C03</t>
        </is>
      </c>
      <c r="C103" s="8" t="inlineStr">
        <is>
          <t>Pradhan Mantri Kisan Maandhan Yojana</t>
        </is>
      </c>
      <c r="D103" s="8" t="inlineStr">
        <is>
          <t>Application process</t>
        </is>
      </c>
      <c r="E103" s="8" t="inlineStr"/>
      <c r="F103" s="8" t="inlineStr">
        <is>
          <t>en.applicationProcess[0].process[0].children[4]</t>
        </is>
      </c>
      <c r="G103" s="8" t="inlineStr">
        <is>
          <t>C03@20261028-b25487a7</t>
        </is>
      </c>
      <c r="H103" s="8" t="n">
        <v>1</v>
      </c>
      <c r="I103" s="8" t="n">
        <v>1</v>
      </c>
      <c r="J103" s="8" t="inlineStr">
        <is>
          <t>Step 4: The VLE will key-in the Aadhaar number, Name of subscriber and Date of birth as printed on aadhaar card for authentication.</t>
        </is>
      </c>
      <c r="K103" s="8" t="inlineStr">
        <is>
          <t>MS-C03</t>
        </is>
      </c>
      <c r="L103" s="9" t="n">
        <v>46323</v>
      </c>
      <c r="M103" s="8" t="inlineStr">
        <is>
          <t>Approved</t>
        </is>
      </c>
      <c r="N103" s="8" t="inlineStr">
        <is>
          <t>paragraph</t>
        </is>
      </c>
    </row>
    <row r="104" ht="54" customHeight="1">
      <c r="A104" s="4" t="inlineStr">
        <is>
          <t>C03-P0039</t>
        </is>
      </c>
      <c r="B104" s="4" t="inlineStr">
        <is>
          <t>C03</t>
        </is>
      </c>
      <c r="C104" s="4" t="inlineStr">
        <is>
          <t>Pradhan Mantri Kisan Maandhan Yojana</t>
        </is>
      </c>
      <c r="D104" s="4" t="inlineStr">
        <is>
          <t>Application process</t>
        </is>
      </c>
      <c r="E104" s="4" t="inlineStr"/>
      <c r="F104" s="4" t="inlineStr">
        <is>
          <t>en.applicationProcess[0].process[0].children[5]</t>
        </is>
      </c>
      <c r="G104" s="4" t="inlineStr">
        <is>
          <t>C03@20261028-b25487a7</t>
        </is>
      </c>
      <c r="H104" s="4" t="n">
        <v>1</v>
      </c>
      <c r="I104" s="4" t="n">
        <v>1</v>
      </c>
      <c r="J104" s="4" t="inlineStr">
        <is>
          <t>Step 5: The VLE will complete the online registration by filling up the details like Bank Account details, Mobile Number, Email Address, Spouse (if any) and Nominee details will be captured.</t>
        </is>
      </c>
      <c r="K104" s="4" t="inlineStr">
        <is>
          <t>MS-C03</t>
        </is>
      </c>
      <c r="L104" s="6" t="n">
        <v>46323</v>
      </c>
      <c r="M104" s="4" t="inlineStr">
        <is>
          <t>Approved</t>
        </is>
      </c>
      <c r="N104" s="4" t="inlineStr">
        <is>
          <t>paragraph</t>
        </is>
      </c>
    </row>
    <row r="105" ht="40" customHeight="1">
      <c r="A105" s="8" t="inlineStr">
        <is>
          <t>C03-P0040</t>
        </is>
      </c>
      <c r="B105" s="8" t="inlineStr">
        <is>
          <t>C03</t>
        </is>
      </c>
      <c r="C105" s="8" t="inlineStr">
        <is>
          <t>Pradhan Mantri Kisan Maandhan Yojana</t>
        </is>
      </c>
      <c r="D105" s="8" t="inlineStr">
        <is>
          <t>Application process</t>
        </is>
      </c>
      <c r="E105" s="8" t="inlineStr"/>
      <c r="F105" s="8" t="inlineStr">
        <is>
          <t>en.applicationProcess[0].process[0].children[6]</t>
        </is>
      </c>
      <c r="G105" s="8" t="inlineStr">
        <is>
          <t>C03@20261028-b25487a7</t>
        </is>
      </c>
      <c r="H105" s="8" t="n">
        <v>1</v>
      </c>
      <c r="I105" s="8" t="n">
        <v>1</v>
      </c>
      <c r="J105" s="8" t="inlineStr">
        <is>
          <t>Step 6: System will auto calculate monthly contribution payable according to age of the Subscriber.</t>
        </is>
      </c>
      <c r="K105" s="8" t="inlineStr">
        <is>
          <t>MS-C03</t>
        </is>
      </c>
      <c r="L105" s="9" t="n">
        <v>46323</v>
      </c>
      <c r="M105" s="8" t="inlineStr">
        <is>
          <t>Approved</t>
        </is>
      </c>
      <c r="N105" s="8" t="inlineStr">
        <is>
          <t>paragraph</t>
        </is>
      </c>
    </row>
    <row r="106" ht="40" customHeight="1">
      <c r="A106" s="4" t="inlineStr">
        <is>
          <t>C03-P0041</t>
        </is>
      </c>
      <c r="B106" s="4" t="inlineStr">
        <is>
          <t>C03</t>
        </is>
      </c>
      <c r="C106" s="4" t="inlineStr">
        <is>
          <t>Pradhan Mantri Kisan Maandhan Yojana</t>
        </is>
      </c>
      <c r="D106" s="4" t="inlineStr">
        <is>
          <t>Application process</t>
        </is>
      </c>
      <c r="E106" s="4" t="inlineStr"/>
      <c r="F106" s="4" t="inlineStr">
        <is>
          <t>en.applicationProcess[0].process[0].children[7]</t>
        </is>
      </c>
      <c r="G106" s="4" t="inlineStr">
        <is>
          <t>C03@20261028-b25487a7</t>
        </is>
      </c>
      <c r="H106" s="4" t="n">
        <v>1</v>
      </c>
      <c r="I106" s="4" t="n">
        <v>1</v>
      </c>
      <c r="J106" s="4" t="inlineStr">
        <is>
          <t>Step 7: Subscriber will pay the 1st subscription amount in cash to the VLE.</t>
        </is>
      </c>
      <c r="K106" s="4" t="inlineStr">
        <is>
          <t>MS-C03</t>
        </is>
      </c>
      <c r="L106" s="6" t="n">
        <v>46323</v>
      </c>
      <c r="M106" s="4" t="inlineStr">
        <is>
          <t>Approved</t>
        </is>
      </c>
      <c r="N106" s="4" t="inlineStr">
        <is>
          <t>paragraph</t>
        </is>
      </c>
    </row>
    <row r="107" ht="40" customHeight="1">
      <c r="A107" s="8" t="inlineStr">
        <is>
          <t>C03-P0042</t>
        </is>
      </c>
      <c r="B107" s="8" t="inlineStr">
        <is>
          <t>C03</t>
        </is>
      </c>
      <c r="C107" s="8" t="inlineStr">
        <is>
          <t>Pradhan Mantri Kisan Maandhan Yojana</t>
        </is>
      </c>
      <c r="D107" s="8" t="inlineStr">
        <is>
          <t>Application process</t>
        </is>
      </c>
      <c r="E107" s="8" t="inlineStr"/>
      <c r="F107" s="8" t="inlineStr">
        <is>
          <t>en.applicationProcess[0].process[0].children[8]</t>
        </is>
      </c>
      <c r="G107" s="8" t="inlineStr">
        <is>
          <t>C03@20261028-b25487a7</t>
        </is>
      </c>
      <c r="H107" s="8" t="n">
        <v>1</v>
      </c>
      <c r="I107" s="8" t="n">
        <v>1</v>
      </c>
      <c r="J107" s="8" t="inlineStr">
        <is>
          <t>Step 8: Enrolment cum Auto Debit mandate form will be printed and will be further signed by the subscriber. VLE will scan the same and upload it into the system.</t>
        </is>
      </c>
      <c r="K107" s="8" t="inlineStr">
        <is>
          <t>MS-C03</t>
        </is>
      </c>
      <c r="L107" s="9" t="n">
        <v>46323</v>
      </c>
      <c r="M107" s="8" t="inlineStr">
        <is>
          <t>Approved</t>
        </is>
      </c>
      <c r="N107" s="8" t="inlineStr">
        <is>
          <t>paragraph</t>
        </is>
      </c>
    </row>
    <row r="108" ht="40" customHeight="1">
      <c r="A108" s="4" t="inlineStr">
        <is>
          <t>C03-P0043</t>
        </is>
      </c>
      <c r="B108" s="4" t="inlineStr">
        <is>
          <t>C03</t>
        </is>
      </c>
      <c r="C108" s="4" t="inlineStr">
        <is>
          <t>Pradhan Mantri Kisan Maandhan Yojana</t>
        </is>
      </c>
      <c r="D108" s="4" t="inlineStr">
        <is>
          <t>Application process</t>
        </is>
      </c>
      <c r="E108" s="4" t="inlineStr"/>
      <c r="F108" s="4" t="inlineStr">
        <is>
          <t>en.applicationProcess[0].process[0].children[9]</t>
        </is>
      </c>
      <c r="G108" s="4" t="inlineStr">
        <is>
          <t>C03@20261028-b25487a7</t>
        </is>
      </c>
      <c r="H108" s="4" t="n">
        <v>1</v>
      </c>
      <c r="I108" s="4" t="n">
        <v>1</v>
      </c>
      <c r="J108" s="4" t="inlineStr">
        <is>
          <t>Step 9: A unique Kisan Pension Account Number (KPAN) will be generated and Kisan Card will be printed.</t>
        </is>
      </c>
      <c r="K108" s="4" t="inlineStr">
        <is>
          <t>MS-C03</t>
        </is>
      </c>
      <c r="L108" s="6" t="n">
        <v>46323</v>
      </c>
      <c r="M108" s="4" t="inlineStr">
        <is>
          <t>Approved</t>
        </is>
      </c>
      <c r="N108" s="4" t="inlineStr">
        <is>
          <t>paragraph</t>
        </is>
      </c>
    </row>
    <row r="109" ht="54" customHeight="1">
      <c r="A109" s="8" t="inlineStr">
        <is>
          <t>C03-P0044</t>
        </is>
      </c>
      <c r="B109" s="8" t="inlineStr">
        <is>
          <t>C03</t>
        </is>
      </c>
      <c r="C109" s="8" t="inlineStr">
        <is>
          <t>Pradhan Mantri Kisan Maandhan Yojana</t>
        </is>
      </c>
      <c r="D109" s="8" t="inlineStr">
        <is>
          <t>FAQ</t>
        </is>
      </c>
      <c r="E109" s="8" t="inlineStr"/>
      <c r="F109" s="8" t="inlineStr">
        <is>
          <t>faqs.en.faqs[0]</t>
        </is>
      </c>
      <c r="G109" s="8" t="inlineStr">
        <is>
          <t>C03@20261028-b25487a7</t>
        </is>
      </c>
      <c r="H109" s="8" t="n">
        <v>1</v>
      </c>
      <c r="I109" s="8" t="n">
        <v>1</v>
      </c>
      <c r="J109" s="8" t="inlineStr">
        <is>
          <t>What is "Pradhan Mantri Kisan Maandhan Yojana (PMKMY)"?
PMKMY is a voluntary and contributory pension scheme launched by the Government of India to provide old-age security to small and marginal farmers.</t>
        </is>
      </c>
      <c r="K109" s="8" t="inlineStr">
        <is>
          <t>MS-C03</t>
        </is>
      </c>
      <c r="L109" s="9" t="n">
        <v>46323</v>
      </c>
      <c r="M109" s="8" t="inlineStr">
        <is>
          <t>Approved</t>
        </is>
      </c>
      <c r="N109" s="8" t="inlineStr">
        <is>
          <t>faq</t>
        </is>
      </c>
    </row>
    <row r="110" ht="54" customHeight="1">
      <c r="A110" s="4" t="inlineStr">
        <is>
          <t>C03-P0045</t>
        </is>
      </c>
      <c r="B110" s="4" t="inlineStr">
        <is>
          <t>C03</t>
        </is>
      </c>
      <c r="C110" s="4" t="inlineStr">
        <is>
          <t>Pradhan Mantri Kisan Maandhan Yojana</t>
        </is>
      </c>
      <c r="D110" s="4" t="inlineStr">
        <is>
          <t>FAQ</t>
        </is>
      </c>
      <c r="E110" s="4" t="inlineStr"/>
      <c r="F110" s="4" t="inlineStr">
        <is>
          <t>faqs.en.faqs[1]</t>
        </is>
      </c>
      <c r="G110" s="4" t="inlineStr">
        <is>
          <t>C03@20261028-b25487a7</t>
        </is>
      </c>
      <c r="H110" s="4" t="n">
        <v>1</v>
      </c>
      <c r="I110" s="4" t="n">
        <v>1</v>
      </c>
      <c r="J110" s="4" t="inlineStr">
        <is>
          <t>Who is eligible to join PMKMY?
Small and marginal farmers aged between 18 and 40 years with cultivable landholding up to 2 hectares are eligible to enroll in the scheme.</t>
        </is>
      </c>
      <c r="K110" s="4" t="inlineStr">
        <is>
          <t>MS-C03</t>
        </is>
      </c>
      <c r="L110" s="6" t="n">
        <v>46323</v>
      </c>
      <c r="M110" s="4" t="inlineStr">
        <is>
          <t>Approved</t>
        </is>
      </c>
      <c r="N110" s="4" t="inlineStr">
        <is>
          <t>faq</t>
        </is>
      </c>
    </row>
    <row r="111" ht="54" customHeight="1">
      <c r="A111" s="8" t="inlineStr">
        <is>
          <t>C03-P0046</t>
        </is>
      </c>
      <c r="B111" s="8" t="inlineStr">
        <is>
          <t>C03</t>
        </is>
      </c>
      <c r="C111" s="8" t="inlineStr">
        <is>
          <t>Pradhan Mantri Kisan Maandhan Yojana</t>
        </is>
      </c>
      <c r="D111" s="8" t="inlineStr">
        <is>
          <t>FAQ</t>
        </is>
      </c>
      <c r="E111" s="8" t="inlineStr"/>
      <c r="F111" s="8" t="inlineStr">
        <is>
          <t>faqs.en.faqs[2]</t>
        </is>
      </c>
      <c r="G111" s="8" t="inlineStr">
        <is>
          <t>C03@20261028-b25487a7</t>
        </is>
      </c>
      <c r="H111" s="8" t="n">
        <v>1</v>
      </c>
      <c r="I111" s="8" t="n">
        <v>1</v>
      </c>
      <c r="J111" s="8" t="inlineStr">
        <is>
          <t>What pension benefit is provided under PMKMY?
After attaining the age of 60 years, beneficiaries receive a guaranteed monthly pension of ₹3,000/-.</t>
        </is>
      </c>
      <c r="K111" s="8" t="inlineStr">
        <is>
          <t>MS-C03</t>
        </is>
      </c>
      <c r="L111" s="9" t="n">
        <v>46323</v>
      </c>
      <c r="M111" s="8" t="inlineStr">
        <is>
          <t>Approved</t>
        </is>
      </c>
      <c r="N111" s="8" t="inlineStr">
        <is>
          <t>faq</t>
        </is>
      </c>
    </row>
    <row r="112" ht="54" customHeight="1">
      <c r="A112" s="4" t="inlineStr">
        <is>
          <t>C03-P0047</t>
        </is>
      </c>
      <c r="B112" s="4" t="inlineStr">
        <is>
          <t>C03</t>
        </is>
      </c>
      <c r="C112" s="4" t="inlineStr">
        <is>
          <t>Pradhan Mantri Kisan Maandhan Yojana</t>
        </is>
      </c>
      <c r="D112" s="4" t="inlineStr">
        <is>
          <t>FAQ</t>
        </is>
      </c>
      <c r="E112" s="4" t="inlineStr"/>
      <c r="F112" s="4" t="inlineStr">
        <is>
          <t>faqs.en.faqs[3]</t>
        </is>
      </c>
      <c r="G112" s="4" t="inlineStr">
        <is>
          <t>C03@20261028-b25487a7</t>
        </is>
      </c>
      <c r="H112" s="4" t="n">
        <v>1</v>
      </c>
      <c r="I112" s="4" t="n">
        <v>1</v>
      </c>
      <c r="J112" s="4" t="inlineStr">
        <is>
          <t>Who is eligible to join PMKMY?
Small and marginal farmers aged between 18 and 40 years with cultivable landholding up to 2 hectares are eligible to enroll in the scheme.</t>
        </is>
      </c>
      <c r="K112" s="4" t="inlineStr">
        <is>
          <t>MS-C03</t>
        </is>
      </c>
      <c r="L112" s="6" t="n">
        <v>46323</v>
      </c>
      <c r="M112" s="4" t="inlineStr">
        <is>
          <t>Approved</t>
        </is>
      </c>
      <c r="N112" s="4" t="inlineStr">
        <is>
          <t>faq</t>
        </is>
      </c>
    </row>
    <row r="113" ht="54" customHeight="1">
      <c r="A113" s="8" t="inlineStr">
        <is>
          <t>C03-P0048</t>
        </is>
      </c>
      <c r="B113" s="8" t="inlineStr">
        <is>
          <t>C03</t>
        </is>
      </c>
      <c r="C113" s="8" t="inlineStr">
        <is>
          <t>Pradhan Mantri Kisan Maandhan Yojana</t>
        </is>
      </c>
      <c r="D113" s="8" t="inlineStr">
        <is>
          <t>FAQ</t>
        </is>
      </c>
      <c r="E113" s="8" t="inlineStr"/>
      <c r="F113" s="8" t="inlineStr">
        <is>
          <t>faqs.en.faqs[4]</t>
        </is>
      </c>
      <c r="G113" s="8" t="inlineStr">
        <is>
          <t>C03@20261028-b25487a7</t>
        </is>
      </c>
      <c r="H113" s="8" t="n">
        <v>1</v>
      </c>
      <c r="I113" s="8" t="n">
        <v>1</v>
      </c>
      <c r="J113" s="8" t="inlineStr">
        <is>
          <t>What pension benefit is provided under PMKMY?
After attaining the age of 60 years, beneficiaries receive a guaranteed monthly pension of ₹3,000/-.</t>
        </is>
      </c>
      <c r="K113" s="8" t="inlineStr">
        <is>
          <t>MS-C03</t>
        </is>
      </c>
      <c r="L113" s="9" t="n">
        <v>46323</v>
      </c>
      <c r="M113" s="8" t="inlineStr">
        <is>
          <t>Approved</t>
        </is>
      </c>
      <c r="N113" s="8" t="inlineStr">
        <is>
          <t>faq</t>
        </is>
      </c>
    </row>
    <row r="114" ht="40" customHeight="1">
      <c r="A114" s="4" t="inlineStr">
        <is>
          <t>C03-P0049</t>
        </is>
      </c>
      <c r="B114" s="4" t="inlineStr">
        <is>
          <t>C03</t>
        </is>
      </c>
      <c r="C114" s="4" t="inlineStr">
        <is>
          <t>Pradhan Mantri Kisan Maandhan Yojana</t>
        </is>
      </c>
      <c r="D114" s="4" t="inlineStr">
        <is>
          <t>FAQ</t>
        </is>
      </c>
      <c r="E114" s="4" t="inlineStr"/>
      <c r="F114" s="4" t="inlineStr">
        <is>
          <t>faqs.en.faqs[5]</t>
        </is>
      </c>
      <c r="G114" s="4" t="inlineStr">
        <is>
          <t>C03@20261028-b25487a7</t>
        </is>
      </c>
      <c r="H114" s="4" t="n">
        <v>1</v>
      </c>
      <c r="I114" s="4" t="n">
        <v>1</v>
      </c>
      <c r="J114" s="4" t="inlineStr">
        <is>
          <t>How much contribution is required from farmers?
The contribution depends on the age at entry and ranges from ₹55/- to ₹200/- per month.</t>
        </is>
      </c>
      <c r="K114" s="4" t="inlineStr">
        <is>
          <t>MS-C03</t>
        </is>
      </c>
      <c r="L114" s="6" t="n">
        <v>46323</v>
      </c>
      <c r="M114" s="4" t="inlineStr">
        <is>
          <t>Approved</t>
        </is>
      </c>
      <c r="N114" s="4" t="inlineStr">
        <is>
          <t>faq</t>
        </is>
      </c>
    </row>
    <row r="115" ht="54" customHeight="1">
      <c r="A115" s="8" t="inlineStr">
        <is>
          <t>C03-P0050</t>
        </is>
      </c>
      <c r="B115" s="8" t="inlineStr">
        <is>
          <t>C03</t>
        </is>
      </c>
      <c r="C115" s="8" t="inlineStr">
        <is>
          <t>Pradhan Mantri Kisan Maandhan Yojana</t>
        </is>
      </c>
      <c r="D115" s="8" t="inlineStr">
        <is>
          <t>FAQ</t>
        </is>
      </c>
      <c r="E115" s="8" t="inlineStr"/>
      <c r="F115" s="8" t="inlineStr">
        <is>
          <t>faqs.en.faqs[6]</t>
        </is>
      </c>
      <c r="G115" s="8" t="inlineStr">
        <is>
          <t>C03@20261028-b25487a7</t>
        </is>
      </c>
      <c r="H115" s="8" t="n">
        <v>1</v>
      </c>
      <c r="I115" s="8" t="n">
        <v>1</v>
      </c>
      <c r="J115" s="8" t="inlineStr">
        <is>
          <t>Does the Government contribute to the scheme?
Yes, the Government of India makes an equal matching contribution to the farmer’s contribution.</t>
        </is>
      </c>
      <c r="K115" s="8" t="inlineStr">
        <is>
          <t>MS-C03</t>
        </is>
      </c>
      <c r="L115" s="9" t="n">
        <v>46323</v>
      </c>
      <c r="M115" s="8" t="inlineStr">
        <is>
          <t>Approved</t>
        </is>
      </c>
      <c r="N115" s="8" t="inlineStr">
        <is>
          <t>faq</t>
        </is>
      </c>
    </row>
    <row r="116" ht="54" customHeight="1">
      <c r="A116" s="4" t="inlineStr">
        <is>
          <t>C03-P0051</t>
        </is>
      </c>
      <c r="B116" s="4" t="inlineStr">
        <is>
          <t>C03</t>
        </is>
      </c>
      <c r="C116" s="4" t="inlineStr">
        <is>
          <t>Pradhan Mantri Kisan Maandhan Yojana</t>
        </is>
      </c>
      <c r="D116" s="4" t="inlineStr">
        <is>
          <t>FAQ</t>
        </is>
      </c>
      <c r="E116" s="4" t="inlineStr"/>
      <c r="F116" s="4" t="inlineStr">
        <is>
          <t>faqs.en.faqs[7]</t>
        </is>
      </c>
      <c r="G116" s="4" t="inlineStr">
        <is>
          <t>C03@20261028-b25487a7</t>
        </is>
      </c>
      <c r="H116" s="4" t="n">
        <v>1</v>
      </c>
      <c r="I116" s="4" t="n">
        <v>1</v>
      </c>
      <c r="J116" s="4" t="inlineStr">
        <is>
          <t>What happens if the beneficiary dies during the scheme period?
If the beneficiary dies before the pension age, the spouse can continue the scheme by paying the remaining contributions.</t>
        </is>
      </c>
      <c r="K116" s="4" t="inlineStr">
        <is>
          <t>MS-C03</t>
        </is>
      </c>
      <c r="L116" s="6" t="n">
        <v>46323</v>
      </c>
      <c r="M116" s="4" t="inlineStr">
        <is>
          <t>Approved</t>
        </is>
      </c>
      <c r="N116" s="4" t="inlineStr">
        <is>
          <t>faq</t>
        </is>
      </c>
    </row>
    <row r="117" ht="54" customHeight="1">
      <c r="A117" s="8" t="inlineStr">
        <is>
          <t>C03-P0052</t>
        </is>
      </c>
      <c r="B117" s="8" t="inlineStr">
        <is>
          <t>C03</t>
        </is>
      </c>
      <c r="C117" s="8" t="inlineStr">
        <is>
          <t>Pradhan Mantri Kisan Maandhan Yojana</t>
        </is>
      </c>
      <c r="D117" s="8" t="inlineStr">
        <is>
          <t>FAQ</t>
        </is>
      </c>
      <c r="E117" s="8" t="inlineStr"/>
      <c r="F117" s="8" t="inlineStr">
        <is>
          <t>faqs.en.faqs[8]</t>
        </is>
      </c>
      <c r="G117" s="8" t="inlineStr">
        <is>
          <t>C03@20261028-b25487a7</t>
        </is>
      </c>
      <c r="H117" s="8" t="n">
        <v>1</v>
      </c>
      <c r="I117" s="8" t="n">
        <v>1</v>
      </c>
      <c r="J117" s="8" t="inlineStr">
        <is>
          <t>What happens if the beneficiary dies after starting pension?
After the death of the pensioner, the spouse is entitled to receive 50% of the pension as a family pension.</t>
        </is>
      </c>
      <c r="K117" s="8" t="inlineStr">
        <is>
          <t>MS-C03</t>
        </is>
      </c>
      <c r="L117" s="9" t="n">
        <v>46323</v>
      </c>
      <c r="M117" s="8" t="inlineStr">
        <is>
          <t>Approved</t>
        </is>
      </c>
      <c r="N117" s="8" t="inlineStr">
        <is>
          <t>faq</t>
        </is>
      </c>
    </row>
    <row r="118" ht="54" customHeight="1">
      <c r="A118" s="4" t="inlineStr">
        <is>
          <t>C03-P0053</t>
        </is>
      </c>
      <c r="B118" s="4" t="inlineStr">
        <is>
          <t>C03</t>
        </is>
      </c>
      <c r="C118" s="4" t="inlineStr">
        <is>
          <t>Pradhan Mantri Kisan Maandhan Yojana</t>
        </is>
      </c>
      <c r="D118" s="4" t="inlineStr">
        <is>
          <t>FAQ</t>
        </is>
      </c>
      <c r="E118" s="4" t="inlineStr"/>
      <c r="F118" s="4" t="inlineStr">
        <is>
          <t>faqs.en.faqs[9]</t>
        </is>
      </c>
      <c r="G118" s="4" t="inlineStr">
        <is>
          <t>C03@20261028-b25487a7</t>
        </is>
      </c>
      <c r="H118" s="4" t="n">
        <v>1</v>
      </c>
      <c r="I118" s="4" t="n">
        <v>1</v>
      </c>
      <c r="J118" s="4" t="inlineStr">
        <is>
          <t>Can a beneficiary exit the scheme?
Yes, beneficiaries can voluntarily exit the scheme before the age of 60 years under specified conditions.</t>
        </is>
      </c>
      <c r="K118" s="4" t="inlineStr">
        <is>
          <t>MS-C03</t>
        </is>
      </c>
      <c r="L118" s="6" t="n">
        <v>46323</v>
      </c>
      <c r="M118" s="4" t="inlineStr">
        <is>
          <t>Approved</t>
        </is>
      </c>
      <c r="N118" s="4" t="inlineStr">
        <is>
          <t>faq</t>
        </is>
      </c>
    </row>
    <row r="119" ht="54" customHeight="1">
      <c r="A119" s="8" t="inlineStr">
        <is>
          <t>C03-P0054</t>
        </is>
      </c>
      <c r="B119" s="8" t="inlineStr">
        <is>
          <t>C03</t>
        </is>
      </c>
      <c r="C119" s="8" t="inlineStr">
        <is>
          <t>Pradhan Mantri Kisan Maandhan Yojana</t>
        </is>
      </c>
      <c r="D119" s="8" t="inlineStr">
        <is>
          <t>FAQ</t>
        </is>
      </c>
      <c r="E119" s="8" t="inlineStr"/>
      <c r="F119" s="8" t="inlineStr">
        <is>
          <t>faqs.en.faqs[10]</t>
        </is>
      </c>
      <c r="G119" s="8" t="inlineStr">
        <is>
          <t>C03@20261028-b25487a7</t>
        </is>
      </c>
      <c r="H119" s="8" t="n">
        <v>1</v>
      </c>
      <c r="I119" s="8" t="n">
        <v>1</v>
      </c>
      <c r="J119" s="8" t="inlineStr">
        <is>
          <t>What happens if the beneficiary exits before 10 years?
If the beneficiary exits before completing 10 years, only the farmer’s contribution along with savings bank interest will be returned.</t>
        </is>
      </c>
      <c r="K119" s="8" t="inlineStr">
        <is>
          <t>MS-C03</t>
        </is>
      </c>
      <c r="L119" s="9" t="n">
        <v>46323</v>
      </c>
      <c r="M119" s="8" t="inlineStr">
        <is>
          <t>Approved</t>
        </is>
      </c>
      <c r="N119" s="8" t="inlineStr">
        <is>
          <t>faq</t>
        </is>
      </c>
    </row>
    <row r="120" ht="54" customHeight="1">
      <c r="A120" s="4" t="inlineStr">
        <is>
          <t>C03-P0055</t>
        </is>
      </c>
      <c r="B120" s="4" t="inlineStr">
        <is>
          <t>C03</t>
        </is>
      </c>
      <c r="C120" s="4" t="inlineStr">
        <is>
          <t>Pradhan Mantri Kisan Maandhan Yojana</t>
        </is>
      </c>
      <c r="D120" s="4" t="inlineStr">
        <is>
          <t>FAQ</t>
        </is>
      </c>
      <c r="E120" s="4" t="inlineStr"/>
      <c r="F120" s="4" t="inlineStr">
        <is>
          <t>faqs.en.faqs[11]</t>
        </is>
      </c>
      <c r="G120" s="4" t="inlineStr">
        <is>
          <t>C03@20261028-b25487a7</t>
        </is>
      </c>
      <c r="H120" s="4" t="n">
        <v>1</v>
      </c>
      <c r="I120" s="4" t="n">
        <v>1</v>
      </c>
      <c r="J120" s="4" t="inlineStr">
        <is>
          <t>What happens if the beneficiary exits after 10 years but before 60 years?
If the exit is after 10 years, the beneficiary can receive either the farmer’s contribution with interest or the accumulated pension fund, whichever is higher.</t>
        </is>
      </c>
      <c r="K120" s="4" t="inlineStr">
        <is>
          <t>MS-C03</t>
        </is>
      </c>
      <c r="L120" s="6" t="n">
        <v>46323</v>
      </c>
      <c r="M120" s="4" t="inlineStr">
        <is>
          <t>Approved</t>
        </is>
      </c>
      <c r="N120" s="4" t="inlineStr">
        <is>
          <t>faq</t>
        </is>
      </c>
    </row>
    <row r="121" ht="40" customHeight="1">
      <c r="A121" s="8" t="inlineStr">
        <is>
          <t>C03-P0056</t>
        </is>
      </c>
      <c r="B121" s="8" t="inlineStr">
        <is>
          <t>C03</t>
        </is>
      </c>
      <c r="C121" s="8" t="inlineStr">
        <is>
          <t>Pradhan Mantri Kisan Maandhan Yojana</t>
        </is>
      </c>
      <c r="D121" s="8" t="inlineStr">
        <is>
          <t>FAQ</t>
        </is>
      </c>
      <c r="E121" s="8" t="inlineStr"/>
      <c r="F121" s="8" t="inlineStr">
        <is>
          <t>faqs.en.faqs[12]</t>
        </is>
      </c>
      <c r="G121" s="8" t="inlineStr">
        <is>
          <t>C03@20261028-b25487a7</t>
        </is>
      </c>
      <c r="H121" s="8" t="n">
        <v>1</v>
      </c>
      <c r="I121" s="8" t="n">
        <v>1</v>
      </c>
      <c r="J121" s="8" t="inlineStr">
        <is>
          <t>How can farmers enroll in the scheme?
Farmers can enroll through Common Service Centres (CSCs).</t>
        </is>
      </c>
      <c r="K121" s="8" t="inlineStr">
        <is>
          <t>MS-C03</t>
        </is>
      </c>
      <c r="L121" s="9" t="n">
        <v>46323</v>
      </c>
      <c r="M121" s="8" t="inlineStr">
        <is>
          <t>Approved</t>
        </is>
      </c>
      <c r="N121" s="8" t="inlineStr">
        <is>
          <t>faq</t>
        </is>
      </c>
    </row>
    <row r="122" ht="54" customHeight="1">
      <c r="A122" s="4" t="inlineStr">
        <is>
          <t>C03-P0057</t>
        </is>
      </c>
      <c r="B122" s="4" t="inlineStr">
        <is>
          <t>C03</t>
        </is>
      </c>
      <c r="C122" s="4" t="inlineStr">
        <is>
          <t>Pradhan Mantri Kisan Maandhan Yojana</t>
        </is>
      </c>
      <c r="D122" s="4" t="inlineStr">
        <is>
          <t>FAQ</t>
        </is>
      </c>
      <c r="E122" s="4" t="inlineStr"/>
      <c r="F122" s="4" t="inlineStr">
        <is>
          <t>faqs.en.faqs[13]</t>
        </is>
      </c>
      <c r="G122" s="4" t="inlineStr">
        <is>
          <t>C03@20261028-b25487a7</t>
        </is>
      </c>
      <c r="H122" s="4" t="n">
        <v>1</v>
      </c>
      <c r="I122" s="4" t="n">
        <v>1</v>
      </c>
      <c r="J122" s="4" t="inlineStr">
        <is>
          <t>Can farmers receiving PM-KISAN benefits join PMKMY?
Yes, farmers receiving PM-KISAN benefits can also join PMKMY, and their PM-KISAN benefit can be used for contribution payment.</t>
        </is>
      </c>
      <c r="K122" s="4" t="inlineStr">
        <is>
          <t>MS-C03</t>
        </is>
      </c>
      <c r="L122" s="6" t="n">
        <v>46323</v>
      </c>
      <c r="M122" s="4" t="inlineStr">
        <is>
          <t>Approved</t>
        </is>
      </c>
      <c r="N122" s="4" t="inlineStr">
        <is>
          <t>faq</t>
        </is>
      </c>
    </row>
    <row r="123" ht="68" customHeight="1">
      <c r="A123" s="8" t="inlineStr">
        <is>
          <t>C04-P0001</t>
        </is>
      </c>
      <c r="B123" s="8" t="inlineStr">
        <is>
          <t>C04</t>
        </is>
      </c>
      <c r="C123" s="8" t="inlineStr">
        <is>
          <t>Atal Pension Yojana</t>
        </is>
      </c>
      <c r="D123" s="8" t="inlineStr">
        <is>
          <t>Details</t>
        </is>
      </c>
      <c r="E123" s="8" t="inlineStr"/>
      <c r="F123" s="8" t="inlineStr">
        <is>
          <t>en.schemeContent.detailedDescription[0].children[0]</t>
        </is>
      </c>
      <c r="G123" s="8" t="inlineStr">
        <is>
          <t>C04@20261028-8f3b40d0</t>
        </is>
      </c>
      <c r="H123" s="8" t="n">
        <v>1</v>
      </c>
      <c r="I123" s="8" t="n">
        <v>1</v>
      </c>
      <c r="J123" s="8" t="inlineStr">
        <is>
          <t>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t>
        </is>
      </c>
      <c r="K123" s="8" t="inlineStr">
        <is>
          <t>MS-C04</t>
        </is>
      </c>
      <c r="L123" s="9" t="n">
        <v>46323</v>
      </c>
      <c r="M123" s="8" t="inlineStr">
        <is>
          <t>Approved</t>
        </is>
      </c>
      <c r="N123" s="8" t="inlineStr">
        <is>
          <t>paragraph</t>
        </is>
      </c>
    </row>
    <row r="124" ht="40" customHeight="1">
      <c r="A124" s="4" t="inlineStr">
        <is>
          <t>C04-P0002</t>
        </is>
      </c>
      <c r="B124" s="4" t="inlineStr">
        <is>
          <t>C04</t>
        </is>
      </c>
      <c r="C124" s="4" t="inlineStr">
        <is>
          <t>Atal Pension Yojana</t>
        </is>
      </c>
      <c r="D124" s="4" t="inlineStr">
        <is>
          <t>Details</t>
        </is>
      </c>
      <c r="E124" s="4" t="inlineStr"/>
      <c r="F124" s="4" t="inlineStr">
        <is>
          <t>en.schemeContent.detailedDescription[1].children[0]</t>
        </is>
      </c>
      <c r="G124" s="4" t="inlineStr">
        <is>
          <t>C04@20261028-8f3b40d0</t>
        </is>
      </c>
      <c r="H124" s="4" t="n">
        <v>1</v>
      </c>
      <c r="I124" s="4" t="n">
        <v>1</v>
      </c>
      <c r="J124" s="4" t="inlineStr">
        <is>
          <t>Focus of APY</t>
        </is>
      </c>
      <c r="K124" s="4" t="inlineStr">
        <is>
          <t>MS-C04</t>
        </is>
      </c>
      <c r="L124" s="6" t="n">
        <v>46323</v>
      </c>
      <c r="M124" s="4" t="inlineStr">
        <is>
          <t>Approved</t>
        </is>
      </c>
      <c r="N124" s="4" t="inlineStr">
        <is>
          <t>text</t>
        </is>
      </c>
    </row>
    <row r="125" ht="40" customHeight="1">
      <c r="A125" s="8" t="inlineStr">
        <is>
          <t>C04-P0003</t>
        </is>
      </c>
      <c r="B125" s="8" t="inlineStr">
        <is>
          <t>C04</t>
        </is>
      </c>
      <c r="C125" s="8" t="inlineStr">
        <is>
          <t>Atal Pension Yojana</t>
        </is>
      </c>
      <c r="D125" s="8" t="inlineStr">
        <is>
          <t>Details</t>
        </is>
      </c>
      <c r="E125" s="8" t="inlineStr"/>
      <c r="F125" s="8" t="inlineStr">
        <is>
          <t>en.schemeContent.detailedDescription[2].children[0]</t>
        </is>
      </c>
      <c r="G125" s="8" t="inlineStr">
        <is>
          <t>C04@20261028-8f3b40d0</t>
        </is>
      </c>
      <c r="H125" s="8" t="n">
        <v>1</v>
      </c>
      <c r="I125" s="8" t="n">
        <v>1</v>
      </c>
      <c r="J125" s="8" t="inlineStr">
        <is>
          <t>The scheme is mainly targeted at the poor, the under-privileged and workers in the  unorganized sector.</t>
        </is>
      </c>
      <c r="K125" s="8" t="inlineStr">
        <is>
          <t>MS-C04</t>
        </is>
      </c>
      <c r="L125" s="9" t="n">
        <v>46323</v>
      </c>
      <c r="M125" s="8" t="inlineStr">
        <is>
          <t>Approved</t>
        </is>
      </c>
      <c r="N125" s="8" t="inlineStr">
        <is>
          <t>paragraph</t>
        </is>
      </c>
    </row>
    <row r="126" ht="40" customHeight="1">
      <c r="A126" s="4" t="inlineStr">
        <is>
          <t>C04-P0004</t>
        </is>
      </c>
      <c r="B126" s="4" t="inlineStr">
        <is>
          <t>C04</t>
        </is>
      </c>
      <c r="C126" s="4" t="inlineStr">
        <is>
          <t>Atal Pension Yojana</t>
        </is>
      </c>
      <c r="D126" s="4" t="inlineStr">
        <is>
          <t>Details</t>
        </is>
      </c>
      <c r="E126" s="4" t="inlineStr"/>
      <c r="F126" s="4" t="inlineStr">
        <is>
          <t>en.schemeContent.detailedDescription[3].children[0]</t>
        </is>
      </c>
      <c r="G126" s="4" t="inlineStr">
        <is>
          <t>C04@20261028-8f3b40d0</t>
        </is>
      </c>
      <c r="H126" s="4" t="n">
        <v>1</v>
      </c>
      <c r="I126" s="4" t="n">
        <v>1</v>
      </c>
      <c r="J126" s="4" t="inlineStr">
        <is>
          <t>APY Subscriber Contribution Chart -</t>
        </is>
      </c>
      <c r="K126" s="4" t="inlineStr">
        <is>
          <t>MS-C04</t>
        </is>
      </c>
      <c r="L126" s="6" t="n">
        <v>46323</v>
      </c>
      <c r="M126" s="4" t="inlineStr">
        <is>
          <t>Approved</t>
        </is>
      </c>
      <c r="N126" s="4" t="inlineStr">
        <is>
          <t>text</t>
        </is>
      </c>
    </row>
    <row r="127" ht="40" customHeight="1">
      <c r="A127" s="8" t="inlineStr">
        <is>
          <t>C04-P0005</t>
        </is>
      </c>
      <c r="B127" s="8" t="inlineStr">
        <is>
          <t>C04</t>
        </is>
      </c>
      <c r="C127" s="8" t="inlineStr">
        <is>
          <t>Atal Pension Yojana</t>
        </is>
      </c>
      <c r="D127" s="8" t="inlineStr">
        <is>
          <t>Details</t>
        </is>
      </c>
      <c r="E127" s="8" t="inlineStr"/>
      <c r="F127" s="8" t="inlineStr">
        <is>
          <t>en.schemeContent.detailedDescription[4]</t>
        </is>
      </c>
      <c r="G127" s="8" t="inlineStr">
        <is>
          <t>C04@20261028-8f3b40d0</t>
        </is>
      </c>
      <c r="H127" s="8" t="n">
        <v>1</v>
      </c>
      <c r="I127" s="8" t="n">
        <v>1</v>
      </c>
      <c r="J127" s="8" t="inlineStr">
        <is>
          <t>https://www.npscra.nsdl.co.in/nsdl/scheme-details/APY_Subscribers_Contribution_Chart_1.pdf</t>
        </is>
      </c>
      <c r="K127" s="8" t="inlineStr">
        <is>
          <t>MS-C04</t>
        </is>
      </c>
      <c r="L127" s="9" t="n">
        <v>46323</v>
      </c>
      <c r="M127" s="8" t="inlineStr">
        <is>
          <t>Approved</t>
        </is>
      </c>
      <c r="N127" s="8" t="inlineStr">
        <is>
          <t>paragraph</t>
        </is>
      </c>
    </row>
    <row r="128" ht="40" customHeight="1">
      <c r="A128" s="4" t="inlineStr">
        <is>
          <t>C04-P0006</t>
        </is>
      </c>
      <c r="B128" s="4" t="inlineStr">
        <is>
          <t>C04</t>
        </is>
      </c>
      <c r="C128" s="4" t="inlineStr">
        <is>
          <t>Atal Pension Yojana</t>
        </is>
      </c>
      <c r="D128" s="4" t="inlineStr">
        <is>
          <t>Details</t>
        </is>
      </c>
      <c r="E128" s="4" t="inlineStr"/>
      <c r="F128" s="4" t="inlineStr">
        <is>
          <t>en.schemeContent.detailedDescription[5].children[0]</t>
        </is>
      </c>
      <c r="G128" s="4" t="inlineStr">
        <is>
          <t>C04@20261028-8f3b40d0</t>
        </is>
      </c>
      <c r="H128" s="4" t="n">
        <v>1</v>
      </c>
      <c r="I128" s="4" t="n">
        <v>1</v>
      </c>
      <c r="J128" s="4" t="inlineStr">
        <is>
          <t xml:space="preserve">Charges and fees and overdue interest under APY: </t>
        </is>
      </c>
      <c r="K128" s="4" t="inlineStr">
        <is>
          <t>MS-C04</t>
        </is>
      </c>
      <c r="L128" s="6" t="n">
        <v>46323</v>
      </c>
      <c r="M128" s="4" t="inlineStr">
        <is>
          <t>Approved</t>
        </is>
      </c>
      <c r="N128" s="4" t="inlineStr">
        <is>
          <t>text</t>
        </is>
      </c>
    </row>
    <row r="129" ht="68" customHeight="1">
      <c r="A129" s="8" t="inlineStr">
        <is>
          <t>C04-P0007</t>
        </is>
      </c>
      <c r="B129" s="8" t="inlineStr">
        <is>
          <t>C04</t>
        </is>
      </c>
      <c r="C129" s="8" t="inlineStr">
        <is>
          <t>Atal Pension Yojana</t>
        </is>
      </c>
      <c r="D129" s="8" t="inlineStr">
        <is>
          <t>Details</t>
        </is>
      </c>
      <c r="E129" s="8" t="inlineStr"/>
      <c r="F129" s="8" t="inlineStr">
        <is>
          <t>en.schemeContent.detailedDescription[6].children[0]</t>
        </is>
      </c>
      <c r="G129" s="8" t="inlineStr">
        <is>
          <t>C04@20261028-8f3b40d0</t>
        </is>
      </c>
      <c r="H129" s="8" t="n">
        <v>1</v>
      </c>
      <c r="I129" s="8" t="n">
        <v>1</v>
      </c>
      <c r="J129" s="8" t="inlineStr">
        <is>
          <t>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t>
        </is>
      </c>
      <c r="K129" s="8" t="inlineStr">
        <is>
          <t>MS-C04</t>
        </is>
      </c>
      <c r="L129" s="9" t="n">
        <v>46323</v>
      </c>
      <c r="M129" s="8" t="inlineStr">
        <is>
          <t>Approved</t>
        </is>
      </c>
      <c r="N129" s="8" t="inlineStr">
        <is>
          <t>paragraph</t>
        </is>
      </c>
    </row>
    <row r="130" ht="40" customHeight="1">
      <c r="A130" s="4" t="inlineStr">
        <is>
          <t>C04-P0008</t>
        </is>
      </c>
      <c r="B130" s="4" t="inlineStr">
        <is>
          <t>C04</t>
        </is>
      </c>
      <c r="C130" s="4" t="inlineStr">
        <is>
          <t>Atal Pension Yojana</t>
        </is>
      </c>
      <c r="D130" s="4" t="inlineStr">
        <is>
          <t>Details</t>
        </is>
      </c>
      <c r="E130" s="4" t="inlineStr"/>
      <c r="F130" s="4" t="inlineStr">
        <is>
          <t>en.schemeContent.detailedDescription[6].children[1].children[0]</t>
        </is>
      </c>
      <c r="G130" s="4" t="inlineStr">
        <is>
          <t>C04@20261028-8f3b40d0</t>
        </is>
      </c>
      <c r="H130" s="4" t="n">
        <v>1</v>
      </c>
      <c r="I130" s="4" t="n">
        <v>1</v>
      </c>
      <c r="J130" s="4" t="inlineStr">
        <is>
          <t>Raising Grievance Under APY</t>
        </is>
      </c>
      <c r="K130" s="4" t="inlineStr">
        <is>
          <t>MS-C04</t>
        </is>
      </c>
      <c r="L130" s="6" t="n">
        <v>46323</v>
      </c>
      <c r="M130" s="4" t="inlineStr">
        <is>
          <t>Approved</t>
        </is>
      </c>
      <c r="N130" s="4" t="inlineStr">
        <is>
          <t>text</t>
        </is>
      </c>
    </row>
    <row r="131" ht="40" customHeight="1">
      <c r="A131" s="8" t="inlineStr">
        <is>
          <t>C04-P0009</t>
        </is>
      </c>
      <c r="B131" s="8" t="inlineStr">
        <is>
          <t>C04</t>
        </is>
      </c>
      <c r="C131" s="8" t="inlineStr">
        <is>
          <t>Atal Pension Yojana</t>
        </is>
      </c>
      <c r="D131" s="8" t="inlineStr">
        <is>
          <t>Details</t>
        </is>
      </c>
      <c r="E131" s="8" t="inlineStr"/>
      <c r="F131" s="8" t="inlineStr">
        <is>
          <t>en.schemeContent.detailedDescription[6].children[2]</t>
        </is>
      </c>
      <c r="G131" s="8" t="inlineStr">
        <is>
          <t>C04@20261028-8f3b40d0</t>
        </is>
      </c>
      <c r="H131" s="8" t="n">
        <v>1</v>
      </c>
      <c r="I131" s="8" t="n">
        <v>1</v>
      </c>
      <c r="J131" s="8" t="inlineStr">
        <is>
          <t>A subscriber can raise grievance anytime free of cost from anywhere by visiting: www.npscra.nsdl.co.in</t>
        </is>
      </c>
      <c r="K131" s="8" t="inlineStr">
        <is>
          <t>MS-C04</t>
        </is>
      </c>
      <c r="L131" s="9" t="n">
        <v>46323</v>
      </c>
      <c r="M131" s="8" t="inlineStr">
        <is>
          <t>Approved</t>
        </is>
      </c>
      <c r="N131" s="8" t="inlineStr">
        <is>
          <t>paragraph</t>
        </is>
      </c>
    </row>
    <row r="132" ht="54" customHeight="1">
      <c r="A132" s="4" t="inlineStr">
        <is>
          <t>C04-P0010</t>
        </is>
      </c>
      <c r="B132" s="4" t="inlineStr">
        <is>
          <t>C04</t>
        </is>
      </c>
      <c r="C132" s="4" t="inlineStr">
        <is>
          <t>Atal Pension Yojana</t>
        </is>
      </c>
      <c r="D132" s="4" t="inlineStr">
        <is>
          <t>Details</t>
        </is>
      </c>
      <c r="E132" s="4" t="inlineStr"/>
      <c r="F132" s="4" t="inlineStr">
        <is>
          <t>en.schemeContent.detailedDescription[6].children[3]</t>
        </is>
      </c>
      <c r="G132" s="4" t="inlineStr">
        <is>
          <t>C04@20261028-8f3b40d0</t>
        </is>
      </c>
      <c r="H132" s="4" t="n">
        <v>1</v>
      </c>
      <c r="I132" s="4" t="n">
        <v>1</v>
      </c>
      <c r="J132" s="4" t="inlineStr">
        <is>
          <t>&gt;&gt;Home &gt;&gt; select: NPS-Lite or through CGMS Subscriber raising the grievance will be allotted a token number against the grievance raised. Subscriber may check the status of the grievance under “Check the status of Grievance / Enquiry already registered”.</t>
        </is>
      </c>
      <c r="K132" s="4" t="inlineStr">
        <is>
          <t>MS-C04</t>
        </is>
      </c>
      <c r="L132" s="6" t="n">
        <v>46323</v>
      </c>
      <c r="M132" s="4" t="inlineStr">
        <is>
          <t>Approved</t>
        </is>
      </c>
      <c r="N132" s="4" t="inlineStr">
        <is>
          <t>paragraph</t>
        </is>
      </c>
    </row>
    <row r="133" ht="40" customHeight="1">
      <c r="A133" s="8" t="inlineStr">
        <is>
          <t>C04-P0011</t>
        </is>
      </c>
      <c r="B133" s="8" t="inlineStr">
        <is>
          <t>C04</t>
        </is>
      </c>
      <c r="C133" s="8" t="inlineStr">
        <is>
          <t>Atal Pension Yojana</t>
        </is>
      </c>
      <c r="D133" s="8" t="inlineStr">
        <is>
          <t>Benefits</t>
        </is>
      </c>
      <c r="E133" s="8" t="inlineStr"/>
      <c r="F133" s="8" t="inlineStr">
        <is>
          <t>en.schemeContent.benefits[0].children[0].children[0]</t>
        </is>
      </c>
      <c r="G133" s="8" t="inlineStr">
        <is>
          <t>C04@20261028-8f3b40d0</t>
        </is>
      </c>
      <c r="H133" s="8" t="n">
        <v>1</v>
      </c>
      <c r="I133" s="8" t="n">
        <v>1</v>
      </c>
      <c r="J133" s="8" t="inlineStr">
        <is>
          <t>Upon exit on attaining 60 years</t>
        </is>
      </c>
      <c r="K133" s="8" t="inlineStr">
        <is>
          <t>MS-C04</t>
        </is>
      </c>
      <c r="L133" s="9" t="n">
        <v>46323</v>
      </c>
      <c r="M133" s="8" t="inlineStr">
        <is>
          <t>Approved</t>
        </is>
      </c>
      <c r="N133" s="8" t="inlineStr">
        <is>
          <t>text</t>
        </is>
      </c>
    </row>
    <row r="134" ht="40" customHeight="1">
      <c r="A134" s="4" t="inlineStr">
        <is>
          <t>C04-P0012</t>
        </is>
      </c>
      <c r="B134" s="4" t="inlineStr">
        <is>
          <t>C04</t>
        </is>
      </c>
      <c r="C134" s="4" t="inlineStr">
        <is>
          <t>Atal Pension Yojana</t>
        </is>
      </c>
      <c r="D134" s="4" t="inlineStr">
        <is>
          <t>Benefits</t>
        </is>
      </c>
      <c r="E134" s="4" t="inlineStr"/>
      <c r="F134" s="4" t="inlineStr">
        <is>
          <t>en.schemeContent.benefits[0].children[1]</t>
        </is>
      </c>
      <c r="G134" s="4" t="inlineStr">
        <is>
          <t>C04@20261028-8f3b40d0</t>
        </is>
      </c>
      <c r="H134" s="4" t="n">
        <v>1</v>
      </c>
      <c r="I134" s="4" t="n">
        <v>1</v>
      </c>
      <c r="J134" s="4" t="inlineStr">
        <is>
          <t>The subscriber shall receive the following three benefits on attaining the age of 60:</t>
        </is>
      </c>
      <c r="K134" s="4" t="inlineStr">
        <is>
          <t>MS-C04</t>
        </is>
      </c>
      <c r="L134" s="6" t="n">
        <v>46323</v>
      </c>
      <c r="M134" s="4" t="inlineStr">
        <is>
          <t>Approved</t>
        </is>
      </c>
      <c r="N134" s="4" t="inlineStr">
        <is>
          <t>paragraph</t>
        </is>
      </c>
    </row>
    <row r="135" ht="54" customHeight="1">
      <c r="A135" s="8" t="inlineStr">
        <is>
          <t>C04-P0013</t>
        </is>
      </c>
      <c r="B135" s="8" t="inlineStr">
        <is>
          <t>C04</t>
        </is>
      </c>
      <c r="C135" s="8" t="inlineStr">
        <is>
          <t>Atal Pension Yojana</t>
        </is>
      </c>
      <c r="D135" s="8" t="inlineStr">
        <is>
          <t>Benefits</t>
        </is>
      </c>
      <c r="E135" s="8" t="inlineStr"/>
      <c r="F135" s="8" t="inlineStr">
        <is>
          <t>en.schemeContent.benefits[0].children[2]</t>
        </is>
      </c>
      <c r="G135" s="8" t="inlineStr">
        <is>
          <t>C04@20261028-8f3b40d0</t>
        </is>
      </c>
      <c r="H135" s="8" t="n">
        <v>1</v>
      </c>
      <c r="I135" s="8" t="n">
        <v>1</v>
      </c>
      <c r="J135" s="8" t="inlineStr">
        <is>
          <t>(i) Guaranteed minimum pension amount: Each subscriber under APY shall receive a  guaranteed minimum pension of Rs. 1000/- per month or Rs. 2000/- per month or Rs. 3000/- per month or Rs. 4000/- per month or Rs. 5000/- per month, after the age of 60 years until death.</t>
        </is>
      </c>
      <c r="K135" s="8" t="inlineStr">
        <is>
          <t>MS-C04</t>
        </is>
      </c>
      <c r="L135" s="9" t="n">
        <v>46323</v>
      </c>
      <c r="M135" s="8" t="inlineStr">
        <is>
          <t>Approved</t>
        </is>
      </c>
      <c r="N135" s="8" t="inlineStr">
        <is>
          <t>paragraph</t>
        </is>
      </c>
    </row>
    <row r="136" ht="54" customHeight="1">
      <c r="A136" s="4" t="inlineStr">
        <is>
          <t>C04-P0014</t>
        </is>
      </c>
      <c r="B136" s="4" t="inlineStr">
        <is>
          <t>C04</t>
        </is>
      </c>
      <c r="C136" s="4" t="inlineStr">
        <is>
          <t>Atal Pension Yojana</t>
        </is>
      </c>
      <c r="D136" s="4" t="inlineStr">
        <is>
          <t>Benefits</t>
        </is>
      </c>
      <c r="E136" s="4" t="inlineStr"/>
      <c r="F136" s="4" t="inlineStr">
        <is>
          <t>en.schemeContent.benefits[0].children[3]</t>
        </is>
      </c>
      <c r="G136" s="4" t="inlineStr">
        <is>
          <t>C04@20261028-8f3b40d0</t>
        </is>
      </c>
      <c r="H136" s="4" t="n">
        <v>1</v>
      </c>
      <c r="I136" s="4" t="n">
        <v>1</v>
      </c>
      <c r="J136" s="4" t="inlineStr">
        <is>
          <t>(ii) Guaranteed minimum pension amount to the spouse: After the subscriber’s demise, the spouse of the subscriber shall be entitled to receive the same pension amount as that of the subscriber,until death.</t>
        </is>
      </c>
      <c r="K136" s="4" t="inlineStr">
        <is>
          <t>MS-C04</t>
        </is>
      </c>
      <c r="L136" s="6" t="n">
        <v>46323</v>
      </c>
      <c r="M136" s="4" t="inlineStr">
        <is>
          <t>Approved</t>
        </is>
      </c>
      <c r="N136" s="4" t="inlineStr">
        <is>
          <t>paragraph</t>
        </is>
      </c>
    </row>
    <row r="137" ht="54" customHeight="1">
      <c r="A137" s="8" t="inlineStr">
        <is>
          <t>C04-P0015</t>
        </is>
      </c>
      <c r="B137" s="8" t="inlineStr">
        <is>
          <t>C04</t>
        </is>
      </c>
      <c r="C137" s="8" t="inlineStr">
        <is>
          <t>Atal Pension Yojana</t>
        </is>
      </c>
      <c r="D137" s="8" t="inlineStr">
        <is>
          <t>Benefits</t>
        </is>
      </c>
      <c r="E137" s="8" t="inlineStr"/>
      <c r="F137" s="8" t="inlineStr">
        <is>
          <t>en.schemeContent.benefits[0].children[4]</t>
        </is>
      </c>
      <c r="G137" s="8" t="inlineStr">
        <is>
          <t>C04@20261028-8f3b40d0</t>
        </is>
      </c>
      <c r="H137" s="8" t="n">
        <v>1</v>
      </c>
      <c r="I137" s="8" t="n">
        <v>1</v>
      </c>
      <c r="J137" s="8" t="inlineStr">
        <is>
          <t>(iii) Return of the pension wealth to the nominee of the subscriber: After the demise of both the subscriber and the spouse, the nominee of the subscriber shall be entitled to receive the pension wealth, as accumulated till the  subscriber's age of 60 years.</t>
        </is>
      </c>
      <c r="K137" s="8" t="inlineStr">
        <is>
          <t>MS-C04</t>
        </is>
      </c>
      <c r="L137" s="9" t="n">
        <v>46323</v>
      </c>
      <c r="M137" s="8" t="inlineStr">
        <is>
          <t>Approved</t>
        </is>
      </c>
      <c r="N137" s="8" t="inlineStr">
        <is>
          <t>paragraph</t>
        </is>
      </c>
    </row>
    <row r="138" ht="40" customHeight="1">
      <c r="A138" s="4" t="inlineStr">
        <is>
          <t>C04-P0016</t>
        </is>
      </c>
      <c r="B138" s="4" t="inlineStr">
        <is>
          <t>C04</t>
        </is>
      </c>
      <c r="C138" s="4" t="inlineStr">
        <is>
          <t>Atal Pension Yojana</t>
        </is>
      </c>
      <c r="D138" s="4" t="inlineStr">
        <is>
          <t>Benefits</t>
        </is>
      </c>
      <c r="E138" s="4" t="inlineStr"/>
      <c r="F138" s="4" t="inlineStr">
        <is>
          <t>en.schemeContent.benefits[0].children[5]</t>
        </is>
      </c>
      <c r="G138" s="4" t="inlineStr">
        <is>
          <t>C04@20261028-8f3b40d0</t>
        </is>
      </c>
      <c r="H138" s="4" t="n">
        <v>1</v>
      </c>
      <c r="I138" s="4" t="n">
        <v>1</v>
      </c>
      <c r="J138" s="4" t="inlineStr">
        <is>
          <t>Contributions to the Atal Pension Yojana (APY) are  eligible for tax benefits similar to the National Pension System (NPS) under section 80CCD(1).</t>
        </is>
      </c>
      <c r="K138" s="4" t="inlineStr">
        <is>
          <t>MS-C04</t>
        </is>
      </c>
      <c r="L138" s="6" t="n">
        <v>46323</v>
      </c>
      <c r="M138" s="4" t="inlineStr">
        <is>
          <t>Approved</t>
        </is>
      </c>
      <c r="N138" s="4" t="inlineStr">
        <is>
          <t>paragraph</t>
        </is>
      </c>
    </row>
    <row r="139" ht="40" customHeight="1">
      <c r="A139" s="8" t="inlineStr">
        <is>
          <t>C04-P0017</t>
        </is>
      </c>
      <c r="B139" s="8" t="inlineStr">
        <is>
          <t>C04</t>
        </is>
      </c>
      <c r="C139" s="8" t="inlineStr">
        <is>
          <t>Atal Pension Yojana</t>
        </is>
      </c>
      <c r="D139" s="8" t="inlineStr">
        <is>
          <t>Benefits</t>
        </is>
      </c>
      <c r="E139" s="8" t="inlineStr"/>
      <c r="F139" s="8" t="inlineStr">
        <is>
          <t>en.schemeContent.benefits[0].children[6].children[0]</t>
        </is>
      </c>
      <c r="G139" s="8" t="inlineStr">
        <is>
          <t>C04@20261028-8f3b40d0</t>
        </is>
      </c>
      <c r="H139" s="8" t="n">
        <v>1</v>
      </c>
      <c r="I139" s="8" t="n">
        <v>1</v>
      </c>
      <c r="J139" s="8" t="inlineStr">
        <is>
          <t xml:space="preserve">Voluntary exit (Exit before 60 Years of age): </t>
        </is>
      </c>
      <c r="K139" s="8" t="inlineStr">
        <is>
          <t>MS-C04</t>
        </is>
      </c>
      <c r="L139" s="9" t="n">
        <v>46323</v>
      </c>
      <c r="M139" s="8" t="inlineStr">
        <is>
          <t>Approved</t>
        </is>
      </c>
      <c r="N139" s="8" t="inlineStr">
        <is>
          <t>text</t>
        </is>
      </c>
    </row>
    <row r="140" ht="54" customHeight="1">
      <c r="A140" s="4" t="inlineStr">
        <is>
          <t>C04-P0018</t>
        </is>
      </c>
      <c r="B140" s="4" t="inlineStr">
        <is>
          <t>C04</t>
        </is>
      </c>
      <c r="C140" s="4" t="inlineStr">
        <is>
          <t>Atal Pension Yojana</t>
        </is>
      </c>
      <c r="D140" s="4" t="inlineStr">
        <is>
          <t>Benefits</t>
        </is>
      </c>
      <c r="E140" s="4" t="inlineStr"/>
      <c r="F140" s="4" t="inlineStr">
        <is>
          <t>en.schemeContent.benefits[0].children[7]</t>
        </is>
      </c>
      <c r="G140" s="4" t="inlineStr">
        <is>
          <t>C04@20261028-8f3b40d0</t>
        </is>
      </c>
      <c r="H140" s="4" t="n">
        <v>1</v>
      </c>
      <c r="I140" s="4" t="n">
        <v>1</v>
      </c>
      <c r="J140" s="4" t="inlineStr">
        <is>
          <t>The subscriber shall  be refunded only the contributions made by him to APY alongwith the net actual accrued income earned on his contributions (after deducting the account maintenance charges).</t>
        </is>
      </c>
      <c r="K140" s="4" t="inlineStr">
        <is>
          <t>MS-C04</t>
        </is>
      </c>
      <c r="L140" s="6" t="n">
        <v>46323</v>
      </c>
      <c r="M140" s="4" t="inlineStr">
        <is>
          <t>Approved</t>
        </is>
      </c>
      <c r="N140" s="4" t="inlineStr">
        <is>
          <t>paragraph</t>
        </is>
      </c>
    </row>
    <row r="141" ht="54" customHeight="1">
      <c r="A141" s="8" t="inlineStr">
        <is>
          <t>C04-P0019</t>
        </is>
      </c>
      <c r="B141" s="8" t="inlineStr">
        <is>
          <t>C04</t>
        </is>
      </c>
      <c r="C141" s="8" t="inlineStr">
        <is>
          <t>Atal Pension Yojana</t>
        </is>
      </c>
      <c r="D141" s="8" t="inlineStr">
        <is>
          <t>Benefits</t>
        </is>
      </c>
      <c r="E141" s="8" t="inlineStr"/>
      <c r="F141" s="8" t="inlineStr">
        <is>
          <t>en.schemeContent.benefits[0].children[8]</t>
        </is>
      </c>
      <c r="G141" s="8" t="inlineStr">
        <is>
          <t>C04@20261028-8f3b40d0</t>
        </is>
      </c>
      <c r="H141" s="8" t="n">
        <v>1</v>
      </c>
      <c r="I141" s="8" t="n">
        <v>1</v>
      </c>
      <c r="J141" s="8" t="inlineStr">
        <is>
          <t>However, in case of subscribers who joined the scheme before 31st March 2016 and have received the Government Co-Contribution,  shall not receive the same including the   accrued  income earned thereon.</t>
        </is>
      </c>
      <c r="K141" s="8" t="inlineStr">
        <is>
          <t>MS-C04</t>
        </is>
      </c>
      <c r="L141" s="9" t="n">
        <v>46323</v>
      </c>
      <c r="M141" s="8" t="inlineStr">
        <is>
          <t>Approved</t>
        </is>
      </c>
      <c r="N141" s="8" t="inlineStr">
        <is>
          <t>paragraph</t>
        </is>
      </c>
    </row>
    <row r="142" ht="40" customHeight="1">
      <c r="A142" s="4" t="inlineStr">
        <is>
          <t>C04-P0020</t>
        </is>
      </c>
      <c r="B142" s="4" t="inlineStr">
        <is>
          <t>C04</t>
        </is>
      </c>
      <c r="C142" s="4" t="inlineStr">
        <is>
          <t>Atal Pension Yojana</t>
        </is>
      </c>
      <c r="D142" s="4" t="inlineStr">
        <is>
          <t>Benefits</t>
        </is>
      </c>
      <c r="E142" s="4" t="inlineStr"/>
      <c r="F142" s="4" t="inlineStr">
        <is>
          <t>en.schemeContent.benefits[0].children[9].children[0]</t>
        </is>
      </c>
      <c r="G142" s="4" t="inlineStr">
        <is>
          <t>C04@20261028-8f3b40d0</t>
        </is>
      </c>
      <c r="H142" s="4" t="n">
        <v>1</v>
      </c>
      <c r="I142" s="4" t="n">
        <v>1</v>
      </c>
      <c r="J142" s="4" t="inlineStr">
        <is>
          <t>For death before 60 years</t>
        </is>
      </c>
      <c r="K142" s="4" t="inlineStr">
        <is>
          <t>MS-C04</t>
        </is>
      </c>
      <c r="L142" s="6" t="n">
        <v>46323</v>
      </c>
      <c r="M142" s="4" t="inlineStr">
        <is>
          <t>Approved</t>
        </is>
      </c>
      <c r="N142" s="4" t="inlineStr">
        <is>
          <t>text</t>
        </is>
      </c>
    </row>
    <row r="143" ht="110" customHeight="1">
      <c r="A143" s="8" t="inlineStr">
        <is>
          <t>C04-P0021</t>
        </is>
      </c>
      <c r="B143" s="8" t="inlineStr">
        <is>
          <t>C04</t>
        </is>
      </c>
      <c r="C143" s="8" t="inlineStr">
        <is>
          <t>Atal Pension Yojana</t>
        </is>
      </c>
      <c r="D143" s="8" t="inlineStr">
        <is>
          <t>Benefits</t>
        </is>
      </c>
      <c r="E143" s="8" t="inlineStr"/>
      <c r="F143" s="8" t="inlineStr">
        <is>
          <t>en.schemeContent.benefits[0].children[10]</t>
        </is>
      </c>
      <c r="G143" s="8" t="inlineStr">
        <is>
          <t>C04@20261028-8f3b40d0</t>
        </is>
      </c>
      <c r="H143" s="8" t="n">
        <v>1</v>
      </c>
      <c r="I143" s="8" t="n">
        <v>1</v>
      </c>
      <c r="J143" s="8" t="inlineStr">
        <is>
          <t>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t>
        </is>
      </c>
      <c r="K143" s="8" t="inlineStr">
        <is>
          <t>MS-C04</t>
        </is>
      </c>
      <c r="L143" s="9" t="n">
        <v>46323</v>
      </c>
      <c r="M143" s="8" t="inlineStr">
        <is>
          <t>Approved</t>
        </is>
      </c>
      <c r="N143" s="8" t="inlineStr">
        <is>
          <t>paragraph</t>
        </is>
      </c>
    </row>
    <row r="144" ht="40" customHeight="1">
      <c r="A144" s="4" t="inlineStr">
        <is>
          <t>C04-P0022</t>
        </is>
      </c>
      <c r="B144" s="4" t="inlineStr">
        <is>
          <t>C04</t>
        </is>
      </c>
      <c r="C144" s="4" t="inlineStr">
        <is>
          <t>Atal Pension Yojana</t>
        </is>
      </c>
      <c r="D144" s="4" t="inlineStr">
        <is>
          <t>Benefits</t>
        </is>
      </c>
      <c r="E144" s="4" t="inlineStr"/>
      <c r="F144" s="4" t="inlineStr">
        <is>
          <t>en.schemeContent.benefits[1]</t>
        </is>
      </c>
      <c r="G144" s="4" t="inlineStr">
        <is>
          <t>C04@20261028-8f3b40d0</t>
        </is>
      </c>
      <c r="H144" s="4" t="n">
        <v>1</v>
      </c>
      <c r="I144" s="4" t="n">
        <v>1</v>
      </c>
      <c r="J144" s="4" t="inlineStr">
        <is>
          <t>Option 2: The entire accumulated pension corpus till date under APY will be returned to the spouse / nominee.</t>
        </is>
      </c>
      <c r="K144" s="4" t="inlineStr">
        <is>
          <t>MS-C04</t>
        </is>
      </c>
      <c r="L144" s="6" t="n">
        <v>46323</v>
      </c>
      <c r="M144" s="4" t="inlineStr">
        <is>
          <t>Approved</t>
        </is>
      </c>
      <c r="N144" s="4" t="inlineStr">
        <is>
          <t>paragraph</t>
        </is>
      </c>
    </row>
    <row r="145" ht="40" customHeight="1">
      <c r="A145" s="8" t="inlineStr">
        <is>
          <t>C04-P0023</t>
        </is>
      </c>
      <c r="B145" s="8" t="inlineStr">
        <is>
          <t>C04</t>
        </is>
      </c>
      <c r="C145" s="8" t="inlineStr">
        <is>
          <t>Atal Pension Yojana</t>
        </is>
      </c>
      <c r="D145" s="8" t="inlineStr">
        <is>
          <t>Eligibility</t>
        </is>
      </c>
      <c r="E145" s="8" t="inlineStr"/>
      <c r="F145" s="8" t="inlineStr">
        <is>
          <t>en.eligibilityCriteria.eligibilityDescription[0].children[0]</t>
        </is>
      </c>
      <c r="G145" s="8" t="inlineStr">
        <is>
          <t>C04@20261028-8f3b40d0</t>
        </is>
      </c>
      <c r="H145" s="8" t="n">
        <v>1</v>
      </c>
      <c r="I145" s="8" t="n">
        <v>1</v>
      </c>
      <c r="J145" s="8" t="inlineStr">
        <is>
          <t>Age of joining and contribution period</t>
        </is>
      </c>
      <c r="K145" s="8" t="inlineStr">
        <is>
          <t>MS-C04</t>
        </is>
      </c>
      <c r="L145" s="9" t="n">
        <v>46323</v>
      </c>
      <c r="M145" s="8" t="inlineStr">
        <is>
          <t>Approved</t>
        </is>
      </c>
      <c r="N145" s="8" t="inlineStr">
        <is>
          <t>text</t>
        </is>
      </c>
    </row>
    <row r="146" ht="40" customHeight="1">
      <c r="A146" s="4" t="inlineStr">
        <is>
          <t>C04-P0024</t>
        </is>
      </c>
      <c r="B146" s="4" t="inlineStr">
        <is>
          <t>C04</t>
        </is>
      </c>
      <c r="C146" s="4" t="inlineStr">
        <is>
          <t>Atal Pension Yojana</t>
        </is>
      </c>
      <c r="D146" s="4" t="inlineStr">
        <is>
          <t>Eligibility</t>
        </is>
      </c>
      <c r="E146" s="4" t="inlineStr"/>
      <c r="F146" s="4" t="inlineStr">
        <is>
          <t>en.eligibilityCriteria.eligibilityDescription[1].children[0]</t>
        </is>
      </c>
      <c r="G146" s="4" t="inlineStr">
        <is>
          <t>C04@20261028-8f3b40d0</t>
        </is>
      </c>
      <c r="H146" s="4" t="n">
        <v>1</v>
      </c>
      <c r="I146" s="4" t="n">
        <v>1</v>
      </c>
      <c r="J146" s="4" t="inlineStr">
        <is>
          <t>The minimum age of joining APY is 18 years and maximum is 40 years.</t>
        </is>
      </c>
      <c r="K146" s="4" t="inlineStr">
        <is>
          <t>MS-C04</t>
        </is>
      </c>
      <c r="L146" s="6" t="n">
        <v>46323</v>
      </c>
      <c r="M146" s="4" t="inlineStr">
        <is>
          <t>Approved</t>
        </is>
      </c>
      <c r="N146" s="4" t="inlineStr">
        <is>
          <t>list_item</t>
        </is>
      </c>
    </row>
    <row r="147" ht="40" customHeight="1">
      <c r="A147" s="8" t="inlineStr">
        <is>
          <t>C04-P0025</t>
        </is>
      </c>
      <c r="B147" s="8" t="inlineStr">
        <is>
          <t>C04</t>
        </is>
      </c>
      <c r="C147" s="8" t="inlineStr">
        <is>
          <t>Atal Pension Yojana</t>
        </is>
      </c>
      <c r="D147" s="8" t="inlineStr">
        <is>
          <t>Eligibility</t>
        </is>
      </c>
      <c r="E147" s="8" t="inlineStr"/>
      <c r="F147" s="8" t="inlineStr">
        <is>
          <t>en.eligibilityCriteria.eligibilityDescription[1].children[1]</t>
        </is>
      </c>
      <c r="G147" s="8" t="inlineStr">
        <is>
          <t>C04@20261028-8f3b40d0</t>
        </is>
      </c>
      <c r="H147" s="8" t="n">
        <v>1</v>
      </c>
      <c r="I147" s="8" t="n">
        <v>1</v>
      </c>
      <c r="J147" s="8" t="inlineStr">
        <is>
          <t>The age of exit and start of pension is 60 years.</t>
        </is>
      </c>
      <c r="K147" s="8" t="inlineStr">
        <is>
          <t>MS-C04</t>
        </is>
      </c>
      <c r="L147" s="9" t="n">
        <v>46323</v>
      </c>
      <c r="M147" s="8" t="inlineStr">
        <is>
          <t>Approved</t>
        </is>
      </c>
      <c r="N147" s="8" t="inlineStr">
        <is>
          <t>list_item</t>
        </is>
      </c>
    </row>
    <row r="148" ht="54" customHeight="1">
      <c r="A148" s="4" t="inlineStr">
        <is>
          <t>C04-P0026</t>
        </is>
      </c>
      <c r="B148" s="4" t="inlineStr">
        <is>
          <t>C04</t>
        </is>
      </c>
      <c r="C148" s="4" t="inlineStr">
        <is>
          <t>Atal Pension Yojana</t>
        </is>
      </c>
      <c r="D148" s="4" t="inlineStr">
        <is>
          <t>Eligibility</t>
        </is>
      </c>
      <c r="E148" s="4" t="inlineStr"/>
      <c r="F148" s="4" t="inlineStr">
        <is>
          <t>en.eligibilityCriteria.eligibilityDescription[1].children[2]</t>
        </is>
      </c>
      <c r="G148" s="4" t="inlineStr">
        <is>
          <t>C04@20261028-8f3b40d0</t>
        </is>
      </c>
      <c r="H148" s="4" t="n">
        <v>1</v>
      </c>
      <c r="I148" s="4" t="n">
        <v>1</v>
      </c>
      <c r="J148" s="4" t="inlineStr">
        <is>
          <t>Subscriber contribution to APY shall be made through the facility of ‘auto-debit’ of the prescribed contribution amount from the savings bank account of the subscriber on monthly, quarterly or half-yearly basis.</t>
        </is>
      </c>
      <c r="K148" s="4" t="inlineStr">
        <is>
          <t>MS-C04</t>
        </is>
      </c>
      <c r="L148" s="6" t="n">
        <v>46323</v>
      </c>
      <c r="M148" s="4" t="inlineStr">
        <is>
          <t>Approved</t>
        </is>
      </c>
      <c r="N148" s="4" t="inlineStr">
        <is>
          <t>list_item</t>
        </is>
      </c>
    </row>
    <row r="149" ht="40" customHeight="1">
      <c r="A149" s="8" t="inlineStr">
        <is>
          <t>C04-P0027</t>
        </is>
      </c>
      <c r="B149" s="8" t="inlineStr">
        <is>
          <t>C04</t>
        </is>
      </c>
      <c r="C149" s="8" t="inlineStr">
        <is>
          <t>Atal Pension Yojana</t>
        </is>
      </c>
      <c r="D149" s="8" t="inlineStr">
        <is>
          <t>Eligibility</t>
        </is>
      </c>
      <c r="E149" s="8" t="inlineStr"/>
      <c r="F149" s="8" t="inlineStr">
        <is>
          <t>en.eligibilityCriteria.eligibilityDescription[1].children[3]</t>
        </is>
      </c>
      <c r="G149" s="8" t="inlineStr">
        <is>
          <t>C04@20261028-8f3b40d0</t>
        </is>
      </c>
      <c r="H149" s="8" t="n">
        <v>1</v>
      </c>
      <c r="I149" s="8" t="n">
        <v>1</v>
      </c>
      <c r="J149" s="8" t="inlineStr">
        <is>
          <t>The subscribers are required to contribute the prescribed contribution amount from the age of joining APY till the age of  60 years.</t>
        </is>
      </c>
      <c r="K149" s="8" t="inlineStr">
        <is>
          <t>MS-C04</t>
        </is>
      </c>
      <c r="L149" s="9" t="n">
        <v>46323</v>
      </c>
      <c r="M149" s="8" t="inlineStr">
        <is>
          <t>Approved</t>
        </is>
      </c>
      <c r="N149" s="8" t="inlineStr">
        <is>
          <t>list_item</t>
        </is>
      </c>
    </row>
    <row r="150" ht="54" customHeight="1">
      <c r="A150" s="4" t="inlineStr">
        <is>
          <t>C04-P0028</t>
        </is>
      </c>
      <c r="B150" s="4" t="inlineStr">
        <is>
          <t>C04</t>
        </is>
      </c>
      <c r="C150" s="4" t="inlineStr">
        <is>
          <t>Atal Pension Yojana</t>
        </is>
      </c>
      <c r="D150" s="4" t="inlineStr">
        <is>
          <t>Exclusions</t>
        </is>
      </c>
      <c r="E150" s="4" t="inlineStr">
        <is>
          <t>From 1st October, 2022, any citizen who is or has been an income tax payer, shall  not be eligible to join  APY.</t>
        </is>
      </c>
      <c r="F150" s="4" t="inlineStr">
        <is>
          <t>en.schemeContent.exclusions[0].children[0]</t>
        </is>
      </c>
      <c r="G150" s="4" t="inlineStr">
        <is>
          <t>C04@20261028-8f3b40d0</t>
        </is>
      </c>
      <c r="H150" s="4" t="n">
        <v>1</v>
      </c>
      <c r="I150" s="4" t="n">
        <v>1</v>
      </c>
      <c r="J150" s="4" t="inlineStr">
        <is>
          <t>From 1st October, 2022, any citizen who is or has been an income tax payer, shall  not be eligible to join  APY.</t>
        </is>
      </c>
      <c r="K150" s="4" t="inlineStr">
        <is>
          <t>MS-C04</t>
        </is>
      </c>
      <c r="L150" s="6" t="n">
        <v>46323</v>
      </c>
      <c r="M150" s="4" t="inlineStr">
        <is>
          <t>Approved</t>
        </is>
      </c>
      <c r="N150" s="4" t="inlineStr">
        <is>
          <t>paragraph</t>
        </is>
      </c>
    </row>
    <row r="151" ht="40" customHeight="1">
      <c r="A151" s="8" t="inlineStr">
        <is>
          <t>C04-P0030</t>
        </is>
      </c>
      <c r="B151" s="8" t="inlineStr">
        <is>
          <t>C04</t>
        </is>
      </c>
      <c r="C151" s="8" t="inlineStr">
        <is>
          <t>Atal Pension Yojana</t>
        </is>
      </c>
      <c r="D151" s="8" t="inlineStr">
        <is>
          <t>Applicant documents</t>
        </is>
      </c>
      <c r="E151" s="8" t="inlineStr">
        <is>
          <t>KYC details are fetched from active Bank/Post Office Savings account.</t>
        </is>
      </c>
      <c r="F151" s="8" t="inlineStr">
        <is>
          <t>documents.en.documents_required[0]</t>
        </is>
      </c>
      <c r="G151" s="8" t="inlineStr">
        <is>
          <t>C04@20261028-8f3b40d0</t>
        </is>
      </c>
      <c r="H151" s="8" t="n">
        <v>1</v>
      </c>
      <c r="I151" s="8" t="n">
        <v>1</v>
      </c>
      <c r="J151" s="8" t="inlineStr">
        <is>
          <t>KYC details are fetched from active Bank/Post Office Savings account.</t>
        </is>
      </c>
      <c r="K151" s="8" t="inlineStr">
        <is>
          <t>MS-C04</t>
        </is>
      </c>
      <c r="L151" s="9" t="n">
        <v>46323</v>
      </c>
      <c r="M151" s="8" t="inlineStr">
        <is>
          <t>Approved</t>
        </is>
      </c>
      <c r="N151" s="8" t="inlineStr">
        <is>
          <t>paragraph</t>
        </is>
      </c>
    </row>
    <row r="152" ht="40" customHeight="1">
      <c r="A152" s="4" t="inlineStr">
        <is>
          <t>C04-P0031</t>
        </is>
      </c>
      <c r="B152" s="4" t="inlineStr">
        <is>
          <t>C04</t>
        </is>
      </c>
      <c r="C152" s="4" t="inlineStr">
        <is>
          <t>Atal Pension Yojana</t>
        </is>
      </c>
      <c r="D152" s="4" t="inlineStr">
        <is>
          <t>Application process</t>
        </is>
      </c>
      <c r="E152" s="4" t="inlineStr"/>
      <c r="F152" s="4" t="inlineStr">
        <is>
          <t>en.applicationProcess[0].process[0].children[0]</t>
        </is>
      </c>
      <c r="G152" s="4" t="inlineStr">
        <is>
          <t>C04@20261028-8f3b40d0</t>
        </is>
      </c>
      <c r="H152" s="4" t="n">
        <v>1</v>
      </c>
      <c r="I152" s="4" t="n">
        <v>1</v>
      </c>
      <c r="J152" s="4" t="inlineStr">
        <is>
          <t>Process 1:</t>
        </is>
      </c>
      <c r="K152" s="4" t="inlineStr">
        <is>
          <t>MS-C04</t>
        </is>
      </c>
      <c r="L152" s="6" t="n">
        <v>46323</v>
      </c>
      <c r="M152" s="4" t="inlineStr">
        <is>
          <t>Approved</t>
        </is>
      </c>
      <c r="N152" s="4" t="inlineStr">
        <is>
          <t>text</t>
        </is>
      </c>
    </row>
    <row r="153" ht="40" customHeight="1">
      <c r="A153" s="8" t="inlineStr">
        <is>
          <t>C04-P0032</t>
        </is>
      </c>
      <c r="B153" s="8" t="inlineStr">
        <is>
          <t>C04</t>
        </is>
      </c>
      <c r="C153" s="8" t="inlineStr">
        <is>
          <t>Atal Pension Yojana</t>
        </is>
      </c>
      <c r="D153" s="8" t="inlineStr">
        <is>
          <t>Application process</t>
        </is>
      </c>
      <c r="E153" s="8" t="inlineStr"/>
      <c r="F153" s="8" t="inlineStr">
        <is>
          <t>en.applicationProcess[0].process[1].children[0]</t>
        </is>
      </c>
      <c r="G153" s="8" t="inlineStr">
        <is>
          <t>C04@20261028-8f3b40d0</t>
        </is>
      </c>
      <c r="H153" s="8" t="n">
        <v>1</v>
      </c>
      <c r="I153" s="8" t="n">
        <v>1</v>
      </c>
      <c r="J153" s="8" t="inlineStr">
        <is>
          <t>One can also open an APY account online using one's Net banking facility.</t>
        </is>
      </c>
      <c r="K153" s="8" t="inlineStr">
        <is>
          <t>MS-C04</t>
        </is>
      </c>
      <c r="L153" s="9" t="n">
        <v>46323</v>
      </c>
      <c r="M153" s="8" t="inlineStr">
        <is>
          <t>Approved</t>
        </is>
      </c>
      <c r="N153" s="8" t="inlineStr">
        <is>
          <t>list_item</t>
        </is>
      </c>
    </row>
    <row r="154" ht="40" customHeight="1">
      <c r="A154" s="4" t="inlineStr">
        <is>
          <t>C04-P0033</t>
        </is>
      </c>
      <c r="B154" s="4" t="inlineStr">
        <is>
          <t>C04</t>
        </is>
      </c>
      <c r="C154" s="4" t="inlineStr">
        <is>
          <t>Atal Pension Yojana</t>
        </is>
      </c>
      <c r="D154" s="4" t="inlineStr">
        <is>
          <t>Application process</t>
        </is>
      </c>
      <c r="E154" s="4" t="inlineStr"/>
      <c r="F154" s="4" t="inlineStr">
        <is>
          <t>en.applicationProcess[0].process[1].children[1]</t>
        </is>
      </c>
      <c r="G154" s="4" t="inlineStr">
        <is>
          <t>C04@20261028-8f3b40d0</t>
        </is>
      </c>
      <c r="H154" s="4" t="n">
        <v>1</v>
      </c>
      <c r="I154" s="4" t="n">
        <v>1</v>
      </c>
      <c r="J154" s="4" t="inlineStr">
        <is>
          <t>The applicant can login into his/her internet banking account and search for APY on dashboard.</t>
        </is>
      </c>
      <c r="K154" s="4" t="inlineStr">
        <is>
          <t>MS-C04</t>
        </is>
      </c>
      <c r="L154" s="6" t="n">
        <v>46323</v>
      </c>
      <c r="M154" s="4" t="inlineStr">
        <is>
          <t>Approved</t>
        </is>
      </c>
      <c r="N154" s="4" t="inlineStr">
        <is>
          <t>list_item</t>
        </is>
      </c>
    </row>
    <row r="155" ht="40" customHeight="1">
      <c r="A155" s="8" t="inlineStr">
        <is>
          <t>C04-P0034</t>
        </is>
      </c>
      <c r="B155" s="8" t="inlineStr">
        <is>
          <t>C04</t>
        </is>
      </c>
      <c r="C155" s="8" t="inlineStr">
        <is>
          <t>Atal Pension Yojana</t>
        </is>
      </c>
      <c r="D155" s="8" t="inlineStr">
        <is>
          <t>Application process</t>
        </is>
      </c>
      <c r="E155" s="8" t="inlineStr"/>
      <c r="F155" s="8" t="inlineStr">
        <is>
          <t>en.applicationProcess[0].process[1].children[2]</t>
        </is>
      </c>
      <c r="G155" s="8" t="inlineStr">
        <is>
          <t>C04@20261028-8f3b40d0</t>
        </is>
      </c>
      <c r="H155" s="8" t="n">
        <v>1</v>
      </c>
      <c r="I155" s="8" t="n">
        <v>1</v>
      </c>
      <c r="J155" s="8" t="inlineStr">
        <is>
          <t>Customer has to fill basic and Nominee details.</t>
        </is>
      </c>
      <c r="K155" s="8" t="inlineStr">
        <is>
          <t>MS-C04</t>
        </is>
      </c>
      <c r="L155" s="9" t="n">
        <v>46323</v>
      </c>
      <c r="M155" s="8" t="inlineStr">
        <is>
          <t>Approved</t>
        </is>
      </c>
      <c r="N155" s="8" t="inlineStr">
        <is>
          <t>list_item</t>
        </is>
      </c>
    </row>
    <row r="156" ht="40" customHeight="1">
      <c r="A156" s="4" t="inlineStr">
        <is>
          <t>C04-P0035</t>
        </is>
      </c>
      <c r="B156" s="4" t="inlineStr">
        <is>
          <t>C04</t>
        </is>
      </c>
      <c r="C156" s="4" t="inlineStr">
        <is>
          <t>Atal Pension Yojana</t>
        </is>
      </c>
      <c r="D156" s="4" t="inlineStr">
        <is>
          <t>Application process</t>
        </is>
      </c>
      <c r="E156" s="4" t="inlineStr"/>
      <c r="F156" s="4" t="inlineStr">
        <is>
          <t>en.applicationProcess[0].process[1].children[3]</t>
        </is>
      </c>
      <c r="G156" s="4" t="inlineStr">
        <is>
          <t>C04@20261028-8f3b40d0</t>
        </is>
      </c>
      <c r="H156" s="4" t="n">
        <v>1</v>
      </c>
      <c r="I156" s="4" t="n">
        <v>1</v>
      </c>
      <c r="J156" s="4" t="inlineStr">
        <is>
          <t>Customer has to give consent for  auto debit of premium from the account and submit the form.</t>
        </is>
      </c>
      <c r="K156" s="4" t="inlineStr">
        <is>
          <t>MS-C04</t>
        </is>
      </c>
      <c r="L156" s="6" t="n">
        <v>46323</v>
      </c>
      <c r="M156" s="4" t="inlineStr">
        <is>
          <t>Approved</t>
        </is>
      </c>
      <c r="N156" s="4" t="inlineStr">
        <is>
          <t>list_item</t>
        </is>
      </c>
    </row>
    <row r="157" ht="40" customHeight="1">
      <c r="A157" s="8" t="inlineStr">
        <is>
          <t>C04-P0036</t>
        </is>
      </c>
      <c r="B157" s="8" t="inlineStr">
        <is>
          <t>C04</t>
        </is>
      </c>
      <c r="C157" s="8" t="inlineStr">
        <is>
          <t>Atal Pension Yojana</t>
        </is>
      </c>
      <c r="D157" s="8" t="inlineStr">
        <is>
          <t>Application process</t>
        </is>
      </c>
      <c r="E157" s="8" t="inlineStr"/>
      <c r="F157" s="8" t="inlineStr">
        <is>
          <t>en.applicationProcess[0].process[2].children[0]</t>
        </is>
      </c>
      <c r="G157" s="8" t="inlineStr">
        <is>
          <t>C04@20261028-8f3b40d0</t>
        </is>
      </c>
      <c r="H157" s="8" t="n">
        <v>1</v>
      </c>
      <c r="I157" s="8" t="n">
        <v>1</v>
      </c>
      <c r="J157" s="8" t="inlineStr">
        <is>
          <t>Process 2:</t>
        </is>
      </c>
      <c r="K157" s="8" t="inlineStr">
        <is>
          <t>MS-C04</t>
        </is>
      </c>
      <c r="L157" s="9" t="n">
        <v>46323</v>
      </c>
      <c r="M157" s="8" t="inlineStr">
        <is>
          <t>Approved</t>
        </is>
      </c>
      <c r="N157" s="8" t="inlineStr">
        <is>
          <t>text</t>
        </is>
      </c>
    </row>
    <row r="158" ht="40" customHeight="1">
      <c r="A158" s="4" t="inlineStr">
        <is>
          <t>C04-P0037</t>
        </is>
      </c>
      <c r="B158" s="4" t="inlineStr">
        <is>
          <t>C04</t>
        </is>
      </c>
      <c r="C158" s="4" t="inlineStr">
        <is>
          <t>Atal Pension Yojana</t>
        </is>
      </c>
      <c r="D158" s="4" t="inlineStr">
        <is>
          <t>Application process</t>
        </is>
      </c>
      <c r="E158" s="4" t="inlineStr"/>
      <c r="F158" s="4" t="inlineStr">
        <is>
          <t>en.applicationProcess[0].process[3].children[0]</t>
        </is>
      </c>
      <c r="G158" s="4" t="inlineStr">
        <is>
          <t>C04@20261028-8f3b40d0</t>
        </is>
      </c>
      <c r="H158" s="4" t="n">
        <v>1</v>
      </c>
      <c r="I158" s="4" t="n">
        <v>1</v>
      </c>
      <c r="J158" s="4" t="inlineStr">
        <is>
          <t>Visit website “</t>
        </is>
      </c>
      <c r="K158" s="4" t="inlineStr">
        <is>
          <t>MS-C04</t>
        </is>
      </c>
      <c r="L158" s="6" t="n">
        <v>46323</v>
      </c>
      <c r="M158" s="4" t="inlineStr">
        <is>
          <t>Approved</t>
        </is>
      </c>
      <c r="N158" s="4" t="inlineStr">
        <is>
          <t>text</t>
        </is>
      </c>
    </row>
    <row r="159" ht="40" customHeight="1">
      <c r="A159" s="8" t="inlineStr">
        <is>
          <t>C04-P0038</t>
        </is>
      </c>
      <c r="B159" s="8" t="inlineStr">
        <is>
          <t>C04</t>
        </is>
      </c>
      <c r="C159" s="8" t="inlineStr">
        <is>
          <t>Atal Pension Yojana</t>
        </is>
      </c>
      <c r="D159" s="8" t="inlineStr">
        <is>
          <t>Application process</t>
        </is>
      </c>
      <c r="E159" s="8" t="inlineStr"/>
      <c r="F159" s="8" t="inlineStr">
        <is>
          <t>en.applicationProcess[0].process[3].children[1].children[0]</t>
        </is>
      </c>
      <c r="G159" s="8" t="inlineStr">
        <is>
          <t>C04@20261028-8f3b40d0</t>
        </is>
      </c>
      <c r="H159" s="8" t="n">
        <v>1</v>
      </c>
      <c r="I159" s="8" t="n">
        <v>1</v>
      </c>
      <c r="J159" s="8" t="inlineStr">
        <is>
          <t>https://enps.nsdl.com/eNPS/NationalPensionSystem.html</t>
        </is>
      </c>
      <c r="K159" s="8" t="inlineStr">
        <is>
          <t>MS-C04</t>
        </is>
      </c>
      <c r="L159" s="9" t="n">
        <v>46323</v>
      </c>
      <c r="M159" s="8" t="inlineStr">
        <is>
          <t>Approved</t>
        </is>
      </c>
      <c r="N159" s="8" t="inlineStr">
        <is>
          <t>text</t>
        </is>
      </c>
    </row>
    <row r="160" ht="40" customHeight="1">
      <c r="A160" s="4" t="inlineStr">
        <is>
          <t>C04-P0039</t>
        </is>
      </c>
      <c r="B160" s="4" t="inlineStr">
        <is>
          <t>C04</t>
        </is>
      </c>
      <c r="C160" s="4" t="inlineStr">
        <is>
          <t>Atal Pension Yojana</t>
        </is>
      </c>
      <c r="D160" s="4" t="inlineStr">
        <is>
          <t>Application process</t>
        </is>
      </c>
      <c r="E160" s="4" t="inlineStr"/>
      <c r="F160" s="4" t="inlineStr">
        <is>
          <t>en.applicationProcess[0].process[3].children[2]</t>
        </is>
      </c>
      <c r="G160" s="4" t="inlineStr">
        <is>
          <t>C04@20261028-8f3b40d0</t>
        </is>
      </c>
      <c r="H160" s="4" t="n">
        <v>1</v>
      </c>
      <c r="I160" s="4" t="n">
        <v>1</v>
      </c>
      <c r="J160" s="4" t="inlineStr">
        <is>
          <t xml:space="preserve"> “ and select “Atal Pension Yojana”.</t>
        </is>
      </c>
      <c r="K160" s="4" t="inlineStr">
        <is>
          <t>MS-C04</t>
        </is>
      </c>
      <c r="L160" s="6" t="n">
        <v>46323</v>
      </c>
      <c r="M160" s="4" t="inlineStr">
        <is>
          <t>Approved</t>
        </is>
      </c>
      <c r="N160" s="4" t="inlineStr">
        <is>
          <t>text</t>
        </is>
      </c>
    </row>
    <row r="161" ht="40" customHeight="1">
      <c r="A161" s="8" t="inlineStr">
        <is>
          <t>C04-P0040</t>
        </is>
      </c>
      <c r="B161" s="8" t="inlineStr">
        <is>
          <t>C04</t>
        </is>
      </c>
      <c r="C161" s="8" t="inlineStr">
        <is>
          <t>Atal Pension Yojana</t>
        </is>
      </c>
      <c r="D161" s="8" t="inlineStr">
        <is>
          <t>Application process</t>
        </is>
      </c>
      <c r="E161" s="8" t="inlineStr"/>
      <c r="F161" s="8" t="inlineStr">
        <is>
          <t>en.applicationProcess[0].process[4].children[0]</t>
        </is>
      </c>
      <c r="G161" s="8" t="inlineStr">
        <is>
          <t>C04@20261028-8f3b40d0</t>
        </is>
      </c>
      <c r="H161" s="8" t="n">
        <v>1</v>
      </c>
      <c r="I161" s="8" t="n">
        <v>1</v>
      </c>
      <c r="J161" s="8" t="inlineStr">
        <is>
          <t>Select “APY Registration”</t>
        </is>
      </c>
      <c r="K161" s="8" t="inlineStr">
        <is>
          <t>MS-C04</t>
        </is>
      </c>
      <c r="L161" s="9" t="n">
        <v>46323</v>
      </c>
      <c r="M161" s="8" t="inlineStr">
        <is>
          <t>Approved</t>
        </is>
      </c>
      <c r="N161" s="8" t="inlineStr">
        <is>
          <t>text</t>
        </is>
      </c>
    </row>
    <row r="162" ht="40" customHeight="1">
      <c r="A162" s="4" t="inlineStr">
        <is>
          <t>C04-P0041</t>
        </is>
      </c>
      <c r="B162" s="4" t="inlineStr">
        <is>
          <t>C04</t>
        </is>
      </c>
      <c r="C162" s="4" t="inlineStr">
        <is>
          <t>Atal Pension Yojana</t>
        </is>
      </c>
      <c r="D162" s="4" t="inlineStr">
        <is>
          <t>Application process</t>
        </is>
      </c>
      <c r="E162" s="4" t="inlineStr"/>
      <c r="F162" s="4" t="inlineStr">
        <is>
          <t>en.applicationProcess[0].process[5].children[0]</t>
        </is>
      </c>
      <c r="G162" s="4" t="inlineStr">
        <is>
          <t>C04@20261028-8f3b40d0</t>
        </is>
      </c>
      <c r="H162" s="4" t="n">
        <v>1</v>
      </c>
      <c r="I162" s="4" t="n">
        <v>1</v>
      </c>
      <c r="J162" s="4" t="inlineStr">
        <is>
          <t xml:space="preserve">Fill the basic details in the form. One can complete KYC through 3 options – </t>
        </is>
      </c>
      <c r="K162" s="4" t="inlineStr">
        <is>
          <t>MS-C04</t>
        </is>
      </c>
      <c r="L162" s="6" t="n">
        <v>46323</v>
      </c>
      <c r="M162" s="4" t="inlineStr">
        <is>
          <t>Approved</t>
        </is>
      </c>
      <c r="N162" s="4" t="inlineStr">
        <is>
          <t>text</t>
        </is>
      </c>
    </row>
    <row r="163" ht="40" customHeight="1">
      <c r="A163" s="8" t="inlineStr">
        <is>
          <t>C04-P0042</t>
        </is>
      </c>
      <c r="B163" s="8" t="inlineStr">
        <is>
          <t>C04</t>
        </is>
      </c>
      <c r="C163" s="8" t="inlineStr">
        <is>
          <t>Atal Pension Yojana</t>
        </is>
      </c>
      <c r="D163" s="8" t="inlineStr">
        <is>
          <t>Application process</t>
        </is>
      </c>
      <c r="E163" s="8" t="inlineStr"/>
      <c r="F163" s="8" t="inlineStr">
        <is>
          <t>en.applicationProcess[0].process[6].children[0].children[0]</t>
        </is>
      </c>
      <c r="G163" s="8" t="inlineStr">
        <is>
          <t>C04@20261028-8f3b40d0</t>
        </is>
      </c>
      <c r="H163" s="8" t="n">
        <v>1</v>
      </c>
      <c r="I163" s="8" t="n">
        <v>1</v>
      </c>
      <c r="J163" s="8" t="inlineStr">
        <is>
          <t>Offline KYC – Where one has to upload XML file of Aadhaar</t>
        </is>
      </c>
      <c r="K163" s="8" t="inlineStr">
        <is>
          <t>MS-C04</t>
        </is>
      </c>
      <c r="L163" s="9" t="n">
        <v>46323</v>
      </c>
      <c r="M163" s="8" t="inlineStr">
        <is>
          <t>Approved</t>
        </is>
      </c>
      <c r="N163" s="8" t="inlineStr">
        <is>
          <t>list_item</t>
        </is>
      </c>
    </row>
    <row r="164" ht="40" customHeight="1">
      <c r="A164" s="4" t="inlineStr">
        <is>
          <t>C04-P0043</t>
        </is>
      </c>
      <c r="B164" s="4" t="inlineStr">
        <is>
          <t>C04</t>
        </is>
      </c>
      <c r="C164" s="4" t="inlineStr">
        <is>
          <t>Atal Pension Yojana</t>
        </is>
      </c>
      <c r="D164" s="4" t="inlineStr">
        <is>
          <t>Application process</t>
        </is>
      </c>
      <c r="E164" s="4" t="inlineStr"/>
      <c r="F164" s="4" t="inlineStr">
        <is>
          <t>en.applicationProcess[0].process[6].children[0].children[1]</t>
        </is>
      </c>
      <c r="G164" s="4" t="inlineStr">
        <is>
          <t>C04@20261028-8f3b40d0</t>
        </is>
      </c>
      <c r="H164" s="4" t="n">
        <v>1</v>
      </c>
      <c r="I164" s="4" t="n">
        <v>1</v>
      </c>
      <c r="J164" s="4" t="inlineStr">
        <is>
          <t>Aadhaar – Where KYC is done through OTP verification on Mobile Number register with Aadhaar</t>
        </is>
      </c>
      <c r="K164" s="4" t="inlineStr">
        <is>
          <t>MS-C04</t>
        </is>
      </c>
      <c r="L164" s="6" t="n">
        <v>46323</v>
      </c>
      <c r="M164" s="4" t="inlineStr">
        <is>
          <t>Approved</t>
        </is>
      </c>
      <c r="N164" s="4" t="inlineStr">
        <is>
          <t>list_item</t>
        </is>
      </c>
    </row>
    <row r="165" ht="40" customHeight="1">
      <c r="A165" s="8" t="inlineStr">
        <is>
          <t>C04-P0044</t>
        </is>
      </c>
      <c r="B165" s="8" t="inlineStr">
        <is>
          <t>C04</t>
        </is>
      </c>
      <c r="C165" s="8" t="inlineStr">
        <is>
          <t>Atal Pension Yojana</t>
        </is>
      </c>
      <c r="D165" s="8" t="inlineStr">
        <is>
          <t>Application process</t>
        </is>
      </c>
      <c r="E165" s="8" t="inlineStr"/>
      <c r="F165" s="8" t="inlineStr">
        <is>
          <t>en.applicationProcess[0].process[6].children[0].children[2]</t>
        </is>
      </c>
      <c r="G165" s="8" t="inlineStr">
        <is>
          <t>C04@20261028-8f3b40d0</t>
        </is>
      </c>
      <c r="H165" s="8" t="n">
        <v>1</v>
      </c>
      <c r="I165" s="8" t="n">
        <v>1</v>
      </c>
      <c r="J165" s="8" t="inlineStr">
        <is>
          <t>Virtual ID – Where Aadhaar virtual ID is created for KYC</t>
        </is>
      </c>
      <c r="K165" s="8" t="inlineStr">
        <is>
          <t>MS-C04</t>
        </is>
      </c>
      <c r="L165" s="9" t="n">
        <v>46323</v>
      </c>
      <c r="M165" s="8" t="inlineStr">
        <is>
          <t>Approved</t>
        </is>
      </c>
      <c r="N165" s="8" t="inlineStr">
        <is>
          <t>list_item</t>
        </is>
      </c>
    </row>
    <row r="166" ht="40" customHeight="1">
      <c r="A166" s="4" t="inlineStr">
        <is>
          <t>C04-P0045</t>
        </is>
      </c>
      <c r="B166" s="4" t="inlineStr">
        <is>
          <t>C04</t>
        </is>
      </c>
      <c r="C166" s="4" t="inlineStr">
        <is>
          <t>Atal Pension Yojana</t>
        </is>
      </c>
      <c r="D166" s="4" t="inlineStr">
        <is>
          <t>Application process</t>
        </is>
      </c>
      <c r="E166" s="4" t="inlineStr">
        <is>
          <t>Citizen can select either one of three options.</t>
        </is>
      </c>
      <c r="F166" s="4" t="inlineStr">
        <is>
          <t>en.applicationProcess[0].process[6].children[1]</t>
        </is>
      </c>
      <c r="G166" s="4" t="inlineStr">
        <is>
          <t>C04@20261028-8f3b40d0</t>
        </is>
      </c>
      <c r="H166" s="4" t="n">
        <v>1</v>
      </c>
      <c r="I166" s="4" t="n">
        <v>1</v>
      </c>
      <c r="J166" s="4" t="inlineStr">
        <is>
          <t>Citizen can select either one of three options.</t>
        </is>
      </c>
      <c r="K166" s="4" t="inlineStr">
        <is>
          <t>MS-C04</t>
        </is>
      </c>
      <c r="L166" s="6" t="n">
        <v>46323</v>
      </c>
      <c r="M166" s="4" t="inlineStr">
        <is>
          <t>Approved</t>
        </is>
      </c>
      <c r="N166" s="4" t="inlineStr">
        <is>
          <t>paragraph</t>
        </is>
      </c>
    </row>
    <row r="167" ht="40" customHeight="1">
      <c r="A167" s="8" t="inlineStr">
        <is>
          <t>C04-P0046</t>
        </is>
      </c>
      <c r="B167" s="8" t="inlineStr">
        <is>
          <t>C04</t>
        </is>
      </c>
      <c r="C167" s="8" t="inlineStr">
        <is>
          <t>Atal Pension Yojana</t>
        </is>
      </c>
      <c r="D167" s="8" t="inlineStr">
        <is>
          <t>Application process</t>
        </is>
      </c>
      <c r="E167" s="8" t="inlineStr">
        <is>
          <t>Citizen can select either one of three options.</t>
        </is>
      </c>
      <c r="F167" s="8" t="inlineStr">
        <is>
          <t>en.applicationProcess[0].process[6].children[2].children[0]</t>
        </is>
      </c>
      <c r="G167" s="8" t="inlineStr">
        <is>
          <t>C04@20261028-8f3b40d0</t>
        </is>
      </c>
      <c r="H167" s="8" t="n">
        <v>1</v>
      </c>
      <c r="I167" s="8" t="n">
        <v>1</v>
      </c>
      <c r="J167" s="8" t="inlineStr">
        <is>
          <t>Once the basic details are filled, an acknowledgement number is generated.</t>
        </is>
      </c>
      <c r="K167" s="8" t="inlineStr">
        <is>
          <t>MS-C04</t>
        </is>
      </c>
      <c r="L167" s="9" t="n">
        <v>46323</v>
      </c>
      <c r="M167" s="8" t="inlineStr">
        <is>
          <t>Approved</t>
        </is>
      </c>
      <c r="N167" s="8" t="inlineStr">
        <is>
          <t>text</t>
        </is>
      </c>
    </row>
    <row r="168" ht="40" customHeight="1">
      <c r="A168" s="4" t="inlineStr">
        <is>
          <t>C04-P0047</t>
        </is>
      </c>
      <c r="B168" s="4" t="inlineStr">
        <is>
          <t>C04</t>
        </is>
      </c>
      <c r="C168" s="4" t="inlineStr">
        <is>
          <t>Atal Pension Yojana</t>
        </is>
      </c>
      <c r="D168" s="4" t="inlineStr">
        <is>
          <t>Application process</t>
        </is>
      </c>
      <c r="E168" s="4" t="inlineStr">
        <is>
          <t>Citizen can select either one of three options.</t>
        </is>
      </c>
      <c r="F168" s="4" t="inlineStr">
        <is>
          <t>en.applicationProcess[0].process[6].children[3].children[0]</t>
        </is>
      </c>
      <c r="G168" s="4" t="inlineStr">
        <is>
          <t>C04@20261028-8f3b40d0</t>
        </is>
      </c>
      <c r="H168" s="4" t="n">
        <v>1</v>
      </c>
      <c r="I168" s="4" t="n">
        <v>1</v>
      </c>
      <c r="J168" s="4" t="inlineStr">
        <is>
          <t>Citizen then has to fill personal details and decide the pension amount he/she wants after 60 years.</t>
        </is>
      </c>
      <c r="K168" s="4" t="inlineStr">
        <is>
          <t>MS-C04</t>
        </is>
      </c>
      <c r="L168" s="6" t="n">
        <v>46323</v>
      </c>
      <c r="M168" s="4" t="inlineStr">
        <is>
          <t>Approved</t>
        </is>
      </c>
      <c r="N168" s="4" t="inlineStr">
        <is>
          <t>list_item</t>
        </is>
      </c>
    </row>
    <row r="169" ht="40" customHeight="1">
      <c r="A169" s="8" t="inlineStr">
        <is>
          <t>C04-P0048</t>
        </is>
      </c>
      <c r="B169" s="8" t="inlineStr">
        <is>
          <t>C04</t>
        </is>
      </c>
      <c r="C169" s="8" t="inlineStr">
        <is>
          <t>Atal Pension Yojana</t>
        </is>
      </c>
      <c r="D169" s="8" t="inlineStr">
        <is>
          <t>Application process</t>
        </is>
      </c>
      <c r="E169" s="8" t="inlineStr">
        <is>
          <t>Citizen can select either one of three options.</t>
        </is>
      </c>
      <c r="F169" s="8" t="inlineStr">
        <is>
          <t>en.applicationProcess[0].process[6].children[3].children[1]</t>
        </is>
      </c>
      <c r="G169" s="8" t="inlineStr">
        <is>
          <t>C04@20261028-8f3b40d0</t>
        </is>
      </c>
      <c r="H169" s="8" t="n">
        <v>1</v>
      </c>
      <c r="I169" s="8" t="n">
        <v>1</v>
      </c>
      <c r="J169" s="8" t="inlineStr">
        <is>
          <t>The Citizen also has to decide the frequency of contribution for the scheme.</t>
        </is>
      </c>
      <c r="K169" s="8" t="inlineStr">
        <is>
          <t>MS-C04</t>
        </is>
      </c>
      <c r="L169" s="9" t="n">
        <v>46323</v>
      </c>
      <c r="M169" s="8" t="inlineStr">
        <is>
          <t>Approved</t>
        </is>
      </c>
      <c r="N169" s="8" t="inlineStr">
        <is>
          <t>list_item</t>
        </is>
      </c>
    </row>
    <row r="170" ht="40" customHeight="1">
      <c r="A170" s="4" t="inlineStr">
        <is>
          <t>C04-P0049</t>
        </is>
      </c>
      <c r="B170" s="4" t="inlineStr">
        <is>
          <t>C04</t>
        </is>
      </c>
      <c r="C170" s="4" t="inlineStr">
        <is>
          <t>Atal Pension Yojana</t>
        </is>
      </c>
      <c r="D170" s="4" t="inlineStr">
        <is>
          <t>Application process</t>
        </is>
      </c>
      <c r="E170" s="4" t="inlineStr">
        <is>
          <t>Citizen can select either one of three options.</t>
        </is>
      </c>
      <c r="F170" s="4" t="inlineStr">
        <is>
          <t>en.applicationProcess[0].process[6].children[3].children[2]</t>
        </is>
      </c>
      <c r="G170" s="4" t="inlineStr">
        <is>
          <t>C04@20261028-8f3b40d0</t>
        </is>
      </c>
      <c r="H170" s="4" t="n">
        <v>1</v>
      </c>
      <c r="I170" s="4" t="n">
        <v>1</v>
      </c>
      <c r="J170" s="4" t="inlineStr">
        <is>
          <t>Once the citizen “confirms” for personal details, he/she  has to then fill nominee details.</t>
        </is>
      </c>
      <c r="K170" s="4" t="inlineStr">
        <is>
          <t>MS-C04</t>
        </is>
      </c>
      <c r="L170" s="6" t="n">
        <v>46323</v>
      </c>
      <c r="M170" s="4" t="inlineStr">
        <is>
          <t>Approved</t>
        </is>
      </c>
      <c r="N170" s="4" t="inlineStr">
        <is>
          <t>list_item</t>
        </is>
      </c>
    </row>
    <row r="171" ht="40" customHeight="1">
      <c r="A171" s="8" t="inlineStr">
        <is>
          <t>C04-P0050</t>
        </is>
      </c>
      <c r="B171" s="8" t="inlineStr">
        <is>
          <t>C04</t>
        </is>
      </c>
      <c r="C171" s="8" t="inlineStr">
        <is>
          <t>Atal Pension Yojana</t>
        </is>
      </c>
      <c r="D171" s="8" t="inlineStr">
        <is>
          <t>Application process</t>
        </is>
      </c>
      <c r="E171" s="8" t="inlineStr">
        <is>
          <t>Citizen can select either one of three options.</t>
        </is>
      </c>
      <c r="F171" s="8" t="inlineStr">
        <is>
          <t>en.applicationProcess[0].process[6].children[3].children[3]</t>
        </is>
      </c>
      <c r="G171" s="8" t="inlineStr">
        <is>
          <t>C04@20261028-8f3b40d0</t>
        </is>
      </c>
      <c r="H171" s="8" t="n">
        <v>1</v>
      </c>
      <c r="I171" s="8" t="n">
        <v>1</v>
      </c>
      <c r="J171" s="8" t="inlineStr">
        <is>
          <t>After submitting the personal and Nominee details, Citizen is redirected to NSDL website for eSign.</t>
        </is>
      </c>
      <c r="K171" s="8" t="inlineStr">
        <is>
          <t>MS-C04</t>
        </is>
      </c>
      <c r="L171" s="9" t="n">
        <v>46323</v>
      </c>
      <c r="M171" s="8" t="inlineStr">
        <is>
          <t>Approved</t>
        </is>
      </c>
      <c r="N171" s="8" t="inlineStr">
        <is>
          <t>list_item</t>
        </is>
      </c>
    </row>
    <row r="172" ht="40" customHeight="1">
      <c r="A172" s="4" t="inlineStr">
        <is>
          <t>C04-P0051</t>
        </is>
      </c>
      <c r="B172" s="4" t="inlineStr">
        <is>
          <t>C04</t>
        </is>
      </c>
      <c r="C172" s="4" t="inlineStr">
        <is>
          <t>Atal Pension Yojana</t>
        </is>
      </c>
      <c r="D172" s="4" t="inlineStr">
        <is>
          <t>Application process</t>
        </is>
      </c>
      <c r="E172" s="4" t="inlineStr">
        <is>
          <t>Citizen can select either one of three options.</t>
        </is>
      </c>
      <c r="F172" s="4" t="inlineStr">
        <is>
          <t>en.applicationProcess[0].process[6].children[3].children[4]</t>
        </is>
      </c>
      <c r="G172" s="4" t="inlineStr">
        <is>
          <t>C04@20261028-8f3b40d0</t>
        </is>
      </c>
      <c r="H172" s="4" t="n">
        <v>1</v>
      </c>
      <c r="I172" s="4" t="n">
        <v>1</v>
      </c>
      <c r="J172" s="4" t="inlineStr">
        <is>
          <t>Once Aadhaar is OTP verified,  Citizen gets successfully registered in APY.</t>
        </is>
      </c>
      <c r="K172" s="4" t="inlineStr">
        <is>
          <t>MS-C04</t>
        </is>
      </c>
      <c r="L172" s="6" t="n">
        <v>46323</v>
      </c>
      <c r="M172" s="4" t="inlineStr">
        <is>
          <t>Approved</t>
        </is>
      </c>
      <c r="N172" s="4" t="inlineStr">
        <is>
          <t>list_item</t>
        </is>
      </c>
    </row>
    <row r="173" ht="40" customHeight="1">
      <c r="A173" s="8" t="inlineStr">
        <is>
          <t>C04-P0052</t>
        </is>
      </c>
      <c r="B173" s="8" t="inlineStr">
        <is>
          <t>C04</t>
        </is>
      </c>
      <c r="C173" s="8" t="inlineStr">
        <is>
          <t>Atal Pension Yojana</t>
        </is>
      </c>
      <c r="D173" s="8" t="inlineStr">
        <is>
          <t>Application process</t>
        </is>
      </c>
      <c r="E173" s="8" t="inlineStr">
        <is>
          <t>Citizen can select either one of three options.</t>
        </is>
      </c>
      <c r="F173" s="8" t="inlineStr">
        <is>
          <t>en.applicationProcess[0].process[6].children[3].children[5]</t>
        </is>
      </c>
      <c r="G173" s="8" t="inlineStr">
        <is>
          <t>C04@20261028-8f3b40d0</t>
        </is>
      </c>
      <c r="H173" s="8" t="n">
        <v>1</v>
      </c>
      <c r="I173" s="8" t="n">
        <v>1</v>
      </c>
      <c r="J173" s="8" t="inlineStr">
        <is>
          <t>One can also join digitally through e-APY portal or through web portal of banks providing such facility.</t>
        </is>
      </c>
      <c r="K173" s="8" t="inlineStr">
        <is>
          <t>MS-C04</t>
        </is>
      </c>
      <c r="L173" s="9" t="n">
        <v>46323</v>
      </c>
      <c r="M173" s="8" t="inlineStr">
        <is>
          <t>Approved</t>
        </is>
      </c>
      <c r="N173" s="8" t="inlineStr">
        <is>
          <t>list_item</t>
        </is>
      </c>
    </row>
    <row r="174" ht="40" customHeight="1">
      <c r="A174" s="4" t="inlineStr">
        <is>
          <t>C04-P0053</t>
        </is>
      </c>
      <c r="B174" s="4" t="inlineStr">
        <is>
          <t>C04</t>
        </is>
      </c>
      <c r="C174" s="4" t="inlineStr">
        <is>
          <t>Atal Pension Yojana</t>
        </is>
      </c>
      <c r="D174" s="4" t="inlineStr">
        <is>
          <t>Application process</t>
        </is>
      </c>
      <c r="E174" s="4" t="inlineStr">
        <is>
          <t>Citizen can select either one of three options.</t>
        </is>
      </c>
      <c r="F174" s="4" t="inlineStr">
        <is>
          <t>en.applicationProcess[0].process[7].children[0]</t>
        </is>
      </c>
      <c r="G174" s="4" t="inlineStr">
        <is>
          <t>C04@20261028-8f3b40d0</t>
        </is>
      </c>
      <c r="H174" s="4" t="n">
        <v>1</v>
      </c>
      <c r="I174" s="4" t="n">
        <v>1</v>
      </c>
      <c r="J174" s="4" t="inlineStr">
        <is>
          <t>Visit website “</t>
        </is>
      </c>
      <c r="K174" s="4" t="inlineStr">
        <is>
          <t>MS-C04</t>
        </is>
      </c>
      <c r="L174" s="6" t="n">
        <v>46323</v>
      </c>
      <c r="M174" s="4" t="inlineStr">
        <is>
          <t>Approved</t>
        </is>
      </c>
      <c r="N174" s="4" t="inlineStr">
        <is>
          <t>text</t>
        </is>
      </c>
    </row>
    <row r="175" ht="40" customHeight="1">
      <c r="A175" s="8" t="inlineStr">
        <is>
          <t>C04-P0054</t>
        </is>
      </c>
      <c r="B175" s="8" t="inlineStr">
        <is>
          <t>C04</t>
        </is>
      </c>
      <c r="C175" s="8" t="inlineStr">
        <is>
          <t>Atal Pension Yojana</t>
        </is>
      </c>
      <c r="D175" s="8" t="inlineStr">
        <is>
          <t>Application process</t>
        </is>
      </c>
      <c r="E175" s="8" t="inlineStr">
        <is>
          <t>Citizen can select either one of three options.</t>
        </is>
      </c>
      <c r="F175" s="8" t="inlineStr">
        <is>
          <t>en.applicationProcess[0].process[7].children[1].children[0]</t>
        </is>
      </c>
      <c r="G175" s="8" t="inlineStr">
        <is>
          <t>C04@20261028-8f3b40d0</t>
        </is>
      </c>
      <c r="H175" s="8" t="n">
        <v>1</v>
      </c>
      <c r="I175" s="8" t="n">
        <v>1</v>
      </c>
      <c r="J175" s="8" t="inlineStr">
        <is>
          <t xml:space="preserve">https://enps.nsdl.com/eNPS/NationalPensionSystem.html </t>
        </is>
      </c>
      <c r="K175" s="8" t="inlineStr">
        <is>
          <t>MS-C04</t>
        </is>
      </c>
      <c r="L175" s="9" t="n">
        <v>46323</v>
      </c>
      <c r="M175" s="8" t="inlineStr">
        <is>
          <t>Approved</t>
        </is>
      </c>
      <c r="N175" s="8" t="inlineStr">
        <is>
          <t>text</t>
        </is>
      </c>
    </row>
    <row r="176" ht="40" customHeight="1">
      <c r="A176" s="4" t="inlineStr">
        <is>
          <t>C04-P0055</t>
        </is>
      </c>
      <c r="B176" s="4" t="inlineStr">
        <is>
          <t>C04</t>
        </is>
      </c>
      <c r="C176" s="4" t="inlineStr">
        <is>
          <t>Atal Pension Yojana</t>
        </is>
      </c>
      <c r="D176" s="4" t="inlineStr">
        <is>
          <t>Application process</t>
        </is>
      </c>
      <c r="E176" s="4" t="inlineStr">
        <is>
          <t>Citizen can select either one of three options.</t>
        </is>
      </c>
      <c r="F176" s="4" t="inlineStr">
        <is>
          <t>en.applicationProcess[0].process[7].children[2]</t>
        </is>
      </c>
      <c r="G176" s="4" t="inlineStr">
        <is>
          <t>C04@20261028-8f3b40d0</t>
        </is>
      </c>
      <c r="H176" s="4" t="n">
        <v>1</v>
      </c>
      <c r="I176" s="4" t="n">
        <v>1</v>
      </c>
      <c r="J176" s="4" t="inlineStr">
        <is>
          <t>“ and select “Atal Pension Yojana”.</t>
        </is>
      </c>
      <c r="K176" s="4" t="inlineStr">
        <is>
          <t>MS-C04</t>
        </is>
      </c>
      <c r="L176" s="6" t="n">
        <v>46323</v>
      </c>
      <c r="M176" s="4" t="inlineStr">
        <is>
          <t>Approved</t>
        </is>
      </c>
      <c r="N176" s="4" t="inlineStr">
        <is>
          <t>text</t>
        </is>
      </c>
    </row>
    <row r="177" ht="40" customHeight="1">
      <c r="A177" s="8" t="inlineStr">
        <is>
          <t>C04-P0056</t>
        </is>
      </c>
      <c r="B177" s="8" t="inlineStr">
        <is>
          <t>C04</t>
        </is>
      </c>
      <c r="C177" s="8" t="inlineStr">
        <is>
          <t>Atal Pension Yojana</t>
        </is>
      </c>
      <c r="D177" s="8" t="inlineStr">
        <is>
          <t>Application process</t>
        </is>
      </c>
      <c r="E177" s="8" t="inlineStr">
        <is>
          <t>Citizen can select either one of three options.</t>
        </is>
      </c>
      <c r="F177" s="8" t="inlineStr">
        <is>
          <t>en.applicationProcess[0].process[8].children[0]</t>
        </is>
      </c>
      <c r="G177" s="8" t="inlineStr">
        <is>
          <t>C04@20261028-8f3b40d0</t>
        </is>
      </c>
      <c r="H177" s="8" t="n">
        <v>1</v>
      </c>
      <c r="I177" s="8" t="n">
        <v>1</v>
      </c>
      <c r="J177" s="8" t="inlineStr">
        <is>
          <t>Helpline Number - - Toll Free Helpline number for APY Scheme is 1800-110-069</t>
        </is>
      </c>
      <c r="K177" s="8" t="inlineStr">
        <is>
          <t>MS-C04</t>
        </is>
      </c>
      <c r="L177" s="9" t="n">
        <v>46323</v>
      </c>
      <c r="M177" s="8" t="inlineStr">
        <is>
          <t>Approved</t>
        </is>
      </c>
      <c r="N177" s="8" t="inlineStr">
        <is>
          <t>text</t>
        </is>
      </c>
    </row>
    <row r="178" ht="40" customHeight="1">
      <c r="A178" s="4" t="inlineStr">
        <is>
          <t>C04-P0057</t>
        </is>
      </c>
      <c r="B178" s="4" t="inlineStr">
        <is>
          <t>C04</t>
        </is>
      </c>
      <c r="C178" s="4" t="inlineStr">
        <is>
          <t>Atal Pension Yojana</t>
        </is>
      </c>
      <c r="D178" s="4" t="inlineStr">
        <is>
          <t>Application process</t>
        </is>
      </c>
      <c r="E178" s="4" t="inlineStr"/>
      <c r="F178" s="4" t="inlineStr">
        <is>
          <t>en.applicationProcess[1].process[0].children[0]</t>
        </is>
      </c>
      <c r="G178" s="4" t="inlineStr">
        <is>
          <t>C04@20261028-8f3b40d0</t>
        </is>
      </c>
      <c r="H178" s="4" t="n">
        <v>1</v>
      </c>
      <c r="I178" s="4" t="n">
        <v>1</v>
      </c>
      <c r="J178" s="4" t="inlineStr">
        <is>
          <t>One can visit the nearest Bank branch or Post Office where he/ she is having a saving bank account and submit the APY registration form for opening the APY account.</t>
        </is>
      </c>
      <c r="K178" s="4" t="inlineStr">
        <is>
          <t>MS-C04</t>
        </is>
      </c>
      <c r="L178" s="6" t="n">
        <v>46323</v>
      </c>
      <c r="M178" s="4" t="inlineStr">
        <is>
          <t>Approved</t>
        </is>
      </c>
      <c r="N178" s="4" t="inlineStr">
        <is>
          <t>text</t>
        </is>
      </c>
    </row>
    <row r="179" ht="40" customHeight="1">
      <c r="A179" s="8" t="inlineStr">
        <is>
          <t>C04-P0058</t>
        </is>
      </c>
      <c r="B179" s="8" t="inlineStr">
        <is>
          <t>C04</t>
        </is>
      </c>
      <c r="C179" s="8" t="inlineStr">
        <is>
          <t>Atal Pension Yojana</t>
        </is>
      </c>
      <c r="D179" s="8" t="inlineStr">
        <is>
          <t>FAQ</t>
        </is>
      </c>
      <c r="E179" s="8" t="inlineStr"/>
      <c r="F179" s="8" t="inlineStr">
        <is>
          <t>faqs.en.faqs[0]</t>
        </is>
      </c>
      <c r="G179" s="8" t="inlineStr">
        <is>
          <t>C04@20261028-8f3b40d0</t>
        </is>
      </c>
      <c r="H179" s="8" t="n">
        <v>1</v>
      </c>
      <c r="I179" s="8" t="n">
        <v>1</v>
      </c>
      <c r="J179" s="8" t="inlineStr">
        <is>
          <t>When will I receive my Pension? 
Age Of Start Of Pension is  60 Years.</t>
        </is>
      </c>
      <c r="K179" s="8" t="inlineStr">
        <is>
          <t>MS-C04</t>
        </is>
      </c>
      <c r="L179" s="9" t="n">
        <v>46323</v>
      </c>
      <c r="M179" s="8" t="inlineStr">
        <is>
          <t>Approved</t>
        </is>
      </c>
      <c r="N179" s="8" t="inlineStr">
        <is>
          <t>faq</t>
        </is>
      </c>
    </row>
    <row r="180" ht="40" customHeight="1">
      <c r="A180" s="4" t="inlineStr">
        <is>
          <t>C04-P0059</t>
        </is>
      </c>
      <c r="B180" s="4" t="inlineStr">
        <is>
          <t>C04</t>
        </is>
      </c>
      <c r="C180" s="4" t="inlineStr">
        <is>
          <t>Atal Pension Yojana</t>
        </is>
      </c>
      <c r="D180" s="4" t="inlineStr">
        <is>
          <t>FAQ</t>
        </is>
      </c>
      <c r="E180" s="4" t="inlineStr"/>
      <c r="F180" s="4" t="inlineStr">
        <is>
          <t>faqs.en.faqs[1]</t>
        </is>
      </c>
      <c r="G180" s="4" t="inlineStr">
        <is>
          <t>C04@20261028-8f3b40d0</t>
        </is>
      </c>
      <c r="H180" s="4" t="n">
        <v>1</v>
      </c>
      <c r="I180" s="4" t="n">
        <v>1</v>
      </c>
      <c r="J180" s="4" t="inlineStr">
        <is>
          <t>I am a  Swavalamban subscriber. Can I still, apply for APY? 
Eligible Swavalamban Subscribers may be migrated to APY.</t>
        </is>
      </c>
      <c r="K180" s="4" t="inlineStr">
        <is>
          <t>MS-C04</t>
        </is>
      </c>
      <c r="L180" s="6" t="n">
        <v>46323</v>
      </c>
      <c r="M180" s="4" t="inlineStr">
        <is>
          <t>Approved</t>
        </is>
      </c>
      <c r="N180" s="4" t="inlineStr">
        <is>
          <t>faq</t>
        </is>
      </c>
    </row>
    <row r="181" ht="40" customHeight="1">
      <c r="A181" s="8" t="inlineStr">
        <is>
          <t>C04-P0060</t>
        </is>
      </c>
      <c r="B181" s="8" t="inlineStr">
        <is>
          <t>C04</t>
        </is>
      </c>
      <c r="C181" s="8" t="inlineStr">
        <is>
          <t>Atal Pension Yojana</t>
        </is>
      </c>
      <c r="D181" s="8" t="inlineStr">
        <is>
          <t>FAQ</t>
        </is>
      </c>
      <c r="E181" s="8" t="inlineStr"/>
      <c r="F181" s="8" t="inlineStr">
        <is>
          <t>faqs.en.faqs[2]</t>
        </is>
      </c>
      <c r="G181" s="8" t="inlineStr">
        <is>
          <t>C04@20261028-8f3b40d0</t>
        </is>
      </c>
      <c r="H181" s="8" t="n">
        <v>1</v>
      </c>
      <c r="I181" s="8" t="n">
        <v>1</v>
      </c>
      <c r="J181" s="8" t="inlineStr">
        <is>
          <t>Is it required to furnish nomination while joining the scheme?  
Yes.</t>
        </is>
      </c>
      <c r="K181" s="8" t="inlineStr">
        <is>
          <t>MS-C04</t>
        </is>
      </c>
      <c r="L181" s="9" t="n">
        <v>46323</v>
      </c>
      <c r="M181" s="8" t="inlineStr">
        <is>
          <t>Approved</t>
        </is>
      </c>
      <c r="N181" s="8" t="inlineStr">
        <is>
          <t>faq</t>
        </is>
      </c>
    </row>
    <row r="182" ht="68" customHeight="1">
      <c r="A182" s="4" t="inlineStr">
        <is>
          <t>C04-P0061</t>
        </is>
      </c>
      <c r="B182" s="4" t="inlineStr">
        <is>
          <t>C04</t>
        </is>
      </c>
      <c r="C182" s="4" t="inlineStr">
        <is>
          <t>Atal Pension Yojana</t>
        </is>
      </c>
      <c r="D182" s="4" t="inlineStr">
        <is>
          <t>FAQ</t>
        </is>
      </c>
      <c r="E182" s="4" t="inlineStr"/>
      <c r="F182" s="4" t="inlineStr">
        <is>
          <t>faqs.en.faqs[3]</t>
        </is>
      </c>
      <c r="G182" s="4" t="inlineStr">
        <is>
          <t>C04@20261028-8f3b40d0</t>
        </is>
      </c>
      <c r="H182" s="4" t="n">
        <v>1</v>
      </c>
      <c r="I182" s="4" t="n">
        <v>1</v>
      </c>
      <c r="J182" s="4" t="inlineStr">
        <is>
          <t>Is there any provision of default nominee or blood relation?  
If the subscriber is unmarried they can nominate any other person as nominee and they have to provide spouse details after marriage. If married, the spouse will be the default nominee. The Aadhaar details of spouse and nominees may be provided.</t>
        </is>
      </c>
      <c r="K182" s="4" t="inlineStr">
        <is>
          <t>MS-C04</t>
        </is>
      </c>
      <c r="L182" s="6" t="n">
        <v>46323</v>
      </c>
      <c r="M182" s="4" t="inlineStr">
        <is>
          <t>Approved</t>
        </is>
      </c>
      <c r="N182" s="4" t="inlineStr">
        <is>
          <t>faq</t>
        </is>
      </c>
    </row>
    <row r="183" ht="54" customHeight="1">
      <c r="A183" s="8" t="inlineStr">
        <is>
          <t>C04-P0062</t>
        </is>
      </c>
      <c r="B183" s="8" t="inlineStr">
        <is>
          <t>C04</t>
        </is>
      </c>
      <c r="C183" s="8" t="inlineStr">
        <is>
          <t>Atal Pension Yojana</t>
        </is>
      </c>
      <c r="D183" s="8" t="inlineStr">
        <is>
          <t>FAQ</t>
        </is>
      </c>
      <c r="E183" s="8" t="inlineStr"/>
      <c r="F183" s="8" t="inlineStr">
        <is>
          <t>faqs.en.faqs[4]</t>
        </is>
      </c>
      <c r="G183" s="8" t="inlineStr">
        <is>
          <t>C04@20261028-8f3b40d0</t>
        </is>
      </c>
      <c r="H183" s="8" t="n">
        <v>1</v>
      </c>
      <c r="I183" s="8" t="n">
        <v>1</v>
      </c>
      <c r="J183" s="8" t="inlineStr">
        <is>
          <t>What will happen if the contribution gets delayed? 
Subscriber will be charged overdue interest for the delayed period in case the APY contribution gets delayed beyond the due date.</t>
        </is>
      </c>
      <c r="K183" s="8" t="inlineStr">
        <is>
          <t>MS-C04</t>
        </is>
      </c>
      <c r="L183" s="9" t="n">
        <v>46323</v>
      </c>
      <c r="M183" s="8" t="inlineStr">
        <is>
          <t>Approved</t>
        </is>
      </c>
      <c r="N183" s="8" t="inlineStr">
        <is>
          <t>faq</t>
        </is>
      </c>
    </row>
    <row r="184" ht="96" customHeight="1">
      <c r="A184" s="4" t="inlineStr">
        <is>
          <t>C04-P0063</t>
        </is>
      </c>
      <c r="B184" s="4" t="inlineStr">
        <is>
          <t>C04</t>
        </is>
      </c>
      <c r="C184" s="4" t="inlineStr">
        <is>
          <t>Atal Pension Yojana</t>
        </is>
      </c>
      <c r="D184" s="4" t="inlineStr">
        <is>
          <t>FAQ</t>
        </is>
      </c>
      <c r="E184" s="4" t="inlineStr"/>
      <c r="F184" s="4" t="inlineStr">
        <is>
          <t>faqs.en.faqs[5]</t>
        </is>
      </c>
      <c r="G184" s="4" t="inlineStr">
        <is>
          <t>C04@20261028-8f3b40d0</t>
        </is>
      </c>
      <c r="H184" s="4" t="n">
        <v>1</v>
      </c>
      <c r="I184" s="4" t="n">
        <v>1</v>
      </c>
      <c r="J184" s="4" t="inlineStr">
        <is>
          <t>How will I know the status of my contribution?  
The periodical information to the subscribers regarding activation of PRAN, balance in the account, contribution credits etc. will be intimated to APY subscribers by way of SMS alerts on the registered mobile number or can be accessed through mobile/APY app launched by NSDL. The subscriber will also be receiving physical statement of account once in a financial year at their registered address.</t>
        </is>
      </c>
      <c r="K184" s="4" t="inlineStr">
        <is>
          <t>MS-C04</t>
        </is>
      </c>
      <c r="L184" s="6" t="n">
        <v>46323</v>
      </c>
      <c r="M184" s="4" t="inlineStr">
        <is>
          <t>Approved</t>
        </is>
      </c>
      <c r="N184" s="4" t="inlineStr">
        <is>
          <t>faq</t>
        </is>
      </c>
    </row>
    <row r="185" ht="40" customHeight="1">
      <c r="A185" s="8" t="inlineStr">
        <is>
          <t>C04-P0064</t>
        </is>
      </c>
      <c r="B185" s="8" t="inlineStr">
        <is>
          <t>C04</t>
        </is>
      </c>
      <c r="C185" s="8" t="inlineStr">
        <is>
          <t>Atal Pension Yojana</t>
        </is>
      </c>
      <c r="D185" s="8" t="inlineStr">
        <is>
          <t>FAQ</t>
        </is>
      </c>
      <c r="E185" s="8" t="inlineStr"/>
      <c r="F185" s="8" t="inlineStr">
        <is>
          <t>faqs.en.faqs[6]</t>
        </is>
      </c>
      <c r="G185" s="8" t="inlineStr">
        <is>
          <t>C04@20261028-8f3b40d0</t>
        </is>
      </c>
      <c r="H185" s="8" t="n">
        <v>1</v>
      </c>
      <c r="I185" s="8" t="n">
        <v>1</v>
      </c>
      <c r="J185" s="8" t="inlineStr">
        <is>
          <t>Whether Aadhaar Number is compulsory for joining the scheme?
It is not mandatory as of now.</t>
        </is>
      </c>
      <c r="K185" s="8" t="inlineStr">
        <is>
          <t>MS-C04</t>
        </is>
      </c>
      <c r="L185" s="9" t="n">
        <v>46323</v>
      </c>
      <c r="M185" s="8" t="inlineStr">
        <is>
          <t>Approved</t>
        </is>
      </c>
      <c r="N185" s="8" t="inlineStr">
        <is>
          <t>faq</t>
        </is>
      </c>
    </row>
    <row r="186" ht="96" customHeight="1">
      <c r="A186" s="4" t="inlineStr">
        <is>
          <t>C04-P0065</t>
        </is>
      </c>
      <c r="B186" s="4" t="inlineStr">
        <is>
          <t>C04</t>
        </is>
      </c>
      <c r="C186" s="4" t="inlineStr">
        <is>
          <t>Atal Pension Yojana</t>
        </is>
      </c>
      <c r="D186" s="4" t="inlineStr">
        <is>
          <t>FAQ</t>
        </is>
      </c>
      <c r="E186" s="4" t="inlineStr"/>
      <c r="F186" s="4" t="inlineStr">
        <is>
          <t>faqs.en.faqs[7]</t>
        </is>
      </c>
      <c r="G186" s="4" t="inlineStr">
        <is>
          <t>C04@20261028-8f3b40d0</t>
        </is>
      </c>
      <c r="H186" s="4" t="n">
        <v>1</v>
      </c>
      <c r="I186" s="4" t="n">
        <v>1</v>
      </c>
      <c r="J186" s="4" t="inlineStr">
        <is>
          <t>Whether an employee of Central/State Government or Public Sector Undertaking and/or a NPS subscriber can subscribe to APY?
APY is open to all citizens of India who have a savings bank account. The minimum age of joining APY is 18 years and maximum age is 40 years.
Provided that from 1st Oct 2022, any citizen who is or has been an income tax payer, shall not be eligible to join APY.</t>
        </is>
      </c>
      <c r="K186" s="4" t="inlineStr">
        <is>
          <t>MS-C04</t>
        </is>
      </c>
      <c r="L186" s="6" t="n">
        <v>46323</v>
      </c>
      <c r="M186" s="4" t="inlineStr">
        <is>
          <t>Approved</t>
        </is>
      </c>
      <c r="N186" s="4" t="inlineStr">
        <is>
          <t>faq</t>
        </is>
      </c>
    </row>
    <row r="187" ht="40" customHeight="1">
      <c r="A187" s="8" t="inlineStr">
        <is>
          <t>C04-P0066</t>
        </is>
      </c>
      <c r="B187" s="8" t="inlineStr">
        <is>
          <t>C04</t>
        </is>
      </c>
      <c r="C187" s="8" t="inlineStr">
        <is>
          <t>Atal Pension Yojana</t>
        </is>
      </c>
      <c r="D187" s="8" t="inlineStr">
        <is>
          <t>FAQ</t>
        </is>
      </c>
      <c r="E187" s="8" t="inlineStr"/>
      <c r="F187" s="8" t="inlineStr">
        <is>
          <t>faqs.en.faqs[8]</t>
        </is>
      </c>
      <c r="G187" s="8" t="inlineStr">
        <is>
          <t>C04@20261028-8f3b40d0</t>
        </is>
      </c>
      <c r="H187" s="8" t="n">
        <v>1</v>
      </c>
      <c r="I187" s="8" t="n">
        <v>1</v>
      </c>
      <c r="J187" s="8" t="inlineStr">
        <is>
          <t>Can I open APY Account without savings bank account? 
No, the savings bank account/ post office savings bank account is mandatory for joining APY.</t>
        </is>
      </c>
      <c r="K187" s="8" t="inlineStr">
        <is>
          <t>MS-C04</t>
        </is>
      </c>
      <c r="L187" s="9" t="n">
        <v>46323</v>
      </c>
      <c r="M187" s="8" t="inlineStr">
        <is>
          <t>Approved</t>
        </is>
      </c>
      <c r="N187" s="8" t="inlineStr">
        <is>
          <t>faq</t>
        </is>
      </c>
    </row>
    <row r="188" ht="68" customHeight="1">
      <c r="A188" s="4" t="inlineStr">
        <is>
          <t>C04-P0067</t>
        </is>
      </c>
      <c r="B188" s="4" t="inlineStr">
        <is>
          <t>C04</t>
        </is>
      </c>
      <c r="C188" s="4" t="inlineStr">
        <is>
          <t>Atal Pension Yojana</t>
        </is>
      </c>
      <c r="D188" s="4" t="inlineStr">
        <is>
          <t>FAQ</t>
        </is>
      </c>
      <c r="E188" s="4" t="inlineStr"/>
      <c r="F188" s="4" t="inlineStr">
        <is>
          <t>faqs.en.faqs[9]</t>
        </is>
      </c>
      <c r="G188" s="4" t="inlineStr">
        <is>
          <t>C04@20261028-8f3b40d0</t>
        </is>
      </c>
      <c r="H188" s="4" t="n">
        <v>1</v>
      </c>
      <c r="I188" s="4" t="n">
        <v>1</v>
      </c>
      <c r="J188" s="4" t="inlineStr">
        <is>
          <t>If I have completed 40 years, can I join Atal Pension Yojana?  
A person can join APY till his/ her 40th birthday. For example, if person ‘X’ becomes 40 years old on 1st January 2023, then, he/she is eligible to join APY till 1st January 2023 and becomes ineligible from 2nd January 2023 to join the scheme.</t>
        </is>
      </c>
      <c r="K188" s="4" t="inlineStr">
        <is>
          <t>MS-C04</t>
        </is>
      </c>
      <c r="L188" s="6" t="n">
        <v>46323</v>
      </c>
      <c r="M188" s="4" t="inlineStr">
        <is>
          <t>Approved</t>
        </is>
      </c>
      <c r="N188" s="4" t="inlineStr">
        <is>
          <t>faq</t>
        </is>
      </c>
    </row>
    <row r="189" ht="124" customHeight="1">
      <c r="A189" s="8" t="inlineStr">
        <is>
          <t>C05-P0001</t>
        </is>
      </c>
      <c r="B189" s="8" t="inlineStr">
        <is>
          <t>C05</t>
        </is>
      </c>
      <c r="C189" s="8" t="inlineStr">
        <is>
          <t>Pradhan Mantri Shram Yogi Maan-dhan</t>
        </is>
      </c>
      <c r="D189" s="8" t="inlineStr">
        <is>
          <t>Details</t>
        </is>
      </c>
      <c r="E189" s="8" t="inlineStr"/>
      <c r="F189" s="8" t="inlineStr">
        <is>
          <t>en.schemeContent.detailedDescription[0]</t>
        </is>
      </c>
      <c r="G189" s="8" t="inlineStr">
        <is>
          <t>C05@20261028-fc4e9a2d</t>
        </is>
      </c>
      <c r="H189" s="8" t="n">
        <v>1</v>
      </c>
      <c r="I189" s="8" t="n">
        <v>1</v>
      </c>
      <c r="J189" s="8" t="inlineStr">
        <is>
          <t>The scheme "Pradhan Mantri Shram Yogi Maan-dhan" was launched by the Ministry of Labour and Employment, Government of India, and the scheme aims to ensure old age protection for unorganised workers. The scheme provides a minimum assured pension of ₹3,000/- per month after attaining the age of 60 years and a family pension amounting to 50% of the pension for the spouse. The applicant must be an unorganised worker in the entry age group of 18 to 40 years with a monthly income of ₹15,000/- or less, and must make regular age-specific monthly contributions. The fund manager of the scheme is Life Insurance Corporation of India and enrolment is being done through Common Services Centres.</t>
        </is>
      </c>
      <c r="K189" s="8" t="inlineStr">
        <is>
          <t>MS-C05</t>
        </is>
      </c>
      <c r="L189" s="9" t="n">
        <v>46323</v>
      </c>
      <c r="M189" s="8" t="inlineStr">
        <is>
          <t>Approved</t>
        </is>
      </c>
      <c r="N189" s="8" t="inlineStr">
        <is>
          <t>paragraph</t>
        </is>
      </c>
    </row>
    <row r="190" ht="40" customHeight="1">
      <c r="A190" s="4" t="inlineStr">
        <is>
          <t>C05-P0002</t>
        </is>
      </c>
      <c r="B190" s="4" t="inlineStr">
        <is>
          <t>C05</t>
        </is>
      </c>
      <c r="C190" s="4" t="inlineStr">
        <is>
          <t>Pradhan Mantri Shram Yogi Maan-dhan</t>
        </is>
      </c>
      <c r="D190" s="4" t="inlineStr">
        <is>
          <t>Benefits</t>
        </is>
      </c>
      <c r="E190" s="4" t="inlineStr"/>
      <c r="F190" s="4" t="inlineStr">
        <is>
          <t>en.schemeContent.benefits[0].children[0]</t>
        </is>
      </c>
      <c r="G190" s="4" t="inlineStr">
        <is>
          <t>C05@20261028-fc4e9a2d</t>
        </is>
      </c>
      <c r="H190" s="4" t="n">
        <v>1</v>
      </c>
      <c r="I190" s="4" t="n">
        <v>1</v>
      </c>
      <c r="J190" s="4" t="inlineStr">
        <is>
          <t>Financial Assistance</t>
        </is>
      </c>
      <c r="K190" s="4" t="inlineStr">
        <is>
          <t>MS-C05</t>
        </is>
      </c>
      <c r="L190" s="6" t="n">
        <v>46323</v>
      </c>
      <c r="M190" s="4" t="inlineStr">
        <is>
          <t>Approved</t>
        </is>
      </c>
      <c r="N190" s="4" t="inlineStr">
        <is>
          <t>text</t>
        </is>
      </c>
    </row>
    <row r="191" ht="40" customHeight="1">
      <c r="A191" s="8" t="inlineStr">
        <is>
          <t>C05-P0003</t>
        </is>
      </c>
      <c r="B191" s="8" t="inlineStr">
        <is>
          <t>C05</t>
        </is>
      </c>
      <c r="C191" s="8" t="inlineStr">
        <is>
          <t>Pradhan Mantri Shram Yogi Maan-dhan</t>
        </is>
      </c>
      <c r="D191" s="8" t="inlineStr">
        <is>
          <t>Benefits</t>
        </is>
      </c>
      <c r="E191" s="8" t="inlineStr"/>
      <c r="F191" s="8" t="inlineStr">
        <is>
          <t>en.schemeContent.benefits[1].children[0]</t>
        </is>
      </c>
      <c r="G191" s="8" t="inlineStr">
        <is>
          <t>C05@20261028-fc4e9a2d</t>
        </is>
      </c>
      <c r="H191" s="8" t="n">
        <v>1</v>
      </c>
      <c r="I191" s="8" t="n">
        <v>1</v>
      </c>
      <c r="J191" s="8" t="inlineStr">
        <is>
          <t>A minimum assured pension of ₹3,000/- per month is provided to the subscriber after attaining the age of 60 years.</t>
        </is>
      </c>
      <c r="K191" s="8" t="inlineStr">
        <is>
          <t>MS-C05</t>
        </is>
      </c>
      <c r="L191" s="9" t="n">
        <v>46323</v>
      </c>
      <c r="M191" s="8" t="inlineStr">
        <is>
          <t>Approved</t>
        </is>
      </c>
      <c r="N191" s="8" t="inlineStr">
        <is>
          <t>list_item</t>
        </is>
      </c>
    </row>
    <row r="192" ht="54" customHeight="1">
      <c r="A192" s="4" t="inlineStr">
        <is>
          <t>C05-P0004</t>
        </is>
      </c>
      <c r="B192" s="4" t="inlineStr">
        <is>
          <t>C05</t>
        </is>
      </c>
      <c r="C192" s="4" t="inlineStr">
        <is>
          <t>Pradhan Mantri Shram Yogi Maan-dhan</t>
        </is>
      </c>
      <c r="D192" s="4" t="inlineStr">
        <is>
          <t>Benefits</t>
        </is>
      </c>
      <c r="E192" s="4" t="inlineStr"/>
      <c r="F192" s="4" t="inlineStr">
        <is>
          <t>en.schemeContent.benefits[1].children[1]</t>
        </is>
      </c>
      <c r="G192" s="4" t="inlineStr">
        <is>
          <t>C05@20261028-fc4e9a2d</t>
        </is>
      </c>
      <c r="H192" s="4" t="n">
        <v>1</v>
      </c>
      <c r="I192" s="4" t="n">
        <v>1</v>
      </c>
      <c r="J192" s="4" t="inlineStr">
        <is>
          <t>A matching contribution is provided by the Central Government on a 50:50 basis, where an equal amount to the subscriber's age-specific contribution (ranging from ₹55/- to ₹200/-) is credited to the pension account.</t>
        </is>
      </c>
      <c r="K192" s="4" t="inlineStr">
        <is>
          <t>MS-C05</t>
        </is>
      </c>
      <c r="L192" s="6" t="n">
        <v>46323</v>
      </c>
      <c r="M192" s="4" t="inlineStr">
        <is>
          <t>Approved</t>
        </is>
      </c>
      <c r="N192" s="4" t="inlineStr">
        <is>
          <t>list_item</t>
        </is>
      </c>
    </row>
    <row r="193" ht="40" customHeight="1">
      <c r="A193" s="8" t="inlineStr">
        <is>
          <t>C05-P0005</t>
        </is>
      </c>
      <c r="B193" s="8" t="inlineStr">
        <is>
          <t>C05</t>
        </is>
      </c>
      <c r="C193" s="8" t="inlineStr">
        <is>
          <t>Pradhan Mantri Shram Yogi Maan-dhan</t>
        </is>
      </c>
      <c r="D193" s="8" t="inlineStr">
        <is>
          <t>Benefits</t>
        </is>
      </c>
      <c r="E193" s="8" t="inlineStr"/>
      <c r="F193" s="8" t="inlineStr">
        <is>
          <t>en.schemeContent.benefits[2].children[0]</t>
        </is>
      </c>
      <c r="G193" s="8" t="inlineStr">
        <is>
          <t>C05@20261028-fc4e9a2d</t>
        </is>
      </c>
      <c r="H193" s="8" t="n">
        <v>1</v>
      </c>
      <c r="I193" s="8" t="n">
        <v>1</v>
      </c>
      <c r="J193" s="8" t="inlineStr">
        <is>
          <t>NOTE:</t>
        </is>
      </c>
      <c r="K193" s="8" t="inlineStr">
        <is>
          <t>MS-C05</t>
        </is>
      </c>
      <c r="L193" s="9" t="n">
        <v>46323</v>
      </c>
      <c r="M193" s="8" t="inlineStr">
        <is>
          <t>Approved</t>
        </is>
      </c>
      <c r="N193" s="8" t="inlineStr">
        <is>
          <t>text</t>
        </is>
      </c>
    </row>
    <row r="194" ht="54" customHeight="1">
      <c r="A194" s="4" t="inlineStr">
        <is>
          <t>C05-P0006</t>
        </is>
      </c>
      <c r="B194" s="4" t="inlineStr">
        <is>
          <t>C05</t>
        </is>
      </c>
      <c r="C194" s="4" t="inlineStr">
        <is>
          <t>Pradhan Mantri Shram Yogi Maan-dhan</t>
        </is>
      </c>
      <c r="D194" s="4" t="inlineStr">
        <is>
          <t>Benefits</t>
        </is>
      </c>
      <c r="E194" s="4" t="inlineStr"/>
      <c r="F194" s="4" t="inlineStr">
        <is>
          <t>en.schemeContent.benefits[3].children[0]</t>
        </is>
      </c>
      <c r="G194" s="4" t="inlineStr">
        <is>
          <t>C05@20261028-fc4e9a2d</t>
        </is>
      </c>
      <c r="H194" s="4" t="n">
        <v>1</v>
      </c>
      <c r="I194" s="4" t="n">
        <v>1</v>
      </c>
      <c r="J194" s="4" t="inlineStr">
        <is>
          <t>During the receipt of the pension, if the subscriber dies: The spouse of the beneficiary shall be entitled to receive a family pension equal to 50% of the pension received by the beneficiary.</t>
        </is>
      </c>
      <c r="K194" s="4" t="inlineStr">
        <is>
          <t>MS-C05</t>
        </is>
      </c>
      <c r="L194" s="6" t="n">
        <v>46323</v>
      </c>
      <c r="M194" s="4" t="inlineStr">
        <is>
          <t>Approved</t>
        </is>
      </c>
      <c r="N194" s="4" t="inlineStr">
        <is>
          <t>list_item</t>
        </is>
      </c>
    </row>
    <row r="195" ht="54" customHeight="1">
      <c r="A195" s="8" t="inlineStr">
        <is>
          <t>C05-P0007</t>
        </is>
      </c>
      <c r="B195" s="8" t="inlineStr">
        <is>
          <t>C05</t>
        </is>
      </c>
      <c r="C195" s="8" t="inlineStr">
        <is>
          <t>Pradhan Mantri Shram Yogi Maan-dhan</t>
        </is>
      </c>
      <c r="D195" s="8" t="inlineStr">
        <is>
          <t>Benefits</t>
        </is>
      </c>
      <c r="E195" s="8" t="inlineStr"/>
      <c r="F195" s="8" t="inlineStr">
        <is>
          <t>en.schemeContent.benefits[3].children[1]</t>
        </is>
      </c>
      <c r="G195" s="8" t="inlineStr">
        <is>
          <t>C05@20261028-fc4e9a2d</t>
        </is>
      </c>
      <c r="H195" s="8" t="n">
        <v>1</v>
      </c>
      <c r="I195" s="8" t="n">
        <v>1</v>
      </c>
      <c r="J195" s="8" t="inlineStr">
        <is>
          <t>If a beneficiary has given regular contributions and died due to any cause before the age of 60 years: Their spouse will be entitled to join and continue the scheme subsequently by continuing payment of regular contributions on behalf of the spouse.</t>
        </is>
      </c>
      <c r="K195" s="8" t="inlineStr">
        <is>
          <t>MS-C05</t>
        </is>
      </c>
      <c r="L195" s="9" t="n">
        <v>46323</v>
      </c>
      <c r="M195" s="8" t="inlineStr">
        <is>
          <t>Approved</t>
        </is>
      </c>
      <c r="N195" s="8" t="inlineStr">
        <is>
          <t>list_item</t>
        </is>
      </c>
    </row>
    <row r="196" ht="68" customHeight="1">
      <c r="A196" s="4" t="inlineStr">
        <is>
          <t>C05-P0008</t>
        </is>
      </c>
      <c r="B196" s="4" t="inlineStr">
        <is>
          <t>C05</t>
        </is>
      </c>
      <c r="C196" s="4" t="inlineStr">
        <is>
          <t>Pradhan Mantri Shram Yogi Maan-dhan</t>
        </is>
      </c>
      <c r="D196" s="4" t="inlineStr">
        <is>
          <t>Benefits</t>
        </is>
      </c>
      <c r="E196" s="4" t="inlineStr"/>
      <c r="F196" s="4" t="inlineStr">
        <is>
          <t>en.schemeContent.benefits[3].children[2]</t>
        </is>
      </c>
      <c r="G196" s="4" t="inlineStr">
        <is>
          <t>C05@20261028-fc4e9a2d</t>
        </is>
      </c>
      <c r="H196" s="4" t="n">
        <v>1</v>
      </c>
      <c r="I196" s="4" t="n">
        <v>1</v>
      </c>
      <c r="J196" s="4" t="inlineStr">
        <is>
          <t>If a beneficiary has given regular contributions and died due to any cause before the age of 60 years, and the spouse decides to exit: The beneficiary's contribution along with accumulated interest as actually earned by the fund or at the savings bank interest rate (whichever is higher) will be returned.</t>
        </is>
      </c>
      <c r="K196" s="4" t="inlineStr">
        <is>
          <t>MS-C05</t>
        </is>
      </c>
      <c r="L196" s="6" t="n">
        <v>46323</v>
      </c>
      <c r="M196" s="4" t="inlineStr">
        <is>
          <t>Approved</t>
        </is>
      </c>
      <c r="N196" s="4" t="inlineStr">
        <is>
          <t>list_item</t>
        </is>
      </c>
    </row>
    <row r="197" ht="40" customHeight="1">
      <c r="A197" s="8" t="inlineStr">
        <is>
          <t>C05-P0009</t>
        </is>
      </c>
      <c r="B197" s="8" t="inlineStr">
        <is>
          <t>C05</t>
        </is>
      </c>
      <c r="C197" s="8" t="inlineStr">
        <is>
          <t>Pradhan Mantri Shram Yogi Maan-dhan</t>
        </is>
      </c>
      <c r="D197" s="8" t="inlineStr">
        <is>
          <t>Benefits</t>
        </is>
      </c>
      <c r="E197" s="8" t="inlineStr"/>
      <c r="F197" s="8" t="inlineStr">
        <is>
          <t>en.schemeContent.benefits[3].children[3]</t>
        </is>
      </c>
      <c r="G197" s="8" t="inlineStr">
        <is>
          <t>C05@20261028-fc4e9a2d</t>
        </is>
      </c>
      <c r="H197" s="8" t="n">
        <v>1</v>
      </c>
      <c r="I197" s="8" t="n">
        <v>1</v>
      </c>
      <c r="J197" s="8" t="inlineStr">
        <is>
          <t>If the subscriber exits the scheme within a period of less than 10 years: The beneficiary's share of contribution only will be returned to them with the savings bank interest rate.</t>
        </is>
      </c>
      <c r="K197" s="8" t="inlineStr">
        <is>
          <t>MS-C05</t>
        </is>
      </c>
      <c r="L197" s="9" t="n">
        <v>46323</v>
      </c>
      <c r="M197" s="8" t="inlineStr">
        <is>
          <t>Approved</t>
        </is>
      </c>
      <c r="N197" s="8" t="inlineStr">
        <is>
          <t>list_item</t>
        </is>
      </c>
    </row>
    <row r="198" ht="68" customHeight="1">
      <c r="A198" s="4" t="inlineStr">
        <is>
          <t>C05-P0010</t>
        </is>
      </c>
      <c r="B198" s="4" t="inlineStr">
        <is>
          <t>C05</t>
        </is>
      </c>
      <c r="C198" s="4" t="inlineStr">
        <is>
          <t>Pradhan Mantri Shram Yogi Maan-dhan</t>
        </is>
      </c>
      <c r="D198" s="4" t="inlineStr">
        <is>
          <t>Benefits</t>
        </is>
      </c>
      <c r="E198" s="4" t="inlineStr"/>
      <c r="F198" s="4" t="inlineStr">
        <is>
          <t>en.schemeContent.benefits[3].children[4]</t>
        </is>
      </c>
      <c r="G198" s="4" t="inlineStr">
        <is>
          <t>C05@20261028-fc4e9a2d</t>
        </is>
      </c>
      <c r="H198" s="4" t="n">
        <v>1</v>
      </c>
      <c r="I198" s="4" t="n">
        <v>1</v>
      </c>
      <c r="J198" s="4" t="inlineStr">
        <is>
          <t>If the subscriber exits after a period of 10 years or more but before the superannuation age of 60 years: The beneficiary's share of contribution along with accumulated interest as actually earned by the fund or at the savings bank interest rate, whichever is higher, will be returned.</t>
        </is>
      </c>
      <c r="K198" s="4" t="inlineStr">
        <is>
          <t>MS-C05</t>
        </is>
      </c>
      <c r="L198" s="6" t="n">
        <v>46323</v>
      </c>
      <c r="M198" s="4" t="inlineStr">
        <is>
          <t>Approved</t>
        </is>
      </c>
      <c r="N198" s="4" t="inlineStr">
        <is>
          <t>list_item</t>
        </is>
      </c>
    </row>
    <row r="199" ht="40" customHeight="1">
      <c r="A199" s="8" t="inlineStr">
        <is>
          <t>C05-P0011</t>
        </is>
      </c>
      <c r="B199" s="8" t="inlineStr">
        <is>
          <t>C05</t>
        </is>
      </c>
      <c r="C199" s="8" t="inlineStr">
        <is>
          <t>Pradhan Mantri Shram Yogi Maan-dhan</t>
        </is>
      </c>
      <c r="D199" s="8" t="inlineStr">
        <is>
          <t>Benefits</t>
        </is>
      </c>
      <c r="E199" s="8" t="inlineStr"/>
      <c r="F199" s="8" t="inlineStr">
        <is>
          <t>en.schemeContent.benefits[3].children[5]</t>
        </is>
      </c>
      <c r="G199" s="8" t="inlineStr">
        <is>
          <t>C05@20261028-fc4e9a2d</t>
        </is>
      </c>
      <c r="H199" s="8" t="n">
        <v>1</v>
      </c>
      <c r="I199" s="8" t="n">
        <v>1</v>
      </c>
      <c r="J199" s="8" t="inlineStr">
        <is>
          <t>Both voluntary and involuntary exits from the scheme are permitted only after completion of three years from the date of enrolment in the scheme.</t>
        </is>
      </c>
      <c r="K199" s="8" t="inlineStr">
        <is>
          <t>MS-C05</t>
        </is>
      </c>
      <c r="L199" s="9" t="n">
        <v>46323</v>
      </c>
      <c r="M199" s="8" t="inlineStr">
        <is>
          <t>Approved</t>
        </is>
      </c>
      <c r="N199" s="8" t="inlineStr">
        <is>
          <t>list_item</t>
        </is>
      </c>
    </row>
    <row r="200" ht="40" customHeight="1">
      <c r="A200" s="4" t="inlineStr">
        <is>
          <t>C05-P0012</t>
        </is>
      </c>
      <c r="B200" s="4" t="inlineStr">
        <is>
          <t>C05</t>
        </is>
      </c>
      <c r="C200" s="4" t="inlineStr">
        <is>
          <t>Pradhan Mantri Shram Yogi Maan-dhan</t>
        </is>
      </c>
      <c r="D200" s="4" t="inlineStr">
        <is>
          <t>Eligibility</t>
        </is>
      </c>
      <c r="E200" s="4" t="inlineStr"/>
      <c r="F200" s="4" t="inlineStr">
        <is>
          <t>en.eligibilityCriteria.eligibilityDescription[0].children[0]</t>
        </is>
      </c>
      <c r="G200" s="4" t="inlineStr">
        <is>
          <t>C05@20261028-fc4e9a2d</t>
        </is>
      </c>
      <c r="H200" s="4" t="n">
        <v>1</v>
      </c>
      <c r="I200" s="4" t="n">
        <v>1</v>
      </c>
      <c r="J200" s="4" t="inlineStr">
        <is>
          <t>The applicant must be an unorganized worker, construction workers, domestic workers, cobbler etc.</t>
        </is>
      </c>
      <c r="K200" s="4" t="inlineStr">
        <is>
          <t>MS-C05</t>
        </is>
      </c>
      <c r="L200" s="6" t="n">
        <v>46323</v>
      </c>
      <c r="M200" s="4" t="inlineStr">
        <is>
          <t>Approved</t>
        </is>
      </c>
      <c r="N200" s="4" t="inlineStr">
        <is>
          <t>list_item</t>
        </is>
      </c>
    </row>
    <row r="201" ht="40" customHeight="1">
      <c r="A201" s="8" t="inlineStr">
        <is>
          <t>C05-P0013</t>
        </is>
      </c>
      <c r="B201" s="8" t="inlineStr">
        <is>
          <t>C05</t>
        </is>
      </c>
      <c r="C201" s="8" t="inlineStr">
        <is>
          <t>Pradhan Mantri Shram Yogi Maan-dhan</t>
        </is>
      </c>
      <c r="D201" s="8" t="inlineStr">
        <is>
          <t>Eligibility</t>
        </is>
      </c>
      <c r="E201" s="8" t="inlineStr"/>
      <c r="F201" s="8" t="inlineStr">
        <is>
          <t>en.eligibilityCriteria.eligibilityDescription[0].children[1]</t>
        </is>
      </c>
      <c r="G201" s="8" t="inlineStr">
        <is>
          <t>C05@20261028-fc4e9a2d</t>
        </is>
      </c>
      <c r="H201" s="8" t="n">
        <v>1</v>
      </c>
      <c r="I201" s="8" t="n">
        <v>1</v>
      </c>
      <c r="J201" s="8" t="inlineStr">
        <is>
          <t>The applicant must have an entry age between 18 and 40 years.</t>
        </is>
      </c>
      <c r="K201" s="8" t="inlineStr">
        <is>
          <t>MS-C05</t>
        </is>
      </c>
      <c r="L201" s="9" t="n">
        <v>46323</v>
      </c>
      <c r="M201" s="8" t="inlineStr">
        <is>
          <t>Approved</t>
        </is>
      </c>
      <c r="N201" s="8" t="inlineStr">
        <is>
          <t>list_item</t>
        </is>
      </c>
    </row>
    <row r="202" ht="40" customHeight="1">
      <c r="A202" s="4" t="inlineStr">
        <is>
          <t>C05-P0014</t>
        </is>
      </c>
      <c r="B202" s="4" t="inlineStr">
        <is>
          <t>C05</t>
        </is>
      </c>
      <c r="C202" s="4" t="inlineStr">
        <is>
          <t>Pradhan Mantri Shram Yogi Maan-dhan</t>
        </is>
      </c>
      <c r="D202" s="4" t="inlineStr">
        <is>
          <t>Eligibility</t>
        </is>
      </c>
      <c r="E202" s="4" t="inlineStr"/>
      <c r="F202" s="4" t="inlineStr">
        <is>
          <t>en.eligibilityCriteria.eligibilityDescription[0].children[2]</t>
        </is>
      </c>
      <c r="G202" s="4" t="inlineStr">
        <is>
          <t>C05@20261028-fc4e9a2d</t>
        </is>
      </c>
      <c r="H202" s="4" t="n">
        <v>1</v>
      </c>
      <c r="I202" s="4" t="n">
        <v>1</v>
      </c>
      <c r="J202" s="4" t="inlineStr">
        <is>
          <t>The applicant must have a monthly income of ₹15,000/- or less.</t>
        </is>
      </c>
      <c r="K202" s="4" t="inlineStr">
        <is>
          <t>MS-C05</t>
        </is>
      </c>
      <c r="L202" s="6" t="n">
        <v>46323</v>
      </c>
      <c r="M202" s="4" t="inlineStr">
        <is>
          <t>Approved</t>
        </is>
      </c>
      <c r="N202" s="4" t="inlineStr">
        <is>
          <t>list_item</t>
        </is>
      </c>
    </row>
    <row r="203" ht="40" customHeight="1">
      <c r="A203" s="8" t="inlineStr">
        <is>
          <t>C05-P0015</t>
        </is>
      </c>
      <c r="B203" s="8" t="inlineStr">
        <is>
          <t>C05</t>
        </is>
      </c>
      <c r="C203" s="8" t="inlineStr">
        <is>
          <t>Pradhan Mantri Shram Yogi Maan-dhan</t>
        </is>
      </c>
      <c r="D203" s="8" t="inlineStr">
        <is>
          <t>Eligibility</t>
        </is>
      </c>
      <c r="E203" s="8" t="inlineStr"/>
      <c r="F203" s="8" t="inlineStr">
        <is>
          <t>en.eligibilityCriteria.eligibilityDescription[0].children[3]</t>
        </is>
      </c>
      <c r="G203" s="8" t="inlineStr">
        <is>
          <t>C05@20261028-fc4e9a2d</t>
        </is>
      </c>
      <c r="H203" s="8" t="n">
        <v>1</v>
      </c>
      <c r="I203" s="8" t="n">
        <v>1</v>
      </c>
      <c r="J203" s="8" t="inlineStr">
        <is>
          <t>The applicant must possess a Savings Bank Account or Jan Dhan account number with an Indian Financial System Code.</t>
        </is>
      </c>
      <c r="K203" s="8" t="inlineStr">
        <is>
          <t>MS-C05</t>
        </is>
      </c>
      <c r="L203" s="9" t="n">
        <v>46323</v>
      </c>
      <c r="M203" s="8" t="inlineStr">
        <is>
          <t>Approved</t>
        </is>
      </c>
      <c r="N203" s="8" t="inlineStr">
        <is>
          <t>list_item</t>
        </is>
      </c>
    </row>
    <row r="204" ht="40" customHeight="1">
      <c r="A204" s="4" t="inlineStr">
        <is>
          <t>C05-P0016</t>
        </is>
      </c>
      <c r="B204" s="4" t="inlineStr">
        <is>
          <t>C05</t>
        </is>
      </c>
      <c r="C204" s="4" t="inlineStr">
        <is>
          <t>Pradhan Mantri Shram Yogi Maan-dhan</t>
        </is>
      </c>
      <c r="D204" s="4" t="inlineStr">
        <is>
          <t>Exclusions</t>
        </is>
      </c>
      <c r="E204" s="4" t="inlineStr"/>
      <c r="F204" s="4" t="inlineStr">
        <is>
          <t>en.schemeContent.exclusions[0]</t>
        </is>
      </c>
      <c r="G204" s="4" t="inlineStr">
        <is>
          <t>C05@20261028-fc4e9a2d</t>
        </is>
      </c>
      <c r="H204" s="4" t="n">
        <v>1</v>
      </c>
      <c r="I204" s="4" t="n">
        <v>1</v>
      </c>
      <c r="J204" s="4" t="inlineStr">
        <is>
          <t>The applicant must not be -</t>
        </is>
      </c>
      <c r="K204" s="4" t="inlineStr">
        <is>
          <t>MS-C05</t>
        </is>
      </c>
      <c r="L204" s="6" t="n">
        <v>46323</v>
      </c>
      <c r="M204" s="4" t="inlineStr">
        <is>
          <t>Approved</t>
        </is>
      </c>
      <c r="N204" s="4" t="inlineStr">
        <is>
          <t>paragraph</t>
        </is>
      </c>
    </row>
    <row r="205" ht="40" customHeight="1">
      <c r="A205" s="8" t="inlineStr">
        <is>
          <t>C05-P0017</t>
        </is>
      </c>
      <c r="B205" s="8" t="inlineStr">
        <is>
          <t>C05</t>
        </is>
      </c>
      <c r="C205" s="8" t="inlineStr">
        <is>
          <t>Pradhan Mantri Shram Yogi Maan-dhan</t>
        </is>
      </c>
      <c r="D205" s="8" t="inlineStr">
        <is>
          <t>Exclusions</t>
        </is>
      </c>
      <c r="E205" s="8" t="inlineStr"/>
      <c r="F205" s="8" t="inlineStr">
        <is>
          <t>en.schemeContent.exclusions[1].children[0]</t>
        </is>
      </c>
      <c r="G205" s="8" t="inlineStr">
        <is>
          <t>C05@20261028-fc4e9a2d</t>
        </is>
      </c>
      <c r="H205" s="8" t="n">
        <v>1</v>
      </c>
      <c r="I205" s="8" t="n">
        <v>1</v>
      </c>
      <c r="J205" s="8" t="inlineStr">
        <is>
          <t>An income tax payer.</t>
        </is>
      </c>
      <c r="K205" s="8" t="inlineStr">
        <is>
          <t>MS-C05</t>
        </is>
      </c>
      <c r="L205" s="9" t="n">
        <v>46323</v>
      </c>
      <c r="M205" s="8" t="inlineStr">
        <is>
          <t>Approved</t>
        </is>
      </c>
      <c r="N205" s="8" t="inlineStr">
        <is>
          <t>list_item</t>
        </is>
      </c>
    </row>
    <row r="206" ht="40" customHeight="1">
      <c r="A206" s="4" t="inlineStr">
        <is>
          <t>C05-P0018</t>
        </is>
      </c>
      <c r="B206" s="4" t="inlineStr">
        <is>
          <t>C05</t>
        </is>
      </c>
      <c r="C206" s="4" t="inlineStr">
        <is>
          <t>Pradhan Mantri Shram Yogi Maan-dhan</t>
        </is>
      </c>
      <c r="D206" s="4" t="inlineStr">
        <is>
          <t>Exclusions</t>
        </is>
      </c>
      <c r="E206" s="4" t="inlineStr"/>
      <c r="F206" s="4" t="inlineStr">
        <is>
          <t>en.schemeContent.exclusions[1].children[1]</t>
        </is>
      </c>
      <c r="G206" s="4" t="inlineStr">
        <is>
          <t>C05@20261028-fc4e9a2d</t>
        </is>
      </c>
      <c r="H206" s="4" t="n">
        <v>1</v>
      </c>
      <c r="I206" s="4" t="n">
        <v>1</v>
      </c>
      <c r="J206" s="4" t="inlineStr">
        <is>
          <t>Engaged in the organized sector.</t>
        </is>
      </c>
      <c r="K206" s="4" t="inlineStr">
        <is>
          <t>MS-C05</t>
        </is>
      </c>
      <c r="L206" s="6" t="n">
        <v>46323</v>
      </c>
      <c r="M206" s="4" t="inlineStr">
        <is>
          <t>Approved</t>
        </is>
      </c>
      <c r="N206" s="4" t="inlineStr">
        <is>
          <t>list_item</t>
        </is>
      </c>
    </row>
    <row r="207" ht="40" customHeight="1">
      <c r="A207" s="8" t="inlineStr">
        <is>
          <t>C05-P0019</t>
        </is>
      </c>
      <c r="B207" s="8" t="inlineStr">
        <is>
          <t>C05</t>
        </is>
      </c>
      <c r="C207" s="8" t="inlineStr">
        <is>
          <t>Pradhan Mantri Shram Yogi Maan-dhan</t>
        </is>
      </c>
      <c r="D207" s="8" t="inlineStr">
        <is>
          <t>Exclusions</t>
        </is>
      </c>
      <c r="E207" s="8" t="inlineStr"/>
      <c r="F207" s="8" t="inlineStr">
        <is>
          <t>en.schemeContent.exclusions[1].children[2]</t>
        </is>
      </c>
      <c r="G207" s="8" t="inlineStr">
        <is>
          <t>C05@20261028-fc4e9a2d</t>
        </is>
      </c>
      <c r="H207" s="8" t="n">
        <v>1</v>
      </c>
      <c r="I207" s="8" t="n">
        <v>1</v>
      </c>
      <c r="J207" s="8" t="inlineStr">
        <is>
          <t>Holding membership in the Employees' Provident Fund Organization scheme.</t>
        </is>
      </c>
      <c r="K207" s="8" t="inlineStr">
        <is>
          <t>MS-C05</t>
        </is>
      </c>
      <c r="L207" s="9" t="n">
        <v>46323</v>
      </c>
      <c r="M207" s="8" t="inlineStr">
        <is>
          <t>Approved</t>
        </is>
      </c>
      <c r="N207" s="8" t="inlineStr">
        <is>
          <t>list_item</t>
        </is>
      </c>
    </row>
    <row r="208" ht="40" customHeight="1">
      <c r="A208" s="4" t="inlineStr">
        <is>
          <t>C05-P0020</t>
        </is>
      </c>
      <c r="B208" s="4" t="inlineStr">
        <is>
          <t>C05</t>
        </is>
      </c>
      <c r="C208" s="4" t="inlineStr">
        <is>
          <t>Pradhan Mantri Shram Yogi Maan-dhan</t>
        </is>
      </c>
      <c r="D208" s="4" t="inlineStr">
        <is>
          <t>Exclusions</t>
        </is>
      </c>
      <c r="E208" s="4" t="inlineStr"/>
      <c r="F208" s="4" t="inlineStr">
        <is>
          <t>en.schemeContent.exclusions[1].children[3]</t>
        </is>
      </c>
      <c r="G208" s="4" t="inlineStr">
        <is>
          <t>C05@20261028-fc4e9a2d</t>
        </is>
      </c>
      <c r="H208" s="4" t="n">
        <v>1</v>
      </c>
      <c r="I208" s="4" t="n">
        <v>1</v>
      </c>
      <c r="J208" s="4" t="inlineStr">
        <is>
          <t>Holding membership in the National Pension Scheme.</t>
        </is>
      </c>
      <c r="K208" s="4" t="inlineStr">
        <is>
          <t>MS-C05</t>
        </is>
      </c>
      <c r="L208" s="6" t="n">
        <v>46323</v>
      </c>
      <c r="M208" s="4" t="inlineStr">
        <is>
          <t>Approved</t>
        </is>
      </c>
      <c r="N208" s="4" t="inlineStr">
        <is>
          <t>list_item</t>
        </is>
      </c>
    </row>
    <row r="209" ht="40" customHeight="1">
      <c r="A209" s="8" t="inlineStr">
        <is>
          <t>C05-P0021</t>
        </is>
      </c>
      <c r="B209" s="8" t="inlineStr">
        <is>
          <t>C05</t>
        </is>
      </c>
      <c r="C209" s="8" t="inlineStr">
        <is>
          <t>Pradhan Mantri Shram Yogi Maan-dhan</t>
        </is>
      </c>
      <c r="D209" s="8" t="inlineStr">
        <is>
          <t>Exclusions</t>
        </is>
      </c>
      <c r="E209" s="8" t="inlineStr"/>
      <c r="F209" s="8" t="inlineStr">
        <is>
          <t>en.schemeContent.exclusions[1].children[4]</t>
        </is>
      </c>
      <c r="G209" s="8" t="inlineStr">
        <is>
          <t>C05@20261028-fc4e9a2d</t>
        </is>
      </c>
      <c r="H209" s="8" t="n">
        <v>1</v>
      </c>
      <c r="I209" s="8" t="n">
        <v>1</v>
      </c>
      <c r="J209" s="8" t="inlineStr">
        <is>
          <t>Holding membership in the Employees' State Insurance Corporation scheme.</t>
        </is>
      </c>
      <c r="K209" s="8" t="inlineStr">
        <is>
          <t>MS-C05</t>
        </is>
      </c>
      <c r="L209" s="9" t="n">
        <v>46323</v>
      </c>
      <c r="M209" s="8" t="inlineStr">
        <is>
          <t>Approved</t>
        </is>
      </c>
      <c r="N209" s="8" t="inlineStr">
        <is>
          <t>list_item</t>
        </is>
      </c>
    </row>
    <row r="210" ht="40" customHeight="1">
      <c r="A210" s="4" t="inlineStr">
        <is>
          <t>C05-P0022</t>
        </is>
      </c>
      <c r="B210" s="4" t="inlineStr">
        <is>
          <t>C05</t>
        </is>
      </c>
      <c r="C210" s="4" t="inlineStr">
        <is>
          <t>Pradhan Mantri Shram Yogi Maan-dhan</t>
        </is>
      </c>
      <c r="D210" s="4" t="inlineStr">
        <is>
          <t>Exclusions</t>
        </is>
      </c>
      <c r="E210" s="4" t="inlineStr"/>
      <c r="F210" s="4" t="inlineStr">
        <is>
          <t>en.schemeContent.exclusions[1].children[5]</t>
        </is>
      </c>
      <c r="G210" s="4" t="inlineStr">
        <is>
          <t>C05@20261028-fc4e9a2d</t>
        </is>
      </c>
      <c r="H210" s="4" t="n">
        <v>1</v>
      </c>
      <c r="I210" s="4" t="n">
        <v>1</v>
      </c>
      <c r="J210" s="4" t="inlineStr">
        <is>
          <t>Not a member of NPS-Traders scheme.</t>
        </is>
      </c>
      <c r="K210" s="4" t="inlineStr">
        <is>
          <t>MS-C05</t>
        </is>
      </c>
      <c r="L210" s="6" t="n">
        <v>46323</v>
      </c>
      <c r="M210" s="4" t="inlineStr">
        <is>
          <t>Approved</t>
        </is>
      </c>
      <c r="N210" s="4" t="inlineStr">
        <is>
          <t>list_item</t>
        </is>
      </c>
    </row>
    <row r="211" ht="40" customHeight="1">
      <c r="A211" s="8" t="inlineStr">
        <is>
          <t>C05-P0023</t>
        </is>
      </c>
      <c r="B211" s="8" t="inlineStr">
        <is>
          <t>C05</t>
        </is>
      </c>
      <c r="C211" s="8" t="inlineStr">
        <is>
          <t>Pradhan Mantri Shram Yogi Maan-dhan</t>
        </is>
      </c>
      <c r="D211" s="8" t="inlineStr">
        <is>
          <t>Applicant documents</t>
        </is>
      </c>
      <c r="E211" s="8" t="inlineStr"/>
      <c r="F211" s="8" t="inlineStr">
        <is>
          <t>documents.en.documents_required[0].children[0]</t>
        </is>
      </c>
      <c r="G211" s="8" t="inlineStr">
        <is>
          <t>C05@20261028-fc4e9a2d</t>
        </is>
      </c>
      <c r="H211" s="8" t="n">
        <v>1</v>
      </c>
      <c r="I211" s="8" t="n">
        <v>1</v>
      </c>
      <c r="J211" s="8" t="inlineStr">
        <is>
          <t>Aadhaar Card</t>
        </is>
      </c>
      <c r="K211" s="8" t="inlineStr">
        <is>
          <t>MS-C05</t>
        </is>
      </c>
      <c r="L211" s="9" t="n">
        <v>46323</v>
      </c>
      <c r="M211" s="8" t="inlineStr">
        <is>
          <t>Approved</t>
        </is>
      </c>
      <c r="N211" s="8" t="inlineStr">
        <is>
          <t>list_item</t>
        </is>
      </c>
    </row>
    <row r="212" ht="40" customHeight="1">
      <c r="A212" s="4" t="inlineStr">
        <is>
          <t>C05-P0024</t>
        </is>
      </c>
      <c r="B212" s="4" t="inlineStr">
        <is>
          <t>C05</t>
        </is>
      </c>
      <c r="C212" s="4" t="inlineStr">
        <is>
          <t>Pradhan Mantri Shram Yogi Maan-dhan</t>
        </is>
      </c>
      <c r="D212" s="4" t="inlineStr">
        <is>
          <t>Applicant documents</t>
        </is>
      </c>
      <c r="E212" s="4" t="inlineStr"/>
      <c r="F212" s="4" t="inlineStr">
        <is>
          <t>documents.en.documents_required[0].children[1]</t>
        </is>
      </c>
      <c r="G212" s="4" t="inlineStr">
        <is>
          <t>C05@20261028-fc4e9a2d</t>
        </is>
      </c>
      <c r="H212" s="4" t="n">
        <v>1</v>
      </c>
      <c r="I212" s="4" t="n">
        <v>1</v>
      </c>
      <c r="J212" s="4" t="inlineStr">
        <is>
          <t>Savings Bank Account Passbook / Jan-Dhan Account Passbook</t>
        </is>
      </c>
      <c r="K212" s="4" t="inlineStr">
        <is>
          <t>MS-C05</t>
        </is>
      </c>
      <c r="L212" s="6" t="n">
        <v>46323</v>
      </c>
      <c r="M212" s="4" t="inlineStr">
        <is>
          <t>Approved</t>
        </is>
      </c>
      <c r="N212" s="4" t="inlineStr">
        <is>
          <t>list_item</t>
        </is>
      </c>
    </row>
    <row r="213" ht="40" customHeight="1">
      <c r="A213" s="8" t="inlineStr">
        <is>
          <t>C05-P0025</t>
        </is>
      </c>
      <c r="B213" s="8" t="inlineStr">
        <is>
          <t>C05</t>
        </is>
      </c>
      <c r="C213" s="8" t="inlineStr">
        <is>
          <t>Pradhan Mantri Shram Yogi Maan-dhan</t>
        </is>
      </c>
      <c r="D213" s="8" t="inlineStr">
        <is>
          <t>Applicant documents</t>
        </is>
      </c>
      <c r="E213" s="8" t="inlineStr"/>
      <c r="F213" s="8" t="inlineStr">
        <is>
          <t>documents.en.documents_required[0].children[2]</t>
        </is>
      </c>
      <c r="G213" s="8" t="inlineStr">
        <is>
          <t>C05@20261028-fc4e9a2d</t>
        </is>
      </c>
      <c r="H213" s="8" t="n">
        <v>1</v>
      </c>
      <c r="I213" s="8" t="n">
        <v>1</v>
      </c>
      <c r="J213" s="8" t="inlineStr">
        <is>
          <t>Mobile Number</t>
        </is>
      </c>
      <c r="K213" s="8" t="inlineStr">
        <is>
          <t>MS-C05</t>
        </is>
      </c>
      <c r="L213" s="9" t="n">
        <v>46323</v>
      </c>
      <c r="M213" s="8" t="inlineStr">
        <is>
          <t>Approved</t>
        </is>
      </c>
      <c r="N213" s="8" t="inlineStr">
        <is>
          <t>list_item</t>
        </is>
      </c>
    </row>
    <row r="214" ht="40" customHeight="1">
      <c r="A214" s="4" t="inlineStr">
        <is>
          <t>C05-P0026</t>
        </is>
      </c>
      <c r="B214" s="4" t="inlineStr">
        <is>
          <t>C05</t>
        </is>
      </c>
      <c r="C214" s="4" t="inlineStr">
        <is>
          <t>Pradhan Mantri Shram Yogi Maan-dhan</t>
        </is>
      </c>
      <c r="D214" s="4" t="inlineStr">
        <is>
          <t>Applicant documents</t>
        </is>
      </c>
      <c r="E214" s="4" t="inlineStr"/>
      <c r="F214" s="4" t="inlineStr">
        <is>
          <t>documents.en.documents_required[0].children[3]</t>
        </is>
      </c>
      <c r="G214" s="4" t="inlineStr">
        <is>
          <t>C05@20261028-fc4e9a2d</t>
        </is>
      </c>
      <c r="H214" s="4" t="n">
        <v>1</v>
      </c>
      <c r="I214" s="4" t="n">
        <v>1</v>
      </c>
      <c r="J214" s="4" t="inlineStr">
        <is>
          <t>Self-Certification (At the time of enrollment)</t>
        </is>
      </c>
      <c r="K214" s="4" t="inlineStr">
        <is>
          <t>MS-C05</t>
        </is>
      </c>
      <c r="L214" s="6" t="n">
        <v>46323</v>
      </c>
      <c r="M214" s="4" t="inlineStr">
        <is>
          <t>Approved</t>
        </is>
      </c>
      <c r="N214" s="4" t="inlineStr">
        <is>
          <t>list_item</t>
        </is>
      </c>
    </row>
    <row r="215" ht="40" customHeight="1">
      <c r="A215" s="8" t="inlineStr">
        <is>
          <t>C05-P0027</t>
        </is>
      </c>
      <c r="B215" s="8" t="inlineStr">
        <is>
          <t>C05</t>
        </is>
      </c>
      <c r="C215" s="8" t="inlineStr">
        <is>
          <t>Pradhan Mantri Shram Yogi Maan-dhan</t>
        </is>
      </c>
      <c r="D215" s="8" t="inlineStr">
        <is>
          <t>Applicant documents</t>
        </is>
      </c>
      <c r="E215" s="8" t="inlineStr"/>
      <c r="F215" s="8" t="inlineStr">
        <is>
          <t>documents.en.documents_required[0].children[4]</t>
        </is>
      </c>
      <c r="G215" s="8" t="inlineStr">
        <is>
          <t>C05@20261028-fc4e9a2d</t>
        </is>
      </c>
      <c r="H215" s="8" t="n">
        <v>1</v>
      </c>
      <c r="I215" s="8" t="n">
        <v>1</v>
      </c>
      <c r="J215" s="8" t="inlineStr">
        <is>
          <t>Any other documents as required</t>
        </is>
      </c>
      <c r="K215" s="8" t="inlineStr">
        <is>
          <t>MS-C05</t>
        </is>
      </c>
      <c r="L215" s="9" t="n">
        <v>46323</v>
      </c>
      <c r="M215" s="8" t="inlineStr">
        <is>
          <t>Approved</t>
        </is>
      </c>
      <c r="N215" s="8" t="inlineStr">
        <is>
          <t>list_item</t>
        </is>
      </c>
    </row>
    <row r="216" ht="40" customHeight="1">
      <c r="A216" s="4" t="inlineStr">
        <is>
          <t>C05-P0028</t>
        </is>
      </c>
      <c r="B216" s="4" t="inlineStr">
        <is>
          <t>C05</t>
        </is>
      </c>
      <c r="C216" s="4" t="inlineStr">
        <is>
          <t>Pradhan Mantri Shram Yogi Maan-dhan</t>
        </is>
      </c>
      <c r="D216" s="4" t="inlineStr">
        <is>
          <t>Application process</t>
        </is>
      </c>
      <c r="E216" s="4" t="inlineStr"/>
      <c r="F216" s="4" t="inlineStr">
        <is>
          <t>en.applicationProcess[0].process[0].children[0]</t>
        </is>
      </c>
      <c r="G216" s="4" t="inlineStr">
        <is>
          <t>C05@20261028-fc4e9a2d</t>
        </is>
      </c>
      <c r="H216" s="4" t="n">
        <v>1</v>
      </c>
      <c r="I216" s="4" t="n">
        <v>1</v>
      </c>
      <c r="J216" s="4" t="inlineStr">
        <is>
          <t>Application Process:</t>
        </is>
      </c>
      <c r="K216" s="4" t="inlineStr">
        <is>
          <t>MS-C05</t>
        </is>
      </c>
      <c r="L216" s="6" t="n">
        <v>46323</v>
      </c>
      <c r="M216" s="4" t="inlineStr">
        <is>
          <t>Approved</t>
        </is>
      </c>
      <c r="N216" s="4" t="inlineStr">
        <is>
          <t>text</t>
        </is>
      </c>
    </row>
    <row r="217" ht="40" customHeight="1">
      <c r="A217" s="8" t="inlineStr">
        <is>
          <t>C05-P0029</t>
        </is>
      </c>
      <c r="B217" s="8" t="inlineStr">
        <is>
          <t>C05</t>
        </is>
      </c>
      <c r="C217" s="8" t="inlineStr">
        <is>
          <t>Pradhan Mantri Shram Yogi Maan-dhan</t>
        </is>
      </c>
      <c r="D217" s="8" t="inlineStr">
        <is>
          <t>Application process</t>
        </is>
      </c>
      <c r="E217" s="8" t="inlineStr"/>
      <c r="F217" s="8" t="inlineStr">
        <is>
          <t>en.applicationProcess[0].process[1]</t>
        </is>
      </c>
      <c r="G217" s="8" t="inlineStr">
        <is>
          <t>C05@20261028-fc4e9a2d</t>
        </is>
      </c>
      <c r="H217" s="8" t="n">
        <v>1</v>
      </c>
      <c r="I217" s="8" t="n">
        <v>1</v>
      </c>
      <c r="J217" s="8" t="inlineStr">
        <is>
          <t>Step 1: The interested eligible person must visit the nearest Common Services Centre (CSC) to initiate the registration and enrollment process.</t>
        </is>
      </c>
      <c r="K217" s="8" t="inlineStr">
        <is>
          <t>MS-C05</t>
        </is>
      </c>
      <c r="L217" s="9" t="n">
        <v>46323</v>
      </c>
      <c r="M217" s="8" t="inlineStr">
        <is>
          <t>Approved</t>
        </is>
      </c>
      <c r="N217" s="8" t="inlineStr">
        <is>
          <t>paragraph</t>
        </is>
      </c>
    </row>
    <row r="218" ht="54" customHeight="1">
      <c r="A218" s="4" t="inlineStr">
        <is>
          <t>C05-P0030</t>
        </is>
      </c>
      <c r="B218" s="4" t="inlineStr">
        <is>
          <t>C05</t>
        </is>
      </c>
      <c r="C218" s="4" t="inlineStr">
        <is>
          <t>Pradhan Mantri Shram Yogi Maan-dhan</t>
        </is>
      </c>
      <c r="D218" s="4" t="inlineStr">
        <is>
          <t>Application process</t>
        </is>
      </c>
      <c r="E218" s="4" t="inlineStr"/>
      <c r="F218" s="4" t="inlineStr">
        <is>
          <t>en.applicationProcess[0].process[2]</t>
        </is>
      </c>
      <c r="G218" s="4" t="inlineStr">
        <is>
          <t>C05@20261028-fc4e9a2d</t>
        </is>
      </c>
      <c r="H218" s="4" t="n">
        <v>1</v>
      </c>
      <c r="I218" s="4" t="n">
        <v>1</v>
      </c>
      <c r="J218" s="4" t="inlineStr">
        <is>
          <t>Step 2: The Village Level Entrepreneur (VLE) present at the CSC will key in the Aadhaar number, the exact name of the subscriber as printed on the Aadhaar card, and the date of birth into the system. These details will subsequently be instantly verified with the UIDAI database.</t>
        </is>
      </c>
      <c r="K218" s="4" t="inlineStr">
        <is>
          <t>MS-C05</t>
        </is>
      </c>
      <c r="L218" s="6" t="n">
        <v>46323</v>
      </c>
      <c r="M218" s="4" t="inlineStr">
        <is>
          <t>Approved</t>
        </is>
      </c>
      <c r="N218" s="4" t="inlineStr">
        <is>
          <t>paragraph</t>
        </is>
      </c>
    </row>
    <row r="219" ht="68" customHeight="1">
      <c r="A219" s="8" t="inlineStr">
        <is>
          <t>C05-P0031</t>
        </is>
      </c>
      <c r="B219" s="8" t="inlineStr">
        <is>
          <t>C05</t>
        </is>
      </c>
      <c r="C219" s="8" t="inlineStr">
        <is>
          <t>Pradhan Mantri Shram Yogi Maan-dhan</t>
        </is>
      </c>
      <c r="D219" s="8" t="inlineStr">
        <is>
          <t>Application process</t>
        </is>
      </c>
      <c r="E219" s="8" t="inlineStr"/>
      <c r="F219" s="8" t="inlineStr">
        <is>
          <t>en.applicationProcess[0].process[3]</t>
        </is>
      </c>
      <c r="G219" s="8" t="inlineStr">
        <is>
          <t>C05@20261028-fc4e9a2d</t>
        </is>
      </c>
      <c r="H219" s="8" t="n">
        <v>1</v>
      </c>
      <c r="I219" s="8" t="n">
        <v>1</v>
      </c>
      <c r="J219" s="8" t="inlineStr">
        <is>
          <t>Step 3: The VLE will capture further details of the applicant, including Bank Account details, Mobile Number, Email-id, spouse, and nominee details into the registration portal. A self-certification verifying the required eligibility conditions will also be successfully completed in the system during this step.</t>
        </is>
      </c>
      <c r="K219" s="8" t="inlineStr">
        <is>
          <t>MS-C05</t>
        </is>
      </c>
      <c r="L219" s="9" t="n">
        <v>46323</v>
      </c>
      <c r="M219" s="8" t="inlineStr">
        <is>
          <t>Approved</t>
        </is>
      </c>
      <c r="N219" s="8" t="inlineStr">
        <is>
          <t>paragraph</t>
        </is>
      </c>
    </row>
    <row r="220" ht="68" customHeight="1">
      <c r="A220" s="4" t="inlineStr">
        <is>
          <t>C05-P0032</t>
        </is>
      </c>
      <c r="B220" s="4" t="inlineStr">
        <is>
          <t>C05</t>
        </is>
      </c>
      <c r="C220" s="4" t="inlineStr">
        <is>
          <t>Pradhan Mantri Shram Yogi Maan-dhan</t>
        </is>
      </c>
      <c r="D220" s="4" t="inlineStr">
        <is>
          <t>Application process</t>
        </is>
      </c>
      <c r="E220" s="4" t="inlineStr"/>
      <c r="F220" s="4" t="inlineStr">
        <is>
          <t>en.applicationProcess[0].process[4]</t>
        </is>
      </c>
      <c r="G220" s="4" t="inlineStr">
        <is>
          <t>C05@20261028-fc4e9a2d</t>
        </is>
      </c>
      <c r="H220" s="4" t="n">
        <v>1</v>
      </c>
      <c r="I220" s="4" t="n">
        <v>1</v>
      </c>
      <c r="J220" s="4" t="inlineStr">
        <is>
          <t>Step 4: The system will automatically calculate the exact monthly contribution payable according to the entry age of the subscriber. The subscriber must then pay the full amount of the first subscription in cash to the VLE, who will generate a receipt and hand it over to the subscriber.</t>
        </is>
      </c>
      <c r="K220" s="4" t="inlineStr">
        <is>
          <t>MS-C05</t>
        </is>
      </c>
      <c r="L220" s="6" t="n">
        <v>46323</v>
      </c>
      <c r="M220" s="4" t="inlineStr">
        <is>
          <t>Approved</t>
        </is>
      </c>
      <c r="N220" s="4" t="inlineStr">
        <is>
          <t>paragraph</t>
        </is>
      </c>
    </row>
    <row r="221" ht="54" customHeight="1">
      <c r="A221" s="8" t="inlineStr">
        <is>
          <t>C05-P0033</t>
        </is>
      </c>
      <c r="B221" s="8" t="inlineStr">
        <is>
          <t>C05</t>
        </is>
      </c>
      <c r="C221" s="8" t="inlineStr">
        <is>
          <t>Pradhan Mantri Shram Yogi Maan-dhan</t>
        </is>
      </c>
      <c r="D221" s="8" t="inlineStr">
        <is>
          <t>Application process</t>
        </is>
      </c>
      <c r="E221" s="8" t="inlineStr"/>
      <c r="F221" s="8" t="inlineStr">
        <is>
          <t>en.applicationProcess[0].process[5]</t>
        </is>
      </c>
      <c r="G221" s="8" t="inlineStr">
        <is>
          <t>C05@20261028-fc4e9a2d</t>
        </is>
      </c>
      <c r="H221" s="8" t="n">
        <v>1</v>
      </c>
      <c r="I221" s="8" t="n">
        <v>1</v>
      </c>
      <c r="J221" s="8" t="inlineStr">
        <is>
          <t>Step 5: An Enrolment Form cum Auto Debit mandate will be printed and must be physically signed by the subscriber. The VLE must then scan the signed enrolment cum auto debit mandate and safely upload it into the system.</t>
        </is>
      </c>
      <c r="K221" s="8" t="inlineStr">
        <is>
          <t>MS-C05</t>
        </is>
      </c>
      <c r="L221" s="9" t="n">
        <v>46323</v>
      </c>
      <c r="M221" s="8" t="inlineStr">
        <is>
          <t>Approved</t>
        </is>
      </c>
      <c r="N221" s="8" t="inlineStr">
        <is>
          <t>paragraph</t>
        </is>
      </c>
    </row>
    <row r="222" ht="54" customHeight="1">
      <c r="A222" s="4" t="inlineStr">
        <is>
          <t>C05-P0034</t>
        </is>
      </c>
      <c r="B222" s="4" t="inlineStr">
        <is>
          <t>C05</t>
        </is>
      </c>
      <c r="C222" s="4" t="inlineStr">
        <is>
          <t>Pradhan Mantri Shram Yogi Maan-dhan</t>
        </is>
      </c>
      <c r="D222" s="4" t="inlineStr">
        <is>
          <t>Application process</t>
        </is>
      </c>
      <c r="E222" s="4" t="inlineStr"/>
      <c r="F222" s="4" t="inlineStr">
        <is>
          <t>en.applicationProcess[0].process[6]</t>
        </is>
      </c>
      <c r="G222" s="4" t="inlineStr">
        <is>
          <t>C05@20261028-fc4e9a2d</t>
        </is>
      </c>
      <c r="H222" s="4" t="n">
        <v>1</v>
      </c>
      <c r="I222" s="4" t="n">
        <v>1</v>
      </c>
      <c r="J222" s="4" t="inlineStr">
        <is>
          <t>Step 6: A unique Shram Yogi Pension Account Number will be instantly generated, and a Shram Yogi Card will be printed directly at the CSC. The subscriber will leave the center with the printed Shram Yogi Card and a signed copy of the enrolment form for their personal records.</t>
        </is>
      </c>
      <c r="K222" s="4" t="inlineStr">
        <is>
          <t>MS-C05</t>
        </is>
      </c>
      <c r="L222" s="6" t="n">
        <v>46323</v>
      </c>
      <c r="M222" s="4" t="inlineStr">
        <is>
          <t>Approved</t>
        </is>
      </c>
      <c r="N222" s="4" t="inlineStr">
        <is>
          <t>paragraph</t>
        </is>
      </c>
    </row>
    <row r="223" ht="40" customHeight="1">
      <c r="A223" s="8" t="inlineStr">
        <is>
          <t>C05-P0035</t>
        </is>
      </c>
      <c r="B223" s="8" t="inlineStr">
        <is>
          <t>C05</t>
        </is>
      </c>
      <c r="C223" s="8" t="inlineStr">
        <is>
          <t>Pradhan Mantri Shram Yogi Maan-dhan</t>
        </is>
      </c>
      <c r="D223" s="8" t="inlineStr">
        <is>
          <t>Application process</t>
        </is>
      </c>
      <c r="E223" s="8" t="inlineStr"/>
      <c r="F223" s="8" t="inlineStr">
        <is>
          <t>en.applicationProcess[0].process[7].children[0]</t>
        </is>
      </c>
      <c r="G223" s="8" t="inlineStr">
        <is>
          <t>C05@20261028-fc4e9a2d</t>
        </is>
      </c>
      <c r="H223" s="8" t="n">
        <v>1</v>
      </c>
      <c r="I223" s="8" t="n">
        <v>1</v>
      </c>
      <c r="J223" s="8" t="inlineStr">
        <is>
          <t>Post-Application Process:</t>
        </is>
      </c>
      <c r="K223" s="8" t="inlineStr">
        <is>
          <t>MS-C05</t>
        </is>
      </c>
      <c r="L223" s="9" t="n">
        <v>46323</v>
      </c>
      <c r="M223" s="8" t="inlineStr">
        <is>
          <t>Approved</t>
        </is>
      </c>
      <c r="N223" s="8" t="inlineStr">
        <is>
          <t>text</t>
        </is>
      </c>
    </row>
    <row r="224" ht="68" customHeight="1">
      <c r="A224" s="4" t="inlineStr">
        <is>
          <t>C05-P0036</t>
        </is>
      </c>
      <c r="B224" s="4" t="inlineStr">
        <is>
          <t>C05</t>
        </is>
      </c>
      <c r="C224" s="4" t="inlineStr">
        <is>
          <t>Pradhan Mantri Shram Yogi Maan-dhan</t>
        </is>
      </c>
      <c r="D224" s="4" t="inlineStr">
        <is>
          <t>Application process</t>
        </is>
      </c>
      <c r="E224" s="4" t="inlineStr"/>
      <c r="F224" s="4" t="inlineStr">
        <is>
          <t>en.applicationProcess[0].process[8]</t>
        </is>
      </c>
      <c r="G224" s="4" t="inlineStr">
        <is>
          <t>C05@20261028-fc4e9a2d</t>
        </is>
      </c>
      <c r="H224" s="4" t="n">
        <v>1</v>
      </c>
      <c r="I224" s="4" t="n">
        <v>1</v>
      </c>
      <c r="J224" s="4" t="inlineStr">
        <is>
          <t>Step 1: The subscriber will regularly receive SMS notifications on their registered mobile phone regarding the activation of the auto-debit facility. An additional mini-statement message will be automatically sent to the mobile device upon every successful monthly deduction of the contribution.</t>
        </is>
      </c>
      <c r="K224" s="4" t="inlineStr">
        <is>
          <t>MS-C05</t>
        </is>
      </c>
      <c r="L224" s="6" t="n">
        <v>46323</v>
      </c>
      <c r="M224" s="4" t="inlineStr">
        <is>
          <t>Approved</t>
        </is>
      </c>
      <c r="N224" s="4" t="inlineStr">
        <is>
          <t>paragraph</t>
        </is>
      </c>
    </row>
    <row r="225" ht="68" customHeight="1">
      <c r="A225" s="8" t="inlineStr">
        <is>
          <t>C05-P0037</t>
        </is>
      </c>
      <c r="B225" s="8" t="inlineStr">
        <is>
          <t>C05</t>
        </is>
      </c>
      <c r="C225" s="8" t="inlineStr">
        <is>
          <t>Pradhan Mantri Shram Yogi Maan-dhan</t>
        </is>
      </c>
      <c r="D225" s="8" t="inlineStr">
        <is>
          <t>Application process</t>
        </is>
      </c>
      <c r="E225" s="8" t="inlineStr"/>
      <c r="F225" s="8" t="inlineStr">
        <is>
          <t>en.applicationProcess[0].process[9]</t>
        </is>
      </c>
      <c r="G225" s="8" t="inlineStr">
        <is>
          <t>C05@20261028-fc4e9a2d</t>
        </is>
      </c>
      <c r="H225" s="8" t="n">
        <v>1</v>
      </c>
      <c r="I225" s="8" t="n">
        <v>1</v>
      </c>
      <c r="J225" s="8" t="inlineStr">
        <is>
          <t>Step 2: The mandatory monthly subscription shall be automatically debited on a fixed date every single month from the subscriber's linked saving account or Jan-Dhan account. The subscriber must proactively maintain sufficient funds in their account to ensure the contribution, along with any applicable penalty or interest, is successfully processed.</t>
        </is>
      </c>
      <c r="K225" s="8" t="inlineStr">
        <is>
          <t>MS-C05</t>
        </is>
      </c>
      <c r="L225" s="9" t="n">
        <v>46323</v>
      </c>
      <c r="M225" s="8" t="inlineStr">
        <is>
          <t>Approved</t>
        </is>
      </c>
      <c r="N225" s="8" t="inlineStr">
        <is>
          <t>paragraph</t>
        </is>
      </c>
    </row>
    <row r="226" ht="40" customHeight="1">
      <c r="A226" s="4" t="inlineStr">
        <is>
          <t>C05-P0038</t>
        </is>
      </c>
      <c r="B226" s="4" t="inlineStr">
        <is>
          <t>C05</t>
        </is>
      </c>
      <c r="C226" s="4" t="inlineStr">
        <is>
          <t>Pradhan Mantri Shram Yogi Maan-dhan</t>
        </is>
      </c>
      <c r="D226" s="4" t="inlineStr">
        <is>
          <t>Application process</t>
        </is>
      </c>
      <c r="E226" s="4" t="inlineStr"/>
      <c r="F226" s="4" t="inlineStr">
        <is>
          <t>en.applicationProcess[0].process[10].children[0]</t>
        </is>
      </c>
      <c r="G226" s="4" t="inlineStr">
        <is>
          <t>C05@20261028-fc4e9a2d</t>
        </is>
      </c>
      <c r="H226" s="4" t="n">
        <v>1</v>
      </c>
      <c r="I226" s="4" t="n">
        <v>1</v>
      </c>
      <c r="J226" s="4" t="inlineStr">
        <is>
          <t>Grievance Redressal and Help Support</t>
        </is>
      </c>
      <c r="K226" s="4" t="inlineStr">
        <is>
          <t>MS-C05</t>
        </is>
      </c>
      <c r="L226" s="6" t="n">
        <v>46323</v>
      </c>
      <c r="M226" s="4" t="inlineStr">
        <is>
          <t>Approved</t>
        </is>
      </c>
      <c r="N226" s="4" t="inlineStr">
        <is>
          <t>text</t>
        </is>
      </c>
    </row>
    <row r="227" ht="68" customHeight="1">
      <c r="A227" s="8" t="inlineStr">
        <is>
          <t>C05-P0039</t>
        </is>
      </c>
      <c r="B227" s="8" t="inlineStr">
        <is>
          <t>C05</t>
        </is>
      </c>
      <c r="C227" s="8" t="inlineStr">
        <is>
          <t>Pradhan Mantri Shram Yogi Maan-dhan</t>
        </is>
      </c>
      <c r="D227" s="8" t="inlineStr">
        <is>
          <t>Application process</t>
        </is>
      </c>
      <c r="E227" s="8" t="inlineStr"/>
      <c r="F227" s="8" t="inlineStr">
        <is>
          <t>en.applicationProcess[0].process[11].children[0]</t>
        </is>
      </c>
      <c r="G227" s="8" t="inlineStr">
        <is>
          <t>C05@20261028-fc4e9a2d</t>
        </is>
      </c>
      <c r="H227" s="8" t="n">
        <v>1</v>
      </c>
      <c r="I227" s="8" t="n">
        <v>1</v>
      </c>
      <c r="J227" s="8" t="inlineStr">
        <is>
          <t>A dedicated Call Centre and Project Management Unit actively administer the scheme, supervised tightly by the National Social Security Board. To address any grievances related to the scheme, subscribers can directly contact the official customer care number 1800 267 6888 on a 24*7 basis.</t>
        </is>
      </c>
      <c r="K227" s="8" t="inlineStr">
        <is>
          <t>MS-C05</t>
        </is>
      </c>
      <c r="L227" s="9" t="n">
        <v>46323</v>
      </c>
      <c r="M227" s="8" t="inlineStr">
        <is>
          <t>Approved</t>
        </is>
      </c>
      <c r="N227" s="8" t="inlineStr">
        <is>
          <t>list_item</t>
        </is>
      </c>
    </row>
    <row r="228" ht="40" customHeight="1">
      <c r="A228" s="4" t="inlineStr">
        <is>
          <t>C05-P0040</t>
        </is>
      </c>
      <c r="B228" s="4" t="inlineStr">
        <is>
          <t>C05</t>
        </is>
      </c>
      <c r="C228" s="4" t="inlineStr">
        <is>
          <t>Pradhan Mantri Shram Yogi Maan-dhan</t>
        </is>
      </c>
      <c r="D228" s="4" t="inlineStr">
        <is>
          <t>Application process</t>
        </is>
      </c>
      <c r="E228" s="4" t="inlineStr"/>
      <c r="F228" s="4" t="inlineStr">
        <is>
          <t>en.applicationProcess[0].process[11].children[1]</t>
        </is>
      </c>
      <c r="G228" s="4" t="inlineStr">
        <is>
          <t>C05@20261028-fc4e9a2d</t>
        </is>
      </c>
      <c r="H228" s="4" t="n">
        <v>1</v>
      </c>
      <c r="I228" s="4" t="n">
        <v>1</v>
      </c>
      <c r="J228" s="4" t="inlineStr">
        <is>
          <t>The dedicated web portal and mobile application will also have a specific built-in facility specifically for registering complaints and raising issues digitally.</t>
        </is>
      </c>
      <c r="K228" s="4" t="inlineStr">
        <is>
          <t>MS-C05</t>
        </is>
      </c>
      <c r="L228" s="6" t="n">
        <v>46323</v>
      </c>
      <c r="M228" s="4" t="inlineStr">
        <is>
          <t>Approved</t>
        </is>
      </c>
      <c r="N228" s="4" t="inlineStr">
        <is>
          <t>list_item</t>
        </is>
      </c>
    </row>
    <row r="229" ht="40" customHeight="1">
      <c r="A229" s="8" t="inlineStr">
        <is>
          <t>C05-P0041</t>
        </is>
      </c>
      <c r="B229" s="8" t="inlineStr">
        <is>
          <t>C05</t>
        </is>
      </c>
      <c r="C229" s="8" t="inlineStr">
        <is>
          <t>Pradhan Mantri Shram Yogi Maan-dhan</t>
        </is>
      </c>
      <c r="D229" s="8" t="inlineStr">
        <is>
          <t>Application process</t>
        </is>
      </c>
      <c r="E229" s="8" t="inlineStr">
        <is>
          <t>Self-Enrollment Login Process:</t>
        </is>
      </c>
      <c r="F229" s="8" t="inlineStr">
        <is>
          <t>en.applicationProcess[1].process[0]</t>
        </is>
      </c>
      <c r="G229" s="8" t="inlineStr">
        <is>
          <t>C05@20261028-fc4e9a2d</t>
        </is>
      </c>
      <c r="H229" s="8" t="n">
        <v>1</v>
      </c>
      <c r="I229" s="8" t="n">
        <v>1</v>
      </c>
      <c r="J229" s="8" t="inlineStr">
        <is>
          <t>Self-Enrollment Login Process:</t>
        </is>
      </c>
      <c r="K229" s="8" t="inlineStr">
        <is>
          <t>MS-C05</t>
        </is>
      </c>
      <c r="L229" s="9" t="n">
        <v>46323</v>
      </c>
      <c r="M229" s="8" t="inlineStr">
        <is>
          <t>Approved</t>
        </is>
      </c>
      <c r="N229" s="8" t="inlineStr">
        <is>
          <t>paragraph</t>
        </is>
      </c>
    </row>
    <row r="230" ht="40" customHeight="1">
      <c r="A230" s="4" t="inlineStr">
        <is>
          <t>C05-P0042</t>
        </is>
      </c>
      <c r="B230" s="4" t="inlineStr">
        <is>
          <t>C05</t>
        </is>
      </c>
      <c r="C230" s="4" t="inlineStr">
        <is>
          <t>Pradhan Mantri Shram Yogi Maan-dhan</t>
        </is>
      </c>
      <c r="D230" s="4" t="inlineStr">
        <is>
          <t>Application process</t>
        </is>
      </c>
      <c r="E230" s="4" t="inlineStr">
        <is>
          <t>Self-Enrollment Login Process:</t>
        </is>
      </c>
      <c r="F230" s="4" t="inlineStr">
        <is>
          <t>en.applicationProcess[1].process[1].children[0]</t>
        </is>
      </c>
      <c r="G230" s="4" t="inlineStr">
        <is>
          <t>C05@20261028-fc4e9a2d</t>
        </is>
      </c>
      <c r="H230" s="4" t="n">
        <v>1</v>
      </c>
      <c r="I230" s="4" t="n">
        <v>1</v>
      </c>
      <c r="J230" s="4" t="inlineStr">
        <is>
          <t>Visit the Maandhan Homepage</t>
        </is>
      </c>
      <c r="K230" s="4" t="inlineStr">
        <is>
          <t>MS-C05</t>
        </is>
      </c>
      <c r="L230" s="6" t="n">
        <v>46323</v>
      </c>
      <c r="M230" s="4" t="inlineStr">
        <is>
          <t>Approved</t>
        </is>
      </c>
      <c r="N230" s="4" t="inlineStr">
        <is>
          <t>list_item</t>
        </is>
      </c>
    </row>
    <row r="231" ht="40" customHeight="1">
      <c r="A231" s="8" t="inlineStr">
        <is>
          <t>C05-P0043</t>
        </is>
      </c>
      <c r="B231" s="8" t="inlineStr">
        <is>
          <t>C05</t>
        </is>
      </c>
      <c r="C231" s="8" t="inlineStr">
        <is>
          <t>Pradhan Mantri Shram Yogi Maan-dhan</t>
        </is>
      </c>
      <c r="D231" s="8" t="inlineStr">
        <is>
          <t>Application process</t>
        </is>
      </c>
      <c r="E231" s="8" t="inlineStr">
        <is>
          <t>Self-Enrollment Login Process:</t>
        </is>
      </c>
      <c r="F231" s="8" t="inlineStr">
        <is>
          <t>en.applicationProcess[1].process[1].children[1]</t>
        </is>
      </c>
      <c r="G231" s="8" t="inlineStr">
        <is>
          <t>C05@20261028-fc4e9a2d</t>
        </is>
      </c>
      <c r="H231" s="8" t="n">
        <v>1</v>
      </c>
      <c r="I231" s="8" t="n">
        <v>1</v>
      </c>
      <c r="J231" s="8" t="inlineStr">
        <is>
          <t>Click on Login. The Maandhan Login screen will appear.</t>
        </is>
      </c>
      <c r="K231" s="8" t="inlineStr">
        <is>
          <t>MS-C05</t>
        </is>
      </c>
      <c r="L231" s="9" t="n">
        <v>46323</v>
      </c>
      <c r="M231" s="8" t="inlineStr">
        <is>
          <t>Approved</t>
        </is>
      </c>
      <c r="N231" s="8" t="inlineStr">
        <is>
          <t>list_item</t>
        </is>
      </c>
    </row>
    <row r="232" ht="40" customHeight="1">
      <c r="A232" s="4" t="inlineStr">
        <is>
          <t>C05-P0044</t>
        </is>
      </c>
      <c r="B232" s="4" t="inlineStr">
        <is>
          <t>C05</t>
        </is>
      </c>
      <c r="C232" s="4" t="inlineStr">
        <is>
          <t>Pradhan Mantri Shram Yogi Maan-dhan</t>
        </is>
      </c>
      <c r="D232" s="4" t="inlineStr">
        <is>
          <t>Application process</t>
        </is>
      </c>
      <c r="E232" s="4" t="inlineStr">
        <is>
          <t>Self-Enrollment Login Process:</t>
        </is>
      </c>
      <c r="F232" s="4" t="inlineStr">
        <is>
          <t>en.applicationProcess[1].process[1].children[2]</t>
        </is>
      </c>
      <c r="G232" s="4" t="inlineStr">
        <is>
          <t>C05@20261028-fc4e9a2d</t>
        </is>
      </c>
      <c r="H232" s="4" t="n">
        <v>1</v>
      </c>
      <c r="I232" s="4" t="n">
        <v>1</v>
      </c>
      <c r="J232" s="4" t="inlineStr">
        <is>
          <t>Click on Self Enrollment.</t>
        </is>
      </c>
      <c r="K232" s="4" t="inlineStr">
        <is>
          <t>MS-C05</t>
        </is>
      </c>
      <c r="L232" s="6" t="n">
        <v>46323</v>
      </c>
      <c r="M232" s="4" t="inlineStr">
        <is>
          <t>Approved</t>
        </is>
      </c>
      <c r="N232" s="4" t="inlineStr">
        <is>
          <t>list_item</t>
        </is>
      </c>
    </row>
    <row r="233" ht="40" customHeight="1">
      <c r="A233" s="8" t="inlineStr">
        <is>
          <t>C05-P0045</t>
        </is>
      </c>
      <c r="B233" s="8" t="inlineStr">
        <is>
          <t>C05</t>
        </is>
      </c>
      <c r="C233" s="8" t="inlineStr">
        <is>
          <t>Pradhan Mantri Shram Yogi Maan-dhan</t>
        </is>
      </c>
      <c r="D233" s="8" t="inlineStr">
        <is>
          <t>Application process</t>
        </is>
      </c>
      <c r="E233" s="8" t="inlineStr">
        <is>
          <t>Self-Enrollment Login Process:</t>
        </is>
      </c>
      <c r="F233" s="8" t="inlineStr">
        <is>
          <t>en.applicationProcess[1].process[1].children[3]</t>
        </is>
      </c>
      <c r="G233" s="8" t="inlineStr">
        <is>
          <t>C05@20261028-fc4e9a2d</t>
        </is>
      </c>
      <c r="H233" s="8" t="n">
        <v>1</v>
      </c>
      <c r="I233" s="8" t="n">
        <v>1</v>
      </c>
      <c r="J233" s="8" t="inlineStr">
        <is>
          <t>Enter your Mobile Number.</t>
        </is>
      </c>
      <c r="K233" s="8" t="inlineStr">
        <is>
          <t>MS-C05</t>
        </is>
      </c>
      <c r="L233" s="9" t="n">
        <v>46323</v>
      </c>
      <c r="M233" s="8" t="inlineStr">
        <is>
          <t>Approved</t>
        </is>
      </c>
      <c r="N233" s="8" t="inlineStr">
        <is>
          <t>list_item</t>
        </is>
      </c>
    </row>
    <row r="234" ht="40" customHeight="1">
      <c r="A234" s="4" t="inlineStr">
        <is>
          <t>C05-P0046</t>
        </is>
      </c>
      <c r="B234" s="4" t="inlineStr">
        <is>
          <t>C05</t>
        </is>
      </c>
      <c r="C234" s="4" t="inlineStr">
        <is>
          <t>Pradhan Mantri Shram Yogi Maan-dhan</t>
        </is>
      </c>
      <c r="D234" s="4" t="inlineStr">
        <is>
          <t>Application process</t>
        </is>
      </c>
      <c r="E234" s="4" t="inlineStr">
        <is>
          <t>Self-Enrollment Login Process:</t>
        </is>
      </c>
      <c r="F234" s="4" t="inlineStr">
        <is>
          <t>en.applicationProcess[1].process[1].children[4]</t>
        </is>
      </c>
      <c r="G234" s="4" t="inlineStr">
        <is>
          <t>C05@20261028-fc4e9a2d</t>
        </is>
      </c>
      <c r="H234" s="4" t="n">
        <v>1</v>
      </c>
      <c r="I234" s="4" t="n">
        <v>1</v>
      </c>
      <c r="J234" s="4" t="inlineStr">
        <is>
          <t>Enter the OTP received on your registered mobile number.</t>
        </is>
      </c>
      <c r="K234" s="4" t="inlineStr">
        <is>
          <t>MS-C05</t>
        </is>
      </c>
      <c r="L234" s="6" t="n">
        <v>46323</v>
      </c>
      <c r="M234" s="4" t="inlineStr">
        <is>
          <t>Approved</t>
        </is>
      </c>
      <c r="N234" s="4" t="inlineStr">
        <is>
          <t>list_item</t>
        </is>
      </c>
    </row>
    <row r="235" ht="40" customHeight="1">
      <c r="A235" s="8" t="inlineStr">
        <is>
          <t>C05-P0047</t>
        </is>
      </c>
      <c r="B235" s="8" t="inlineStr">
        <is>
          <t>C05</t>
        </is>
      </c>
      <c r="C235" s="8" t="inlineStr">
        <is>
          <t>Pradhan Mantri Shram Yogi Maan-dhan</t>
        </is>
      </c>
      <c r="D235" s="8" t="inlineStr">
        <is>
          <t>Application process</t>
        </is>
      </c>
      <c r="E235" s="8" t="inlineStr">
        <is>
          <t>Self-Enrollment Login Process:</t>
        </is>
      </c>
      <c r="F235" s="8" t="inlineStr">
        <is>
          <t>en.applicationProcess[1].process[1].children[5]</t>
        </is>
      </c>
      <c r="G235" s="8" t="inlineStr">
        <is>
          <t>C05@20261028-fc4e9a2d</t>
        </is>
      </c>
      <c r="H235" s="8" t="n">
        <v>1</v>
      </c>
      <c r="I235" s="8" t="n">
        <v>1</v>
      </c>
      <c r="J235" s="8" t="inlineStr">
        <is>
          <t>Click on Proceed.</t>
        </is>
      </c>
      <c r="K235" s="8" t="inlineStr">
        <is>
          <t>MS-C05</t>
        </is>
      </c>
      <c r="L235" s="9" t="n">
        <v>46323</v>
      </c>
      <c r="M235" s="8" t="inlineStr">
        <is>
          <t>Approved</t>
        </is>
      </c>
      <c r="N235" s="8" t="inlineStr">
        <is>
          <t>list_item</t>
        </is>
      </c>
    </row>
    <row r="236" ht="40" customHeight="1">
      <c r="A236" s="4" t="inlineStr">
        <is>
          <t>C05-P0048</t>
        </is>
      </c>
      <c r="B236" s="4" t="inlineStr">
        <is>
          <t>C05</t>
        </is>
      </c>
      <c r="C236" s="4" t="inlineStr">
        <is>
          <t>Pradhan Mantri Shram Yogi Maan-dhan</t>
        </is>
      </c>
      <c r="D236" s="4" t="inlineStr">
        <is>
          <t>Application process</t>
        </is>
      </c>
      <c r="E236" s="4" t="inlineStr">
        <is>
          <t>Self-Enrollment Login Process:</t>
        </is>
      </c>
      <c r="F236" s="4" t="inlineStr">
        <is>
          <t>en.applicationProcess[1].process[1].children[6]</t>
        </is>
      </c>
      <c r="G236" s="4" t="inlineStr">
        <is>
          <t>C05@20261028-fc4e9a2d</t>
        </is>
      </c>
      <c r="H236" s="4" t="n">
        <v>1</v>
      </c>
      <c r="I236" s="4" t="n">
        <v>1</v>
      </c>
      <c r="J236" s="4" t="inlineStr">
        <is>
          <t>Complete Self Enrollment</t>
        </is>
      </c>
      <c r="K236" s="4" t="inlineStr">
        <is>
          <t>MS-C05</t>
        </is>
      </c>
      <c r="L236" s="6" t="n">
        <v>46323</v>
      </c>
      <c r="M236" s="4" t="inlineStr">
        <is>
          <t>Approved</t>
        </is>
      </c>
      <c r="N236" s="4" t="inlineStr">
        <is>
          <t>list_item</t>
        </is>
      </c>
    </row>
    <row r="237" ht="40" customHeight="1">
      <c r="A237" s="8" t="inlineStr">
        <is>
          <t>C05-P0049</t>
        </is>
      </c>
      <c r="B237" s="8" t="inlineStr">
        <is>
          <t>C05</t>
        </is>
      </c>
      <c r="C237" s="8" t="inlineStr">
        <is>
          <t>Pradhan Mantri Shram Yogi Maan-dhan</t>
        </is>
      </c>
      <c r="D237" s="8" t="inlineStr">
        <is>
          <t>Application process</t>
        </is>
      </c>
      <c r="E237" s="8" t="inlineStr">
        <is>
          <t>Self-Enrollment Login Process:</t>
        </is>
      </c>
      <c r="F237" s="8" t="inlineStr">
        <is>
          <t>en.applicationProcess[1].process[2].children[0]</t>
        </is>
      </c>
      <c r="G237" s="8" t="inlineStr">
        <is>
          <t>C05@20261028-fc4e9a2d</t>
        </is>
      </c>
      <c r="H237" s="8" t="n">
        <v>1</v>
      </c>
      <c r="I237" s="8" t="n">
        <v>1</v>
      </c>
      <c r="J237" s="8" t="inlineStr">
        <is>
          <t>Note:</t>
        </is>
      </c>
      <c r="K237" s="8" t="inlineStr">
        <is>
          <t>MS-C05</t>
        </is>
      </c>
      <c r="L237" s="9" t="n">
        <v>46323</v>
      </c>
      <c r="M237" s="8" t="inlineStr">
        <is>
          <t>Approved</t>
        </is>
      </c>
      <c r="N237" s="8" t="inlineStr">
        <is>
          <t>text</t>
        </is>
      </c>
    </row>
    <row r="238" ht="40" customHeight="1">
      <c r="A238" s="4" t="inlineStr">
        <is>
          <t>C05-P0051</t>
        </is>
      </c>
      <c r="B238" s="4" t="inlineStr">
        <is>
          <t>C05</t>
        </is>
      </c>
      <c r="C238" s="4" t="inlineStr">
        <is>
          <t>Pradhan Mantri Shram Yogi Maan-dhan</t>
        </is>
      </c>
      <c r="D238" s="4" t="inlineStr">
        <is>
          <t>Application process</t>
        </is>
      </c>
      <c r="E238" s="4" t="inlineStr">
        <is>
          <t>Self-Enrollment Login Process:</t>
        </is>
      </c>
      <c r="F238" s="4" t="inlineStr">
        <is>
          <t>en.applicationProcess[1].process[2].children[2].children[0]</t>
        </is>
      </c>
      <c r="G238" s="4" t="inlineStr">
        <is>
          <t>C05@20261028-fc4e9a2d</t>
        </is>
      </c>
      <c r="H238" s="4" t="n">
        <v>1</v>
      </c>
      <c r="I238" s="4" t="n">
        <v>1</v>
      </c>
      <c r="J238" s="4" t="inlineStr">
        <is>
          <t>Maandhan User Manual</t>
        </is>
      </c>
      <c r="K238" s="4" t="inlineStr">
        <is>
          <t>MS-C05</t>
        </is>
      </c>
      <c r="L238" s="6" t="n">
        <v>46323</v>
      </c>
      <c r="M238" s="4" t="inlineStr">
        <is>
          <t>Approved</t>
        </is>
      </c>
      <c r="N238" s="4" t="inlineStr">
        <is>
          <t>text</t>
        </is>
      </c>
    </row>
    <row r="239" ht="54" customHeight="1">
      <c r="A239" s="8" t="inlineStr">
        <is>
          <t>C05-P0052</t>
        </is>
      </c>
      <c r="B239" s="8" t="inlineStr">
        <is>
          <t>C05</t>
        </is>
      </c>
      <c r="C239" s="8" t="inlineStr">
        <is>
          <t>Pradhan Mantri Shram Yogi Maan-dhan</t>
        </is>
      </c>
      <c r="D239" s="8" t="inlineStr">
        <is>
          <t>FAQ</t>
        </is>
      </c>
      <c r="E239" s="8" t="inlineStr"/>
      <c r="F239" s="8" t="inlineStr">
        <is>
          <t>faqs.en.faqs[0]</t>
        </is>
      </c>
      <c r="G239" s="8" t="inlineStr">
        <is>
          <t>C05@20261028-fc4e9a2d</t>
        </is>
      </c>
      <c r="H239" s="8" t="n">
        <v>1</v>
      </c>
      <c r="I239" s="8" t="n">
        <v>1</v>
      </c>
      <c r="J239" s="8" t="inlineStr">
        <is>
          <t>Am I required to be within a certain age bracket in order to successfully enroll for these upcoming retirement benefits, and if so, what are those specific age limits that apply?
You must be between 18 and 40 years of age at the time of entry to be eligible for enrollment.</t>
        </is>
      </c>
      <c r="K239" s="8" t="inlineStr">
        <is>
          <t>MS-C05</t>
        </is>
      </c>
      <c r="L239" s="9" t="n">
        <v>46323</v>
      </c>
      <c r="M239" s="8" t="inlineStr">
        <is>
          <t>Approved</t>
        </is>
      </c>
      <c r="N239" s="8" t="inlineStr">
        <is>
          <t>faq</t>
        </is>
      </c>
    </row>
    <row r="240" ht="54" customHeight="1">
      <c r="A240" s="4" t="inlineStr">
        <is>
          <t>C05-P0053</t>
        </is>
      </c>
      <c r="B240" s="4" t="inlineStr">
        <is>
          <t>C05</t>
        </is>
      </c>
      <c r="C240" s="4" t="inlineStr">
        <is>
          <t>Pradhan Mantri Shram Yogi Maan-dhan</t>
        </is>
      </c>
      <c r="D240" s="4" t="inlineStr">
        <is>
          <t>FAQ</t>
        </is>
      </c>
      <c r="E240" s="4" t="inlineStr"/>
      <c r="F240" s="4" t="inlineStr">
        <is>
          <t>faqs.en.faqs[1]</t>
        </is>
      </c>
      <c r="G240" s="4" t="inlineStr">
        <is>
          <t>C05@20261028-fc4e9a2d</t>
        </is>
      </c>
      <c r="H240" s="4" t="n">
        <v>1</v>
      </c>
      <c r="I240" s="4" t="n">
        <v>1</v>
      </c>
      <c r="J240" s="4" t="inlineStr">
        <is>
          <t>Is there any specific maximum earning limit placed on my current monthly wages to qualify for this initiative aimed at assisting unorganized sector laborers with their future security?
Your monthly income must be strictly ₹15,000/- or below to participate.</t>
        </is>
      </c>
      <c r="K240" s="4" t="inlineStr">
        <is>
          <t>MS-C05</t>
        </is>
      </c>
      <c r="L240" s="6" t="n">
        <v>46323</v>
      </c>
      <c r="M240" s="4" t="inlineStr">
        <is>
          <t>Approved</t>
        </is>
      </c>
      <c r="N240" s="4" t="inlineStr">
        <is>
          <t>faq</t>
        </is>
      </c>
    </row>
    <row r="241" ht="82" customHeight="1">
      <c r="A241" s="8" t="inlineStr">
        <is>
          <t>C05-P0054</t>
        </is>
      </c>
      <c r="B241" s="8" t="inlineStr">
        <is>
          <t>C05</t>
        </is>
      </c>
      <c r="C241" s="8" t="inlineStr">
        <is>
          <t>Pradhan Mantri Shram Yogi Maan-dhan</t>
        </is>
      </c>
      <c r="D241" s="8" t="inlineStr">
        <is>
          <t>FAQ</t>
        </is>
      </c>
      <c r="E241" s="8" t="inlineStr"/>
      <c r="F241" s="8" t="inlineStr">
        <is>
          <t>faqs.en.faqs[2]</t>
        </is>
      </c>
      <c r="G241" s="8" t="inlineStr">
        <is>
          <t>C05@20261028-fc4e9a2d</t>
        </is>
      </c>
      <c r="H241" s="8" t="n">
        <v>1</v>
      </c>
      <c r="I241" s="8" t="n">
        <v>1</v>
      </c>
      <c r="J241" s="8" t="inlineStr">
        <is>
          <t>Suppose I am currently making active contributions to the Employees' Provident Fund Organization through my workplace; will I still be permitted to register for these particular financial benefits?
Individuals who hold membership in the Employees' Provident Fund Organization are excluded and cannot enroll.</t>
        </is>
      </c>
      <c r="K241" s="8" t="inlineStr">
        <is>
          <t>MS-C05</t>
        </is>
      </c>
      <c r="L241" s="9" t="n">
        <v>46323</v>
      </c>
      <c r="M241" s="8" t="inlineStr">
        <is>
          <t>Approved</t>
        </is>
      </c>
      <c r="N241" s="8" t="inlineStr">
        <is>
          <t>faq</t>
        </is>
      </c>
    </row>
    <row r="242" ht="68" customHeight="1">
      <c r="A242" s="4" t="inlineStr">
        <is>
          <t>C05-P0055</t>
        </is>
      </c>
      <c r="B242" s="4" t="inlineStr">
        <is>
          <t>C05</t>
        </is>
      </c>
      <c r="C242" s="4" t="inlineStr">
        <is>
          <t>Pradhan Mantri Shram Yogi Maan-dhan</t>
        </is>
      </c>
      <c r="D242" s="4" t="inlineStr">
        <is>
          <t>FAQ</t>
        </is>
      </c>
      <c r="E242" s="4" t="inlineStr"/>
      <c r="F242" s="4" t="inlineStr">
        <is>
          <t>faqs.en.faqs[3]</t>
        </is>
      </c>
      <c r="G242" s="4" t="inlineStr">
        <is>
          <t>C05@20261028-fc4e9a2d</t>
        </is>
      </c>
      <c r="H242" s="4" t="n">
        <v>1</v>
      </c>
      <c r="I242" s="4" t="n">
        <v>1</v>
      </c>
      <c r="J242" s="4" t="inlineStr">
        <is>
          <t>As part of the mandatory enrollment process and identity verification, what specific national identification document must I definitely possess before visiting the Common Services Centre to apply?
You must hold a valid Aadhaar card to successfully register and verify your identity.</t>
        </is>
      </c>
      <c r="K242" s="4" t="inlineStr">
        <is>
          <t>MS-C05</t>
        </is>
      </c>
      <c r="L242" s="6" t="n">
        <v>46323</v>
      </c>
      <c r="M242" s="4" t="inlineStr">
        <is>
          <t>Approved</t>
        </is>
      </c>
      <c r="N242" s="4" t="inlineStr">
        <is>
          <t>faq</t>
        </is>
      </c>
    </row>
    <row r="243" ht="68" customHeight="1">
      <c r="A243" s="8" t="inlineStr">
        <is>
          <t>C05-P0056</t>
        </is>
      </c>
      <c r="B243" s="8" t="inlineStr">
        <is>
          <t>C05</t>
        </is>
      </c>
      <c r="C243" s="8" t="inlineStr">
        <is>
          <t>Pradhan Mantri Shram Yogi Maan-dhan</t>
        </is>
      </c>
      <c r="D243" s="8" t="inlineStr">
        <is>
          <t>FAQ</t>
        </is>
      </c>
      <c r="E243" s="8" t="inlineStr"/>
      <c r="F243" s="8" t="inlineStr">
        <is>
          <t>faqs.en.faqs[4]</t>
        </is>
      </c>
      <c r="G243" s="8" t="inlineStr">
        <is>
          <t>C05@20261028-fc4e9a2d</t>
        </is>
      </c>
      <c r="H243" s="8" t="n">
        <v>1</v>
      </c>
      <c r="I243" s="8" t="n">
        <v>1</v>
      </c>
      <c r="J243" s="8" t="inlineStr">
        <is>
          <t>What specific type of employment category must I belong to, such as a street vendor or a construction laborer, to be considered eligible for this old-age protection initiative?
You must be actively engaged as an unorganized worker, which includes occupations like home-based workers, cobblers, rickshaw pullers, and agricultural laborers, among others.</t>
        </is>
      </c>
      <c r="K243" s="8" t="inlineStr">
        <is>
          <t>MS-C05</t>
        </is>
      </c>
      <c r="L243" s="9" t="n">
        <v>46323</v>
      </c>
      <c r="M243" s="8" t="inlineStr">
        <is>
          <t>Approved</t>
        </is>
      </c>
      <c r="N243" s="8" t="inlineStr">
        <is>
          <t>faq</t>
        </is>
      </c>
    </row>
    <row r="244" ht="68" customHeight="1">
      <c r="A244" s="4" t="inlineStr">
        <is>
          <t>C05-P0057</t>
        </is>
      </c>
      <c r="B244" s="4" t="inlineStr">
        <is>
          <t>C05</t>
        </is>
      </c>
      <c r="C244" s="4" t="inlineStr">
        <is>
          <t>Pradhan Mantri Shram Yogi Maan-dhan</t>
        </is>
      </c>
      <c r="D244" s="4" t="inlineStr">
        <is>
          <t>FAQ</t>
        </is>
      </c>
      <c r="E244" s="4" t="inlineStr"/>
      <c r="F244" s="4" t="inlineStr">
        <is>
          <t>faqs.en.faqs[5]</t>
        </is>
      </c>
      <c r="G244" s="4" t="inlineStr">
        <is>
          <t>C05@20261028-fc4e9a2d</t>
        </is>
      </c>
      <c r="H244" s="4" t="n">
        <v>1</v>
      </c>
      <c r="I244" s="4" t="n">
        <v>1</v>
      </c>
      <c r="J244" s="4" t="inlineStr">
        <is>
          <t>If a portion of my annual earnings reaches a level where I am required to file returns and pay income taxes to the government, am I still allowed to participate?
Anyone who is currently an income tax payer is strictly excluded from participating and receiving these benefits.</t>
        </is>
      </c>
      <c r="K244" s="4" t="inlineStr">
        <is>
          <t>MS-C05</t>
        </is>
      </c>
      <c r="L244" s="6" t="n">
        <v>46323</v>
      </c>
      <c r="M244" s="4" t="inlineStr">
        <is>
          <t>Approved</t>
        </is>
      </c>
      <c r="N244" s="4" t="inlineStr">
        <is>
          <t>faq</t>
        </is>
      </c>
    </row>
    <row r="245" ht="68" customHeight="1">
      <c r="A245" s="8" t="inlineStr">
        <is>
          <t>C05-P0058</t>
        </is>
      </c>
      <c r="B245" s="8" t="inlineStr">
        <is>
          <t>C05</t>
        </is>
      </c>
      <c r="C245" s="8" t="inlineStr">
        <is>
          <t>Pradhan Mantri Shram Yogi Maan-dhan</t>
        </is>
      </c>
      <c r="D245" s="8" t="inlineStr">
        <is>
          <t>FAQ</t>
        </is>
      </c>
      <c r="E245" s="8" t="inlineStr"/>
      <c r="F245" s="8" t="inlineStr">
        <is>
          <t>faqs.en.faqs[6]</t>
        </is>
      </c>
      <c r="G245" s="8" t="inlineStr">
        <is>
          <t>C05@20261028-fc4e9a2d</t>
        </is>
      </c>
      <c r="H245" s="8" t="n">
        <v>1</v>
      </c>
      <c r="I245" s="8" t="n">
        <v>1</v>
      </c>
      <c r="J245" s="8" t="inlineStr">
        <is>
          <t>If I already hold an active retirement account under the National Pension Scheme managed by the government, does that status affect my ability to join this additional protective measure?
Holding a membership in the National Pension Scheme automatically disqualifies you from being able to register.</t>
        </is>
      </c>
      <c r="K245" s="8" t="inlineStr">
        <is>
          <t>MS-C05</t>
        </is>
      </c>
      <c r="L245" s="9" t="n">
        <v>46323</v>
      </c>
      <c r="M245" s="8" t="inlineStr">
        <is>
          <t>Approved</t>
        </is>
      </c>
      <c r="N245" s="8" t="inlineStr">
        <is>
          <t>faq</t>
        </is>
      </c>
    </row>
    <row r="246" ht="68" customHeight="1">
      <c r="A246" s="4" t="inlineStr">
        <is>
          <t>C05-P0059</t>
        </is>
      </c>
      <c r="B246" s="4" t="inlineStr">
        <is>
          <t>C05</t>
        </is>
      </c>
      <c r="C246" s="4" t="inlineStr">
        <is>
          <t>Pradhan Mantri Shram Yogi Maan-dhan</t>
        </is>
      </c>
      <c r="D246" s="4" t="inlineStr">
        <is>
          <t>FAQ</t>
        </is>
      </c>
      <c r="E246" s="4" t="inlineStr"/>
      <c r="F246" s="4" t="inlineStr">
        <is>
          <t>faqs.en.faqs[7]</t>
        </is>
      </c>
      <c r="G246" s="4" t="inlineStr">
        <is>
          <t>C05@20261028-fc4e9a2d</t>
        </is>
      </c>
      <c r="H246" s="4" t="n">
        <v>1</v>
      </c>
      <c r="I246" s="4" t="n">
        <v>1</v>
      </c>
      <c r="J246" s="4" t="inlineStr">
        <is>
          <t>To ensure that my monthly financial contributions are correctly processed through the automated debit system, what specific type of financial account do I need to maintain?
You are required to hold either a Savings Bank Account or a Jan Dhan account, along with its specific Indian Financial System Code.</t>
        </is>
      </c>
      <c r="K246" s="4" t="inlineStr">
        <is>
          <t>MS-C05</t>
        </is>
      </c>
      <c r="L246" s="6" t="n">
        <v>46323</v>
      </c>
      <c r="M246" s="4" t="inlineStr">
        <is>
          <t>Approved</t>
        </is>
      </c>
      <c r="N246" s="4" t="inlineStr">
        <is>
          <t>faq</t>
        </is>
      </c>
    </row>
    <row r="247" ht="68" customHeight="1">
      <c r="A247" s="8" t="inlineStr">
        <is>
          <t>C05-P0060</t>
        </is>
      </c>
      <c r="B247" s="8" t="inlineStr">
        <is>
          <t>C05</t>
        </is>
      </c>
      <c r="C247" s="8" t="inlineStr">
        <is>
          <t>Pradhan Mantri Shram Yogi Maan-dhan</t>
        </is>
      </c>
      <c r="D247" s="8" t="inlineStr">
        <is>
          <t>FAQ</t>
        </is>
      </c>
      <c r="E247" s="8" t="inlineStr"/>
      <c r="F247" s="8" t="inlineStr">
        <is>
          <t>faqs.en.faqs[8]</t>
        </is>
      </c>
      <c r="G247" s="8" t="inlineStr">
        <is>
          <t>C05@20261028-fc4e9a2d</t>
        </is>
      </c>
      <c r="H247" s="8" t="n">
        <v>1</v>
      </c>
      <c r="I247" s="8" t="n">
        <v>1</v>
      </c>
      <c r="J247" s="8" t="inlineStr">
        <is>
          <t>Would an individual who is formally employed by a registered company within the organized sector be granted permission to seek enrollment and avail the associated financial advantages?
Workers engaged in the organized sector are strictly not eligible to apply for or receive benefits.</t>
        </is>
      </c>
      <c r="K247" s="8" t="inlineStr">
        <is>
          <t>MS-C05</t>
        </is>
      </c>
      <c r="L247" s="9" t="n">
        <v>46323</v>
      </c>
      <c r="M247" s="8" t="inlineStr">
        <is>
          <t>Approved</t>
        </is>
      </c>
      <c r="N247" s="8" t="inlineStr">
        <is>
          <t>faq</t>
        </is>
      </c>
    </row>
    <row r="248" ht="68" customHeight="1">
      <c r="A248" s="4" t="inlineStr">
        <is>
          <t>C05-P0061</t>
        </is>
      </c>
      <c r="B248" s="4" t="inlineStr">
        <is>
          <t>C05</t>
        </is>
      </c>
      <c r="C248" s="4" t="inlineStr">
        <is>
          <t>Pradhan Mantri Shram Yogi Maan-dhan</t>
        </is>
      </c>
      <c r="D248" s="4" t="inlineStr">
        <is>
          <t>FAQ</t>
        </is>
      </c>
      <c r="E248" s="4" t="inlineStr"/>
      <c r="F248" s="4" t="inlineStr">
        <is>
          <t>faqs.en.faqs[9]</t>
        </is>
      </c>
      <c r="G248" s="4" t="inlineStr">
        <is>
          <t>C05@20261028-fc4e9a2d</t>
        </is>
      </c>
      <c r="H248" s="4" t="n">
        <v>1</v>
      </c>
      <c r="I248" s="4" t="n">
        <v>1</v>
      </c>
      <c r="J248" s="4" t="inlineStr">
        <is>
          <t>In the event that my current employer provides me with medical and cash benefits under the Employees' State Insurance Corporation scheme, am I still considered an eligible applicant?
Membership in the Employees' State Insurance Corporation scheme makes you entirely ineligible to participate.</t>
        </is>
      </c>
      <c r="K248" s="4" t="inlineStr">
        <is>
          <t>MS-C05</t>
        </is>
      </c>
      <c r="L248" s="6" t="n">
        <v>46323</v>
      </c>
      <c r="M248" s="4" t="inlineStr">
        <is>
          <t>Approved</t>
        </is>
      </c>
      <c r="N248" s="4" t="inlineStr">
        <is>
          <t>faq</t>
        </is>
      </c>
    </row>
    <row r="249" ht="68" customHeight="1">
      <c r="A249" s="8" t="inlineStr">
        <is>
          <t>C05-P0062</t>
        </is>
      </c>
      <c r="B249" s="8" t="inlineStr">
        <is>
          <t>C05</t>
        </is>
      </c>
      <c r="C249" s="8" t="inlineStr">
        <is>
          <t>Pradhan Mantri Shram Yogi Maan-dhan</t>
        </is>
      </c>
      <c r="D249" s="8" t="inlineStr">
        <is>
          <t>FAQ</t>
        </is>
      </c>
      <c r="E249" s="8" t="inlineStr"/>
      <c r="F249" s="8" t="inlineStr">
        <is>
          <t>faqs.en.faqs[10]</t>
        </is>
      </c>
      <c r="G249" s="8" t="inlineStr">
        <is>
          <t>C05@20261028-fc4e9a2d</t>
        </is>
      </c>
      <c r="H249" s="8" t="n">
        <v>1</v>
      </c>
      <c r="I249" s="8" t="n">
        <v>1</v>
      </c>
      <c r="J249" s="8" t="inlineStr">
        <is>
          <t>In order to receive timely updates, short message service alerts, and actively manage my registration profile, what specific personal electronic device am I required to own?
You must possess a working mobile phone to receive important notifications and activation messages regarding your account.</t>
        </is>
      </c>
      <c r="K249" s="8" t="inlineStr">
        <is>
          <t>MS-C05</t>
        </is>
      </c>
      <c r="L249" s="9" t="n">
        <v>46323</v>
      </c>
      <c r="M249" s="8" t="inlineStr">
        <is>
          <t>Approved</t>
        </is>
      </c>
      <c r="N249" s="8" t="inlineStr">
        <is>
          <t>faq</t>
        </is>
      </c>
    </row>
    <row r="250" ht="82" customHeight="1">
      <c r="A250" s="4" t="inlineStr">
        <is>
          <t>C05-P0063</t>
        </is>
      </c>
      <c r="B250" s="4" t="inlineStr">
        <is>
          <t>C05</t>
        </is>
      </c>
      <c r="C250" s="4" t="inlineStr">
        <is>
          <t>Pradhan Mantri Shram Yogi Maan-dhan</t>
        </is>
      </c>
      <c r="D250" s="4" t="inlineStr">
        <is>
          <t>FAQ</t>
        </is>
      </c>
      <c r="E250" s="4" t="inlineStr"/>
      <c r="F250" s="4" t="inlineStr">
        <is>
          <t>faqs.en.faqs[11]</t>
        </is>
      </c>
      <c r="G250" s="4" t="inlineStr">
        <is>
          <t>C05@20261028-fc4e9a2d</t>
        </is>
      </c>
      <c r="H250" s="4" t="n">
        <v>1</v>
      </c>
      <c r="I250" s="4" t="n">
        <v>1</v>
      </c>
      <c r="J250" s="4" t="inlineStr">
        <is>
          <t>Are there any mandatory schooling certificates, college degrees, or minimum educational qualifications that I must present to the authorities to prove my eligibility to join this initiative?
There are absolutely no minimum educational qualifications required to register and become a beneficiary.</t>
        </is>
      </c>
      <c r="K250" s="4" t="inlineStr">
        <is>
          <t>MS-C05</t>
        </is>
      </c>
      <c r="L250" s="6" t="n">
        <v>46323</v>
      </c>
      <c r="M250" s="4" t="inlineStr">
        <is>
          <t>Approved</t>
        </is>
      </c>
      <c r="N250" s="4" t="inlineStr">
        <is>
          <t>faq</t>
        </is>
      </c>
    </row>
    <row r="251" ht="68" customHeight="1">
      <c r="A251" s="8" t="inlineStr">
        <is>
          <t>C05-P0064</t>
        </is>
      </c>
      <c r="B251" s="8" t="inlineStr">
        <is>
          <t>C05</t>
        </is>
      </c>
      <c r="C251" s="8" t="inlineStr">
        <is>
          <t>Pradhan Mantri Shram Yogi Maan-dhan</t>
        </is>
      </c>
      <c r="D251" s="8" t="inlineStr">
        <is>
          <t>FAQ</t>
        </is>
      </c>
      <c r="E251" s="8" t="inlineStr"/>
      <c r="F251" s="8" t="inlineStr">
        <is>
          <t>faqs.en.faqs[12]</t>
        </is>
      </c>
      <c r="G251" s="8" t="inlineStr">
        <is>
          <t>C05@20261028-fc4e9a2d</t>
        </is>
      </c>
      <c r="H251" s="8" t="n">
        <v>1</v>
      </c>
      <c r="I251" s="8" t="n">
        <v>1</v>
      </c>
      <c r="J251" s="8" t="inlineStr">
        <is>
          <t>If I am already registered as an active beneficiary under the Atal Pension Yojana program, will I be restricted from submitting an application to join this particular initiative as well?
You are completely allowed to enroll in this initiative even if you are concurrently subscribed to the Atal Pension Yojana, provided you meet all other criteria.</t>
        </is>
      </c>
      <c r="K251" s="8" t="inlineStr">
        <is>
          <t>MS-C05</t>
        </is>
      </c>
      <c r="L251" s="9" t="n">
        <v>46323</v>
      </c>
      <c r="M251" s="8" t="inlineStr">
        <is>
          <t>Approved</t>
        </is>
      </c>
      <c r="N251" s="8" t="inlineStr">
        <is>
          <t>faq</t>
        </is>
      </c>
    </row>
    <row r="252" ht="82" customHeight="1">
      <c r="A252" s="4" t="inlineStr">
        <is>
          <t>C05-P0065</t>
        </is>
      </c>
      <c r="B252" s="4" t="inlineStr">
        <is>
          <t>C05</t>
        </is>
      </c>
      <c r="C252" s="4" t="inlineStr">
        <is>
          <t>Pradhan Mantri Shram Yogi Maan-dhan</t>
        </is>
      </c>
      <c r="D252" s="4" t="inlineStr">
        <is>
          <t>FAQ</t>
        </is>
      </c>
      <c r="E252" s="4" t="inlineStr"/>
      <c r="F252" s="4" t="inlineStr">
        <is>
          <t>faqs.en.faqs[13]</t>
        </is>
      </c>
      <c r="G252" s="4" t="inlineStr">
        <is>
          <t>C05@20261028-fc4e9a2d</t>
        </is>
      </c>
      <c r="H252" s="4" t="n">
        <v>1</v>
      </c>
      <c r="I252" s="4" t="n">
        <v>1</v>
      </c>
      <c r="J252" s="4" t="inlineStr">
        <is>
          <t>In cases where my state government already provides me with certain welfare benefits specifically designed for unorganized laborers, am I still permitted to sign up for this national program?
You can indeed avail the benefits of this initiative even if you are receiving benefits from state-level unorganized worker programs, assuming you meet the basic eligibility criteria.</t>
        </is>
      </c>
      <c r="K252" s="4" t="inlineStr">
        <is>
          <t>MS-C05</t>
        </is>
      </c>
      <c r="L252" s="6" t="n">
        <v>46323</v>
      </c>
      <c r="M252" s="4" t="inlineStr">
        <is>
          <t>Approved</t>
        </is>
      </c>
      <c r="N252" s="4" t="inlineStr">
        <is>
          <t>faq</t>
        </is>
      </c>
    </row>
    <row r="253" ht="54" customHeight="1">
      <c r="A253" s="8" t="inlineStr">
        <is>
          <t>C06-P0001</t>
        </is>
      </c>
      <c r="B253" s="8" t="inlineStr">
        <is>
          <t>C06</t>
        </is>
      </c>
      <c r="C253" s="8" t="inlineStr">
        <is>
          <t>Indira Gandhi National Widow Pension Scheme</t>
        </is>
      </c>
      <c r="D253" s="8" t="inlineStr">
        <is>
          <t>Details</t>
        </is>
      </c>
      <c r="E253" s="8" t="inlineStr"/>
      <c r="F253" s="8" t="inlineStr">
        <is>
          <t>en.schemeContent.detailedDescription[0]</t>
        </is>
      </c>
      <c r="G253" s="8" t="inlineStr">
        <is>
          <t>C06@20261028-7c399dda</t>
        </is>
      </c>
      <c r="H253" s="8" t="n">
        <v>1</v>
      </c>
      <c r="I253" s="8" t="n">
        <v>1</v>
      </c>
      <c r="J253" s="8" t="inlineStr">
        <is>
          <t>Indira Gandhi National Widow Pension Scheme (IGNWPS) is implemented by Ministry of Rural Development, Government of India. It is a non-contributory pension scheme to provide social security to widows of poor family (BPL)  of the society.</t>
        </is>
      </c>
      <c r="K253" s="8" t="inlineStr">
        <is>
          <t>MS-C06</t>
        </is>
      </c>
      <c r="L253" s="9" t="n">
        <v>46323</v>
      </c>
      <c r="M253" s="8" t="inlineStr">
        <is>
          <t>Approved</t>
        </is>
      </c>
      <c r="N253" s="8" t="inlineStr">
        <is>
          <t>paragraph</t>
        </is>
      </c>
    </row>
    <row r="254" ht="40" customHeight="1">
      <c r="A254" s="4" t="inlineStr">
        <is>
          <t>C06-P0002</t>
        </is>
      </c>
      <c r="B254" s="4" t="inlineStr">
        <is>
          <t>C06</t>
        </is>
      </c>
      <c r="C254" s="4" t="inlineStr">
        <is>
          <t>Indira Gandhi National Widow Pension Scheme</t>
        </is>
      </c>
      <c r="D254" s="4" t="inlineStr">
        <is>
          <t>Benefits</t>
        </is>
      </c>
      <c r="E254" s="4" t="inlineStr"/>
      <c r="F254" s="4" t="inlineStr">
        <is>
          <t>en.schemeContent.benefits[0]</t>
        </is>
      </c>
      <c r="G254" s="4" t="inlineStr">
        <is>
          <t>C06@20261028-7c399dda</t>
        </is>
      </c>
      <c r="H254" s="4" t="n">
        <v>1</v>
      </c>
      <c r="I254" s="4" t="n">
        <v>1</v>
      </c>
      <c r="J254" s="4" t="inlineStr">
        <is>
          <t>A pension of Rs.300/- per month is provided to Widows between 40 years and 79 years. For persons who are 80 years and above the pension is Rs.500/- per month.</t>
        </is>
      </c>
      <c r="K254" s="4" t="inlineStr">
        <is>
          <t>MS-C06</t>
        </is>
      </c>
      <c r="L254" s="6" t="n">
        <v>46323</v>
      </c>
      <c r="M254" s="4" t="inlineStr">
        <is>
          <t>Approved</t>
        </is>
      </c>
      <c r="N254" s="4" t="inlineStr">
        <is>
          <t>paragraph</t>
        </is>
      </c>
    </row>
    <row r="255" ht="40" customHeight="1">
      <c r="A255" s="8" t="inlineStr">
        <is>
          <t>C06-P0003</t>
        </is>
      </c>
      <c r="B255" s="8" t="inlineStr">
        <is>
          <t>C06</t>
        </is>
      </c>
      <c r="C255" s="8" t="inlineStr">
        <is>
          <t>Indira Gandhi National Widow Pension Scheme</t>
        </is>
      </c>
      <c r="D255" s="8" t="inlineStr">
        <is>
          <t>Eligibility</t>
        </is>
      </c>
      <c r="E255" s="8" t="inlineStr"/>
      <c r="F255" s="8" t="inlineStr">
        <is>
          <t>en.eligibilityCriteria.eligibilityDescription[0]</t>
        </is>
      </c>
      <c r="G255" s="8" t="inlineStr">
        <is>
          <t>C06@20261028-7c399dda</t>
        </is>
      </c>
      <c r="H255" s="8" t="n">
        <v>1</v>
      </c>
      <c r="I255" s="8" t="n">
        <v>1</v>
      </c>
      <c r="J255" s="8" t="inlineStr">
        <is>
          <t>The eligibility criteria under Indira Gandhi National Widow Pension Scheme (IGNWPS) is:-</t>
        </is>
      </c>
      <c r="K255" s="8" t="inlineStr">
        <is>
          <t>MS-C06</t>
        </is>
      </c>
      <c r="L255" s="9" t="n">
        <v>46323</v>
      </c>
      <c r="M255" s="8" t="inlineStr">
        <is>
          <t>Approved</t>
        </is>
      </c>
      <c r="N255" s="8" t="inlineStr">
        <is>
          <t>paragraph</t>
        </is>
      </c>
    </row>
    <row r="256" ht="40" customHeight="1">
      <c r="A256" s="4" t="inlineStr">
        <is>
          <t>C06-P0004</t>
        </is>
      </c>
      <c r="B256" s="4" t="inlineStr">
        <is>
          <t>C06</t>
        </is>
      </c>
      <c r="C256" s="4" t="inlineStr">
        <is>
          <t>Indira Gandhi National Widow Pension Scheme</t>
        </is>
      </c>
      <c r="D256" s="4" t="inlineStr">
        <is>
          <t>Eligibility</t>
        </is>
      </c>
      <c r="E256" s="4" t="inlineStr"/>
      <c r="F256" s="4" t="inlineStr">
        <is>
          <t>en.eligibilityCriteria.eligibilityDescription[2].children[0]</t>
        </is>
      </c>
      <c r="G256" s="4" t="inlineStr">
        <is>
          <t>C06@20261028-7c399dda</t>
        </is>
      </c>
      <c r="H256" s="4" t="n">
        <v>1</v>
      </c>
      <c r="I256" s="4" t="n">
        <v>1</v>
      </c>
      <c r="J256" s="4" t="inlineStr">
        <is>
          <t>The applicant must be a widow in the age group of 40-79 years.</t>
        </is>
      </c>
      <c r="K256" s="4" t="inlineStr">
        <is>
          <t>MS-C06</t>
        </is>
      </c>
      <c r="L256" s="6" t="n">
        <v>46323</v>
      </c>
      <c r="M256" s="4" t="inlineStr">
        <is>
          <t>Approved</t>
        </is>
      </c>
      <c r="N256" s="4" t="inlineStr">
        <is>
          <t>list_item</t>
        </is>
      </c>
    </row>
    <row r="257" ht="40" customHeight="1">
      <c r="A257" s="8" t="inlineStr">
        <is>
          <t>C06-P0005</t>
        </is>
      </c>
      <c r="B257" s="8" t="inlineStr">
        <is>
          <t>C06</t>
        </is>
      </c>
      <c r="C257" s="8" t="inlineStr">
        <is>
          <t>Indira Gandhi National Widow Pension Scheme</t>
        </is>
      </c>
      <c r="D257" s="8" t="inlineStr">
        <is>
          <t>Eligibility</t>
        </is>
      </c>
      <c r="E257" s="8" t="inlineStr"/>
      <c r="F257" s="8" t="inlineStr">
        <is>
          <t>en.eligibilityCriteria.eligibilityDescription[2].children[1]</t>
        </is>
      </c>
      <c r="G257" s="8" t="inlineStr">
        <is>
          <t>C06@20261028-7c399dda</t>
        </is>
      </c>
      <c r="H257" s="8" t="n">
        <v>1</v>
      </c>
      <c r="I257" s="8" t="n">
        <v>1</v>
      </c>
      <c r="J257" s="8" t="inlineStr">
        <is>
          <t>The applicant should belong to a household living below the poverty line according to the criteria prescribed by the Govt. of India</t>
        </is>
      </c>
      <c r="K257" s="8" t="inlineStr">
        <is>
          <t>MS-C06</t>
        </is>
      </c>
      <c r="L257" s="9" t="n">
        <v>46323</v>
      </c>
      <c r="M257" s="8" t="inlineStr">
        <is>
          <t>Approved</t>
        </is>
      </c>
      <c r="N257" s="8" t="inlineStr">
        <is>
          <t>list_item</t>
        </is>
      </c>
    </row>
    <row r="258" ht="40" customHeight="1">
      <c r="A258" s="4" t="inlineStr">
        <is>
          <t>C06-P0006</t>
        </is>
      </c>
      <c r="B258" s="4" t="inlineStr">
        <is>
          <t>C06</t>
        </is>
      </c>
      <c r="C258" s="4" t="inlineStr">
        <is>
          <t>Indira Gandhi National Widow Pension Scheme</t>
        </is>
      </c>
      <c r="D258" s="4" t="inlineStr">
        <is>
          <t>Exclusions</t>
        </is>
      </c>
      <c r="E258" s="4" t="inlineStr"/>
      <c r="F258" s="4" t="inlineStr">
        <is>
          <t>en.schemeContent.exclusions[0]</t>
        </is>
      </c>
      <c r="G258" s="4" t="inlineStr">
        <is>
          <t>C06@20261028-7c399dda</t>
        </is>
      </c>
      <c r="H258" s="4" t="n">
        <v>1</v>
      </c>
      <c r="I258" s="4" t="n">
        <v>1</v>
      </c>
      <c r="J258" s="4" t="inlineStr">
        <is>
          <t>Pension will be discontinued</t>
        </is>
      </c>
      <c r="K258" s="4" t="inlineStr">
        <is>
          <t>MS-C06</t>
        </is>
      </c>
      <c r="L258" s="6" t="n">
        <v>46323</v>
      </c>
      <c r="M258" s="4" t="inlineStr">
        <is>
          <t>Approved</t>
        </is>
      </c>
      <c r="N258" s="4" t="inlineStr">
        <is>
          <t>paragraph</t>
        </is>
      </c>
    </row>
    <row r="259" ht="40" customHeight="1">
      <c r="A259" s="8" t="inlineStr">
        <is>
          <t>C06-P0007</t>
        </is>
      </c>
      <c r="B259" s="8" t="inlineStr">
        <is>
          <t>C06</t>
        </is>
      </c>
      <c r="C259" s="8" t="inlineStr">
        <is>
          <t>Indira Gandhi National Widow Pension Scheme</t>
        </is>
      </c>
      <c r="D259" s="8" t="inlineStr">
        <is>
          <t>Exclusions</t>
        </is>
      </c>
      <c r="E259" s="8" t="inlineStr"/>
      <c r="F259" s="8" t="inlineStr">
        <is>
          <t>en.schemeContent.exclusions[2].children[0]</t>
        </is>
      </c>
      <c r="G259" s="8" t="inlineStr">
        <is>
          <t>C06@20261028-7c399dda</t>
        </is>
      </c>
      <c r="H259" s="8" t="n">
        <v>1</v>
      </c>
      <c r="I259" s="8" t="n">
        <v>1</v>
      </c>
      <c r="J259" s="8" t="inlineStr">
        <is>
          <t>In case of remarriage of widow</t>
        </is>
      </c>
      <c r="K259" s="8" t="inlineStr">
        <is>
          <t>MS-C06</t>
        </is>
      </c>
      <c r="L259" s="9" t="n">
        <v>46323</v>
      </c>
      <c r="M259" s="8" t="inlineStr">
        <is>
          <t>Approved</t>
        </is>
      </c>
      <c r="N259" s="8" t="inlineStr">
        <is>
          <t>list_item</t>
        </is>
      </c>
    </row>
    <row r="260" ht="40" customHeight="1">
      <c r="A260" s="4" t="inlineStr">
        <is>
          <t>C06-P0008</t>
        </is>
      </c>
      <c r="B260" s="4" t="inlineStr">
        <is>
          <t>C06</t>
        </is>
      </c>
      <c r="C260" s="4" t="inlineStr">
        <is>
          <t>Indira Gandhi National Widow Pension Scheme</t>
        </is>
      </c>
      <c r="D260" s="4" t="inlineStr">
        <is>
          <t>Exclusions</t>
        </is>
      </c>
      <c r="E260" s="4" t="inlineStr"/>
      <c r="F260" s="4" t="inlineStr">
        <is>
          <t>en.schemeContent.exclusions[2].children[1]</t>
        </is>
      </c>
      <c r="G260" s="4" t="inlineStr">
        <is>
          <t>C06@20261028-7c399dda</t>
        </is>
      </c>
      <c r="H260" s="4" t="n">
        <v>1</v>
      </c>
      <c r="I260" s="4" t="n">
        <v>1</v>
      </c>
      <c r="J260" s="4" t="inlineStr">
        <is>
          <t>Once the widow moves above poverty line</t>
        </is>
      </c>
      <c r="K260" s="4" t="inlineStr">
        <is>
          <t>MS-C06</t>
        </is>
      </c>
      <c r="L260" s="6" t="n">
        <v>46323</v>
      </c>
      <c r="M260" s="4" t="inlineStr">
        <is>
          <t>Approved</t>
        </is>
      </c>
      <c r="N260" s="4" t="inlineStr">
        <is>
          <t>list_item</t>
        </is>
      </c>
    </row>
    <row r="261" ht="40" customHeight="1">
      <c r="A261" s="8" t="inlineStr">
        <is>
          <t>C06-P0009</t>
        </is>
      </c>
      <c r="B261" s="8" t="inlineStr">
        <is>
          <t>C06</t>
        </is>
      </c>
      <c r="C261" s="8" t="inlineStr">
        <is>
          <t>Indira Gandhi National Widow Pension Scheme</t>
        </is>
      </c>
      <c r="D261" s="8" t="inlineStr">
        <is>
          <t>Applicant documents</t>
        </is>
      </c>
      <c r="E261" s="8" t="inlineStr"/>
      <c r="F261" s="8" t="inlineStr">
        <is>
          <t>documents.en.documents_required[0].children[0]</t>
        </is>
      </c>
      <c r="G261" s="8" t="inlineStr">
        <is>
          <t>C06@20261028-7c399dda</t>
        </is>
      </c>
      <c r="H261" s="8" t="n">
        <v>1</v>
      </c>
      <c r="I261" s="8" t="n">
        <v>1</v>
      </c>
      <c r="J261" s="8" t="inlineStr">
        <is>
          <t>Death Certificate of husband – With the name of the surviving wife(widow).</t>
        </is>
      </c>
      <c r="K261" s="8" t="inlineStr">
        <is>
          <t>MS-C06</t>
        </is>
      </c>
      <c r="L261" s="9" t="n">
        <v>46323</v>
      </c>
      <c r="M261" s="8" t="inlineStr">
        <is>
          <t>Approved</t>
        </is>
      </c>
      <c r="N261" s="8" t="inlineStr">
        <is>
          <t>list_item</t>
        </is>
      </c>
    </row>
    <row r="262" ht="40" customHeight="1">
      <c r="A262" s="4" t="inlineStr">
        <is>
          <t>C06-P0010</t>
        </is>
      </c>
      <c r="B262" s="4" t="inlineStr">
        <is>
          <t>C06</t>
        </is>
      </c>
      <c r="C262" s="4" t="inlineStr">
        <is>
          <t>Indira Gandhi National Widow Pension Scheme</t>
        </is>
      </c>
      <c r="D262" s="4" t="inlineStr">
        <is>
          <t>Applicant documents</t>
        </is>
      </c>
      <c r="E262" s="4" t="inlineStr"/>
      <c r="F262" s="4" t="inlineStr">
        <is>
          <t>documents.en.documents_required[0].children[1]</t>
        </is>
      </c>
      <c r="G262" s="4" t="inlineStr">
        <is>
          <t>C06@20261028-7c399dda</t>
        </is>
      </c>
      <c r="H262" s="4" t="n">
        <v>1</v>
      </c>
      <c r="I262" s="4" t="n">
        <v>1</v>
      </c>
      <c r="J262" s="4" t="inlineStr">
        <is>
          <t>BPL Card.</t>
        </is>
      </c>
      <c r="K262" s="4" t="inlineStr">
        <is>
          <t>MS-C06</t>
        </is>
      </c>
      <c r="L262" s="6" t="n">
        <v>46323</v>
      </c>
      <c r="M262" s="4" t="inlineStr">
        <is>
          <t>Approved</t>
        </is>
      </c>
      <c r="N262" s="4" t="inlineStr">
        <is>
          <t>list_item</t>
        </is>
      </c>
    </row>
    <row r="263" ht="54" customHeight="1">
      <c r="A263" s="8" t="inlineStr">
        <is>
          <t>C06-P0011</t>
        </is>
      </c>
      <c r="B263" s="8" t="inlineStr">
        <is>
          <t>C06</t>
        </is>
      </c>
      <c r="C263" s="8" t="inlineStr">
        <is>
          <t>Indira Gandhi National Widow Pension Scheme</t>
        </is>
      </c>
      <c r="D263" s="8" t="inlineStr">
        <is>
          <t>Applicant documents</t>
        </is>
      </c>
      <c r="E263" s="8" t="inlineStr"/>
      <c r="F263" s="8" t="inlineStr">
        <is>
          <t>documents.en.documents_required[0].children[2]</t>
        </is>
      </c>
      <c r="G263" s="8" t="inlineStr">
        <is>
          <t>C06@20261028-7c399dda</t>
        </is>
      </c>
      <c r="H263" s="8" t="n">
        <v>1</v>
      </c>
      <c r="I263" s="8" t="n">
        <v>1</v>
      </c>
      <c r="J263" s="8" t="inlineStr">
        <is>
          <t>Age Proof - For age, the birth certificate or school certificate may be relied on. In their absence ration card and EPIC may be considered. If there is no valid document, any Medical Officer of any government hospital may be authorized to issue the age certificate.</t>
        </is>
      </c>
      <c r="K263" s="8" t="inlineStr">
        <is>
          <t>MS-C06</t>
        </is>
      </c>
      <c r="L263" s="9" t="n">
        <v>46323</v>
      </c>
      <c r="M263" s="8" t="inlineStr">
        <is>
          <t>Approved</t>
        </is>
      </c>
      <c r="N263" s="8" t="inlineStr">
        <is>
          <t>list_item</t>
        </is>
      </c>
    </row>
    <row r="264" ht="40" customHeight="1">
      <c r="A264" s="4" t="inlineStr">
        <is>
          <t>C06-P0012</t>
        </is>
      </c>
      <c r="B264" s="4" t="inlineStr">
        <is>
          <t>C06</t>
        </is>
      </c>
      <c r="C264" s="4" t="inlineStr">
        <is>
          <t>Indira Gandhi National Widow Pension Scheme</t>
        </is>
      </c>
      <c r="D264" s="4" t="inlineStr">
        <is>
          <t>Application process</t>
        </is>
      </c>
      <c r="E264" s="4" t="inlineStr"/>
      <c r="F264" s="4" t="inlineStr">
        <is>
          <t>en.applicationProcess[0].process[0].children[0]</t>
        </is>
      </c>
      <c r="G264" s="4" t="inlineStr">
        <is>
          <t>C06@20261028-7c399dda</t>
        </is>
      </c>
      <c r="H264" s="4" t="n">
        <v>1</v>
      </c>
      <c r="I264" s="4" t="n">
        <v>1</v>
      </c>
      <c r="J264" s="4" t="inlineStr">
        <is>
          <t>One can download UMANG App or visit website https://web.umang.gov.in/web_new/home</t>
        </is>
      </c>
      <c r="K264" s="4" t="inlineStr">
        <is>
          <t>MS-C06</t>
        </is>
      </c>
      <c r="L264" s="6" t="n">
        <v>46323</v>
      </c>
      <c r="M264" s="4" t="inlineStr">
        <is>
          <t>Approved</t>
        </is>
      </c>
      <c r="N264" s="4" t="inlineStr">
        <is>
          <t>list_item</t>
        </is>
      </c>
    </row>
    <row r="265" ht="40" customHeight="1">
      <c r="A265" s="8" t="inlineStr">
        <is>
          <t>C06-P0013</t>
        </is>
      </c>
      <c r="B265" s="8" t="inlineStr">
        <is>
          <t>C06</t>
        </is>
      </c>
      <c r="C265" s="8" t="inlineStr">
        <is>
          <t>Indira Gandhi National Widow Pension Scheme</t>
        </is>
      </c>
      <c r="D265" s="8" t="inlineStr">
        <is>
          <t>Application process</t>
        </is>
      </c>
      <c r="E265" s="8" t="inlineStr"/>
      <c r="F265" s="8" t="inlineStr">
        <is>
          <t>en.applicationProcess[0].process[0].children[1]</t>
        </is>
      </c>
      <c r="G265" s="8" t="inlineStr">
        <is>
          <t>C06@20261028-7c399dda</t>
        </is>
      </c>
      <c r="H265" s="8" t="n">
        <v>1</v>
      </c>
      <c r="I265" s="8" t="n">
        <v>1</v>
      </c>
      <c r="J265" s="8" t="inlineStr">
        <is>
          <t>The citizen can login using mobile number and OTP.</t>
        </is>
      </c>
      <c r="K265" s="8" t="inlineStr">
        <is>
          <t>MS-C06</t>
        </is>
      </c>
      <c r="L265" s="9" t="n">
        <v>46323</v>
      </c>
      <c r="M265" s="8" t="inlineStr">
        <is>
          <t>Approved</t>
        </is>
      </c>
      <c r="N265" s="8" t="inlineStr">
        <is>
          <t>list_item</t>
        </is>
      </c>
    </row>
    <row r="266" ht="40" customHeight="1">
      <c r="A266" s="4" t="inlineStr">
        <is>
          <t>C06-P0014</t>
        </is>
      </c>
      <c r="B266" s="4" t="inlineStr">
        <is>
          <t>C06</t>
        </is>
      </c>
      <c r="C266" s="4" t="inlineStr">
        <is>
          <t>Indira Gandhi National Widow Pension Scheme</t>
        </is>
      </c>
      <c r="D266" s="4" t="inlineStr">
        <is>
          <t>Application process</t>
        </is>
      </c>
      <c r="E266" s="4" t="inlineStr"/>
      <c r="F266" s="4" t="inlineStr">
        <is>
          <t>en.applicationProcess[0].process[0].children[2]</t>
        </is>
      </c>
      <c r="G266" s="4" t="inlineStr">
        <is>
          <t>C06@20261028-7c399dda</t>
        </is>
      </c>
      <c r="H266" s="4" t="n">
        <v>1</v>
      </c>
      <c r="I266" s="4" t="n">
        <v>1</v>
      </c>
      <c r="J266" s="4" t="inlineStr">
        <is>
          <t>Once logged In, citizen can search for NSAP.</t>
        </is>
      </c>
      <c r="K266" s="4" t="inlineStr">
        <is>
          <t>MS-C06</t>
        </is>
      </c>
      <c r="L266" s="6" t="n">
        <v>46323</v>
      </c>
      <c r="M266" s="4" t="inlineStr">
        <is>
          <t>Approved</t>
        </is>
      </c>
      <c r="N266" s="4" t="inlineStr">
        <is>
          <t>list_item</t>
        </is>
      </c>
    </row>
    <row r="267" ht="40" customHeight="1">
      <c r="A267" s="8" t="inlineStr">
        <is>
          <t>C06-P0015</t>
        </is>
      </c>
      <c r="B267" s="8" t="inlineStr">
        <is>
          <t>C06</t>
        </is>
      </c>
      <c r="C267" s="8" t="inlineStr">
        <is>
          <t>Indira Gandhi National Widow Pension Scheme</t>
        </is>
      </c>
      <c r="D267" s="8" t="inlineStr">
        <is>
          <t>Application process</t>
        </is>
      </c>
      <c r="E267" s="8" t="inlineStr"/>
      <c r="F267" s="8" t="inlineStr">
        <is>
          <t>en.applicationProcess[0].process[0].children[3]</t>
        </is>
      </c>
      <c r="G267" s="8" t="inlineStr">
        <is>
          <t>C06@20261028-7c399dda</t>
        </is>
      </c>
      <c r="H267" s="8" t="n">
        <v>1</v>
      </c>
      <c r="I267" s="8" t="n">
        <v>1</v>
      </c>
      <c r="J267" s="8" t="inlineStr">
        <is>
          <t>Click on “Apply Online”</t>
        </is>
      </c>
      <c r="K267" s="8" t="inlineStr">
        <is>
          <t>MS-C06</t>
        </is>
      </c>
      <c r="L267" s="9" t="n">
        <v>46323</v>
      </c>
      <c r="M267" s="8" t="inlineStr">
        <is>
          <t>Approved</t>
        </is>
      </c>
      <c r="N267" s="8" t="inlineStr">
        <is>
          <t>list_item</t>
        </is>
      </c>
    </row>
    <row r="268" ht="40" customHeight="1">
      <c r="A268" s="4" t="inlineStr">
        <is>
          <t>C06-P0016</t>
        </is>
      </c>
      <c r="B268" s="4" t="inlineStr">
        <is>
          <t>C06</t>
        </is>
      </c>
      <c r="C268" s="4" t="inlineStr">
        <is>
          <t>Indira Gandhi National Widow Pension Scheme</t>
        </is>
      </c>
      <c r="D268" s="4" t="inlineStr">
        <is>
          <t>Application process</t>
        </is>
      </c>
      <c r="E268" s="4" t="inlineStr"/>
      <c r="F268" s="4" t="inlineStr">
        <is>
          <t>en.applicationProcess[0].process[0].children[4]</t>
        </is>
      </c>
      <c r="G268" s="4" t="inlineStr">
        <is>
          <t>C06@20261028-7c399dda</t>
        </is>
      </c>
      <c r="H268" s="4" t="n">
        <v>1</v>
      </c>
      <c r="I268" s="4" t="n">
        <v>1</v>
      </c>
      <c r="J268" s="4" t="inlineStr">
        <is>
          <t>Fill the basic details, choose the mode of payment of pension, upload photo and click on “Submit”.</t>
        </is>
      </c>
      <c r="K268" s="4" t="inlineStr">
        <is>
          <t>MS-C06</t>
        </is>
      </c>
      <c r="L268" s="6" t="n">
        <v>46323</v>
      </c>
      <c r="M268" s="4" t="inlineStr">
        <is>
          <t>Approved</t>
        </is>
      </c>
      <c r="N268" s="4" t="inlineStr">
        <is>
          <t>list_item</t>
        </is>
      </c>
    </row>
    <row r="269" ht="40" customHeight="1">
      <c r="A269" s="8" t="inlineStr">
        <is>
          <t>C06-P0017</t>
        </is>
      </c>
      <c r="B269" s="8" t="inlineStr">
        <is>
          <t>C06</t>
        </is>
      </c>
      <c r="C269" s="8" t="inlineStr">
        <is>
          <t>Indira Gandhi National Widow Pension Scheme</t>
        </is>
      </c>
      <c r="D269" s="8" t="inlineStr">
        <is>
          <t>Application process</t>
        </is>
      </c>
      <c r="E269" s="8" t="inlineStr"/>
      <c r="F269" s="8" t="inlineStr">
        <is>
          <t>en.applicationProcess[1].process[0].children[0]</t>
        </is>
      </c>
      <c r="G269" s="8" t="inlineStr">
        <is>
          <t>C06@20261028-7c399dda</t>
        </is>
      </c>
      <c r="H269" s="8" t="n">
        <v>1</v>
      </c>
      <c r="I269" s="8" t="n">
        <v>1</v>
      </c>
      <c r="J269" s="8" t="inlineStr">
        <is>
          <t>Individuals can submit completely filled applications to the Gram Panchayat / Block Office in the rural area and the Municipality / Municipal Council in the urban area, as per eligibility.</t>
        </is>
      </c>
      <c r="K269" s="8" t="inlineStr">
        <is>
          <t>MS-C06</t>
        </is>
      </c>
      <c r="L269" s="9" t="n">
        <v>46323</v>
      </c>
      <c r="M269" s="8" t="inlineStr">
        <is>
          <t>Approved</t>
        </is>
      </c>
      <c r="N269" s="8" t="inlineStr">
        <is>
          <t>list_item</t>
        </is>
      </c>
    </row>
    <row r="270" ht="40" customHeight="1">
      <c r="A270" s="4" t="inlineStr">
        <is>
          <t>C06-P0018</t>
        </is>
      </c>
      <c r="B270" s="4" t="inlineStr">
        <is>
          <t>C06</t>
        </is>
      </c>
      <c r="C270" s="4" t="inlineStr">
        <is>
          <t>Indira Gandhi National Widow Pension Scheme</t>
        </is>
      </c>
      <c r="D270" s="4" t="inlineStr">
        <is>
          <t>Application process</t>
        </is>
      </c>
      <c r="E270" s="4" t="inlineStr"/>
      <c r="F270" s="4" t="inlineStr">
        <is>
          <t>en.applicationProcess[1].process[0].children[1]</t>
        </is>
      </c>
      <c r="G270" s="4" t="inlineStr">
        <is>
          <t>C06@20261028-7c399dda</t>
        </is>
      </c>
      <c r="H270" s="4" t="n">
        <v>1</v>
      </c>
      <c r="I270" s="4" t="n">
        <v>1</v>
      </c>
      <c r="J270" s="4" t="inlineStr">
        <is>
          <t>A Verification Officer or Verification Team under an authorized officer verifies the applications with reference to facts related to eligibility</t>
        </is>
      </c>
      <c r="K270" s="4" t="inlineStr">
        <is>
          <t>MS-C06</t>
        </is>
      </c>
      <c r="L270" s="6" t="n">
        <v>46323</v>
      </c>
      <c r="M270" s="4" t="inlineStr">
        <is>
          <t>Approved</t>
        </is>
      </c>
      <c r="N270" s="4" t="inlineStr">
        <is>
          <t>list_item</t>
        </is>
      </c>
    </row>
    <row r="271" ht="40" customHeight="1">
      <c r="A271" s="8" t="inlineStr">
        <is>
          <t>C06-P0019</t>
        </is>
      </c>
      <c r="B271" s="8" t="inlineStr">
        <is>
          <t>C06</t>
        </is>
      </c>
      <c r="C271" s="8" t="inlineStr">
        <is>
          <t>Indira Gandhi National Widow Pension Scheme</t>
        </is>
      </c>
      <c r="D271" s="8" t="inlineStr">
        <is>
          <t>Application process</t>
        </is>
      </c>
      <c r="E271" s="8" t="inlineStr"/>
      <c r="F271" s="8" t="inlineStr">
        <is>
          <t>en.applicationProcess[1].process[0].children[2]</t>
        </is>
      </c>
      <c r="G271" s="8" t="inlineStr">
        <is>
          <t>C06@20261028-7c399dda</t>
        </is>
      </c>
      <c r="H271" s="8" t="n">
        <v>1</v>
      </c>
      <c r="I271" s="8" t="n">
        <v>1</v>
      </c>
      <c r="J271" s="8" t="inlineStr">
        <is>
          <t>The Verification Officer make the necessary recommendation for sanction or rejection with reasons.</t>
        </is>
      </c>
      <c r="K271" s="8" t="inlineStr">
        <is>
          <t>MS-C06</t>
        </is>
      </c>
      <c r="L271" s="9" t="n">
        <v>46323</v>
      </c>
      <c r="M271" s="8" t="inlineStr">
        <is>
          <t>Approved</t>
        </is>
      </c>
      <c r="N271" s="8" t="inlineStr">
        <is>
          <t>list_item</t>
        </is>
      </c>
    </row>
    <row r="272" ht="54" customHeight="1">
      <c r="A272" s="4" t="inlineStr">
        <is>
          <t>C06-P0020</t>
        </is>
      </c>
      <c r="B272" s="4" t="inlineStr">
        <is>
          <t>C06</t>
        </is>
      </c>
      <c r="C272" s="4" t="inlineStr">
        <is>
          <t>Indira Gandhi National Widow Pension Scheme</t>
        </is>
      </c>
      <c r="D272" s="4" t="inlineStr">
        <is>
          <t>Application process</t>
        </is>
      </c>
      <c r="E272" s="4" t="inlineStr"/>
      <c r="F272" s="4" t="inlineStr">
        <is>
          <t>en.applicationProcess[1].process[0].children[3]</t>
        </is>
      </c>
      <c r="G272" s="4" t="inlineStr">
        <is>
          <t>C06@20261028-7c399dda</t>
        </is>
      </c>
      <c r="H272" s="4" t="n">
        <v>1</v>
      </c>
      <c r="I272" s="4" t="n">
        <v>1</v>
      </c>
      <c r="J272" s="4" t="inlineStr">
        <is>
          <t>The list of applicants with the recommendations of the Verifying Authority is discussed in the Gram Sabha in rural areas or Ward Sabha / Area Sabha as designated by the State Government in urban areas and thereafter in the Gram Panchayats and Municipalities.</t>
        </is>
      </c>
      <c r="K272" s="4" t="inlineStr">
        <is>
          <t>MS-C06</t>
        </is>
      </c>
      <c r="L272" s="6" t="n">
        <v>46323</v>
      </c>
      <c r="M272" s="4" t="inlineStr">
        <is>
          <t>Approved</t>
        </is>
      </c>
      <c r="N272" s="4" t="inlineStr">
        <is>
          <t>list_item</t>
        </is>
      </c>
    </row>
    <row r="273" ht="54" customHeight="1">
      <c r="A273" s="8" t="inlineStr">
        <is>
          <t>C06-P0021</t>
        </is>
      </c>
      <c r="B273" s="8" t="inlineStr">
        <is>
          <t>C06</t>
        </is>
      </c>
      <c r="C273" s="8" t="inlineStr">
        <is>
          <t>Indira Gandhi National Widow Pension Scheme</t>
        </is>
      </c>
      <c r="D273" s="8" t="inlineStr">
        <is>
          <t>Application process</t>
        </is>
      </c>
      <c r="E273" s="8" t="inlineStr"/>
      <c r="F273" s="8" t="inlineStr">
        <is>
          <t>en.applicationProcess[1].process[0].children[4]</t>
        </is>
      </c>
      <c r="G273" s="8" t="inlineStr">
        <is>
          <t>C06@20261028-7c399dda</t>
        </is>
      </c>
      <c r="H273" s="8" t="n">
        <v>1</v>
      </c>
      <c r="I273" s="8" t="n">
        <v>1</v>
      </c>
      <c r="J273" s="8" t="inlineStr">
        <is>
          <t>If the time limits are not adhered to by Gram Sabha / Ward Sabhas, Gram Panchayats / Municipalities the Verification Officer directly submits his recommendations to the Sanctioning Authority under intimation to the Gram Panchayat / Municipality.</t>
        </is>
      </c>
      <c r="K273" s="8" t="inlineStr">
        <is>
          <t>MS-C06</t>
        </is>
      </c>
      <c r="L273" s="9" t="n">
        <v>46323</v>
      </c>
      <c r="M273" s="8" t="inlineStr">
        <is>
          <t>Approved</t>
        </is>
      </c>
      <c r="N273" s="8" t="inlineStr">
        <is>
          <t>list_item</t>
        </is>
      </c>
    </row>
    <row r="274" ht="54" customHeight="1">
      <c r="A274" s="4" t="inlineStr">
        <is>
          <t>C06-P0022</t>
        </is>
      </c>
      <c r="B274" s="4" t="inlineStr">
        <is>
          <t>C06</t>
        </is>
      </c>
      <c r="C274" s="4" t="inlineStr">
        <is>
          <t>Indira Gandhi National Widow Pension Scheme</t>
        </is>
      </c>
      <c r="D274" s="4" t="inlineStr">
        <is>
          <t>Application process</t>
        </is>
      </c>
      <c r="E274" s="4" t="inlineStr"/>
      <c r="F274" s="4" t="inlineStr">
        <is>
          <t>en.applicationProcess[1].process[0].children[5]</t>
        </is>
      </c>
      <c r="G274" s="4" t="inlineStr">
        <is>
          <t>C06@20261028-7c399dda</t>
        </is>
      </c>
      <c r="H274" s="4" t="n">
        <v>1</v>
      </c>
      <c r="I274" s="4" t="n">
        <v>1</v>
      </c>
      <c r="J274" s="4" t="inlineStr">
        <is>
          <t>After receipt of applications which are verified and recommended by the Gram Sabha / Ward Committee / Area Sabha, the Sanctioning Authority convey approval to the applicant in the form of a Sanction Order with a copy to Gram Panchayat / Municipality concerned.</t>
        </is>
      </c>
      <c r="K274" s="4" t="inlineStr">
        <is>
          <t>MS-C06</t>
        </is>
      </c>
      <c r="L274" s="6" t="n">
        <v>46323</v>
      </c>
      <c r="M274" s="4" t="inlineStr">
        <is>
          <t>Approved</t>
        </is>
      </c>
      <c r="N274" s="4" t="inlineStr">
        <is>
          <t>list_item</t>
        </is>
      </c>
    </row>
    <row r="275" ht="40" customHeight="1">
      <c r="A275" s="8" t="inlineStr">
        <is>
          <t>C06-P0023</t>
        </is>
      </c>
      <c r="B275" s="8" t="inlineStr">
        <is>
          <t>C06</t>
        </is>
      </c>
      <c r="C275" s="8" t="inlineStr">
        <is>
          <t>Indira Gandhi National Widow Pension Scheme</t>
        </is>
      </c>
      <c r="D275" s="8" t="inlineStr">
        <is>
          <t>Application process</t>
        </is>
      </c>
      <c r="E275" s="8" t="inlineStr"/>
      <c r="F275" s="8" t="inlineStr">
        <is>
          <t>en.applicationProcess[1].process[0].children[6]</t>
        </is>
      </c>
      <c r="G275" s="8" t="inlineStr">
        <is>
          <t>C06@20261028-7c399dda</t>
        </is>
      </c>
      <c r="H275" s="8" t="n">
        <v>1</v>
      </c>
      <c r="I275" s="8" t="n">
        <v>1</v>
      </c>
      <c r="J275" s="8" t="inlineStr">
        <is>
          <t>The Sanctioning Authority issues Sanction Order under his seal</t>
        </is>
      </c>
      <c r="K275" s="8" t="inlineStr">
        <is>
          <t>MS-C06</t>
        </is>
      </c>
      <c r="L275" s="9" t="n">
        <v>46323</v>
      </c>
      <c r="M275" s="8" t="inlineStr">
        <is>
          <t>Approved</t>
        </is>
      </c>
      <c r="N275" s="8" t="inlineStr">
        <is>
          <t>list_item</t>
        </is>
      </c>
    </row>
    <row r="276" ht="54" customHeight="1">
      <c r="A276" s="4" t="inlineStr">
        <is>
          <t>C06-P0024</t>
        </is>
      </c>
      <c r="B276" s="4" t="inlineStr">
        <is>
          <t>C06</t>
        </is>
      </c>
      <c r="C276" s="4" t="inlineStr">
        <is>
          <t>Indira Gandhi National Widow Pension Scheme</t>
        </is>
      </c>
      <c r="D276" s="4" t="inlineStr">
        <is>
          <t>Application process</t>
        </is>
      </c>
      <c r="E276" s="4" t="inlineStr"/>
      <c r="F276" s="4" t="inlineStr">
        <is>
          <t>en.applicationProcess[1].process[0].children[7]</t>
        </is>
      </c>
      <c r="G276" s="4" t="inlineStr">
        <is>
          <t>C06@20261028-7c399dda</t>
        </is>
      </c>
      <c r="H276" s="4" t="n">
        <v>1</v>
      </c>
      <c r="I276" s="4" t="n">
        <v>1</v>
      </c>
      <c r="J276" s="4" t="inlineStr">
        <is>
          <t>Every beneficiary who has been sanctioned pension under schemes of NSAP are issued a Pension Passbook. The Passbook contain details of the Sanction Order, particulars of the pensioner and disbursement details</t>
        </is>
      </c>
      <c r="K276" s="4" t="inlineStr">
        <is>
          <t>MS-C06</t>
        </is>
      </c>
      <c r="L276" s="6" t="n">
        <v>46323</v>
      </c>
      <c r="M276" s="4" t="inlineStr">
        <is>
          <t>Approved</t>
        </is>
      </c>
      <c r="N276" s="4" t="inlineStr">
        <is>
          <t>list_item</t>
        </is>
      </c>
    </row>
    <row r="277" ht="40" customHeight="1">
      <c r="A277" s="8" t="inlineStr">
        <is>
          <t>C06-P0025</t>
        </is>
      </c>
      <c r="B277" s="8" t="inlineStr">
        <is>
          <t>C06</t>
        </is>
      </c>
      <c r="C277" s="8" t="inlineStr">
        <is>
          <t>Indira Gandhi National Widow Pension Scheme</t>
        </is>
      </c>
      <c r="D277" s="8" t="inlineStr">
        <is>
          <t>Application process</t>
        </is>
      </c>
      <c r="E277" s="8" t="inlineStr"/>
      <c r="F277" s="8" t="inlineStr">
        <is>
          <t>en.applicationProcess[1].process[0].children[8]</t>
        </is>
      </c>
      <c r="G277" s="8" t="inlineStr">
        <is>
          <t>C06@20261028-7c399dda</t>
        </is>
      </c>
      <c r="H277" s="8" t="n">
        <v>1</v>
      </c>
      <c r="I277" s="8" t="n">
        <v>1</v>
      </c>
      <c r="J277" s="8" t="inlineStr">
        <is>
          <t>The list of beneficiaries to whom sanctions are issued is displayed at the Gram Panchayat / Ward / Municipal Office and updated every three months.</t>
        </is>
      </c>
      <c r="K277" s="8" t="inlineStr">
        <is>
          <t>MS-C06</t>
        </is>
      </c>
      <c r="L277" s="9" t="n">
        <v>46323</v>
      </c>
      <c r="M277" s="8" t="inlineStr">
        <is>
          <t>Approved</t>
        </is>
      </c>
      <c r="N277" s="8" t="inlineStr">
        <is>
          <t>list_item</t>
        </is>
      </c>
    </row>
    <row r="278" ht="40" customHeight="1">
      <c r="A278" s="4" t="inlineStr">
        <is>
          <t>C06-P0026</t>
        </is>
      </c>
      <c r="B278" s="4" t="inlineStr">
        <is>
          <t>C06</t>
        </is>
      </c>
      <c r="C278" s="4" t="inlineStr">
        <is>
          <t>Indira Gandhi National Widow Pension Scheme</t>
        </is>
      </c>
      <c r="D278" s="4" t="inlineStr">
        <is>
          <t>Application process</t>
        </is>
      </c>
      <c r="E278" s="4" t="inlineStr"/>
      <c r="F278" s="4" t="inlineStr">
        <is>
          <t>en.applicationProcess[1].process[0].children[9]</t>
        </is>
      </c>
      <c r="G278" s="4" t="inlineStr">
        <is>
          <t>C06@20261028-7c399dda</t>
        </is>
      </c>
      <c r="H278" s="4" t="n">
        <v>1</v>
      </c>
      <c r="I278" s="4" t="n">
        <v>1</v>
      </c>
      <c r="J278" s="4" t="inlineStr">
        <is>
          <t>The Pension amount is directly paid to the beneficiaries through the Direct Benefit Transfer (DBT) process to their post office or bank account.</t>
        </is>
      </c>
      <c r="K278" s="4" t="inlineStr">
        <is>
          <t>MS-C06</t>
        </is>
      </c>
      <c r="L278" s="6" t="n">
        <v>46323</v>
      </c>
      <c r="M278" s="4" t="inlineStr">
        <is>
          <t>Approved</t>
        </is>
      </c>
      <c r="N278" s="4" t="inlineStr">
        <is>
          <t>list_item</t>
        </is>
      </c>
    </row>
    <row r="279" ht="54" customHeight="1">
      <c r="A279" s="8" t="inlineStr">
        <is>
          <t>C06-P0027</t>
        </is>
      </c>
      <c r="B279" s="8" t="inlineStr">
        <is>
          <t>C06</t>
        </is>
      </c>
      <c r="C279" s="8" t="inlineStr">
        <is>
          <t>Indira Gandhi National Widow Pension Scheme</t>
        </is>
      </c>
      <c r="D279" s="8" t="inlineStr">
        <is>
          <t>FAQ</t>
        </is>
      </c>
      <c r="E279" s="8" t="inlineStr"/>
      <c r="F279" s="8" t="inlineStr">
        <is>
          <t>faqs.en.faqs[0]</t>
        </is>
      </c>
      <c r="G279" s="8" t="inlineStr">
        <is>
          <t>C06@20261028-7c399dda</t>
        </is>
      </c>
      <c r="H279" s="8" t="n">
        <v>1</v>
      </c>
      <c r="I279" s="8" t="n">
        <v>1</v>
      </c>
      <c r="J279" s="8" t="inlineStr">
        <is>
          <t>What are different modes of receiving Pension?
One can receive pension amount in Bank Account, Post Office Account, Postal Money Order or in hand cash.</t>
        </is>
      </c>
      <c r="K279" s="8" t="inlineStr">
        <is>
          <t>MS-C06</t>
        </is>
      </c>
      <c r="L279" s="9" t="n">
        <v>46323</v>
      </c>
      <c r="M279" s="8" t="inlineStr">
        <is>
          <t>Approved</t>
        </is>
      </c>
      <c r="N279" s="8" t="inlineStr">
        <is>
          <t>faq</t>
        </is>
      </c>
    </row>
    <row r="280" ht="68" customHeight="1">
      <c r="A280" s="4" t="inlineStr">
        <is>
          <t>C06-P0028</t>
        </is>
      </c>
      <c r="B280" s="4" t="inlineStr">
        <is>
          <t>C06</t>
        </is>
      </c>
      <c r="C280" s="4" t="inlineStr">
        <is>
          <t>Indira Gandhi National Widow Pension Scheme</t>
        </is>
      </c>
      <c r="D280" s="4" t="inlineStr">
        <is>
          <t>FAQ</t>
        </is>
      </c>
      <c r="E280" s="4" t="inlineStr"/>
      <c r="F280" s="4" t="inlineStr">
        <is>
          <t>faqs.en.faqs[1]</t>
        </is>
      </c>
      <c r="G280" s="4" t="inlineStr">
        <is>
          <t>C06@20261028-7c399dda</t>
        </is>
      </c>
      <c r="H280" s="4" t="n">
        <v>1</v>
      </c>
      <c r="I280" s="4" t="n">
        <v>1</v>
      </c>
      <c r="J280" s="4" t="inlineStr">
        <is>
          <t>Who will disburse in hand cash?
In hand cash will be disbursed by Pension Disbursement Authority of respective Sub District/Municipal Area. One can select the pension disbursement authority while filling online application form on UMANG.</t>
        </is>
      </c>
      <c r="K280" s="4" t="inlineStr">
        <is>
          <t>MS-C06</t>
        </is>
      </c>
      <c r="L280" s="6" t="n">
        <v>46323</v>
      </c>
      <c r="M280" s="4" t="inlineStr">
        <is>
          <t>Approved</t>
        </is>
      </c>
      <c r="N280" s="4" t="inlineStr">
        <is>
          <t>faq</t>
        </is>
      </c>
    </row>
    <row r="281" ht="96" customHeight="1">
      <c r="A281" s="8" t="inlineStr">
        <is>
          <t>C06-P0029</t>
        </is>
      </c>
      <c r="B281" s="8" t="inlineStr">
        <is>
          <t>C06</t>
        </is>
      </c>
      <c r="C281" s="8" t="inlineStr">
        <is>
          <t>Indira Gandhi National Widow Pension Scheme</t>
        </is>
      </c>
      <c r="D281" s="8" t="inlineStr">
        <is>
          <t>FAQ</t>
        </is>
      </c>
      <c r="E281" s="8" t="inlineStr"/>
      <c r="F281" s="8" t="inlineStr">
        <is>
          <t>faqs.en.faqs[2]</t>
        </is>
      </c>
      <c r="G281" s="8" t="inlineStr">
        <is>
          <t>C06@20261028-7c399dda</t>
        </is>
      </c>
      <c r="H281" s="8" t="n">
        <v>1</v>
      </c>
      <c r="I281" s="8" t="n">
        <v>1</v>
      </c>
      <c r="J281" s="8" t="inlineStr">
        <is>
          <t>What Is The Eligibility For Getting Pension Under IGNWPS?
The eligibility criteria under Indira Gandhi National Widow Pension Scheme (IGNWPS) is:-
1. The applicant must be a widow in the age group of 40-79 years.
2. The applicant should belong to a household living below the poverty line according to the criteria prescribed by the Govt. of India</t>
        </is>
      </c>
      <c r="K281" s="8" t="inlineStr">
        <is>
          <t>MS-C06</t>
        </is>
      </c>
      <c r="L281" s="9" t="n">
        <v>46323</v>
      </c>
      <c r="M281" s="8" t="inlineStr">
        <is>
          <t>Approved</t>
        </is>
      </c>
      <c r="N281" s="8" t="inlineStr">
        <is>
          <t>faq</t>
        </is>
      </c>
    </row>
    <row r="282" ht="110" customHeight="1">
      <c r="A282" s="4" t="inlineStr">
        <is>
          <t>M01-P0001</t>
        </is>
      </c>
      <c r="B282" s="4" t="inlineStr">
        <is>
          <t>M01</t>
        </is>
      </c>
      <c r="C282" s="4" t="inlineStr">
        <is>
          <t>Sanjay Gandhi Niradhar Grant Scheme</t>
        </is>
      </c>
      <c r="D282" s="4" t="inlineStr">
        <is>
          <t>Details</t>
        </is>
      </c>
      <c r="E282" s="4" t="inlineStr"/>
      <c r="F282" s="4" t="inlineStr">
        <is>
          <t>en.schemeContent.detailedDescription[0]</t>
        </is>
      </c>
      <c r="G282" s="4" t="inlineStr">
        <is>
          <t>M01@20261028-4614b9c2</t>
        </is>
      </c>
      <c r="H282" s="4" t="n">
        <v>1</v>
      </c>
      <c r="I282" s="4" t="n">
        <v>1</v>
      </c>
      <c r="J282" s="4" t="inlineStr">
        <is>
          <t>The "Sanjay Gandhi Niradhar Grant Scheme" is a scheme by the Department of Social Justice &amp; Special Assistance, Govt. of Maharashtra. In this scheme, financial assistance of ₹600/- per month is given if there is only one beneficiary in the eligible family, and ₹900/- per month if there is more than one beneficiary in a family. In order to be eligible for this scheme, the name should be in the list of BPL families or the annual income of the family should be less than or equal to ₹ 21,000/-. Only citizens who are permanent residents of the state of Maharashtra are eligible to apply for this scheme. This scheme is 100% funded by the Govt. of Maharashtra.</t>
        </is>
      </c>
      <c r="K282" s="4" t="inlineStr">
        <is>
          <t>MS-M01</t>
        </is>
      </c>
      <c r="L282" s="6" t="n">
        <v>46323</v>
      </c>
      <c r="M282" s="4" t="inlineStr">
        <is>
          <t>Approved</t>
        </is>
      </c>
      <c r="N282" s="4" t="inlineStr">
        <is>
          <t>paragraph</t>
        </is>
      </c>
    </row>
    <row r="283" ht="40" customHeight="1">
      <c r="A283" s="8" t="inlineStr">
        <is>
          <t>M01-P0002</t>
        </is>
      </c>
      <c r="B283" s="8" t="inlineStr">
        <is>
          <t>M01</t>
        </is>
      </c>
      <c r="C283" s="8" t="inlineStr">
        <is>
          <t>Sanjay Gandhi Niradhar Grant Scheme</t>
        </is>
      </c>
      <c r="D283" s="8" t="inlineStr">
        <is>
          <t>Benefits</t>
        </is>
      </c>
      <c r="E283" s="8" t="inlineStr"/>
      <c r="F283" s="8" t="inlineStr">
        <is>
          <t>en.schemeContent.benefits[0].children[0]</t>
        </is>
      </c>
      <c r="G283" s="8" t="inlineStr">
        <is>
          <t>M01@20261028-4614b9c2</t>
        </is>
      </c>
      <c r="H283" s="8" t="n">
        <v>1</v>
      </c>
      <c r="I283" s="8" t="n">
        <v>1</v>
      </c>
      <c r="J283" s="8" t="inlineStr">
        <is>
          <t>Financial assistance of ₹ 600/- per month, if there is one beneficiary in the eligible family.</t>
        </is>
      </c>
      <c r="K283" s="8" t="inlineStr">
        <is>
          <t>MS-M01</t>
        </is>
      </c>
      <c r="L283" s="9" t="n">
        <v>46323</v>
      </c>
      <c r="M283" s="8" t="inlineStr">
        <is>
          <t>Approved</t>
        </is>
      </c>
      <c r="N283" s="8" t="inlineStr">
        <is>
          <t>list_item</t>
        </is>
      </c>
    </row>
    <row r="284" ht="40" customHeight="1">
      <c r="A284" s="4" t="inlineStr">
        <is>
          <t>M01-P0003</t>
        </is>
      </c>
      <c r="B284" s="4" t="inlineStr">
        <is>
          <t>M01</t>
        </is>
      </c>
      <c r="C284" s="4" t="inlineStr">
        <is>
          <t>Sanjay Gandhi Niradhar Grant Scheme</t>
        </is>
      </c>
      <c r="D284" s="4" t="inlineStr">
        <is>
          <t>Benefits</t>
        </is>
      </c>
      <c r="E284" s="4" t="inlineStr"/>
      <c r="F284" s="4" t="inlineStr">
        <is>
          <t>en.schemeContent.benefits[0].children[1]</t>
        </is>
      </c>
      <c r="G284" s="4" t="inlineStr">
        <is>
          <t>M01@20261028-4614b9c2</t>
        </is>
      </c>
      <c r="H284" s="4" t="n">
        <v>1</v>
      </c>
      <c r="I284" s="4" t="n">
        <v>1</v>
      </c>
      <c r="J284" s="4" t="inlineStr">
        <is>
          <t>Financial assistance of ₹ 900/- per month, if there is more than one beneficiary in the eligible family.</t>
        </is>
      </c>
      <c r="K284" s="4" t="inlineStr">
        <is>
          <t>MS-M01</t>
        </is>
      </c>
      <c r="L284" s="6" t="n">
        <v>46323</v>
      </c>
      <c r="M284" s="4" t="inlineStr">
        <is>
          <t>Approved</t>
        </is>
      </c>
      <c r="N284" s="4" t="inlineStr">
        <is>
          <t>list_item</t>
        </is>
      </c>
    </row>
    <row r="285" ht="40" customHeight="1">
      <c r="A285" s="8" t="inlineStr">
        <is>
          <t>M01-P0004</t>
        </is>
      </c>
      <c r="B285" s="8" t="inlineStr">
        <is>
          <t>M01</t>
        </is>
      </c>
      <c r="C285" s="8" t="inlineStr">
        <is>
          <t>Sanjay Gandhi Niradhar Grant Scheme</t>
        </is>
      </c>
      <c r="D285" s="8" t="inlineStr">
        <is>
          <t>Eligibility</t>
        </is>
      </c>
      <c r="E285" s="8" t="inlineStr"/>
      <c r="F285" s="8" t="inlineStr">
        <is>
          <t>en.eligibilityCriteria.eligibilityDescription[0].children[0]</t>
        </is>
      </c>
      <c r="G285" s="8" t="inlineStr">
        <is>
          <t>M01@20261028-4614b9c2</t>
        </is>
      </c>
      <c r="H285" s="8" t="n">
        <v>1</v>
      </c>
      <c r="I285" s="8" t="n">
        <v>1</v>
      </c>
      <c r="J285" s="8" t="inlineStr">
        <is>
          <t>The applicant should be a citizen of India.</t>
        </is>
      </c>
      <c r="K285" s="8" t="inlineStr">
        <is>
          <t>MS-M01</t>
        </is>
      </c>
      <c r="L285" s="9" t="n">
        <v>46323</v>
      </c>
      <c r="M285" s="8" t="inlineStr">
        <is>
          <t>Approved</t>
        </is>
      </c>
      <c r="N285" s="8" t="inlineStr">
        <is>
          <t>list_item</t>
        </is>
      </c>
    </row>
    <row r="286" ht="40" customHeight="1">
      <c r="A286" s="4" t="inlineStr">
        <is>
          <t>M01-P0005</t>
        </is>
      </c>
      <c r="B286" s="4" t="inlineStr">
        <is>
          <t>M01</t>
        </is>
      </c>
      <c r="C286" s="4" t="inlineStr">
        <is>
          <t>Sanjay Gandhi Niradhar Grant Scheme</t>
        </is>
      </c>
      <c r="D286" s="4" t="inlineStr">
        <is>
          <t>Eligibility</t>
        </is>
      </c>
      <c r="E286" s="4" t="inlineStr"/>
      <c r="F286" s="4" t="inlineStr">
        <is>
          <t>en.eligibilityCriteria.eligibilityDescription[0].children[1]</t>
        </is>
      </c>
      <c r="G286" s="4" t="inlineStr">
        <is>
          <t>M01@20261028-4614b9c2</t>
        </is>
      </c>
      <c r="H286" s="4" t="n">
        <v>1</v>
      </c>
      <c r="I286" s="4" t="n">
        <v>1</v>
      </c>
      <c r="J286" s="4" t="inlineStr">
        <is>
          <t>The applicant should be a domicile / permanent resident of the state of Maharashtra.</t>
        </is>
      </c>
      <c r="K286" s="4" t="inlineStr">
        <is>
          <t>MS-M01</t>
        </is>
      </c>
      <c r="L286" s="6" t="n">
        <v>46323</v>
      </c>
      <c r="M286" s="4" t="inlineStr">
        <is>
          <t>Approved</t>
        </is>
      </c>
      <c r="N286" s="4" t="inlineStr">
        <is>
          <t>list_item</t>
        </is>
      </c>
    </row>
    <row r="287" ht="40" customHeight="1">
      <c r="A287" s="8" t="inlineStr">
        <is>
          <t>M01-P0006</t>
        </is>
      </c>
      <c r="B287" s="8" t="inlineStr">
        <is>
          <t>M01</t>
        </is>
      </c>
      <c r="C287" s="8" t="inlineStr">
        <is>
          <t>Sanjay Gandhi Niradhar Grant Scheme</t>
        </is>
      </c>
      <c r="D287" s="8" t="inlineStr">
        <is>
          <t>Eligibility</t>
        </is>
      </c>
      <c r="E287" s="8" t="inlineStr"/>
      <c r="F287" s="8" t="inlineStr">
        <is>
          <t>en.eligibilityCriteria.eligibilityDescription[0].children[2]</t>
        </is>
      </c>
      <c r="G287" s="8" t="inlineStr">
        <is>
          <t>M01@20261028-4614b9c2</t>
        </is>
      </c>
      <c r="H287" s="8" t="n">
        <v>1</v>
      </c>
      <c r="I287" s="8" t="n">
        <v>1</v>
      </c>
      <c r="J287" s="8" t="inlineStr">
        <is>
          <t>The name of the applicant should be in the list of Below Poverty Line (BPL) families OR the annual income of the family should be less than or equal to ₹ 21,000/-.</t>
        </is>
      </c>
      <c r="K287" s="8" t="inlineStr">
        <is>
          <t>MS-M01</t>
        </is>
      </c>
      <c r="L287" s="9" t="n">
        <v>46323</v>
      </c>
      <c r="M287" s="8" t="inlineStr">
        <is>
          <t>Approved</t>
        </is>
      </c>
      <c r="N287" s="8" t="inlineStr">
        <is>
          <t>list_item</t>
        </is>
      </c>
    </row>
    <row r="288" ht="40" customHeight="1">
      <c r="A288" s="4" t="inlineStr">
        <is>
          <t>M01-P0007</t>
        </is>
      </c>
      <c r="B288" s="4" t="inlineStr">
        <is>
          <t>M01</t>
        </is>
      </c>
      <c r="C288" s="4" t="inlineStr">
        <is>
          <t>Sanjay Gandhi Niradhar Grant Scheme</t>
        </is>
      </c>
      <c r="D288" s="4" t="inlineStr">
        <is>
          <t>Eligibility</t>
        </is>
      </c>
      <c r="E288" s="4" t="inlineStr"/>
      <c r="F288" s="4" t="inlineStr">
        <is>
          <t>en.eligibilityCriteria.eligibilityDescription[0].children[3]</t>
        </is>
      </c>
      <c r="G288" s="4" t="inlineStr">
        <is>
          <t>M01@20261028-4614b9c2</t>
        </is>
      </c>
      <c r="H288" s="4" t="n">
        <v>1</v>
      </c>
      <c r="I288" s="4" t="n">
        <v>1</v>
      </c>
      <c r="J288" s="4" t="inlineStr">
        <is>
          <t>The applicant should be one of the following:</t>
        </is>
      </c>
      <c r="K288" s="4" t="inlineStr">
        <is>
          <t>MS-M01</t>
        </is>
      </c>
      <c r="L288" s="6" t="n">
        <v>46323</v>
      </c>
      <c r="M288" s="4" t="inlineStr">
        <is>
          <t>Approved</t>
        </is>
      </c>
      <c r="N288" s="4" t="inlineStr">
        <is>
          <t>list_item</t>
        </is>
      </c>
    </row>
    <row r="289" ht="40" customHeight="1">
      <c r="A289" s="8" t="inlineStr">
        <is>
          <t>M01-P0008</t>
        </is>
      </c>
      <c r="B289" s="8" t="inlineStr">
        <is>
          <t>M01</t>
        </is>
      </c>
      <c r="C289" s="8" t="inlineStr">
        <is>
          <t>Sanjay Gandhi Niradhar Grant Scheme</t>
        </is>
      </c>
      <c r="D289" s="8" t="inlineStr">
        <is>
          <t>Eligibility</t>
        </is>
      </c>
      <c r="E289" s="8" t="inlineStr"/>
      <c r="F289" s="8" t="inlineStr">
        <is>
          <t>en.eligibilityCriteria.eligibilityDescription[1]</t>
        </is>
      </c>
      <c r="G289" s="8" t="inlineStr">
        <is>
          <t>M01@20261028-4614b9c2</t>
        </is>
      </c>
      <c r="H289" s="8" t="n">
        <v>1</v>
      </c>
      <c r="I289" s="8" t="n">
        <v>1</v>
      </c>
      <c r="J289" s="8" t="inlineStr">
        <is>
          <t>a) Destitute Men and Women below 65 Years of Age.</t>
        </is>
      </c>
      <c r="K289" s="8" t="inlineStr">
        <is>
          <t>MS-M01</t>
        </is>
      </c>
      <c r="L289" s="9" t="n">
        <v>46323</v>
      </c>
      <c r="M289" s="8" t="inlineStr">
        <is>
          <t>Approved</t>
        </is>
      </c>
      <c r="N289" s="8" t="inlineStr">
        <is>
          <t>paragraph</t>
        </is>
      </c>
    </row>
    <row r="290" ht="40" customHeight="1">
      <c r="A290" s="4" t="inlineStr">
        <is>
          <t>M01-P0009</t>
        </is>
      </c>
      <c r="B290" s="4" t="inlineStr">
        <is>
          <t>M01</t>
        </is>
      </c>
      <c r="C290" s="4" t="inlineStr">
        <is>
          <t>Sanjay Gandhi Niradhar Grant Scheme</t>
        </is>
      </c>
      <c r="D290" s="4" t="inlineStr">
        <is>
          <t>Eligibility</t>
        </is>
      </c>
      <c r="E290" s="4" t="inlineStr"/>
      <c r="F290" s="4" t="inlineStr">
        <is>
          <t>en.eligibilityCriteria.eligibilityDescription[2]</t>
        </is>
      </c>
      <c r="G290" s="4" t="inlineStr">
        <is>
          <t>M01@20261028-4614b9c2</t>
        </is>
      </c>
      <c r="H290" s="4" t="n">
        <v>1</v>
      </c>
      <c r="I290" s="4" t="n">
        <v>1</v>
      </c>
      <c r="J290" s="4" t="inlineStr">
        <is>
          <t>b) Orphan Children.</t>
        </is>
      </c>
      <c r="K290" s="4" t="inlineStr">
        <is>
          <t>MS-M01</t>
        </is>
      </c>
      <c r="L290" s="6" t="n">
        <v>46323</v>
      </c>
      <c r="M290" s="4" t="inlineStr">
        <is>
          <t>Approved</t>
        </is>
      </c>
      <c r="N290" s="4" t="inlineStr">
        <is>
          <t>paragraph</t>
        </is>
      </c>
    </row>
    <row r="291" ht="40" customHeight="1">
      <c r="A291" s="8" t="inlineStr">
        <is>
          <t>M01-P0010</t>
        </is>
      </c>
      <c r="B291" s="8" t="inlineStr">
        <is>
          <t>M01</t>
        </is>
      </c>
      <c r="C291" s="8" t="inlineStr">
        <is>
          <t>Sanjay Gandhi Niradhar Grant Scheme</t>
        </is>
      </c>
      <c r="D291" s="8" t="inlineStr">
        <is>
          <t>Eligibility</t>
        </is>
      </c>
      <c r="E291" s="8" t="inlineStr"/>
      <c r="F291" s="8" t="inlineStr">
        <is>
          <t>en.eligibilityCriteria.eligibilityDescription[3]</t>
        </is>
      </c>
      <c r="G291" s="8" t="inlineStr">
        <is>
          <t>M01@20261028-4614b9c2</t>
        </is>
      </c>
      <c r="H291" s="8" t="n">
        <v>1</v>
      </c>
      <c r="I291" s="8" t="n">
        <v>1</v>
      </c>
      <c r="J291" s="8" t="inlineStr">
        <is>
          <t>c) All categories of Person with Disability (PwD).</t>
        </is>
      </c>
      <c r="K291" s="8" t="inlineStr">
        <is>
          <t>MS-M01</t>
        </is>
      </c>
      <c r="L291" s="9" t="n">
        <v>46323</v>
      </c>
      <c r="M291" s="8" t="inlineStr">
        <is>
          <t>Approved</t>
        </is>
      </c>
      <c r="N291" s="8" t="inlineStr">
        <is>
          <t>paragraph</t>
        </is>
      </c>
    </row>
    <row r="292" ht="40" customHeight="1">
      <c r="A292" s="4" t="inlineStr">
        <is>
          <t>M01-P0011</t>
        </is>
      </c>
      <c r="B292" s="4" t="inlineStr">
        <is>
          <t>M01</t>
        </is>
      </c>
      <c r="C292" s="4" t="inlineStr">
        <is>
          <t>Sanjay Gandhi Niradhar Grant Scheme</t>
        </is>
      </c>
      <c r="D292" s="4" t="inlineStr">
        <is>
          <t>Eligibility</t>
        </is>
      </c>
      <c r="E292" s="4" t="inlineStr"/>
      <c r="F292" s="4" t="inlineStr">
        <is>
          <t>en.eligibilityCriteria.eligibilityDescription[4]</t>
        </is>
      </c>
      <c r="G292" s="4" t="inlineStr">
        <is>
          <t>M01@20261028-4614b9c2</t>
        </is>
      </c>
      <c r="H292" s="4" t="n">
        <v>1</v>
      </c>
      <c r="I292" s="4" t="n">
        <v>1</v>
      </c>
      <c r="J292" s="4" t="inlineStr">
        <is>
          <t>d) Men and Women Who Are Unable to Sustain Themselves Due to Diseases Like Tuberculosis, Cancer, Aids, Leprosy.</t>
        </is>
      </c>
      <c r="K292" s="4" t="inlineStr">
        <is>
          <t>MS-M01</t>
        </is>
      </c>
      <c r="L292" s="6" t="n">
        <v>46323</v>
      </c>
      <c r="M292" s="4" t="inlineStr">
        <is>
          <t>Approved</t>
        </is>
      </c>
      <c r="N292" s="4" t="inlineStr">
        <is>
          <t>paragraph</t>
        </is>
      </c>
    </row>
    <row r="293" ht="40" customHeight="1">
      <c r="A293" s="8" t="inlineStr">
        <is>
          <t>M01-P0012</t>
        </is>
      </c>
      <c r="B293" s="8" t="inlineStr">
        <is>
          <t>M01</t>
        </is>
      </c>
      <c r="C293" s="8" t="inlineStr">
        <is>
          <t>Sanjay Gandhi Niradhar Grant Scheme</t>
        </is>
      </c>
      <c r="D293" s="8" t="inlineStr">
        <is>
          <t>Eligibility</t>
        </is>
      </c>
      <c r="E293" s="8" t="inlineStr"/>
      <c r="F293" s="8" t="inlineStr">
        <is>
          <t>en.eligibilityCriteria.eligibilityDescription[5]</t>
        </is>
      </c>
      <c r="G293" s="8" t="inlineStr">
        <is>
          <t>M01@20261028-4614b9c2</t>
        </is>
      </c>
      <c r="H293" s="8" t="n">
        <v>1</v>
      </c>
      <c r="I293" s="8" t="n">
        <v>1</v>
      </c>
      <c r="J293" s="8" t="inlineStr">
        <is>
          <t>e) Destitute Widows (including widows of farmers who committed suicide).</t>
        </is>
      </c>
      <c r="K293" s="8" t="inlineStr">
        <is>
          <t>MS-M01</t>
        </is>
      </c>
      <c r="L293" s="9" t="n">
        <v>46323</v>
      </c>
      <c r="M293" s="8" t="inlineStr">
        <is>
          <t>Approved</t>
        </is>
      </c>
      <c r="N293" s="8" t="inlineStr">
        <is>
          <t>paragraph</t>
        </is>
      </c>
    </row>
    <row r="294" ht="40" customHeight="1">
      <c r="A294" s="4" t="inlineStr">
        <is>
          <t>M01-P0013</t>
        </is>
      </c>
      <c r="B294" s="4" t="inlineStr">
        <is>
          <t>M01</t>
        </is>
      </c>
      <c r="C294" s="4" t="inlineStr">
        <is>
          <t>Sanjay Gandhi Niradhar Grant Scheme</t>
        </is>
      </c>
      <c r="D294" s="4" t="inlineStr">
        <is>
          <t>Eligibility</t>
        </is>
      </c>
      <c r="E294" s="4" t="inlineStr"/>
      <c r="F294" s="4" t="inlineStr">
        <is>
          <t>en.eligibilityCriteria.eligibilityDescription[6]</t>
        </is>
      </c>
      <c r="G294" s="4" t="inlineStr">
        <is>
          <t>M01@20261028-4614b9c2</t>
        </is>
      </c>
      <c r="H294" s="4" t="n">
        <v>1</v>
      </c>
      <c r="I294" s="4" t="n">
        <v>1</v>
      </c>
      <c r="J294" s="4" t="inlineStr">
        <is>
          <t>f) Women in the Divorce Process and Divorced but Not Alimony.</t>
        </is>
      </c>
      <c r="K294" s="4" t="inlineStr">
        <is>
          <t>MS-M01</t>
        </is>
      </c>
      <c r="L294" s="6" t="n">
        <v>46323</v>
      </c>
      <c r="M294" s="4" t="inlineStr">
        <is>
          <t>Approved</t>
        </is>
      </c>
      <c r="N294" s="4" t="inlineStr">
        <is>
          <t>paragraph</t>
        </is>
      </c>
    </row>
    <row r="295" ht="40" customHeight="1">
      <c r="A295" s="8" t="inlineStr">
        <is>
          <t>M01-P0014</t>
        </is>
      </c>
      <c r="B295" s="8" t="inlineStr">
        <is>
          <t>M01</t>
        </is>
      </c>
      <c r="C295" s="8" t="inlineStr">
        <is>
          <t>Sanjay Gandhi Niradhar Grant Scheme</t>
        </is>
      </c>
      <c r="D295" s="8" t="inlineStr">
        <is>
          <t>Eligibility</t>
        </is>
      </c>
      <c r="E295" s="8" t="inlineStr"/>
      <c r="F295" s="8" t="inlineStr">
        <is>
          <t>en.eligibilityCriteria.eligibilityDescription[7]</t>
        </is>
      </c>
      <c r="G295" s="8" t="inlineStr">
        <is>
          <t>M01@20261028-4614b9c2</t>
        </is>
      </c>
      <c r="H295" s="8" t="n">
        <v>1</v>
      </c>
      <c r="I295" s="8" t="n">
        <v>1</v>
      </c>
      <c r="J295" s="8" t="inlineStr">
        <is>
          <t>g) Women Who Have Been Tortured and Released From Prostitution.</t>
        </is>
      </c>
      <c r="K295" s="8" t="inlineStr">
        <is>
          <t>MS-M01</t>
        </is>
      </c>
      <c r="L295" s="9" t="n">
        <v>46323</v>
      </c>
      <c r="M295" s="8" t="inlineStr">
        <is>
          <t>Approved</t>
        </is>
      </c>
      <c r="N295" s="8" t="inlineStr">
        <is>
          <t>paragraph</t>
        </is>
      </c>
    </row>
    <row r="296" ht="40" customHeight="1">
      <c r="A296" s="4" t="inlineStr">
        <is>
          <t>M01-P0015</t>
        </is>
      </c>
      <c r="B296" s="4" t="inlineStr">
        <is>
          <t>M01</t>
        </is>
      </c>
      <c r="C296" s="4" t="inlineStr">
        <is>
          <t>Sanjay Gandhi Niradhar Grant Scheme</t>
        </is>
      </c>
      <c r="D296" s="4" t="inlineStr">
        <is>
          <t>Eligibility</t>
        </is>
      </c>
      <c r="E296" s="4" t="inlineStr"/>
      <c r="F296" s="4" t="inlineStr">
        <is>
          <t>en.eligibilityCriteria.eligibilityDescription[8]</t>
        </is>
      </c>
      <c r="G296" s="4" t="inlineStr">
        <is>
          <t>M01@20261028-4614b9c2</t>
        </is>
      </c>
      <c r="H296" s="4" t="n">
        <v>1</v>
      </c>
      <c r="I296" s="4" t="n">
        <v>1</v>
      </c>
      <c r="J296" s="4" t="inlineStr">
        <is>
          <t>h) Transgender.</t>
        </is>
      </c>
      <c r="K296" s="4" t="inlineStr">
        <is>
          <t>MS-M01</t>
        </is>
      </c>
      <c r="L296" s="6" t="n">
        <v>46323</v>
      </c>
      <c r="M296" s="4" t="inlineStr">
        <is>
          <t>Approved</t>
        </is>
      </c>
      <c r="N296" s="4" t="inlineStr">
        <is>
          <t>paragraph</t>
        </is>
      </c>
    </row>
    <row r="297" ht="40" customHeight="1">
      <c r="A297" s="8" t="inlineStr">
        <is>
          <t>M01-P0016</t>
        </is>
      </c>
      <c r="B297" s="8" t="inlineStr">
        <is>
          <t>M01</t>
        </is>
      </c>
      <c r="C297" s="8" t="inlineStr">
        <is>
          <t>Sanjay Gandhi Niradhar Grant Scheme</t>
        </is>
      </c>
      <c r="D297" s="8" t="inlineStr">
        <is>
          <t>Eligibility</t>
        </is>
      </c>
      <c r="E297" s="8" t="inlineStr"/>
      <c r="F297" s="8" t="inlineStr">
        <is>
          <t>en.eligibilityCriteria.eligibilityDescription[9]</t>
        </is>
      </c>
      <c r="G297" s="8" t="inlineStr">
        <is>
          <t>M01@20261028-4614b9c2</t>
        </is>
      </c>
      <c r="H297" s="8" t="n">
        <v>1</v>
      </c>
      <c r="I297" s="8" t="n">
        <v>1</v>
      </c>
      <c r="J297" s="8" t="inlineStr">
        <is>
          <t>i) Devadasi.</t>
        </is>
      </c>
      <c r="K297" s="8" t="inlineStr">
        <is>
          <t>MS-M01</t>
        </is>
      </c>
      <c r="L297" s="9" t="n">
        <v>46323</v>
      </c>
      <c r="M297" s="8" t="inlineStr">
        <is>
          <t>Approved</t>
        </is>
      </c>
      <c r="N297" s="8" t="inlineStr">
        <is>
          <t>paragraph</t>
        </is>
      </c>
    </row>
    <row r="298" ht="40" customHeight="1">
      <c r="A298" s="4" t="inlineStr">
        <is>
          <t>M01-P0017</t>
        </is>
      </c>
      <c r="B298" s="4" t="inlineStr">
        <is>
          <t>M01</t>
        </is>
      </c>
      <c r="C298" s="4" t="inlineStr">
        <is>
          <t>Sanjay Gandhi Niradhar Grant Scheme</t>
        </is>
      </c>
      <c r="D298" s="4" t="inlineStr">
        <is>
          <t>Eligibility</t>
        </is>
      </c>
      <c r="E298" s="4" t="inlineStr"/>
      <c r="F298" s="4" t="inlineStr">
        <is>
          <t>en.eligibilityCriteria.eligibilityDescription[10]</t>
        </is>
      </c>
      <c r="G298" s="4" t="inlineStr">
        <is>
          <t>M01@20261028-4614b9c2</t>
        </is>
      </c>
      <c r="H298" s="4" t="n">
        <v>1</v>
      </c>
      <c r="I298" s="4" t="n">
        <v>1</v>
      </c>
      <c r="J298" s="4" t="inlineStr">
        <is>
          <t>j) Unmarried Women Above 35 Years of Age.</t>
        </is>
      </c>
      <c r="K298" s="4" t="inlineStr">
        <is>
          <t>MS-M01</t>
        </is>
      </c>
      <c r="L298" s="6" t="n">
        <v>46323</v>
      </c>
      <c r="M298" s="4" t="inlineStr">
        <is>
          <t>Approved</t>
        </is>
      </c>
      <c r="N298" s="4" t="inlineStr">
        <is>
          <t>paragraph</t>
        </is>
      </c>
    </row>
    <row r="299" ht="40" customHeight="1">
      <c r="A299" s="8" t="inlineStr">
        <is>
          <t>M01-P0018</t>
        </is>
      </c>
      <c r="B299" s="8" t="inlineStr">
        <is>
          <t>M01</t>
        </is>
      </c>
      <c r="C299" s="8" t="inlineStr">
        <is>
          <t>Sanjay Gandhi Niradhar Grant Scheme</t>
        </is>
      </c>
      <c r="D299" s="8" t="inlineStr">
        <is>
          <t>Eligibility</t>
        </is>
      </c>
      <c r="E299" s="8" t="inlineStr"/>
      <c r="F299" s="8" t="inlineStr">
        <is>
          <t>en.eligibilityCriteria.eligibilityDescription[11]</t>
        </is>
      </c>
      <c r="G299" s="8" t="inlineStr">
        <is>
          <t>M01@20261028-4614b9c2</t>
        </is>
      </c>
      <c r="H299" s="8" t="n">
        <v>1</v>
      </c>
      <c r="I299" s="8" t="n">
        <v>1</v>
      </c>
      <c r="J299" s="8" t="inlineStr">
        <is>
          <t>k) The Wives of Prisoners Serving Sentences in Jail.</t>
        </is>
      </c>
      <c r="K299" s="8" t="inlineStr">
        <is>
          <t>MS-M01</t>
        </is>
      </c>
      <c r="L299" s="9" t="n">
        <v>46323</v>
      </c>
      <c r="M299" s="8" t="inlineStr">
        <is>
          <t>Approved</t>
        </is>
      </c>
      <c r="N299" s="8" t="inlineStr">
        <is>
          <t>paragraph</t>
        </is>
      </c>
    </row>
    <row r="300" ht="40" customHeight="1">
      <c r="A300" s="4" t="inlineStr">
        <is>
          <t>M01-P0019</t>
        </is>
      </c>
      <c r="B300" s="4" t="inlineStr">
        <is>
          <t>M01</t>
        </is>
      </c>
      <c r="C300" s="4" t="inlineStr">
        <is>
          <t>Sanjay Gandhi Niradhar Grant Scheme</t>
        </is>
      </c>
      <c r="D300" s="4" t="inlineStr">
        <is>
          <t>Eligibility</t>
        </is>
      </c>
      <c r="E300" s="4" t="inlineStr"/>
      <c r="F300" s="4" t="inlineStr">
        <is>
          <t>en.eligibilityCriteria.eligibilityDescription[12]</t>
        </is>
      </c>
      <c r="G300" s="4" t="inlineStr">
        <is>
          <t>M01@20261028-4614b9c2</t>
        </is>
      </c>
      <c r="H300" s="4" t="n">
        <v>1</v>
      </c>
      <c r="I300" s="4" t="n">
        <v>1</v>
      </c>
      <c r="J300" s="4" t="inlineStr">
        <is>
          <t>l) Those Suffering From Sickle Cell Disease.</t>
        </is>
      </c>
      <c r="K300" s="4" t="inlineStr">
        <is>
          <t>MS-M01</t>
        </is>
      </c>
      <c r="L300" s="6" t="n">
        <v>46323</v>
      </c>
      <c r="M300" s="4" t="inlineStr">
        <is>
          <t>Approved</t>
        </is>
      </c>
      <c r="N300" s="4" t="inlineStr">
        <is>
          <t>paragraph</t>
        </is>
      </c>
    </row>
    <row r="301" ht="40" customHeight="1">
      <c r="A301" s="8" t="inlineStr">
        <is>
          <t>M01-P0020</t>
        </is>
      </c>
      <c r="B301" s="8" t="inlineStr">
        <is>
          <t>M01</t>
        </is>
      </c>
      <c r="C301" s="8" t="inlineStr">
        <is>
          <t>Sanjay Gandhi Niradhar Grant Scheme</t>
        </is>
      </c>
      <c r="D301" s="8" t="inlineStr">
        <is>
          <t>Applicant documents</t>
        </is>
      </c>
      <c r="E301" s="8" t="inlineStr"/>
      <c r="F301" s="8" t="inlineStr">
        <is>
          <t>documents.en.documents_required[0].children[0]</t>
        </is>
      </c>
      <c r="G301" s="8" t="inlineStr">
        <is>
          <t>M01@20261028-4614b9c2</t>
        </is>
      </c>
      <c r="H301" s="8" t="n">
        <v>1</v>
      </c>
      <c r="I301" s="8" t="n">
        <v>1</v>
      </c>
      <c r="J301" s="8" t="inlineStr">
        <is>
          <t>Aadhaar Card.</t>
        </is>
      </c>
      <c r="K301" s="8" t="inlineStr">
        <is>
          <t>MS-M01</t>
        </is>
      </c>
      <c r="L301" s="9" t="n">
        <v>46323</v>
      </c>
      <c r="M301" s="8" t="inlineStr">
        <is>
          <t>Approved</t>
        </is>
      </c>
      <c r="N301" s="8" t="inlineStr">
        <is>
          <t>list_item</t>
        </is>
      </c>
    </row>
    <row r="302" ht="40" customHeight="1">
      <c r="A302" s="4" t="inlineStr">
        <is>
          <t>M01-P0021</t>
        </is>
      </c>
      <c r="B302" s="4" t="inlineStr">
        <is>
          <t>M01</t>
        </is>
      </c>
      <c r="C302" s="4" t="inlineStr">
        <is>
          <t>Sanjay Gandhi Niradhar Grant Scheme</t>
        </is>
      </c>
      <c r="D302" s="4" t="inlineStr">
        <is>
          <t>Applicant documents</t>
        </is>
      </c>
      <c r="E302" s="4" t="inlineStr"/>
      <c r="F302" s="4" t="inlineStr">
        <is>
          <t>documents.en.documents_required[0].children[1]</t>
        </is>
      </c>
      <c r="G302" s="4" t="inlineStr">
        <is>
          <t>M01@20261028-4614b9c2</t>
        </is>
      </c>
      <c r="H302" s="4" t="n">
        <v>1</v>
      </c>
      <c r="I302" s="4" t="n">
        <v>1</v>
      </c>
      <c r="J302" s="4" t="inlineStr">
        <is>
          <t>2-Passport Sized Photograph (Signed Across).</t>
        </is>
      </c>
      <c r="K302" s="4" t="inlineStr">
        <is>
          <t>MS-M01</t>
        </is>
      </c>
      <c r="L302" s="6" t="n">
        <v>46323</v>
      </c>
      <c r="M302" s="4" t="inlineStr">
        <is>
          <t>Approved</t>
        </is>
      </c>
      <c r="N302" s="4" t="inlineStr">
        <is>
          <t>list_item</t>
        </is>
      </c>
    </row>
    <row r="303" ht="40" customHeight="1">
      <c r="A303" s="8" t="inlineStr">
        <is>
          <t>M01-P0022</t>
        </is>
      </c>
      <c r="B303" s="8" t="inlineStr">
        <is>
          <t>M01</t>
        </is>
      </c>
      <c r="C303" s="8" t="inlineStr">
        <is>
          <t>Sanjay Gandhi Niradhar Grant Scheme</t>
        </is>
      </c>
      <c r="D303" s="8" t="inlineStr">
        <is>
          <t>Applicant documents</t>
        </is>
      </c>
      <c r="E303" s="8" t="inlineStr"/>
      <c r="F303" s="8" t="inlineStr">
        <is>
          <t>documents.en.documents_required[0].children[2]</t>
        </is>
      </c>
      <c r="G303" s="8" t="inlineStr">
        <is>
          <t>M01@20261028-4614b9c2</t>
        </is>
      </c>
      <c r="H303" s="8" t="n">
        <v>1</v>
      </c>
      <c r="I303" s="8" t="n">
        <v>1</v>
      </c>
      <c r="J303" s="8" t="inlineStr">
        <is>
          <t>Residential Certificate / Domicile Certificate of the State of Maharashtra.</t>
        </is>
      </c>
      <c r="K303" s="8" t="inlineStr">
        <is>
          <t>MS-M01</t>
        </is>
      </c>
      <c r="L303" s="9" t="n">
        <v>46323</v>
      </c>
      <c r="M303" s="8" t="inlineStr">
        <is>
          <t>Approved</t>
        </is>
      </c>
      <c r="N303" s="8" t="inlineStr">
        <is>
          <t>list_item</t>
        </is>
      </c>
    </row>
    <row r="304" ht="40" customHeight="1">
      <c r="A304" s="4" t="inlineStr">
        <is>
          <t>M01-P0023</t>
        </is>
      </c>
      <c r="B304" s="4" t="inlineStr">
        <is>
          <t>M01</t>
        </is>
      </c>
      <c r="C304" s="4" t="inlineStr">
        <is>
          <t>Sanjay Gandhi Niradhar Grant Scheme</t>
        </is>
      </c>
      <c r="D304" s="4" t="inlineStr">
        <is>
          <t>Applicant documents</t>
        </is>
      </c>
      <c r="E304" s="4" t="inlineStr"/>
      <c r="F304" s="4" t="inlineStr">
        <is>
          <t>documents.en.documents_required[0].children[3]</t>
        </is>
      </c>
      <c r="G304" s="4" t="inlineStr">
        <is>
          <t>M01@20261028-4614b9c2</t>
        </is>
      </c>
      <c r="H304" s="4" t="n">
        <v>1</v>
      </c>
      <c r="I304" s="4" t="n">
        <v>1</v>
      </c>
      <c r="J304" s="4" t="inlineStr">
        <is>
          <t>Details of the Bank Account (Bank Name, Branch Name, Address, IFSC, etc).</t>
        </is>
      </c>
      <c r="K304" s="4" t="inlineStr">
        <is>
          <t>MS-M01</t>
        </is>
      </c>
      <c r="L304" s="6" t="n">
        <v>46323</v>
      </c>
      <c r="M304" s="4" t="inlineStr">
        <is>
          <t>Approved</t>
        </is>
      </c>
      <c r="N304" s="4" t="inlineStr">
        <is>
          <t>list_item</t>
        </is>
      </c>
    </row>
    <row r="305" ht="40" customHeight="1">
      <c r="A305" s="8" t="inlineStr">
        <is>
          <t>M01-P0024</t>
        </is>
      </c>
      <c r="B305" s="8" t="inlineStr">
        <is>
          <t>M01</t>
        </is>
      </c>
      <c r="C305" s="8" t="inlineStr">
        <is>
          <t>Sanjay Gandhi Niradhar Grant Scheme</t>
        </is>
      </c>
      <c r="D305" s="8" t="inlineStr">
        <is>
          <t>Applicant documents</t>
        </is>
      </c>
      <c r="E305" s="8" t="inlineStr"/>
      <c r="F305" s="8" t="inlineStr">
        <is>
          <t>documents.en.documents_required[0].children[4]</t>
        </is>
      </c>
      <c r="G305" s="8" t="inlineStr">
        <is>
          <t>M01@20261028-4614b9c2</t>
        </is>
      </c>
      <c r="H305" s="8" t="n">
        <v>1</v>
      </c>
      <c r="I305" s="8" t="n">
        <v>1</v>
      </c>
      <c r="J305" s="8" t="inlineStr">
        <is>
          <t>Any other document required by the District Social Welfare Office.</t>
        </is>
      </c>
      <c r="K305" s="8" t="inlineStr">
        <is>
          <t>MS-M01</t>
        </is>
      </c>
      <c r="L305" s="9" t="n">
        <v>46323</v>
      </c>
      <c r="M305" s="8" t="inlineStr">
        <is>
          <t>Approved</t>
        </is>
      </c>
      <c r="N305" s="8" t="inlineStr">
        <is>
          <t>list_item</t>
        </is>
      </c>
    </row>
    <row r="306" ht="40" customHeight="1">
      <c r="A306" s="4" t="inlineStr">
        <is>
          <t>M01-P0025</t>
        </is>
      </c>
      <c r="B306" s="4" t="inlineStr">
        <is>
          <t>M01</t>
        </is>
      </c>
      <c r="C306" s="4" t="inlineStr">
        <is>
          <t>Sanjay Gandhi Niradhar Grant Scheme</t>
        </is>
      </c>
      <c r="D306" s="4" t="inlineStr">
        <is>
          <t>Applicant documents</t>
        </is>
      </c>
      <c r="E306" s="4" t="inlineStr"/>
      <c r="F306" s="4" t="inlineStr">
        <is>
          <t>documents.en.documents_required[0].children[5]</t>
        </is>
      </c>
      <c r="G306" s="4" t="inlineStr">
        <is>
          <t>M01@20261028-4614b9c2</t>
        </is>
      </c>
      <c r="H306" s="4" t="n">
        <v>1</v>
      </c>
      <c r="I306" s="4" t="n">
        <v>1</v>
      </c>
      <c r="J306" s="4" t="inlineStr">
        <is>
          <t>Medical Certificate OR Certificate of Incapacity/Disease (issued by the Civil Surgeon and Medical Superintendent of the Government Hospital) (In the case of major illness)</t>
        </is>
      </c>
      <c r="K306" s="4" t="inlineStr">
        <is>
          <t>MS-M01</t>
        </is>
      </c>
      <c r="L306" s="6" t="n">
        <v>46323</v>
      </c>
      <c r="M306" s="4" t="inlineStr">
        <is>
          <t>Approved</t>
        </is>
      </c>
      <c r="N306" s="4" t="inlineStr">
        <is>
          <t>list_item</t>
        </is>
      </c>
    </row>
    <row r="307" ht="40" customHeight="1">
      <c r="A307" s="8" t="inlineStr">
        <is>
          <t>M01-P0026</t>
        </is>
      </c>
      <c r="B307" s="8" t="inlineStr">
        <is>
          <t>M01</t>
        </is>
      </c>
      <c r="C307" s="8" t="inlineStr">
        <is>
          <t>Sanjay Gandhi Niradhar Grant Scheme</t>
        </is>
      </c>
      <c r="D307" s="8" t="inlineStr">
        <is>
          <t>Applicant documents</t>
        </is>
      </c>
      <c r="E307" s="8" t="inlineStr"/>
      <c r="F307" s="8" t="inlineStr">
        <is>
          <t>documents.en.documents_required[0].children[6]</t>
        </is>
      </c>
      <c r="G307" s="8" t="inlineStr">
        <is>
          <t>M01@20261028-4614b9c2</t>
        </is>
      </c>
      <c r="H307" s="8" t="n">
        <v>1</v>
      </c>
      <c r="I307" s="8" t="n">
        <v>1</v>
      </c>
      <c r="J307" s="8" t="inlineStr">
        <is>
          <t>Proof of Age</t>
        </is>
      </c>
      <c r="K307" s="8" t="inlineStr">
        <is>
          <t>MS-M01</t>
        </is>
      </c>
      <c r="L307" s="9" t="n">
        <v>46323</v>
      </c>
      <c r="M307" s="8" t="inlineStr">
        <is>
          <t>Approved</t>
        </is>
      </c>
      <c r="N307" s="8" t="inlineStr">
        <is>
          <t>list_item</t>
        </is>
      </c>
    </row>
    <row r="308" ht="40" customHeight="1">
      <c r="A308" s="4" t="inlineStr">
        <is>
          <t>M01-P0027</t>
        </is>
      </c>
      <c r="B308" s="4" t="inlineStr">
        <is>
          <t>M01</t>
        </is>
      </c>
      <c r="C308" s="4" t="inlineStr">
        <is>
          <t>Sanjay Gandhi Niradhar Grant Scheme</t>
        </is>
      </c>
      <c r="D308" s="4" t="inlineStr">
        <is>
          <t>Applicant documents</t>
        </is>
      </c>
      <c r="E308" s="4" t="inlineStr"/>
      <c r="F308" s="4" t="inlineStr">
        <is>
          <t>documents.en.documents_required[0].children[7]</t>
        </is>
      </c>
      <c r="G308" s="4" t="inlineStr">
        <is>
          <t>M01@20261028-4614b9c2</t>
        </is>
      </c>
      <c r="H308" s="4" t="n">
        <v>1</v>
      </c>
      <c r="I308" s="4" t="n">
        <v>1</v>
      </c>
      <c r="J308" s="4" t="inlineStr">
        <is>
          <t>Income Certificate / BPL Card of the Family</t>
        </is>
      </c>
      <c r="K308" s="4" t="inlineStr">
        <is>
          <t>MS-M01</t>
        </is>
      </c>
      <c r="L308" s="6" t="n">
        <v>46323</v>
      </c>
      <c r="M308" s="4" t="inlineStr">
        <is>
          <t>Approved</t>
        </is>
      </c>
      <c r="N308" s="4" t="inlineStr">
        <is>
          <t>list_item</t>
        </is>
      </c>
    </row>
    <row r="309" ht="40" customHeight="1">
      <c r="A309" s="8" t="inlineStr">
        <is>
          <t>M01-P0028</t>
        </is>
      </c>
      <c r="B309" s="8" t="inlineStr">
        <is>
          <t>M01</t>
        </is>
      </c>
      <c r="C309" s="8" t="inlineStr">
        <is>
          <t>Sanjay Gandhi Niradhar Grant Scheme</t>
        </is>
      </c>
      <c r="D309" s="8" t="inlineStr">
        <is>
          <t>Applicant documents</t>
        </is>
      </c>
      <c r="E309" s="8" t="inlineStr"/>
      <c r="F309" s="8" t="inlineStr">
        <is>
          <t>documents.en.documents_required[0].children[8]</t>
        </is>
      </c>
      <c r="G309" s="8" t="inlineStr">
        <is>
          <t>M01@20261028-4614b9c2</t>
        </is>
      </c>
      <c r="H309" s="8" t="n">
        <v>1</v>
      </c>
      <c r="I309" s="8" t="n">
        <v>1</v>
      </c>
      <c r="J309" s="8" t="inlineStr">
        <is>
          <t>Disability Certificate</t>
        </is>
      </c>
      <c r="K309" s="8" t="inlineStr">
        <is>
          <t>MS-M01</t>
        </is>
      </c>
      <c r="L309" s="9" t="n">
        <v>46323</v>
      </c>
      <c r="M309" s="8" t="inlineStr">
        <is>
          <t>Approved</t>
        </is>
      </c>
      <c r="N309" s="8" t="inlineStr">
        <is>
          <t>list_item</t>
        </is>
      </c>
    </row>
    <row r="310" ht="40" customHeight="1">
      <c r="A310" s="4" t="inlineStr">
        <is>
          <t>M01-P0029</t>
        </is>
      </c>
      <c r="B310" s="4" t="inlineStr">
        <is>
          <t>M01</t>
        </is>
      </c>
      <c r="C310" s="4" t="inlineStr">
        <is>
          <t>Sanjay Gandhi Niradhar Grant Scheme</t>
        </is>
      </c>
      <c r="D310" s="4" t="inlineStr">
        <is>
          <t>Applicant documents</t>
        </is>
      </c>
      <c r="E310" s="4" t="inlineStr"/>
      <c r="F310" s="4" t="inlineStr">
        <is>
          <t>documents.en.documents_required[0].children[9]</t>
        </is>
      </c>
      <c r="G310" s="4" t="inlineStr">
        <is>
          <t>M01@20261028-4614b9c2</t>
        </is>
      </c>
      <c r="H310" s="4" t="n">
        <v>1</v>
      </c>
      <c r="I310" s="4" t="n">
        <v>1</v>
      </c>
      <c r="J310" s="4" t="inlineStr">
        <is>
          <t>Transgender Certificate (in case the applicant is Transgender)</t>
        </is>
      </c>
      <c r="K310" s="4" t="inlineStr">
        <is>
          <t>MS-M01</t>
        </is>
      </c>
      <c r="L310" s="6" t="n">
        <v>46323</v>
      </c>
      <c r="M310" s="4" t="inlineStr">
        <is>
          <t>Approved</t>
        </is>
      </c>
      <c r="N310" s="4" t="inlineStr">
        <is>
          <t>list_item</t>
        </is>
      </c>
    </row>
    <row r="311" ht="40" customHeight="1">
      <c r="A311" s="8" t="inlineStr">
        <is>
          <t>M01-P0030</t>
        </is>
      </c>
      <c r="B311" s="8" t="inlineStr">
        <is>
          <t>M01</t>
        </is>
      </c>
      <c r="C311" s="8" t="inlineStr">
        <is>
          <t>Sanjay Gandhi Niradhar Grant Scheme</t>
        </is>
      </c>
      <c r="D311" s="8" t="inlineStr">
        <is>
          <t>Applicant documents</t>
        </is>
      </c>
      <c r="E311" s="8" t="inlineStr"/>
      <c r="F311" s="8" t="inlineStr">
        <is>
          <t>documents.en.documents_required[0].children[10]</t>
        </is>
      </c>
      <c r="G311" s="8" t="inlineStr">
        <is>
          <t>M01@20261028-4614b9c2</t>
        </is>
      </c>
      <c r="H311" s="8" t="n">
        <v>1</v>
      </c>
      <c r="I311" s="8" t="n">
        <v>1</v>
      </c>
      <c r="J311" s="8" t="inlineStr">
        <is>
          <t>Marriage Certificate, and Death Certificate of Husband (in the case of Widow applicants)</t>
        </is>
      </c>
      <c r="K311" s="8" t="inlineStr">
        <is>
          <t>MS-M01</t>
        </is>
      </c>
      <c r="L311" s="9" t="n">
        <v>46323</v>
      </c>
      <c r="M311" s="8" t="inlineStr">
        <is>
          <t>Approved</t>
        </is>
      </c>
      <c r="N311" s="8" t="inlineStr">
        <is>
          <t>list_item</t>
        </is>
      </c>
    </row>
    <row r="312" ht="54" customHeight="1">
      <c r="A312" s="4" t="inlineStr">
        <is>
          <t>M01-P0031</t>
        </is>
      </c>
      <c r="B312" s="4" t="inlineStr">
        <is>
          <t>M01</t>
        </is>
      </c>
      <c r="C312" s="4" t="inlineStr">
        <is>
          <t>Sanjay Gandhi Niradhar Grant Scheme</t>
        </is>
      </c>
      <c r="D312" s="4" t="inlineStr">
        <is>
          <t>Application process</t>
        </is>
      </c>
      <c r="E312" s="4" t="inlineStr"/>
      <c r="F312" s="4" t="inlineStr">
        <is>
          <t>en.applicationProcess[0].process[0]</t>
        </is>
      </c>
      <c r="G312" s="4" t="inlineStr">
        <is>
          <t>M01@20261028-4614b9c2</t>
        </is>
      </c>
      <c r="H312" s="4" t="n">
        <v>1</v>
      </c>
      <c r="I312" s="4" t="n">
        <v>1</v>
      </c>
      <c r="J312" s="4" t="inlineStr">
        <is>
          <t>Step 1: Visit the Collector's Office / Tahsildar Sanjay Gandhi Yojana / Talathi Office, and request a hard copy of the format of the application form for the scheme from the concerned authority.</t>
        </is>
      </c>
      <c r="K312" s="4" t="inlineStr">
        <is>
          <t>MS-M01</t>
        </is>
      </c>
      <c r="L312" s="6" t="n">
        <v>46323</v>
      </c>
      <c r="M312" s="4" t="inlineStr">
        <is>
          <t>Approved</t>
        </is>
      </c>
      <c r="N312" s="4" t="inlineStr">
        <is>
          <t>paragraph</t>
        </is>
      </c>
    </row>
    <row r="313" ht="40" customHeight="1">
      <c r="A313" s="8" t="inlineStr">
        <is>
          <t>M01-P0032</t>
        </is>
      </c>
      <c r="B313" s="8" t="inlineStr">
        <is>
          <t>M01</t>
        </is>
      </c>
      <c r="C313" s="8" t="inlineStr">
        <is>
          <t>Sanjay Gandhi Niradhar Grant Scheme</t>
        </is>
      </c>
      <c r="D313" s="8" t="inlineStr">
        <is>
          <t>Application process</t>
        </is>
      </c>
      <c r="E313" s="8" t="inlineStr"/>
      <c r="F313" s="8" t="inlineStr">
        <is>
          <t>en.applicationProcess[0].process[1]</t>
        </is>
      </c>
      <c r="G313" s="8" t="inlineStr">
        <is>
          <t>M01@20261028-4614b9c2</t>
        </is>
      </c>
      <c r="H313" s="8" t="n">
        <v>1</v>
      </c>
      <c r="I313" s="8" t="n">
        <v>1</v>
      </c>
      <c r="J313" s="8" t="inlineStr">
        <is>
          <t>Step 2: In the application form, fill in all the mandatory fields, paste the passport-sized photograph (signed across), and attach all the (self-attested) mandatory documents.</t>
        </is>
      </c>
      <c r="K313" s="8" t="inlineStr">
        <is>
          <t>MS-M01</t>
        </is>
      </c>
      <c r="L313" s="9" t="n">
        <v>46323</v>
      </c>
      <c r="M313" s="8" t="inlineStr">
        <is>
          <t>Approved</t>
        </is>
      </c>
      <c r="N313" s="8" t="inlineStr">
        <is>
          <t>paragraph</t>
        </is>
      </c>
    </row>
    <row r="314" ht="40" customHeight="1">
      <c r="A314" s="4" t="inlineStr">
        <is>
          <t>M01-P0033</t>
        </is>
      </c>
      <c r="B314" s="4" t="inlineStr">
        <is>
          <t>M01</t>
        </is>
      </c>
      <c r="C314" s="4" t="inlineStr">
        <is>
          <t>Sanjay Gandhi Niradhar Grant Scheme</t>
        </is>
      </c>
      <c r="D314" s="4" t="inlineStr">
        <is>
          <t>Application process</t>
        </is>
      </c>
      <c r="E314" s="4" t="inlineStr"/>
      <c r="F314" s="4" t="inlineStr">
        <is>
          <t>en.applicationProcess[0].process[2]</t>
        </is>
      </c>
      <c r="G314" s="4" t="inlineStr">
        <is>
          <t>M01@20261028-4614b9c2</t>
        </is>
      </c>
      <c r="H314" s="4" t="n">
        <v>1</v>
      </c>
      <c r="I314" s="4" t="n">
        <v>1</v>
      </c>
      <c r="J314" s="4" t="inlineStr">
        <is>
          <t>Step 3: Submit the duly filled and signed application form along with the documents to the Collector's Office / Tahsildar Sanjay Gandhi Yojana / Talathi Office.</t>
        </is>
      </c>
      <c r="K314" s="4" t="inlineStr">
        <is>
          <t>MS-M01</t>
        </is>
      </c>
      <c r="L314" s="6" t="n">
        <v>46323</v>
      </c>
      <c r="M314" s="4" t="inlineStr">
        <is>
          <t>Approved</t>
        </is>
      </c>
      <c r="N314" s="4" t="inlineStr">
        <is>
          <t>paragraph</t>
        </is>
      </c>
    </row>
    <row r="315" ht="40" customHeight="1">
      <c r="A315" s="8" t="inlineStr">
        <is>
          <t>M01-P0034</t>
        </is>
      </c>
      <c r="B315" s="8" t="inlineStr">
        <is>
          <t>M01</t>
        </is>
      </c>
      <c r="C315" s="8" t="inlineStr">
        <is>
          <t>Sanjay Gandhi Niradhar Grant Scheme</t>
        </is>
      </c>
      <c r="D315" s="8" t="inlineStr">
        <is>
          <t>Application process</t>
        </is>
      </c>
      <c r="E315" s="8" t="inlineStr"/>
      <c r="F315" s="8" t="inlineStr">
        <is>
          <t>en.applicationProcess[0].process[3]</t>
        </is>
      </c>
      <c r="G315" s="8" t="inlineStr">
        <is>
          <t>M01@20261028-4614b9c2</t>
        </is>
      </c>
      <c r="H315" s="8" t="n">
        <v>1</v>
      </c>
      <c r="I315" s="8" t="n">
        <v>1</v>
      </c>
      <c r="J315" s="8" t="inlineStr">
        <is>
          <t>Step 4: Acquire the receipt/acknowledgment of the successful submission of the application form.</t>
        </is>
      </c>
      <c r="K315" s="8" t="inlineStr">
        <is>
          <t>MS-M01</t>
        </is>
      </c>
      <c r="L315" s="9" t="n">
        <v>46323</v>
      </c>
      <c r="M315" s="8" t="inlineStr">
        <is>
          <t>Approved</t>
        </is>
      </c>
      <c r="N315" s="8" t="inlineStr">
        <is>
          <t>paragraph</t>
        </is>
      </c>
    </row>
    <row r="316" ht="40" customHeight="1">
      <c r="A316" s="4" t="inlineStr">
        <is>
          <t>M01-P0035</t>
        </is>
      </c>
      <c r="B316" s="4" t="inlineStr">
        <is>
          <t>M01</t>
        </is>
      </c>
      <c r="C316" s="4" t="inlineStr">
        <is>
          <t>Sanjay Gandhi Niradhar Grant Scheme</t>
        </is>
      </c>
      <c r="D316" s="4" t="inlineStr">
        <is>
          <t>Application process</t>
        </is>
      </c>
      <c r="E316" s="4" t="inlineStr"/>
      <c r="F316" s="4" t="inlineStr">
        <is>
          <t>en.applicationProcess[1].process[0].children[1].children[0]</t>
        </is>
      </c>
      <c r="G316" s="4" t="inlineStr">
        <is>
          <t>M01@20261028-4614b9c2</t>
        </is>
      </c>
      <c r="H316" s="4" t="n">
        <v>1</v>
      </c>
      <c r="I316" s="4" t="n">
        <v>1</v>
      </c>
      <c r="J316" s="4" t="inlineStr">
        <is>
          <t>Registration:</t>
        </is>
      </c>
      <c r="K316" s="4" t="inlineStr">
        <is>
          <t>MS-M01</t>
        </is>
      </c>
      <c r="L316" s="6" t="n">
        <v>46323</v>
      </c>
      <c r="M316" s="4" t="inlineStr">
        <is>
          <t>Approved</t>
        </is>
      </c>
      <c r="N316" s="4" t="inlineStr">
        <is>
          <t>text</t>
        </is>
      </c>
    </row>
    <row r="317" ht="40" customHeight="1">
      <c r="A317" s="8" t="inlineStr">
        <is>
          <t>M01-P0036</t>
        </is>
      </c>
      <c r="B317" s="8" t="inlineStr">
        <is>
          <t>M01</t>
        </is>
      </c>
      <c r="C317" s="8" t="inlineStr">
        <is>
          <t>Sanjay Gandhi Niradhar Grant Scheme</t>
        </is>
      </c>
      <c r="D317" s="8" t="inlineStr">
        <is>
          <t>Application process</t>
        </is>
      </c>
      <c r="E317" s="8" t="inlineStr"/>
      <c r="F317" s="8" t="inlineStr">
        <is>
          <t>en.applicationProcess[1].process[2]</t>
        </is>
      </c>
      <c r="G317" s="8" t="inlineStr">
        <is>
          <t>M01@20261028-4614b9c2</t>
        </is>
      </c>
      <c r="H317" s="8" t="n">
        <v>1</v>
      </c>
      <c r="I317" s="8" t="n">
        <v>1</v>
      </c>
      <c r="J317" s="8" t="inlineStr">
        <is>
          <t>Step 1: Visit the Official Portal of Aaple Sarkar (Maha DBT). On the right pane (green), click "New User? Register Here". You will be directed to the Registration Page.</t>
        </is>
      </c>
      <c r="K317" s="8" t="inlineStr">
        <is>
          <t>MS-M01</t>
        </is>
      </c>
      <c r="L317" s="9" t="n">
        <v>46323</v>
      </c>
      <c r="M317" s="8" t="inlineStr">
        <is>
          <t>Approved</t>
        </is>
      </c>
      <c r="N317" s="8" t="inlineStr">
        <is>
          <t>paragraph</t>
        </is>
      </c>
    </row>
    <row r="318" ht="54" customHeight="1">
      <c r="A318" s="4" t="inlineStr">
        <is>
          <t>M01-P0037</t>
        </is>
      </c>
      <c r="B318" s="4" t="inlineStr">
        <is>
          <t>M01</t>
        </is>
      </c>
      <c r="C318" s="4" t="inlineStr">
        <is>
          <t>Sanjay Gandhi Niradhar Grant Scheme</t>
        </is>
      </c>
      <c r="D318" s="4" t="inlineStr">
        <is>
          <t>Application process</t>
        </is>
      </c>
      <c r="E318" s="4" t="inlineStr"/>
      <c r="F318" s="4" t="inlineStr">
        <is>
          <t>en.applicationProcess[1].process[4]</t>
        </is>
      </c>
      <c r="G318" s="4" t="inlineStr">
        <is>
          <t>M01@20261028-4614b9c2</t>
        </is>
      </c>
      <c r="H318" s="4" t="n">
        <v>1</v>
      </c>
      <c r="I318" s="4" t="n">
        <v>1</v>
      </c>
      <c r="J318" s="4" t="inlineStr">
        <is>
          <t>Step 2: Verify your Email ID and Mobile Number using OTP and then create a Unique Username and Password. (You will also find the link to the Registration Manual on the top right of the page.)</t>
        </is>
      </c>
      <c r="K318" s="4" t="inlineStr">
        <is>
          <t>MS-M01</t>
        </is>
      </c>
      <c r="L318" s="6" t="n">
        <v>46323</v>
      </c>
      <c r="M318" s="4" t="inlineStr">
        <is>
          <t>Approved</t>
        </is>
      </c>
      <c r="N318" s="4" t="inlineStr">
        <is>
          <t>paragraph</t>
        </is>
      </c>
    </row>
    <row r="319" ht="54" customHeight="1">
      <c r="A319" s="8" t="inlineStr">
        <is>
          <t>M01-P0038</t>
        </is>
      </c>
      <c r="B319" s="8" t="inlineStr">
        <is>
          <t>M01</t>
        </is>
      </c>
      <c r="C319" s="8" t="inlineStr">
        <is>
          <t>Sanjay Gandhi Niradhar Grant Scheme</t>
        </is>
      </c>
      <c r="D319" s="8" t="inlineStr">
        <is>
          <t>Application process</t>
        </is>
      </c>
      <c r="E319" s="8" t="inlineStr"/>
      <c r="F319" s="8" t="inlineStr">
        <is>
          <t>en.applicationProcess[1].process[6]</t>
        </is>
      </c>
      <c r="G319" s="8" t="inlineStr">
        <is>
          <t>M01@20261028-4614b9c2</t>
        </is>
      </c>
      <c r="H319" s="8" t="n">
        <v>1</v>
      </c>
      <c r="I319" s="8" t="n">
        <v>1</v>
      </c>
      <c r="J319" s="8" t="inlineStr">
        <is>
          <t>In the "Applicant Detail" section, fill in the following mandatory fields: Salutation, Full Name(English), Full Name(Marathi), Father's Salutation, Father's Name (English), Father's Name(Marathi), Date of Birth, Age, Gender, Occupation.</t>
        </is>
      </c>
      <c r="K319" s="8" t="inlineStr">
        <is>
          <t>MS-M01</t>
        </is>
      </c>
      <c r="L319" s="9" t="n">
        <v>46323</v>
      </c>
      <c r="M319" s="8" t="inlineStr">
        <is>
          <t>Approved</t>
        </is>
      </c>
      <c r="N319" s="8" t="inlineStr">
        <is>
          <t>paragraph</t>
        </is>
      </c>
    </row>
    <row r="320" ht="68" customHeight="1">
      <c r="A320" s="4" t="inlineStr">
        <is>
          <t>M01-P0039</t>
        </is>
      </c>
      <c r="B320" s="4" t="inlineStr">
        <is>
          <t>M01</t>
        </is>
      </c>
      <c r="C320" s="4" t="inlineStr">
        <is>
          <t>Sanjay Gandhi Niradhar Grant Scheme</t>
        </is>
      </c>
      <c r="D320" s="4" t="inlineStr">
        <is>
          <t>Application process</t>
        </is>
      </c>
      <c r="E320" s="4" t="inlineStr"/>
      <c r="F320" s="4" t="inlineStr">
        <is>
          <t>en.applicationProcess[1].process[8]</t>
        </is>
      </c>
      <c r="G320" s="4" t="inlineStr">
        <is>
          <t>M01@20261028-4614b9c2</t>
        </is>
      </c>
      <c r="H320" s="4" t="n">
        <v>1</v>
      </c>
      <c r="I320" s="4" t="n">
        <v>1</v>
      </c>
      <c r="J320" s="4" t="inlineStr">
        <is>
          <t>In the "Applicant's Address" section, fill in the following mandatory fields: Address (English), Address (Marathi), Street (English), Street (Marathi), Section (English), Section (Marathi), Building (English), Building (Marathi), Landmark (English), Landmark (Marathi), District, Taluka, Village, Pincode</t>
        </is>
      </c>
      <c r="K320" s="4" t="inlineStr">
        <is>
          <t>MS-M01</t>
        </is>
      </c>
      <c r="L320" s="6" t="n">
        <v>46323</v>
      </c>
      <c r="M320" s="4" t="inlineStr">
        <is>
          <t>Approved</t>
        </is>
      </c>
      <c r="N320" s="4" t="inlineStr">
        <is>
          <t>paragraph</t>
        </is>
      </c>
    </row>
    <row r="321" ht="54" customHeight="1">
      <c r="A321" s="8" t="inlineStr">
        <is>
          <t>M01-P0040</t>
        </is>
      </c>
      <c r="B321" s="8" t="inlineStr">
        <is>
          <t>M01</t>
        </is>
      </c>
      <c r="C321" s="8" t="inlineStr">
        <is>
          <t>Sanjay Gandhi Niradhar Grant Scheme</t>
        </is>
      </c>
      <c r="D321" s="8" t="inlineStr">
        <is>
          <t>Application process</t>
        </is>
      </c>
      <c r="E321" s="8" t="inlineStr"/>
      <c r="F321" s="8" t="inlineStr">
        <is>
          <t>en.applicationProcess[1].process[10]</t>
        </is>
      </c>
      <c r="G321" s="8" t="inlineStr">
        <is>
          <t>M01@20261028-4614b9c2</t>
        </is>
      </c>
      <c r="H321" s="8" t="n">
        <v>1</v>
      </c>
      <c r="I321" s="8" t="n">
        <v>1</v>
      </c>
      <c r="J321" s="8" t="inlineStr">
        <is>
          <t>In the "Mobile No. &amp; Username Verification" section, fill in the following mandatory fields: 10-digit Mobile Number (to be verified via OTP), PAN No, User Name, Email ID (to be verified via OTP), Password, and Confirm Password.</t>
        </is>
      </c>
      <c r="K321" s="8" t="inlineStr">
        <is>
          <t>MS-M01</t>
        </is>
      </c>
      <c r="L321" s="9" t="n">
        <v>46323</v>
      </c>
      <c r="M321" s="8" t="inlineStr">
        <is>
          <t>Approved</t>
        </is>
      </c>
      <c r="N321" s="8" t="inlineStr">
        <is>
          <t>paragraph</t>
        </is>
      </c>
    </row>
    <row r="322" ht="40" customHeight="1">
      <c r="A322" s="4" t="inlineStr">
        <is>
          <t>M01-P0041</t>
        </is>
      </c>
      <c r="B322" s="4" t="inlineStr">
        <is>
          <t>M01</t>
        </is>
      </c>
      <c r="C322" s="4" t="inlineStr">
        <is>
          <t>Sanjay Gandhi Niradhar Grant Scheme</t>
        </is>
      </c>
      <c r="D322" s="4" t="inlineStr">
        <is>
          <t>Application process</t>
        </is>
      </c>
      <c r="E322" s="4" t="inlineStr"/>
      <c r="F322" s="4" t="inlineStr">
        <is>
          <t>en.applicationProcess[1].process[12]</t>
        </is>
      </c>
      <c r="G322" s="4" t="inlineStr">
        <is>
          <t>M01@20261028-4614b9c2</t>
        </is>
      </c>
      <c r="H322" s="4" t="n">
        <v>1</v>
      </c>
      <c r="I322" s="4" t="n">
        <v>1</v>
      </c>
      <c r="J322" s="4" t="inlineStr">
        <is>
          <t>In the "Upload your Photograph" section, upload your passport-sized photograph following the instructions given below:</t>
        </is>
      </c>
      <c r="K322" s="4" t="inlineStr">
        <is>
          <t>MS-M01</t>
        </is>
      </c>
      <c r="L322" s="6" t="n">
        <v>46323</v>
      </c>
      <c r="M322" s="4" t="inlineStr">
        <is>
          <t>Approved</t>
        </is>
      </c>
      <c r="N322" s="4" t="inlineStr">
        <is>
          <t>paragraph</t>
        </is>
      </c>
    </row>
    <row r="323" ht="40" customHeight="1">
      <c r="A323" s="8" t="inlineStr">
        <is>
          <t>M01-P0042</t>
        </is>
      </c>
      <c r="B323" s="8" t="inlineStr">
        <is>
          <t>M01</t>
        </is>
      </c>
      <c r="C323" s="8" t="inlineStr">
        <is>
          <t>Sanjay Gandhi Niradhar Grant Scheme</t>
        </is>
      </c>
      <c r="D323" s="8" t="inlineStr">
        <is>
          <t>Application process</t>
        </is>
      </c>
      <c r="E323" s="8" t="inlineStr"/>
      <c r="F323" s="8" t="inlineStr">
        <is>
          <t>en.applicationProcess[1].process[13]</t>
        </is>
      </c>
      <c r="G323" s="8" t="inlineStr">
        <is>
          <t>M01@20261028-4614b9c2</t>
        </is>
      </c>
      <c r="H323" s="8" t="n">
        <v>1</v>
      </c>
      <c r="I323" s="8" t="n">
        <v>1</v>
      </c>
      <c r="J323" s="8" t="inlineStr">
        <is>
          <t>1. The file size should fall between 5 KB to 20 KB.</t>
        </is>
      </c>
      <c r="K323" s="8" t="inlineStr">
        <is>
          <t>MS-M01</t>
        </is>
      </c>
      <c r="L323" s="9" t="n">
        <v>46323</v>
      </c>
      <c r="M323" s="8" t="inlineStr">
        <is>
          <t>Approved</t>
        </is>
      </c>
      <c r="N323" s="8" t="inlineStr">
        <is>
          <t>paragraph</t>
        </is>
      </c>
    </row>
    <row r="324" ht="40" customHeight="1">
      <c r="A324" s="4" t="inlineStr">
        <is>
          <t>M01-P0043</t>
        </is>
      </c>
      <c r="B324" s="4" t="inlineStr">
        <is>
          <t>M01</t>
        </is>
      </c>
      <c r="C324" s="4" t="inlineStr">
        <is>
          <t>Sanjay Gandhi Niradhar Grant Scheme</t>
        </is>
      </c>
      <c r="D324" s="4" t="inlineStr">
        <is>
          <t>Application process</t>
        </is>
      </c>
      <c r="E324" s="4" t="inlineStr"/>
      <c r="F324" s="4" t="inlineStr">
        <is>
          <t>en.applicationProcess[1].process[14]</t>
        </is>
      </c>
      <c r="G324" s="4" t="inlineStr">
        <is>
          <t>M01@20261028-4614b9c2</t>
        </is>
      </c>
      <c r="H324" s="4" t="n">
        <v>1</v>
      </c>
      <c r="I324" s="4" t="n">
        <v>1</v>
      </c>
      <c r="J324" s="4" t="inlineStr">
        <is>
          <t>2. The format should be JPEG.</t>
        </is>
      </c>
      <c r="K324" s="4" t="inlineStr">
        <is>
          <t>MS-M01</t>
        </is>
      </c>
      <c r="L324" s="6" t="n">
        <v>46323</v>
      </c>
      <c r="M324" s="4" t="inlineStr">
        <is>
          <t>Approved</t>
        </is>
      </c>
      <c r="N324" s="4" t="inlineStr">
        <is>
          <t>paragraph</t>
        </is>
      </c>
    </row>
    <row r="325" ht="40" customHeight="1">
      <c r="A325" s="8" t="inlineStr">
        <is>
          <t>M01-P0044</t>
        </is>
      </c>
      <c r="B325" s="8" t="inlineStr">
        <is>
          <t>M01</t>
        </is>
      </c>
      <c r="C325" s="8" t="inlineStr">
        <is>
          <t>Sanjay Gandhi Niradhar Grant Scheme</t>
        </is>
      </c>
      <c r="D325" s="8" t="inlineStr">
        <is>
          <t>Application process</t>
        </is>
      </c>
      <c r="E325" s="8" t="inlineStr"/>
      <c r="F325" s="8" t="inlineStr">
        <is>
          <t>en.applicationProcess[1].process[15]</t>
        </is>
      </c>
      <c r="G325" s="8" t="inlineStr">
        <is>
          <t>M01@20261028-4614b9c2</t>
        </is>
      </c>
      <c r="H325" s="8" t="n">
        <v>1</v>
      </c>
      <c r="I325" s="8" t="n">
        <v>1</v>
      </c>
      <c r="J325" s="8" t="inlineStr">
        <is>
          <t>3. The width should be 160 pixels.</t>
        </is>
      </c>
      <c r="K325" s="8" t="inlineStr">
        <is>
          <t>MS-M01</t>
        </is>
      </c>
      <c r="L325" s="9" t="n">
        <v>46323</v>
      </c>
      <c r="M325" s="8" t="inlineStr">
        <is>
          <t>Approved</t>
        </is>
      </c>
      <c r="N325" s="8" t="inlineStr">
        <is>
          <t>paragraph</t>
        </is>
      </c>
    </row>
    <row r="326" ht="40" customHeight="1">
      <c r="A326" s="4" t="inlineStr">
        <is>
          <t>M01-P0045</t>
        </is>
      </c>
      <c r="B326" s="4" t="inlineStr">
        <is>
          <t>M01</t>
        </is>
      </c>
      <c r="C326" s="4" t="inlineStr">
        <is>
          <t>Sanjay Gandhi Niradhar Grant Scheme</t>
        </is>
      </c>
      <c r="D326" s="4" t="inlineStr">
        <is>
          <t>Application process</t>
        </is>
      </c>
      <c r="E326" s="4" t="inlineStr"/>
      <c r="F326" s="4" t="inlineStr">
        <is>
          <t>en.applicationProcess[1].process[16]</t>
        </is>
      </c>
      <c r="G326" s="4" t="inlineStr">
        <is>
          <t>M01@20261028-4614b9c2</t>
        </is>
      </c>
      <c r="H326" s="4" t="n">
        <v>1</v>
      </c>
      <c r="I326" s="4" t="n">
        <v>1</v>
      </c>
      <c r="J326" s="4" t="inlineStr">
        <is>
          <t>4. The height should fall between 200 to 212 pixels.</t>
        </is>
      </c>
      <c r="K326" s="4" t="inlineStr">
        <is>
          <t>MS-M01</t>
        </is>
      </c>
      <c r="L326" s="6" t="n">
        <v>46323</v>
      </c>
      <c r="M326" s="4" t="inlineStr">
        <is>
          <t>Approved</t>
        </is>
      </c>
      <c r="N326" s="4" t="inlineStr">
        <is>
          <t>paragraph</t>
        </is>
      </c>
    </row>
    <row r="327" ht="54" customHeight="1">
      <c r="A327" s="8" t="inlineStr">
        <is>
          <t>M01-P0046</t>
        </is>
      </c>
      <c r="B327" s="8" t="inlineStr">
        <is>
          <t>M01</t>
        </is>
      </c>
      <c r="C327" s="8" t="inlineStr">
        <is>
          <t>Sanjay Gandhi Niradhar Grant Scheme</t>
        </is>
      </c>
      <c r="D327" s="8" t="inlineStr">
        <is>
          <t>Application process</t>
        </is>
      </c>
      <c r="E327" s="8" t="inlineStr"/>
      <c r="F327" s="8" t="inlineStr">
        <is>
          <t>en.applicationProcess[1].process[18]</t>
        </is>
      </c>
      <c r="G327" s="8" t="inlineStr">
        <is>
          <t>M01@20261028-4614b9c2</t>
        </is>
      </c>
      <c r="H327" s="8" t="n">
        <v>1</v>
      </c>
      <c r="I327" s="8" t="n">
        <v>1</v>
      </c>
      <c r="J327" s="8" t="inlineStr">
        <is>
          <t>In the "Proof Of Identity" section, upload ANY ONE of the following documents: PAN Card, Voter ID Card (POI), Passport (POI), Aadhaar Card (POI), Driving License (POI), Government / Semi-Government ID, Proof MNREGA Job Card, RSBY Card.</t>
        </is>
      </c>
      <c r="K327" s="8" t="inlineStr">
        <is>
          <t>MS-M01</t>
        </is>
      </c>
      <c r="L327" s="9" t="n">
        <v>46323</v>
      </c>
      <c r="M327" s="8" t="inlineStr">
        <is>
          <t>Approved</t>
        </is>
      </c>
      <c r="N327" s="8" t="inlineStr">
        <is>
          <t>paragraph</t>
        </is>
      </c>
    </row>
    <row r="328" ht="40" customHeight="1">
      <c r="A328" s="4" t="inlineStr">
        <is>
          <t>M01-P0047</t>
        </is>
      </c>
      <c r="B328" s="4" t="inlineStr">
        <is>
          <t>M01</t>
        </is>
      </c>
      <c r="C328" s="4" t="inlineStr">
        <is>
          <t>Sanjay Gandhi Niradhar Grant Scheme</t>
        </is>
      </c>
      <c r="D328" s="4" t="inlineStr">
        <is>
          <t>Application process</t>
        </is>
      </c>
      <c r="E328" s="4" t="inlineStr"/>
      <c r="F328" s="4" t="inlineStr">
        <is>
          <t>en.applicationProcess[1].process[19]</t>
        </is>
      </c>
      <c r="G328" s="4" t="inlineStr">
        <is>
          <t>M01@20261028-4614b9c2</t>
        </is>
      </c>
      <c r="H328" s="4" t="n">
        <v>1</v>
      </c>
      <c r="I328" s="4" t="n">
        <v>1</v>
      </c>
      <c r="J328" s="4" t="inlineStr">
        <is>
          <t>The format should be JPEG/ PDF, and the file size should be between 75 KB to 256 KB.</t>
        </is>
      </c>
      <c r="K328" s="4" t="inlineStr">
        <is>
          <t>MS-M01</t>
        </is>
      </c>
      <c r="L328" s="6" t="n">
        <v>46323</v>
      </c>
      <c r="M328" s="4" t="inlineStr">
        <is>
          <t>Approved</t>
        </is>
      </c>
      <c r="N328" s="4" t="inlineStr">
        <is>
          <t>paragraph</t>
        </is>
      </c>
    </row>
    <row r="329" ht="68" customHeight="1">
      <c r="A329" s="8" t="inlineStr">
        <is>
          <t>M01-P0048</t>
        </is>
      </c>
      <c r="B329" s="8" t="inlineStr">
        <is>
          <t>M01</t>
        </is>
      </c>
      <c r="C329" s="8" t="inlineStr">
        <is>
          <t>Sanjay Gandhi Niradhar Grant Scheme</t>
        </is>
      </c>
      <c r="D329" s="8" t="inlineStr">
        <is>
          <t>Application process</t>
        </is>
      </c>
      <c r="E329" s="8" t="inlineStr"/>
      <c r="F329" s="8" t="inlineStr">
        <is>
          <t>en.applicationProcess[1].process[21]</t>
        </is>
      </c>
      <c r="G329" s="8" t="inlineStr">
        <is>
          <t>M01@20261028-4614b9c2</t>
        </is>
      </c>
      <c r="H329" s="8" t="n">
        <v>1</v>
      </c>
      <c r="I329" s="8" t="n">
        <v>1</v>
      </c>
      <c r="J329" s="8" t="inlineStr">
        <is>
          <t>In the "Proof Of Address" section, upload ANY ONE of the following documents: Ration Card Passport (POA), Aadhaar Card (POA), Driving License (POA), Voter ID Card (POA), Extracts of 7/12 and 8 A, Property Tax Receipt, Property Agreement Copy, Water Bill, Electricity Bill, Telephone Bill, Rent Receipt.</t>
        </is>
      </c>
      <c r="K329" s="8" t="inlineStr">
        <is>
          <t>MS-M01</t>
        </is>
      </c>
      <c r="L329" s="9" t="n">
        <v>46323</v>
      </c>
      <c r="M329" s="8" t="inlineStr">
        <is>
          <t>Approved</t>
        </is>
      </c>
      <c r="N329" s="8" t="inlineStr">
        <is>
          <t>paragraph</t>
        </is>
      </c>
    </row>
    <row r="330" ht="40" customHeight="1">
      <c r="A330" s="4" t="inlineStr">
        <is>
          <t>M01-P0049</t>
        </is>
      </c>
      <c r="B330" s="4" t="inlineStr">
        <is>
          <t>M01</t>
        </is>
      </c>
      <c r="C330" s="4" t="inlineStr">
        <is>
          <t>Sanjay Gandhi Niradhar Grant Scheme</t>
        </is>
      </c>
      <c r="D330" s="4" t="inlineStr">
        <is>
          <t>Application process</t>
        </is>
      </c>
      <c r="E330" s="4" t="inlineStr"/>
      <c r="F330" s="4" t="inlineStr">
        <is>
          <t>en.applicationProcess[1].process[23]</t>
        </is>
      </c>
      <c r="G330" s="4" t="inlineStr">
        <is>
          <t>M01@20261028-4614b9c2</t>
        </is>
      </c>
      <c r="H330" s="4" t="n">
        <v>1</v>
      </c>
      <c r="I330" s="4" t="n">
        <v>1</v>
      </c>
      <c r="J330" s="4" t="inlineStr">
        <is>
          <t>Step 3: At the bottom of the Registration Page, read the following declaration carefully:</t>
        </is>
      </c>
      <c r="K330" s="4" t="inlineStr">
        <is>
          <t>MS-M01</t>
        </is>
      </c>
      <c r="L330" s="6" t="n">
        <v>46323</v>
      </c>
      <c r="M330" s="4" t="inlineStr">
        <is>
          <t>Approved</t>
        </is>
      </c>
      <c r="N330" s="4" t="inlineStr">
        <is>
          <t>paragraph</t>
        </is>
      </c>
    </row>
    <row r="331" ht="54" customHeight="1">
      <c r="A331" s="8" t="inlineStr">
        <is>
          <t>M01-P0050</t>
        </is>
      </c>
      <c r="B331" s="8" t="inlineStr">
        <is>
          <t>M01</t>
        </is>
      </c>
      <c r="C331" s="8" t="inlineStr">
        <is>
          <t>Sanjay Gandhi Niradhar Grant Scheme</t>
        </is>
      </c>
      <c r="D331" s="8" t="inlineStr">
        <is>
          <t>Application process</t>
        </is>
      </c>
      <c r="E331" s="8" t="inlineStr"/>
      <c r="F331" s="8" t="inlineStr">
        <is>
          <t>en.applicationProcess[1].process[24]</t>
        </is>
      </c>
      <c r="G331" s="8" t="inlineStr">
        <is>
          <t>M01@20261028-4614b9c2</t>
        </is>
      </c>
      <c r="H331" s="8" t="n">
        <v>1</v>
      </c>
      <c r="I331" s="8" t="n">
        <v>1</v>
      </c>
      <c r="J331" s="8" t="inlineStr">
        <is>
          <t>"I declare that the above-mentioned information submitted by me is true and correct to my knowledge and belief. I hereby agree to be liable for legal consequences for any information found incorrect or false under section 200 of the Indian penal code 1960."</t>
        </is>
      </c>
      <c r="K331" s="8" t="inlineStr">
        <is>
          <t>MS-M01</t>
        </is>
      </c>
      <c r="L331" s="9" t="n">
        <v>46323</v>
      </c>
      <c r="M331" s="8" t="inlineStr">
        <is>
          <t>Approved</t>
        </is>
      </c>
      <c r="N331" s="8" t="inlineStr">
        <is>
          <t>paragraph</t>
        </is>
      </c>
    </row>
    <row r="332" ht="40" customHeight="1">
      <c r="A332" s="4" t="inlineStr">
        <is>
          <t>M01-P0051</t>
        </is>
      </c>
      <c r="B332" s="4" t="inlineStr">
        <is>
          <t>M01</t>
        </is>
      </c>
      <c r="C332" s="4" t="inlineStr">
        <is>
          <t>Sanjay Gandhi Niradhar Grant Scheme</t>
        </is>
      </c>
      <c r="D332" s="4" t="inlineStr">
        <is>
          <t>Application process</t>
        </is>
      </c>
      <c r="E332" s="4" t="inlineStr"/>
      <c r="F332" s="4" t="inlineStr">
        <is>
          <t>en.applicationProcess[1].process[26]</t>
        </is>
      </c>
      <c r="G332" s="4" t="inlineStr">
        <is>
          <t>M01@20261028-4614b9c2</t>
        </is>
      </c>
      <c r="H332" s="4" t="n">
        <v>1</v>
      </c>
      <c r="I332" s="4" t="n">
        <v>1</v>
      </c>
      <c r="J332" s="4" t="inlineStr">
        <is>
          <t>Select the "I accept" checkbox, and click "Register". Your Login Credentials will be shared over your registered Email ID and Mobile Number.</t>
        </is>
      </c>
      <c r="K332" s="4" t="inlineStr">
        <is>
          <t>MS-M01</t>
        </is>
      </c>
      <c r="L332" s="6" t="n">
        <v>46323</v>
      </c>
      <c r="M332" s="4" t="inlineStr">
        <is>
          <t>Approved</t>
        </is>
      </c>
      <c r="N332" s="4" t="inlineStr">
        <is>
          <t>paragraph</t>
        </is>
      </c>
    </row>
    <row r="333" ht="40" customHeight="1">
      <c r="A333" s="8" t="inlineStr">
        <is>
          <t>M01-P0052</t>
        </is>
      </c>
      <c r="B333" s="8" t="inlineStr">
        <is>
          <t>M01</t>
        </is>
      </c>
      <c r="C333" s="8" t="inlineStr">
        <is>
          <t>Sanjay Gandhi Niradhar Grant Scheme</t>
        </is>
      </c>
      <c r="D333" s="8" t="inlineStr">
        <is>
          <t>Application process</t>
        </is>
      </c>
      <c r="E333" s="8" t="inlineStr"/>
      <c r="F333" s="8" t="inlineStr">
        <is>
          <t>en.applicationProcess[1].process[28].children[0]</t>
        </is>
      </c>
      <c r="G333" s="8" t="inlineStr">
        <is>
          <t>M01@20261028-4614b9c2</t>
        </is>
      </c>
      <c r="H333" s="8" t="n">
        <v>1</v>
      </c>
      <c r="I333" s="8" t="n">
        <v>1</v>
      </c>
      <c r="J333" s="8" t="inlineStr">
        <is>
          <t>Application:</t>
        </is>
      </c>
      <c r="K333" s="8" t="inlineStr">
        <is>
          <t>MS-M01</t>
        </is>
      </c>
      <c r="L333" s="9" t="n">
        <v>46323</v>
      </c>
      <c r="M333" s="8" t="inlineStr">
        <is>
          <t>Approved</t>
        </is>
      </c>
      <c r="N333" s="8" t="inlineStr">
        <is>
          <t>text</t>
        </is>
      </c>
    </row>
    <row r="334" ht="54" customHeight="1">
      <c r="A334" s="4" t="inlineStr">
        <is>
          <t>M01-P0053</t>
        </is>
      </c>
      <c r="B334" s="4" t="inlineStr">
        <is>
          <t>M01</t>
        </is>
      </c>
      <c r="C334" s="4" t="inlineStr">
        <is>
          <t>Sanjay Gandhi Niradhar Grant Scheme</t>
        </is>
      </c>
      <c r="D334" s="4" t="inlineStr">
        <is>
          <t>Application process</t>
        </is>
      </c>
      <c r="E334" s="4" t="inlineStr"/>
      <c r="F334" s="4" t="inlineStr">
        <is>
          <t>en.applicationProcess[1].process[30]</t>
        </is>
      </c>
      <c r="G334" s="4" t="inlineStr">
        <is>
          <t>M01@20261028-4614b9c2</t>
        </is>
      </c>
      <c r="H334" s="4" t="n">
        <v>1</v>
      </c>
      <c r="I334" s="4" t="n">
        <v>1</v>
      </c>
      <c r="J334" s="4" t="inlineStr">
        <is>
          <t>Step 1: Visit the Official Portal of Aaple Sarkar (Maha DBT). On the right pane (green), click "Already Registered? Login Here". Provide your Username and Password. Fill in the Captcha Code, Select your District from the dropdown menu, and click "Login".</t>
        </is>
      </c>
      <c r="K334" s="4" t="inlineStr">
        <is>
          <t>MS-M01</t>
        </is>
      </c>
      <c r="L334" s="6" t="n">
        <v>46323</v>
      </c>
      <c r="M334" s="4" t="inlineStr">
        <is>
          <t>Approved</t>
        </is>
      </c>
      <c r="N334" s="4" t="inlineStr">
        <is>
          <t>paragraph</t>
        </is>
      </c>
    </row>
    <row r="335" ht="54" customHeight="1">
      <c r="A335" s="8" t="inlineStr">
        <is>
          <t>M01-P0054</t>
        </is>
      </c>
      <c r="B335" s="8" t="inlineStr">
        <is>
          <t>M01</t>
        </is>
      </c>
      <c r="C335" s="8" t="inlineStr">
        <is>
          <t>Sanjay Gandhi Niradhar Grant Scheme</t>
        </is>
      </c>
      <c r="D335" s="8" t="inlineStr">
        <is>
          <t>Application process</t>
        </is>
      </c>
      <c r="E335" s="8" t="inlineStr"/>
      <c r="F335" s="8" t="inlineStr">
        <is>
          <t>en.applicationProcess[1].process[32]</t>
        </is>
      </c>
      <c r="G335" s="8" t="inlineStr">
        <is>
          <t>M01@20261028-4614b9c2</t>
        </is>
      </c>
      <c r="H335" s="8" t="n">
        <v>1</v>
      </c>
      <c r="I335" s="8" t="n">
        <v>1</v>
      </c>
      <c r="J335" s="8" t="inlineStr">
        <is>
          <t>Step 2: On the next page, in the left pane, click "All Schemes". From the dropdown menu, select the Department Name, and the name of the scheme that you seek to apply for. Click "Apply" against the concerned scheme.</t>
        </is>
      </c>
      <c r="K335" s="8" t="inlineStr">
        <is>
          <t>MS-M01</t>
        </is>
      </c>
      <c r="L335" s="9" t="n">
        <v>46323</v>
      </c>
      <c r="M335" s="8" t="inlineStr">
        <is>
          <t>Approved</t>
        </is>
      </c>
      <c r="N335" s="8" t="inlineStr">
        <is>
          <t>paragraph</t>
        </is>
      </c>
    </row>
    <row r="336" ht="54" customHeight="1">
      <c r="A336" s="4" t="inlineStr">
        <is>
          <t>M01-P0055</t>
        </is>
      </c>
      <c r="B336" s="4" t="inlineStr">
        <is>
          <t>M01</t>
        </is>
      </c>
      <c r="C336" s="4" t="inlineStr">
        <is>
          <t>Sanjay Gandhi Niradhar Grant Scheme</t>
        </is>
      </c>
      <c r="D336" s="4" t="inlineStr">
        <is>
          <t>Application process</t>
        </is>
      </c>
      <c r="E336" s="4" t="inlineStr"/>
      <c r="F336" s="4" t="inlineStr">
        <is>
          <t>en.applicationProcess[1].process[34]</t>
        </is>
      </c>
      <c r="G336" s="4" t="inlineStr">
        <is>
          <t>M01@20261028-4614b9c2</t>
        </is>
      </c>
      <c r="H336" s="4" t="n">
        <v>1</v>
      </c>
      <c r="I336" s="4" t="n">
        <v>1</v>
      </c>
      <c r="J336" s="4" t="inlineStr">
        <is>
          <t>Step 3: Fill in all the mandatory fields and upload the mandatory documents, and click "Apply". A popup message acknowledging the successful submission of the application will be displayed, along with the Application ID:</t>
        </is>
      </c>
      <c r="K336" s="4" t="inlineStr">
        <is>
          <t>MS-M01</t>
        </is>
      </c>
      <c r="L336" s="6" t="n">
        <v>46323</v>
      </c>
      <c r="M336" s="4" t="inlineStr">
        <is>
          <t>Approved</t>
        </is>
      </c>
      <c r="N336" s="4" t="inlineStr">
        <is>
          <t>paragraph</t>
        </is>
      </c>
    </row>
    <row r="337" ht="40" customHeight="1">
      <c r="A337" s="8" t="inlineStr">
        <is>
          <t>M01-P0056</t>
        </is>
      </c>
      <c r="B337" s="8" t="inlineStr">
        <is>
          <t>M01</t>
        </is>
      </c>
      <c r="C337" s="8" t="inlineStr">
        <is>
          <t>Sanjay Gandhi Niradhar Grant Scheme</t>
        </is>
      </c>
      <c r="D337" s="8" t="inlineStr">
        <is>
          <t>Application process</t>
        </is>
      </c>
      <c r="E337" s="8" t="inlineStr"/>
      <c r="F337" s="8" t="inlineStr">
        <is>
          <t>en.applicationProcess[1].process[35]</t>
        </is>
      </c>
      <c r="G337" s="8" t="inlineStr">
        <is>
          <t>M01@20261028-4614b9c2</t>
        </is>
      </c>
      <c r="H337" s="8" t="n">
        <v>1</v>
      </c>
      <c r="I337" s="8" t="n">
        <v>1</v>
      </c>
      <c r="J337" s="8" t="inlineStr">
        <is>
          <t>"Dear [Username], you have successfully applied for [Scheme Name]. Your Application ID is [Application ID here]."</t>
        </is>
      </c>
      <c r="K337" s="8" t="inlineStr">
        <is>
          <t>MS-M01</t>
        </is>
      </c>
      <c r="L337" s="9" t="n">
        <v>46323</v>
      </c>
      <c r="M337" s="8" t="inlineStr">
        <is>
          <t>Approved</t>
        </is>
      </c>
      <c r="N337" s="8" t="inlineStr">
        <is>
          <t>paragraph</t>
        </is>
      </c>
    </row>
    <row r="338" ht="40" customHeight="1">
      <c r="A338" s="4" t="inlineStr">
        <is>
          <t>M01-P0057</t>
        </is>
      </c>
      <c r="B338" s="4" t="inlineStr">
        <is>
          <t>M01</t>
        </is>
      </c>
      <c r="C338" s="4" t="inlineStr">
        <is>
          <t>Sanjay Gandhi Niradhar Grant Scheme</t>
        </is>
      </c>
      <c r="D338" s="4" t="inlineStr">
        <is>
          <t>Application process</t>
        </is>
      </c>
      <c r="E338" s="4" t="inlineStr"/>
      <c r="F338" s="4" t="inlineStr">
        <is>
          <t>en.applicationProcess[1].process[37]</t>
        </is>
      </c>
      <c r="G338" s="4" t="inlineStr">
        <is>
          <t>M01@20261028-4614b9c2</t>
        </is>
      </c>
      <c r="H338" s="4" t="n">
        <v>1</v>
      </c>
      <c r="I338" s="4" t="n">
        <v>1</v>
      </c>
      <c r="J338" s="4" t="inlineStr">
        <is>
          <t>The Application ID will also be shared over your registered Email ID and Mobile Number. Save this Application ID for future reference and for checking the application status.</t>
        </is>
      </c>
      <c r="K338" s="4" t="inlineStr">
        <is>
          <t>MS-M01</t>
        </is>
      </c>
      <c r="L338" s="6" t="n">
        <v>46323</v>
      </c>
      <c r="M338" s="4" t="inlineStr">
        <is>
          <t>Approved</t>
        </is>
      </c>
      <c r="N338" s="4" t="inlineStr">
        <is>
          <t>paragraph</t>
        </is>
      </c>
    </row>
    <row r="339" ht="40" customHeight="1">
      <c r="A339" s="8" t="inlineStr">
        <is>
          <t>M01-P0058</t>
        </is>
      </c>
      <c r="B339" s="8" t="inlineStr">
        <is>
          <t>M01</t>
        </is>
      </c>
      <c r="C339" s="8" t="inlineStr">
        <is>
          <t>Sanjay Gandhi Niradhar Grant Scheme</t>
        </is>
      </c>
      <c r="D339" s="8" t="inlineStr">
        <is>
          <t>Application process</t>
        </is>
      </c>
      <c r="E339" s="8" t="inlineStr"/>
      <c r="F339" s="8" t="inlineStr">
        <is>
          <t>en.applicationProcess[1].process[39]</t>
        </is>
      </c>
      <c r="G339" s="8" t="inlineStr">
        <is>
          <t>M01@20261028-4614b9c2</t>
        </is>
      </c>
      <c r="H339" s="8" t="n">
        <v>1</v>
      </c>
      <c r="I339" s="8" t="n">
        <v>1</v>
      </c>
      <c r="J339" s="8" t="inlineStr">
        <is>
          <t>Step 4: You can also view the status of your applications (Under Scrutiny / Approved / Rejected / Fund Disbursed) using the "My Applied Scheme History" in the left pane.</t>
        </is>
      </c>
      <c r="K339" s="8" t="inlineStr">
        <is>
          <t>MS-M01</t>
        </is>
      </c>
      <c r="L339" s="9" t="n">
        <v>46323</v>
      </c>
      <c r="M339" s="8" t="inlineStr">
        <is>
          <t>Approved</t>
        </is>
      </c>
      <c r="N339" s="8" t="inlineStr">
        <is>
          <t>paragraph</t>
        </is>
      </c>
    </row>
    <row r="340" ht="68" customHeight="1">
      <c r="A340" s="4" t="inlineStr">
        <is>
          <t>M01-P0059</t>
        </is>
      </c>
      <c r="B340" s="4" t="inlineStr">
        <is>
          <t>M01</t>
        </is>
      </c>
      <c r="C340" s="4" t="inlineStr">
        <is>
          <t>Sanjay Gandhi Niradhar Grant Scheme</t>
        </is>
      </c>
      <c r="D340" s="4" t="inlineStr">
        <is>
          <t>FAQ</t>
        </is>
      </c>
      <c r="E340" s="4" t="inlineStr"/>
      <c r="F340" s="4" t="inlineStr">
        <is>
          <t>faqs.en.faqs[0]</t>
        </is>
      </c>
      <c r="G340" s="4" t="inlineStr">
        <is>
          <t>M01@20261028-4614b9c2</t>
        </is>
      </c>
      <c r="H340" s="4" t="n">
        <v>1</v>
      </c>
      <c r="I340" s="4" t="n">
        <v>1</v>
      </c>
      <c r="J340" s="4" t="inlineStr">
        <is>
          <t>How Much Shall Be The Maximum Amount Of Financial Assistance In Case There Is Only One Beneficiary In The Family?
The maximum amount of financial assistance shall be ₹600/- per month in case there is only one beneficiary in the family.</t>
        </is>
      </c>
      <c r="K340" s="4" t="inlineStr">
        <is>
          <t>MS-M01</t>
        </is>
      </c>
      <c r="L340" s="6" t="n">
        <v>46323</v>
      </c>
      <c r="M340" s="4" t="inlineStr">
        <is>
          <t>Approved</t>
        </is>
      </c>
      <c r="N340" s="4" t="inlineStr">
        <is>
          <t>faq</t>
        </is>
      </c>
    </row>
    <row r="341" ht="68" customHeight="1">
      <c r="A341" s="8" t="inlineStr">
        <is>
          <t>M01-P0060</t>
        </is>
      </c>
      <c r="B341" s="8" t="inlineStr">
        <is>
          <t>M01</t>
        </is>
      </c>
      <c r="C341" s="8" t="inlineStr">
        <is>
          <t>Sanjay Gandhi Niradhar Grant Scheme</t>
        </is>
      </c>
      <c r="D341" s="8" t="inlineStr">
        <is>
          <t>FAQ</t>
        </is>
      </c>
      <c r="E341" s="8" t="inlineStr"/>
      <c r="F341" s="8" t="inlineStr">
        <is>
          <t>faqs.en.faqs[1]</t>
        </is>
      </c>
      <c r="G341" s="8" t="inlineStr">
        <is>
          <t>M01@20261028-4614b9c2</t>
        </is>
      </c>
      <c r="H341" s="8" t="n">
        <v>1</v>
      </c>
      <c r="I341" s="8" t="n">
        <v>1</v>
      </c>
      <c r="J341" s="8" t="inlineStr">
        <is>
          <t>How Much Shall Be The Maximum Amount Of Financial Assistance In Case There Is More Than One Beneficiary In The Family?
The maximum amount of financial assistance shall be ₹900/- per month in case there is more than one beneficiary in the family.</t>
        </is>
      </c>
      <c r="K341" s="8" t="inlineStr">
        <is>
          <t>MS-M01</t>
        </is>
      </c>
      <c r="L341" s="9" t="n">
        <v>46323</v>
      </c>
      <c r="M341" s="8" t="inlineStr">
        <is>
          <t>Approved</t>
        </is>
      </c>
      <c r="N341" s="8" t="inlineStr">
        <is>
          <t>faq</t>
        </is>
      </c>
    </row>
    <row r="342" ht="40" customHeight="1">
      <c r="A342" s="4" t="inlineStr">
        <is>
          <t>M01-P0061</t>
        </is>
      </c>
      <c r="B342" s="4" t="inlineStr">
        <is>
          <t>M01</t>
        </is>
      </c>
      <c r="C342" s="4" t="inlineStr">
        <is>
          <t>Sanjay Gandhi Niradhar Grant Scheme</t>
        </is>
      </c>
      <c r="D342" s="4" t="inlineStr">
        <is>
          <t>FAQ</t>
        </is>
      </c>
      <c r="E342" s="4" t="inlineStr"/>
      <c r="F342" s="4" t="inlineStr">
        <is>
          <t>faqs.en.faqs[2]</t>
        </is>
      </c>
      <c r="G342" s="4" t="inlineStr">
        <is>
          <t>M01@20261028-4614b9c2</t>
        </is>
      </c>
      <c r="H342" s="4" t="n">
        <v>1</v>
      </c>
      <c r="I342" s="4" t="n">
        <v>1</v>
      </c>
      <c r="J342" s="4" t="inlineStr">
        <is>
          <t>Can Only Families Who Are Below Poverty Line Apply To This Scheme?
Yes, in order to be eligible for this scheme, the family should be Below Poverty Line (BPL).</t>
        </is>
      </c>
      <c r="K342" s="4" t="inlineStr">
        <is>
          <t>MS-M01</t>
        </is>
      </c>
      <c r="L342" s="6" t="n">
        <v>46323</v>
      </c>
      <c r="M342" s="4" t="inlineStr">
        <is>
          <t>Approved</t>
        </is>
      </c>
      <c r="N342" s="4" t="inlineStr">
        <is>
          <t>faq</t>
        </is>
      </c>
    </row>
    <row r="343" ht="54" customHeight="1">
      <c r="A343" s="8" t="inlineStr">
        <is>
          <t>M01-P0062</t>
        </is>
      </c>
      <c r="B343" s="8" t="inlineStr">
        <is>
          <t>M01</t>
        </is>
      </c>
      <c r="C343" s="8" t="inlineStr">
        <is>
          <t>Sanjay Gandhi Niradhar Grant Scheme</t>
        </is>
      </c>
      <c r="D343" s="8" t="inlineStr">
        <is>
          <t>FAQ</t>
        </is>
      </c>
      <c r="E343" s="8" t="inlineStr"/>
      <c r="F343" s="8" t="inlineStr">
        <is>
          <t>faqs.en.faqs[3]</t>
        </is>
      </c>
      <c r="G343" s="8" t="inlineStr">
        <is>
          <t>M01@20261028-4614b9c2</t>
        </is>
      </c>
      <c r="H343" s="8" t="n">
        <v>1</v>
      </c>
      <c r="I343" s="8" t="n">
        <v>1</v>
      </c>
      <c r="J343" s="8" t="inlineStr">
        <is>
          <t>Where Can I Find The Scheme Guidelines In Marathi?
Yes, you can find the Marathi version of the Scheme Guidelines at this link - 
https://static.s3waas.gov.in/s3db85e2590b6109813dafa101ceb2faeb/uploads/2018/03/2018030785.pdf</t>
        </is>
      </c>
      <c r="K343" s="8" t="inlineStr">
        <is>
          <t>MS-M01</t>
        </is>
      </c>
      <c r="L343" s="9" t="n">
        <v>46323</v>
      </c>
      <c r="M343" s="8" t="inlineStr">
        <is>
          <t>Approved</t>
        </is>
      </c>
      <c r="N343" s="8" t="inlineStr">
        <is>
          <t>faq</t>
        </is>
      </c>
    </row>
    <row r="344" ht="40" customHeight="1">
      <c r="A344" s="4" t="inlineStr">
        <is>
          <t>M01-P0063</t>
        </is>
      </c>
      <c r="B344" s="4" t="inlineStr">
        <is>
          <t>M01</t>
        </is>
      </c>
      <c r="C344" s="4" t="inlineStr">
        <is>
          <t>Sanjay Gandhi Niradhar Grant Scheme</t>
        </is>
      </c>
      <c r="D344" s="4" t="inlineStr">
        <is>
          <t>FAQ</t>
        </is>
      </c>
      <c r="E344" s="4" t="inlineStr"/>
      <c r="F344" s="4" t="inlineStr">
        <is>
          <t>faqs.en.faqs[4]</t>
        </is>
      </c>
      <c r="G344" s="4" t="inlineStr">
        <is>
          <t>M01@20261028-4614b9c2</t>
        </is>
      </c>
      <c r="H344" s="4" t="n">
        <v>1</v>
      </c>
      <c r="I344" s="4" t="n">
        <v>1</v>
      </c>
      <c r="J344" s="4" t="inlineStr">
        <is>
          <t>Can Orphan Children Also Apply?
Yes, Orphan Children can also apply to this scheme.</t>
        </is>
      </c>
      <c r="K344" s="4" t="inlineStr">
        <is>
          <t>MS-M01</t>
        </is>
      </c>
      <c r="L344" s="6" t="n">
        <v>46323</v>
      </c>
      <c r="M344" s="4" t="inlineStr">
        <is>
          <t>Approved</t>
        </is>
      </c>
      <c r="N344" s="4" t="inlineStr">
        <is>
          <t>faq</t>
        </is>
      </c>
    </row>
    <row r="345" ht="40" customHeight="1">
      <c r="A345" s="8" t="inlineStr">
        <is>
          <t>M01-P0064</t>
        </is>
      </c>
      <c r="B345" s="8" t="inlineStr">
        <is>
          <t>M01</t>
        </is>
      </c>
      <c r="C345" s="8" t="inlineStr">
        <is>
          <t>Sanjay Gandhi Niradhar Grant Scheme</t>
        </is>
      </c>
      <c r="D345" s="8" t="inlineStr">
        <is>
          <t>FAQ</t>
        </is>
      </c>
      <c r="E345" s="8" t="inlineStr"/>
      <c r="F345" s="8" t="inlineStr">
        <is>
          <t>faqs.en.faqs[5]</t>
        </is>
      </c>
      <c r="G345" s="8" t="inlineStr">
        <is>
          <t>M01@20261028-4614b9c2</t>
        </is>
      </c>
      <c r="H345" s="8" t="n">
        <v>1</v>
      </c>
      <c r="I345" s="8" t="n">
        <v>1</v>
      </c>
      <c r="J345" s="8" t="inlineStr">
        <is>
          <t>What Is The Full Form Of BPL?
The full form of BPL is "Below Poverty Line".</t>
        </is>
      </c>
      <c r="K345" s="8" t="inlineStr">
        <is>
          <t>MS-M01</t>
        </is>
      </c>
      <c r="L345" s="9" t="n">
        <v>46323</v>
      </c>
      <c r="M345" s="8" t="inlineStr">
        <is>
          <t>Approved</t>
        </is>
      </c>
      <c r="N345" s="8" t="inlineStr">
        <is>
          <t>faq</t>
        </is>
      </c>
    </row>
    <row r="346" ht="40" customHeight="1">
      <c r="A346" s="4" t="inlineStr">
        <is>
          <t>M01-P0065</t>
        </is>
      </c>
      <c r="B346" s="4" t="inlineStr">
        <is>
          <t>M01</t>
        </is>
      </c>
      <c r="C346" s="4" t="inlineStr">
        <is>
          <t>Sanjay Gandhi Niradhar Grant Scheme</t>
        </is>
      </c>
      <c r="D346" s="4" t="inlineStr">
        <is>
          <t>FAQ</t>
        </is>
      </c>
      <c r="E346" s="4" t="inlineStr"/>
      <c r="F346" s="4" t="inlineStr">
        <is>
          <t>faqs.en.faqs[6]</t>
        </is>
      </c>
      <c r="G346" s="4" t="inlineStr">
        <is>
          <t>M01@20261028-4614b9c2</t>
        </is>
      </c>
      <c r="H346" s="4" t="n">
        <v>1</v>
      </c>
      <c r="I346" s="4" t="n">
        <v>1</v>
      </c>
      <c r="J346" s="4" t="inlineStr">
        <is>
          <t>Can The Women Who Are Not Divorced But Are In The Process Of Divorce Also Apply?
Yes, women who are not divorced but are in the process of divorce also apply to this scheme.</t>
        </is>
      </c>
      <c r="K346" s="4" t="inlineStr">
        <is>
          <t>MS-M01</t>
        </is>
      </c>
      <c r="L346" s="6" t="n">
        <v>46323</v>
      </c>
      <c r="M346" s="4" t="inlineStr">
        <is>
          <t>Approved</t>
        </is>
      </c>
      <c r="N346" s="4" t="inlineStr">
        <is>
          <t>faq</t>
        </is>
      </c>
    </row>
    <row r="347" ht="40" customHeight="1">
      <c r="A347" s="8" t="inlineStr">
        <is>
          <t>M01-P0066</t>
        </is>
      </c>
      <c r="B347" s="8" t="inlineStr">
        <is>
          <t>M01</t>
        </is>
      </c>
      <c r="C347" s="8" t="inlineStr">
        <is>
          <t>Sanjay Gandhi Niradhar Grant Scheme</t>
        </is>
      </c>
      <c r="D347" s="8" t="inlineStr">
        <is>
          <t>FAQ</t>
        </is>
      </c>
      <c r="E347" s="8" t="inlineStr"/>
      <c r="F347" s="8" t="inlineStr">
        <is>
          <t>faqs.en.faqs[7]</t>
        </is>
      </c>
      <c r="G347" s="8" t="inlineStr">
        <is>
          <t>M01@20261028-4614b9c2</t>
        </is>
      </c>
      <c r="H347" s="8" t="n">
        <v>1</v>
      </c>
      <c r="I347" s="8" t="n">
        <v>1</v>
      </c>
      <c r="J347" s="8" t="inlineStr">
        <is>
          <t>Does This Scheme Accept Applications From Transgenders?
Yes, Transgenders too can apply to this scheme.</t>
        </is>
      </c>
      <c r="K347" s="8" t="inlineStr">
        <is>
          <t>MS-M01</t>
        </is>
      </c>
      <c r="L347" s="9" t="n">
        <v>46323</v>
      </c>
      <c r="M347" s="8" t="inlineStr">
        <is>
          <t>Approved</t>
        </is>
      </c>
      <c r="N347" s="8" t="inlineStr">
        <is>
          <t>faq</t>
        </is>
      </c>
    </row>
    <row r="348" ht="40" customHeight="1">
      <c r="A348" s="4" t="inlineStr">
        <is>
          <t>M01-P0067</t>
        </is>
      </c>
      <c r="B348" s="4" t="inlineStr">
        <is>
          <t>M01</t>
        </is>
      </c>
      <c r="C348" s="4" t="inlineStr">
        <is>
          <t>Sanjay Gandhi Niradhar Grant Scheme</t>
        </is>
      </c>
      <c r="D348" s="4" t="inlineStr">
        <is>
          <t>FAQ</t>
        </is>
      </c>
      <c r="E348" s="4" t="inlineStr"/>
      <c r="F348" s="4" t="inlineStr">
        <is>
          <t>faqs.en.faqs[8]</t>
        </is>
      </c>
      <c r="G348" s="4" t="inlineStr">
        <is>
          <t>M01@20261028-4614b9c2</t>
        </is>
      </c>
      <c r="H348" s="4" t="n">
        <v>1</v>
      </c>
      <c r="I348" s="4" t="n">
        <v>1</v>
      </c>
      <c r="J348" s="4" t="inlineStr">
        <is>
          <t>My Husband Is Suffering From Sickle Cell Disease. Is He Eligible To Apply To This Scheme?
Yes, the scheme accepts applications from persons with Sickle Cell Disease.</t>
        </is>
      </c>
      <c r="K348" s="4" t="inlineStr">
        <is>
          <t>MS-M01</t>
        </is>
      </c>
      <c r="L348" s="6" t="n">
        <v>46323</v>
      </c>
      <c r="M348" s="4" t="inlineStr">
        <is>
          <t>Approved</t>
        </is>
      </c>
      <c r="N348" s="4" t="inlineStr">
        <is>
          <t>faq</t>
        </is>
      </c>
    </row>
    <row r="349" ht="40" customHeight="1">
      <c r="A349" s="8" t="inlineStr">
        <is>
          <t>M01-P0068</t>
        </is>
      </c>
      <c r="B349" s="8" t="inlineStr">
        <is>
          <t>M01</t>
        </is>
      </c>
      <c r="C349" s="8" t="inlineStr">
        <is>
          <t>Sanjay Gandhi Niradhar Grant Scheme</t>
        </is>
      </c>
      <c r="D349" s="8" t="inlineStr">
        <is>
          <t>FAQ</t>
        </is>
      </c>
      <c r="E349" s="8" t="inlineStr"/>
      <c r="F349" s="8" t="inlineStr">
        <is>
          <t>faqs.en.faqs[9]</t>
        </is>
      </c>
      <c r="G349" s="8" t="inlineStr">
        <is>
          <t>M01@20261028-4614b9c2</t>
        </is>
      </c>
      <c r="H349" s="8" t="n">
        <v>1</v>
      </c>
      <c r="I349" s="8" t="n">
        <v>1</v>
      </c>
      <c r="J349" s="8" t="inlineStr">
        <is>
          <t>Does This Scheme Accept Only Offlines Applications?
This scheme accepts offline as well as online applications.</t>
        </is>
      </c>
      <c r="K349" s="8" t="inlineStr">
        <is>
          <t>MS-M01</t>
        </is>
      </c>
      <c r="L349" s="9" t="n">
        <v>46323</v>
      </c>
      <c r="M349" s="8" t="inlineStr">
        <is>
          <t>Approved</t>
        </is>
      </c>
      <c r="N349" s="8" t="inlineStr">
        <is>
          <t>faq</t>
        </is>
      </c>
    </row>
    <row r="350" ht="54" customHeight="1">
      <c r="A350" s="4" t="inlineStr">
        <is>
          <t>M01-P0069</t>
        </is>
      </c>
      <c r="B350" s="4" t="inlineStr">
        <is>
          <t>M01</t>
        </is>
      </c>
      <c r="C350" s="4" t="inlineStr">
        <is>
          <t>Sanjay Gandhi Niradhar Grant Scheme</t>
        </is>
      </c>
      <c r="D350" s="4" t="inlineStr">
        <is>
          <t>FAQ</t>
        </is>
      </c>
      <c r="E350" s="4" t="inlineStr"/>
      <c r="F350" s="4" t="inlineStr">
        <is>
          <t>faqs.en.faqs[10]</t>
        </is>
      </c>
      <c r="G350" s="4" t="inlineStr">
        <is>
          <t>M01@20261028-4614b9c2</t>
        </is>
      </c>
      <c r="H350" s="4" t="n">
        <v>1</v>
      </c>
      <c r="I350" s="4" t="n">
        <v>1</v>
      </c>
      <c r="J350" s="4" t="inlineStr">
        <is>
          <t>From Where Can I Get The Hard Copy Of The Format Of The Application Form?
The hard copy of the format of the application form can be received from the Collector's Office / Tahsildar Sanjay Gandhi Yojana / Talathi Office.</t>
        </is>
      </c>
      <c r="K350" s="4" t="inlineStr">
        <is>
          <t>MS-M01</t>
        </is>
      </c>
      <c r="L350" s="6" t="n">
        <v>46323</v>
      </c>
      <c r="M350" s="4" t="inlineStr">
        <is>
          <t>Approved</t>
        </is>
      </c>
      <c r="N350" s="4" t="inlineStr">
        <is>
          <t>faq</t>
        </is>
      </c>
    </row>
    <row r="351" ht="54" customHeight="1">
      <c r="A351" s="8" t="inlineStr">
        <is>
          <t>M01-P0070</t>
        </is>
      </c>
      <c r="B351" s="8" t="inlineStr">
        <is>
          <t>M01</t>
        </is>
      </c>
      <c r="C351" s="8" t="inlineStr">
        <is>
          <t>Sanjay Gandhi Niradhar Grant Scheme</t>
        </is>
      </c>
      <c r="D351" s="8" t="inlineStr">
        <is>
          <t>FAQ</t>
        </is>
      </c>
      <c r="E351" s="8" t="inlineStr"/>
      <c r="F351" s="8" t="inlineStr">
        <is>
          <t>faqs.en.faqs[11]</t>
        </is>
      </c>
      <c r="G351" s="8" t="inlineStr">
        <is>
          <t>M01@20261028-4614b9c2</t>
        </is>
      </c>
      <c r="H351" s="8" t="n">
        <v>1</v>
      </c>
      <c r="I351" s="8" t="n">
        <v>1</v>
      </c>
      <c r="J351" s="8" t="inlineStr">
        <is>
          <t>What Is The URL Of The Official Portal Of Aaple Sarkar (Maha DBT)?
The URL of the Official Portal of Aaple Sarkar (Maha DBT) is: https://aaplesarkar.mahaonline.gov.in/</t>
        </is>
      </c>
      <c r="K351" s="8" t="inlineStr">
        <is>
          <t>MS-M01</t>
        </is>
      </c>
      <c r="L351" s="9" t="n">
        <v>46323</v>
      </c>
      <c r="M351" s="8" t="inlineStr">
        <is>
          <t>Approved</t>
        </is>
      </c>
      <c r="N351" s="8" t="inlineStr">
        <is>
          <t>faq</t>
        </is>
      </c>
    </row>
    <row r="352" ht="40" customHeight="1">
      <c r="A352" s="4" t="inlineStr">
        <is>
          <t>M01-P0071</t>
        </is>
      </c>
      <c r="B352" s="4" t="inlineStr">
        <is>
          <t>M01</t>
        </is>
      </c>
      <c r="C352" s="4" t="inlineStr">
        <is>
          <t>Sanjay Gandhi Niradhar Grant Scheme</t>
        </is>
      </c>
      <c r="D352" s="4" t="inlineStr">
        <is>
          <t>FAQ</t>
        </is>
      </c>
      <c r="E352" s="4" t="inlineStr"/>
      <c r="F352" s="4" t="inlineStr">
        <is>
          <t>faqs.en.faqs[12]</t>
        </is>
      </c>
      <c r="G352" s="4" t="inlineStr">
        <is>
          <t>M01@20261028-4614b9c2</t>
        </is>
      </c>
      <c r="H352" s="4" t="n">
        <v>1</v>
      </c>
      <c r="I352" s="4" t="n">
        <v>1</v>
      </c>
      <c r="J352" s="4" t="inlineStr">
        <is>
          <t>What Is The Hindi Translation Of "Aaple Sarkar"?
The Hindi Translation of "Aaple Sarkar" is "Aapki Sarkar".</t>
        </is>
      </c>
      <c r="K352" s="4" t="inlineStr">
        <is>
          <t>MS-M01</t>
        </is>
      </c>
      <c r="L352" s="6" t="n">
        <v>46323</v>
      </c>
      <c r="M352" s="4" t="inlineStr">
        <is>
          <t>Approved</t>
        </is>
      </c>
      <c r="N352" s="4" t="inlineStr">
        <is>
          <t>faq</t>
        </is>
      </c>
    </row>
    <row r="353" ht="68" customHeight="1">
      <c r="A353" s="8" t="inlineStr">
        <is>
          <t>M01-P0072</t>
        </is>
      </c>
      <c r="B353" s="8" t="inlineStr">
        <is>
          <t>M01</t>
        </is>
      </c>
      <c r="C353" s="8" t="inlineStr">
        <is>
          <t>Sanjay Gandhi Niradhar Grant Scheme</t>
        </is>
      </c>
      <c r="D353" s="8" t="inlineStr">
        <is>
          <t>FAQ</t>
        </is>
      </c>
      <c r="E353" s="8" t="inlineStr"/>
      <c r="F353" s="8" t="inlineStr">
        <is>
          <t>faqs.en.faqs[13]</t>
        </is>
      </c>
      <c r="G353" s="8" t="inlineStr">
        <is>
          <t>M01@20261028-4614b9c2</t>
        </is>
      </c>
      <c r="H353" s="8" t="n">
        <v>1</v>
      </c>
      <c r="I353" s="8" t="n">
        <v>1</v>
      </c>
      <c r="J353" s="8" t="inlineStr">
        <is>
          <t>Where Can I Find The Registration Manual For Online Application Through Aaple Sarkar (Maha DBT)?
The Registration Manual can be found at this link: https://aaplesarkar.mahaonline.gov.in/pdf/UM_AS_Reg.pdf</t>
        </is>
      </c>
      <c r="K353" s="8" t="inlineStr">
        <is>
          <t>MS-M01</t>
        </is>
      </c>
      <c r="L353" s="9" t="n">
        <v>46323</v>
      </c>
      <c r="M353" s="8" t="inlineStr">
        <is>
          <t>Approved</t>
        </is>
      </c>
      <c r="N353" s="8" t="inlineStr">
        <is>
          <t>faq</t>
        </is>
      </c>
    </row>
    <row r="354" ht="54" customHeight="1">
      <c r="A354" s="4" t="inlineStr">
        <is>
          <t>M01-P0073</t>
        </is>
      </c>
      <c r="B354" s="4" t="inlineStr">
        <is>
          <t>M01</t>
        </is>
      </c>
      <c r="C354" s="4" t="inlineStr">
        <is>
          <t>Sanjay Gandhi Niradhar Grant Scheme</t>
        </is>
      </c>
      <c r="D354" s="4" t="inlineStr">
        <is>
          <t>FAQ</t>
        </is>
      </c>
      <c r="E354" s="4" t="inlineStr"/>
      <c r="F354" s="4" t="inlineStr">
        <is>
          <t>faqs.en.faqs[14]</t>
        </is>
      </c>
      <c r="G354" s="4" t="inlineStr">
        <is>
          <t>M01@20261028-4614b9c2</t>
        </is>
      </c>
      <c r="H354" s="4" t="n">
        <v>1</v>
      </c>
      <c r="I354" s="4" t="n">
        <v>1</v>
      </c>
      <c r="J354" s="4" t="inlineStr">
        <is>
          <t>What Are The Objectives Of This Scheme?
The objective of this scheme is to encourage students with disability (SwDs) to complete their pre-matric education.</t>
        </is>
      </c>
      <c r="K354" s="4" t="inlineStr">
        <is>
          <t>MS-M01</t>
        </is>
      </c>
      <c r="L354" s="6" t="n">
        <v>46323</v>
      </c>
      <c r="M354" s="4" t="inlineStr">
        <is>
          <t>Approved</t>
        </is>
      </c>
      <c r="N354" s="4" t="inlineStr">
        <is>
          <t>faq</t>
        </is>
      </c>
    </row>
    <row r="355" ht="54" customHeight="1">
      <c r="A355" s="8" t="inlineStr">
        <is>
          <t>M01-P0074</t>
        </is>
      </c>
      <c r="B355" s="8" t="inlineStr">
        <is>
          <t>M01</t>
        </is>
      </c>
      <c r="C355" s="8" t="inlineStr">
        <is>
          <t>Sanjay Gandhi Niradhar Grant Scheme</t>
        </is>
      </c>
      <c r="D355" s="8" t="inlineStr">
        <is>
          <t>FAQ</t>
        </is>
      </c>
      <c r="E355" s="8" t="inlineStr"/>
      <c r="F355" s="8" t="inlineStr">
        <is>
          <t>faqs.en.faqs[15]</t>
        </is>
      </c>
      <c r="G355" s="8" t="inlineStr">
        <is>
          <t>M01@20261028-4614b9c2</t>
        </is>
      </c>
      <c r="H355" s="8" t="n">
        <v>1</v>
      </c>
      <c r="I355" s="8" t="n">
        <v>1</v>
      </c>
      <c r="J355" s="8" t="inlineStr">
        <is>
          <t>Can All Students From Maharashtra Apply To This Scheme?
Only students with disability (SwDs) who are domiciled in the state of Maharashtra can apply to this scheme.</t>
        </is>
      </c>
      <c r="K355" s="8" t="inlineStr">
        <is>
          <t>MS-M01</t>
        </is>
      </c>
      <c r="L355" s="9" t="n">
        <v>46323</v>
      </c>
      <c r="M355" s="8" t="inlineStr">
        <is>
          <t>Approved</t>
        </is>
      </c>
      <c r="N355" s="8" t="inlineStr">
        <is>
          <t>faq</t>
        </is>
      </c>
    </row>
    <row r="356" ht="40" customHeight="1">
      <c r="A356" s="4" t="inlineStr">
        <is>
          <t>M01-P0075</t>
        </is>
      </c>
      <c r="B356" s="4" t="inlineStr">
        <is>
          <t>M01</t>
        </is>
      </c>
      <c r="C356" s="4" t="inlineStr">
        <is>
          <t>Sanjay Gandhi Niradhar Grant Scheme</t>
        </is>
      </c>
      <c r="D356" s="4" t="inlineStr">
        <is>
          <t>FAQ</t>
        </is>
      </c>
      <c r="E356" s="4" t="inlineStr"/>
      <c r="F356" s="4" t="inlineStr">
        <is>
          <t>faqs.en.faqs[16]</t>
        </is>
      </c>
      <c r="G356" s="4" t="inlineStr">
        <is>
          <t>M01@20261028-4614b9c2</t>
        </is>
      </c>
      <c r="H356" s="4" t="n">
        <v>1</v>
      </c>
      <c r="I356" s="4" t="n">
        <v>1</v>
      </c>
      <c r="J356" s="4" t="inlineStr">
        <is>
          <t>How Will My Mobile Number And Email ID Be Verified?
The Mobile Number and Email ID of the applicant will be verified via One Time Password (OTP).</t>
        </is>
      </c>
      <c r="K356" s="4" t="inlineStr">
        <is>
          <t>MS-M01</t>
        </is>
      </c>
      <c r="L356" s="6" t="n">
        <v>46323</v>
      </c>
      <c r="M356" s="4" t="inlineStr">
        <is>
          <t>Approved</t>
        </is>
      </c>
      <c r="N356" s="4" t="inlineStr">
        <is>
          <t>faq</t>
        </is>
      </c>
    </row>
    <row r="357" ht="82" customHeight="1">
      <c r="A357" s="8" t="inlineStr">
        <is>
          <t>M01-P0076</t>
        </is>
      </c>
      <c r="B357" s="8" t="inlineStr">
        <is>
          <t>M01</t>
        </is>
      </c>
      <c r="C357" s="8" t="inlineStr">
        <is>
          <t>Sanjay Gandhi Niradhar Grant Scheme</t>
        </is>
      </c>
      <c r="D357" s="8" t="inlineStr">
        <is>
          <t>FAQ</t>
        </is>
      </c>
      <c r="E357" s="8" t="inlineStr"/>
      <c r="F357" s="8" t="inlineStr">
        <is>
          <t>faqs.en.faqs[17]</t>
        </is>
      </c>
      <c r="G357" s="8" t="inlineStr">
        <is>
          <t>M01@20261028-4614b9c2</t>
        </is>
      </c>
      <c r="H357" s="8" t="n">
        <v>1</v>
      </c>
      <c r="I357" s="8" t="n">
        <v>1</v>
      </c>
      <c r="J357" s="8" t="inlineStr">
        <is>
          <t>During The Registration On The 'Aaple Sarkar' Portal, What Are The Mandatory Details To Be Provided In The "Applicant Detail" Section?
In the "Applicant Detail" section, fill in the following mandatory fields: Salutation, Full Name(English), Full Name(Marathi), Father's Salutation, Father's Name (English), Father's Name(Marathi), Date of Birth, Age, Gender, Occupation.</t>
        </is>
      </c>
      <c r="K357" s="8" t="inlineStr">
        <is>
          <t>MS-M01</t>
        </is>
      </c>
      <c r="L357" s="9" t="n">
        <v>46323</v>
      </c>
      <c r="M357" s="8" t="inlineStr">
        <is>
          <t>Approved</t>
        </is>
      </c>
      <c r="N357" s="8" t="inlineStr">
        <is>
          <t>faq</t>
        </is>
      </c>
    </row>
    <row r="358" ht="96" customHeight="1">
      <c r="A358" s="4" t="inlineStr">
        <is>
          <t>M01-P0077</t>
        </is>
      </c>
      <c r="B358" s="4" t="inlineStr">
        <is>
          <t>M01</t>
        </is>
      </c>
      <c r="C358" s="4" t="inlineStr">
        <is>
          <t>Sanjay Gandhi Niradhar Grant Scheme</t>
        </is>
      </c>
      <c r="D358" s="4" t="inlineStr">
        <is>
          <t>FAQ</t>
        </is>
      </c>
      <c r="E358" s="4" t="inlineStr"/>
      <c r="F358" s="4" t="inlineStr">
        <is>
          <t>faqs.en.faqs[18]</t>
        </is>
      </c>
      <c r="G358" s="4" t="inlineStr">
        <is>
          <t>M01@20261028-4614b9c2</t>
        </is>
      </c>
      <c r="H358" s="4" t="n">
        <v>1</v>
      </c>
      <c r="I358" s="4" t="n">
        <v>1</v>
      </c>
      <c r="J358" s="4" t="inlineStr">
        <is>
          <t>During The Registration On The 'Aaple Sarkar' Portal, What Are The Mandatory Details To Be Provided In The "Applicant's Address" Section?
In the "Applicant's Address" section, fill in the following mandatory fields: Address (English), Address (Marathi), Street (English), Street (Marathi), Section (English), Section (Marathi), Building (English), Building (Marathi), Landmark (English), Landmark (Marathi), District, Taluka, Village, Pincode</t>
        </is>
      </c>
      <c r="K358" s="4" t="inlineStr">
        <is>
          <t>MS-M01</t>
        </is>
      </c>
      <c r="L358" s="6" t="n">
        <v>46323</v>
      </c>
      <c r="M358" s="4" t="inlineStr">
        <is>
          <t>Approved</t>
        </is>
      </c>
      <c r="N358" s="4" t="inlineStr">
        <is>
          <t>faq</t>
        </is>
      </c>
    </row>
    <row r="359" ht="82" customHeight="1">
      <c r="A359" s="8" t="inlineStr">
        <is>
          <t>M01-P0078</t>
        </is>
      </c>
      <c r="B359" s="8" t="inlineStr">
        <is>
          <t>M01</t>
        </is>
      </c>
      <c r="C359" s="8" t="inlineStr">
        <is>
          <t>Sanjay Gandhi Niradhar Grant Scheme</t>
        </is>
      </c>
      <c r="D359" s="8" t="inlineStr">
        <is>
          <t>FAQ</t>
        </is>
      </c>
      <c r="E359" s="8" t="inlineStr"/>
      <c r="F359" s="8" t="inlineStr">
        <is>
          <t>faqs.en.faqs[19]</t>
        </is>
      </c>
      <c r="G359" s="8" t="inlineStr">
        <is>
          <t>M01@20261028-4614b9c2</t>
        </is>
      </c>
      <c r="H359" s="8" t="n">
        <v>1</v>
      </c>
      <c r="I359" s="8" t="n">
        <v>1</v>
      </c>
      <c r="J359" s="8" t="inlineStr">
        <is>
          <t>During The Registration On The 'Aaple Sarkar' Portal, What Are The Mandatory Details To Be Provided In The "Mobile No. &amp; Username Verification" Section?
In the "Mobile No. &amp; Username Verification" section, fill in the following mandatory fields: 10-digit Mobile Number (to be verified via OTP), PAN No, User Name, Email ID (to be verified via OTP), Password, and Confirm Password.</t>
        </is>
      </c>
      <c r="K359" s="8" t="inlineStr">
        <is>
          <t>MS-M01</t>
        </is>
      </c>
      <c r="L359" s="9" t="n">
        <v>46323</v>
      </c>
      <c r="M359" s="8" t="inlineStr">
        <is>
          <t>Approved</t>
        </is>
      </c>
      <c r="N359" s="8" t="inlineStr">
        <is>
          <t>faq</t>
        </is>
      </c>
    </row>
    <row r="360" ht="40" customHeight="1">
      <c r="A360" s="4" t="inlineStr">
        <is>
          <t>M01-P0079</t>
        </is>
      </c>
      <c r="B360" s="4" t="inlineStr">
        <is>
          <t>M01</t>
        </is>
      </c>
      <c r="C360" s="4" t="inlineStr">
        <is>
          <t>Sanjay Gandhi Niradhar Grant Scheme</t>
        </is>
      </c>
      <c r="D360" s="4" t="inlineStr">
        <is>
          <t>FAQ</t>
        </is>
      </c>
      <c r="E360" s="4" t="inlineStr"/>
      <c r="F360" s="4" t="inlineStr">
        <is>
          <t>faqs.en.faqs[20]</t>
        </is>
      </c>
      <c r="G360" s="4" t="inlineStr">
        <is>
          <t>M01@20261028-4614b9c2</t>
        </is>
      </c>
      <c r="H360" s="4" t="n">
        <v>1</v>
      </c>
      <c r="I360" s="4" t="n">
        <v>1</v>
      </c>
      <c r="J360" s="4" t="inlineStr">
        <is>
          <t>What Should Be The File Size Of The Photograph To Be Uploaded?
The file size of the photograph that is to be uploaded should fall between 5 KB to 20 KB.</t>
        </is>
      </c>
      <c r="K360" s="4" t="inlineStr">
        <is>
          <t>MS-M01</t>
        </is>
      </c>
      <c r="L360" s="6" t="n">
        <v>46323</v>
      </c>
      <c r="M360" s="4" t="inlineStr">
        <is>
          <t>Approved</t>
        </is>
      </c>
      <c r="N360" s="4" t="inlineStr">
        <is>
          <t>faq</t>
        </is>
      </c>
    </row>
    <row r="361" ht="40" customHeight="1">
      <c r="A361" s="8" t="inlineStr">
        <is>
          <t>M01-P0080</t>
        </is>
      </c>
      <c r="B361" s="8" t="inlineStr">
        <is>
          <t>M01</t>
        </is>
      </c>
      <c r="C361" s="8" t="inlineStr">
        <is>
          <t>Sanjay Gandhi Niradhar Grant Scheme</t>
        </is>
      </c>
      <c r="D361" s="8" t="inlineStr">
        <is>
          <t>FAQ</t>
        </is>
      </c>
      <c r="E361" s="8" t="inlineStr"/>
      <c r="F361" s="8" t="inlineStr">
        <is>
          <t>faqs.en.faqs[21]</t>
        </is>
      </c>
      <c r="G361" s="8" t="inlineStr">
        <is>
          <t>M01@20261028-4614b9c2</t>
        </is>
      </c>
      <c r="H361" s="8" t="n">
        <v>1</v>
      </c>
      <c r="I361" s="8" t="n">
        <v>1</v>
      </c>
      <c r="J361" s="8" t="inlineStr">
        <is>
          <t>What Should Be The Format Of The Photograph To Be Uploaded?
The format of the photograph to be uploaded should be JPEG.</t>
        </is>
      </c>
      <c r="K361" s="8" t="inlineStr">
        <is>
          <t>MS-M01</t>
        </is>
      </c>
      <c r="L361" s="9" t="n">
        <v>46323</v>
      </c>
      <c r="M361" s="8" t="inlineStr">
        <is>
          <t>Approved</t>
        </is>
      </c>
      <c r="N361" s="8" t="inlineStr">
        <is>
          <t>faq</t>
        </is>
      </c>
    </row>
    <row r="362" ht="40" customHeight="1">
      <c r="A362" s="4" t="inlineStr">
        <is>
          <t>M01-P0081</t>
        </is>
      </c>
      <c r="B362" s="4" t="inlineStr">
        <is>
          <t>M01</t>
        </is>
      </c>
      <c r="C362" s="4" t="inlineStr">
        <is>
          <t>Sanjay Gandhi Niradhar Grant Scheme</t>
        </is>
      </c>
      <c r="D362" s="4" t="inlineStr">
        <is>
          <t>FAQ</t>
        </is>
      </c>
      <c r="E362" s="4" t="inlineStr"/>
      <c r="F362" s="4" t="inlineStr">
        <is>
          <t>faqs.en.faqs[22]</t>
        </is>
      </c>
      <c r="G362" s="4" t="inlineStr">
        <is>
          <t>M01@20261028-4614b9c2</t>
        </is>
      </c>
      <c r="H362" s="4" t="n">
        <v>1</v>
      </c>
      <c r="I362" s="4" t="n">
        <v>1</v>
      </c>
      <c r="J362" s="4" t="inlineStr">
        <is>
          <t>How Much Should Be The Width &amp; Height Of The Photograph?
The width should be 160 pixels. The height should fall between 200 to 212 pixels.</t>
        </is>
      </c>
      <c r="K362" s="4" t="inlineStr">
        <is>
          <t>MS-M01</t>
        </is>
      </c>
      <c r="L362" s="6" t="n">
        <v>46323</v>
      </c>
      <c r="M362" s="4" t="inlineStr">
        <is>
          <t>Approved</t>
        </is>
      </c>
      <c r="N362" s="4" t="inlineStr">
        <is>
          <t>faq</t>
        </is>
      </c>
    </row>
    <row r="363" ht="68" customHeight="1">
      <c r="A363" s="8" t="inlineStr">
        <is>
          <t>M01-P0082</t>
        </is>
      </c>
      <c r="B363" s="8" t="inlineStr">
        <is>
          <t>M01</t>
        </is>
      </c>
      <c r="C363" s="8" t="inlineStr">
        <is>
          <t>Sanjay Gandhi Niradhar Grant Scheme</t>
        </is>
      </c>
      <c r="D363" s="8" t="inlineStr">
        <is>
          <t>FAQ</t>
        </is>
      </c>
      <c r="E363" s="8" t="inlineStr"/>
      <c r="F363" s="8" t="inlineStr">
        <is>
          <t>faqs.en.faqs[23]</t>
        </is>
      </c>
      <c r="G363" s="8" t="inlineStr">
        <is>
          <t>M01@20261028-4614b9c2</t>
        </is>
      </c>
      <c r="H363" s="8" t="n">
        <v>1</v>
      </c>
      <c r="I363" s="8" t="n">
        <v>1</v>
      </c>
      <c r="J363" s="8" t="inlineStr">
        <is>
          <t>What Documents Are Acceptable As Proof Of Identity For The Purpose Of Applying To This Scheme?
The following documents are acceptable as Proof of Identity: PAN Card, Voter ID Card (POI), Passport (POI), Aadhaar Card (POI), Driving License (POI), Government / Semi-Government ID, Proof MNREGA Job Card, RSBY Card.</t>
        </is>
      </c>
      <c r="K363" s="8" t="inlineStr">
        <is>
          <t>MS-M01</t>
        </is>
      </c>
      <c r="L363" s="9" t="n">
        <v>46323</v>
      </c>
      <c r="M363" s="8" t="inlineStr">
        <is>
          <t>Approved</t>
        </is>
      </c>
      <c r="N363" s="8" t="inlineStr">
        <is>
          <t>faq</t>
        </is>
      </c>
    </row>
    <row r="364" ht="82" customHeight="1">
      <c r="A364" s="4" t="inlineStr">
        <is>
          <t>M01-P0083</t>
        </is>
      </c>
      <c r="B364" s="4" t="inlineStr">
        <is>
          <t>M01</t>
        </is>
      </c>
      <c r="C364" s="4" t="inlineStr">
        <is>
          <t>Sanjay Gandhi Niradhar Grant Scheme</t>
        </is>
      </c>
      <c r="D364" s="4" t="inlineStr">
        <is>
          <t>FAQ</t>
        </is>
      </c>
      <c r="E364" s="4" t="inlineStr"/>
      <c r="F364" s="4" t="inlineStr">
        <is>
          <t>faqs.en.faqs[24]</t>
        </is>
      </c>
      <c r="G364" s="4" t="inlineStr">
        <is>
          <t>M01@20261028-4614b9c2</t>
        </is>
      </c>
      <c r="H364" s="4" t="n">
        <v>1</v>
      </c>
      <c r="I364" s="4" t="n">
        <v>1</v>
      </c>
      <c r="J364" s="4" t="inlineStr">
        <is>
          <t>What Documents Are Acceptable As Proof Of Address For The Purpose Of Applying To This Scheme?
The following documents are acceptable as Proof of Address: Ration Card Passport (POA), Aadhaar Card (POA), Driving License (POA), Voter ID Card (POA), Extracts of 7/12 and 8 A, Property Tax Receipt, Property Agreement Copy, Water Bill, Electricity Bill, Telephone Bill, Rent Receipt.</t>
        </is>
      </c>
      <c r="K364" s="4" t="inlineStr">
        <is>
          <t>MS-M01</t>
        </is>
      </c>
      <c r="L364" s="6" t="n">
        <v>46323</v>
      </c>
      <c r="M364" s="4" t="inlineStr">
        <is>
          <t>Approved</t>
        </is>
      </c>
      <c r="N364" s="4" t="inlineStr">
        <is>
          <t>faq</t>
        </is>
      </c>
    </row>
    <row r="365" ht="54" customHeight="1">
      <c r="A365" s="8" t="inlineStr">
        <is>
          <t>M01-P0084</t>
        </is>
      </c>
      <c r="B365" s="8" t="inlineStr">
        <is>
          <t>M01</t>
        </is>
      </c>
      <c r="C365" s="8" t="inlineStr">
        <is>
          <t>Sanjay Gandhi Niradhar Grant Scheme</t>
        </is>
      </c>
      <c r="D365" s="8" t="inlineStr">
        <is>
          <t>FAQ</t>
        </is>
      </c>
      <c r="E365" s="8" t="inlineStr"/>
      <c r="F365" s="8" t="inlineStr">
        <is>
          <t>faqs.en.faqs[25]</t>
        </is>
      </c>
      <c r="G365" s="8" t="inlineStr">
        <is>
          <t>M01@20261028-4614b9c2</t>
        </is>
      </c>
      <c r="H365" s="8" t="n">
        <v>1</v>
      </c>
      <c r="I365" s="8" t="n">
        <v>1</v>
      </c>
      <c r="J365" s="8" t="inlineStr">
        <is>
          <t>What Should Be The Format, And The File Size Of The Proof Of Identity, And The Proof Of Address Document?
The format should be JPEG/ PDF, and the file size should be between 75 KB to 256 KB.</t>
        </is>
      </c>
      <c r="K365" s="8" t="inlineStr">
        <is>
          <t>MS-M01</t>
        </is>
      </c>
      <c r="L365" s="9" t="n">
        <v>46323</v>
      </c>
      <c r="M365" s="8" t="inlineStr">
        <is>
          <t>Approved</t>
        </is>
      </c>
      <c r="N365" s="8" t="inlineStr">
        <is>
          <t>faq</t>
        </is>
      </c>
    </row>
    <row r="366" ht="40" customHeight="1">
      <c r="A366" s="4" t="inlineStr">
        <is>
          <t>M01-P0085</t>
        </is>
      </c>
      <c r="B366" s="4" t="inlineStr">
        <is>
          <t>M01</t>
        </is>
      </c>
      <c r="C366" s="4" t="inlineStr">
        <is>
          <t>Sanjay Gandhi Niradhar Grant Scheme</t>
        </is>
      </c>
      <c r="D366" s="4" t="inlineStr">
        <is>
          <t>FAQ</t>
        </is>
      </c>
      <c r="E366" s="4" t="inlineStr"/>
      <c r="F366" s="4" t="inlineStr">
        <is>
          <t>faqs.en.faqs[26]</t>
        </is>
      </c>
      <c r="G366" s="4" t="inlineStr">
        <is>
          <t>M01@20261028-4614b9c2</t>
        </is>
      </c>
      <c r="H366" s="4" t="n">
        <v>1</v>
      </c>
      <c r="I366" s="4" t="n">
        <v>1</v>
      </c>
      <c r="J366" s="4" t="inlineStr">
        <is>
          <t>Are Orthopedically Handicapped Persons Also Covered In This Scheme?
Yes, this scheme also covers Orthopedically Handicapped Persons.</t>
        </is>
      </c>
      <c r="K366" s="4" t="inlineStr">
        <is>
          <t>MS-M01</t>
        </is>
      </c>
      <c r="L366" s="6" t="n">
        <v>46323</v>
      </c>
      <c r="M366" s="4" t="inlineStr">
        <is>
          <t>Approved</t>
        </is>
      </c>
      <c r="N366" s="4" t="inlineStr">
        <is>
          <t>faq</t>
        </is>
      </c>
    </row>
    <row r="367" ht="68" customHeight="1">
      <c r="A367" s="8" t="inlineStr">
        <is>
          <t>M01-P0086</t>
        </is>
      </c>
      <c r="B367" s="8" t="inlineStr">
        <is>
          <t>M01</t>
        </is>
      </c>
      <c r="C367" s="8" t="inlineStr">
        <is>
          <t>Sanjay Gandhi Niradhar Grant Scheme</t>
        </is>
      </c>
      <c r="D367" s="8" t="inlineStr">
        <is>
          <t>FAQ</t>
        </is>
      </c>
      <c r="E367" s="8" t="inlineStr"/>
      <c r="F367" s="8" t="inlineStr">
        <is>
          <t>faqs.en.faqs[27]</t>
        </is>
      </c>
      <c r="G367" s="8" t="inlineStr">
        <is>
          <t>M01@20261028-4614b9c2</t>
        </is>
      </c>
      <c r="H367" s="8" t="n">
        <v>1</v>
      </c>
      <c r="I367" s="8" t="n">
        <v>1</v>
      </c>
      <c r="J367" s="8" t="inlineStr">
        <is>
          <t>Is The Residential Certificate / Domicile Certificate Of The State Of Maharashtra, A Mandatory Document For This Scheme?
Yes, the Residential Certificate / Domicile Certificate of the State of Maharashtra is a mandatory document for this scheme.</t>
        </is>
      </c>
      <c r="K367" s="8" t="inlineStr">
        <is>
          <t>MS-M01</t>
        </is>
      </c>
      <c r="L367" s="9" t="n">
        <v>46323</v>
      </c>
      <c r="M367" s="8" t="inlineStr">
        <is>
          <t>Approved</t>
        </is>
      </c>
      <c r="N367" s="8" t="inlineStr">
        <is>
          <t>faq</t>
        </is>
      </c>
    </row>
    <row r="368" ht="40" customHeight="1">
      <c r="A368" s="4" t="inlineStr">
        <is>
          <t>M01-P0087</t>
        </is>
      </c>
      <c r="B368" s="4" t="inlineStr">
        <is>
          <t>M01</t>
        </is>
      </c>
      <c r="C368" s="4" t="inlineStr">
        <is>
          <t>Sanjay Gandhi Niradhar Grant Scheme</t>
        </is>
      </c>
      <c r="D368" s="4" t="inlineStr">
        <is>
          <t>FAQ</t>
        </is>
      </c>
      <c r="E368" s="4" t="inlineStr"/>
      <c r="F368" s="4" t="inlineStr">
        <is>
          <t>faqs.en.faqs[28]</t>
        </is>
      </c>
      <c r="G368" s="4" t="inlineStr">
        <is>
          <t>M01@20261028-4614b9c2</t>
        </is>
      </c>
      <c r="H368" s="4" t="n">
        <v>1</v>
      </c>
      <c r="I368" s="4" t="n">
        <v>1</v>
      </c>
      <c r="J368" s="4" t="inlineStr">
        <is>
          <t>What Is The Full Form Of SJSA?
The full form of SJSA is "Social Justice &amp; Special Assistance".</t>
        </is>
      </c>
      <c r="K368" s="4" t="inlineStr">
        <is>
          <t>MS-M01</t>
        </is>
      </c>
      <c r="L368" s="6" t="n">
        <v>46323</v>
      </c>
      <c r="M368" s="4" t="inlineStr">
        <is>
          <t>Approved</t>
        </is>
      </c>
      <c r="N368" s="4" t="inlineStr">
        <is>
          <t>faq</t>
        </is>
      </c>
    </row>
    <row r="369" ht="40" customHeight="1">
      <c r="A369" s="8" t="inlineStr">
        <is>
          <t>M01-P0088</t>
        </is>
      </c>
      <c r="B369" s="8" t="inlineStr">
        <is>
          <t>M01</t>
        </is>
      </c>
      <c r="C369" s="8" t="inlineStr">
        <is>
          <t>Sanjay Gandhi Niradhar Grant Scheme</t>
        </is>
      </c>
      <c r="D369" s="8" t="inlineStr">
        <is>
          <t>FAQ</t>
        </is>
      </c>
      <c r="E369" s="8" t="inlineStr"/>
      <c r="F369" s="8" t="inlineStr">
        <is>
          <t>faqs.en.faqs[29]</t>
        </is>
      </c>
      <c r="G369" s="8" t="inlineStr">
        <is>
          <t>M01@20261028-4614b9c2</t>
        </is>
      </c>
      <c r="H369" s="8" t="n">
        <v>1</v>
      </c>
      <c r="I369" s="8" t="n">
        <v>1</v>
      </c>
      <c r="J369" s="8" t="inlineStr">
        <is>
          <t>Is This A State Funded Or A Centrally Funded Scheme?
This is a 100% State Funded scheme.</t>
        </is>
      </c>
      <c r="K369" s="8" t="inlineStr">
        <is>
          <t>MS-M01</t>
        </is>
      </c>
      <c r="L369" s="9" t="n">
        <v>46323</v>
      </c>
      <c r="M369" s="8" t="inlineStr">
        <is>
          <t>Approved</t>
        </is>
      </c>
      <c r="N369" s="8" t="inlineStr">
        <is>
          <t>faq</t>
        </is>
      </c>
    </row>
    <row r="370" ht="40" customHeight="1">
      <c r="A370" s="4" t="inlineStr">
        <is>
          <t>M01-P0089</t>
        </is>
      </c>
      <c r="B370" s="4" t="inlineStr">
        <is>
          <t>M01</t>
        </is>
      </c>
      <c r="C370" s="4" t="inlineStr">
        <is>
          <t>Sanjay Gandhi Niradhar Grant Scheme</t>
        </is>
      </c>
      <c r="D370" s="4" t="inlineStr">
        <is>
          <t>FAQ</t>
        </is>
      </c>
      <c r="E370" s="4" t="inlineStr"/>
      <c r="F370" s="4" t="inlineStr">
        <is>
          <t>faqs.en.faqs[30]</t>
        </is>
      </c>
      <c r="G370" s="4" t="inlineStr">
        <is>
          <t>M01@20261028-4614b9c2</t>
        </is>
      </c>
      <c r="H370" s="4" t="n">
        <v>1</v>
      </c>
      <c r="I370" s="4" t="n">
        <v>1</v>
      </c>
      <c r="J370" s="4" t="inlineStr">
        <is>
          <t>Is There Any Application Fee?
No, the entire application process is entirely free of cost.</t>
        </is>
      </c>
      <c r="K370" s="4" t="inlineStr">
        <is>
          <t>MS-M01</t>
        </is>
      </c>
      <c r="L370" s="6" t="n">
        <v>46323</v>
      </c>
      <c r="M370" s="4" t="inlineStr">
        <is>
          <t>Approved</t>
        </is>
      </c>
      <c r="N370" s="4" t="inlineStr">
        <is>
          <t>faq</t>
        </is>
      </c>
    </row>
    <row r="371" ht="40" customHeight="1">
      <c r="A371" s="8" t="inlineStr">
        <is>
          <t>M01-P0090</t>
        </is>
      </c>
      <c r="B371" s="8" t="inlineStr">
        <is>
          <t>M01</t>
        </is>
      </c>
      <c r="C371" s="8" t="inlineStr">
        <is>
          <t>Sanjay Gandhi Niradhar Grant Scheme</t>
        </is>
      </c>
      <c r="D371" s="8" t="inlineStr">
        <is>
          <t>FAQ</t>
        </is>
      </c>
      <c r="E371" s="8" t="inlineStr"/>
      <c r="F371" s="8" t="inlineStr">
        <is>
          <t>faqs.en.faqs[31]</t>
        </is>
      </c>
      <c r="G371" s="8" t="inlineStr">
        <is>
          <t>M01@20261028-4614b9c2</t>
        </is>
      </c>
      <c r="H371" s="8" t="n">
        <v>1</v>
      </c>
      <c r="I371" s="8" t="n">
        <v>1</v>
      </c>
      <c r="J371" s="8" t="inlineStr">
        <is>
          <t>Is There Any Compensation For The Delay In The Disbursal Of The Scheme Benefits?
No, there is no such mention in the scheme guidelines.</t>
        </is>
      </c>
      <c r="K371" s="8" t="inlineStr">
        <is>
          <t>MS-M01</t>
        </is>
      </c>
      <c r="L371" s="9" t="n">
        <v>46323</v>
      </c>
      <c r="M371" s="8" t="inlineStr">
        <is>
          <t>Approved</t>
        </is>
      </c>
      <c r="N371" s="8" t="inlineStr">
        <is>
          <t>faq</t>
        </is>
      </c>
    </row>
    <row r="372" ht="40" customHeight="1">
      <c r="A372" s="4" t="inlineStr">
        <is>
          <t>M01-P0091</t>
        </is>
      </c>
      <c r="B372" s="4" t="inlineStr">
        <is>
          <t>M01</t>
        </is>
      </c>
      <c r="C372" s="4" t="inlineStr">
        <is>
          <t>Sanjay Gandhi Niradhar Grant Scheme</t>
        </is>
      </c>
      <c r="D372" s="4" t="inlineStr">
        <is>
          <t>FAQ</t>
        </is>
      </c>
      <c r="E372" s="4" t="inlineStr"/>
      <c r="F372" s="4" t="inlineStr">
        <is>
          <t>faqs.en.faqs[32]</t>
        </is>
      </c>
      <c r="G372" s="4" t="inlineStr">
        <is>
          <t>M01@20261028-4614b9c2</t>
        </is>
      </c>
      <c r="H372" s="4" t="n">
        <v>1</v>
      </c>
      <c r="I372" s="4" t="n">
        <v>1</v>
      </c>
      <c r="J372" s="4" t="inlineStr">
        <is>
          <t>How Do I Know If A Field In The Application Form Is Mandatory?
The mandatory fields have an asterisk (*) mark at the end.</t>
        </is>
      </c>
      <c r="K372" s="4" t="inlineStr">
        <is>
          <t>MS-M01</t>
        </is>
      </c>
      <c r="L372" s="6" t="n">
        <v>46323</v>
      </c>
      <c r="M372" s="4" t="inlineStr">
        <is>
          <t>Approved</t>
        </is>
      </c>
      <c r="N372" s="4" t="inlineStr">
        <is>
          <t>faq</t>
        </is>
      </c>
    </row>
    <row r="373" ht="68" customHeight="1">
      <c r="A373" s="8" t="inlineStr">
        <is>
          <t>M01-P0092</t>
        </is>
      </c>
      <c r="B373" s="8" t="inlineStr">
        <is>
          <t>M01</t>
        </is>
      </c>
      <c r="C373" s="8" t="inlineStr">
        <is>
          <t>Sanjay Gandhi Niradhar Grant Scheme</t>
        </is>
      </c>
      <c r="D373" s="8" t="inlineStr">
        <is>
          <t>FAQ</t>
        </is>
      </c>
      <c r="E373" s="8" t="inlineStr"/>
      <c r="F373" s="8" t="inlineStr">
        <is>
          <t>faqs.en.faqs[33]</t>
        </is>
      </c>
      <c r="G373" s="8" t="inlineStr">
        <is>
          <t>M01@20261028-4614b9c2</t>
        </is>
      </c>
      <c r="H373" s="8" t="n">
        <v>1</v>
      </c>
      <c r="I373" s="8" t="n">
        <v>1</v>
      </c>
      <c r="J373" s="8" t="inlineStr">
        <is>
          <t>Can Applicants From The Neighboring States Gujarat, Madhya Pradesh, Chhattisgarh, Telangana, Etc Also Apply To This Scheme?
No, only the citizens who are permanent residents of the state of Maharashtra are eligible to apply.</t>
        </is>
      </c>
      <c r="K373" s="8" t="inlineStr">
        <is>
          <t>MS-M01</t>
        </is>
      </c>
      <c r="L373" s="9" t="n">
        <v>46323</v>
      </c>
      <c r="M373" s="8" t="inlineStr">
        <is>
          <t>Approved</t>
        </is>
      </c>
      <c r="N373" s="8" t="inlineStr">
        <is>
          <t>faq</t>
        </is>
      </c>
    </row>
    <row r="374" ht="54" customHeight="1">
      <c r="A374" s="4" t="inlineStr">
        <is>
          <t>M01-P0093</t>
        </is>
      </c>
      <c r="B374" s="4" t="inlineStr">
        <is>
          <t>M01</t>
        </is>
      </c>
      <c r="C374" s="4" t="inlineStr">
        <is>
          <t>Sanjay Gandhi Niradhar Grant Scheme</t>
        </is>
      </c>
      <c r="D374" s="4" t="inlineStr">
        <is>
          <t>FAQ</t>
        </is>
      </c>
      <c r="E374" s="4" t="inlineStr"/>
      <c r="F374" s="4" t="inlineStr">
        <is>
          <t>faqs.en.faqs[34]</t>
        </is>
      </c>
      <c r="G374" s="4" t="inlineStr">
        <is>
          <t>M01@20261028-4614b9c2</t>
        </is>
      </c>
      <c r="H374" s="4" t="n">
        <v>1</v>
      </c>
      <c r="I374" s="4" t="n">
        <v>1</v>
      </c>
      <c r="J374" s="4" t="inlineStr">
        <is>
          <t>Where Can I Find The URL To The Website Of The Dept. Of Social Justice &amp; Special Assistance?
The URL to the official website of the Department of Social Justice &amp; Special Assistance, Government of Maharashtra is - https://sjsa.maharashtra.gov.in/</t>
        </is>
      </c>
      <c r="K374" s="4" t="inlineStr">
        <is>
          <t>MS-M01</t>
        </is>
      </c>
      <c r="L374" s="6" t="n">
        <v>46323</v>
      </c>
      <c r="M374" s="4" t="inlineStr">
        <is>
          <t>Approved</t>
        </is>
      </c>
      <c r="N374" s="4" t="inlineStr">
        <is>
          <t>faq</t>
        </is>
      </c>
    </row>
    <row r="375" ht="68" customHeight="1">
      <c r="A375" s="8" t="inlineStr">
        <is>
          <t>M01-P0094</t>
        </is>
      </c>
      <c r="B375" s="8" t="inlineStr">
        <is>
          <t>M01</t>
        </is>
      </c>
      <c r="C375" s="8" t="inlineStr">
        <is>
          <t>Sanjay Gandhi Niradhar Grant Scheme</t>
        </is>
      </c>
      <c r="D375" s="8" t="inlineStr">
        <is>
          <t>FAQ</t>
        </is>
      </c>
      <c r="E375" s="8" t="inlineStr"/>
      <c r="F375" s="8" t="inlineStr">
        <is>
          <t>faqs.en.faqs[35]</t>
        </is>
      </c>
      <c r="G375" s="8" t="inlineStr">
        <is>
          <t>M01@20261028-4614b9c2</t>
        </is>
      </c>
      <c r="H375" s="8" t="n">
        <v>1</v>
      </c>
      <c r="I375" s="8" t="n">
        <v>1</v>
      </c>
      <c r="J375" s="8"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375" s="8" t="inlineStr">
        <is>
          <t>MS-M01</t>
        </is>
      </c>
      <c r="L375" s="9" t="n">
        <v>46323</v>
      </c>
      <c r="M375" s="8" t="inlineStr">
        <is>
          <t>Approved</t>
        </is>
      </c>
      <c r="N375" s="8" t="inlineStr">
        <is>
          <t>faq</t>
        </is>
      </c>
    </row>
    <row r="376" ht="54" customHeight="1">
      <c r="A376" s="4" t="inlineStr">
        <is>
          <t>M01-P0095</t>
        </is>
      </c>
      <c r="B376" s="4" t="inlineStr">
        <is>
          <t>M01</t>
        </is>
      </c>
      <c r="C376" s="4" t="inlineStr">
        <is>
          <t>Sanjay Gandhi Niradhar Grant Scheme</t>
        </is>
      </c>
      <c r="D376" s="4" t="inlineStr">
        <is>
          <t>FAQ</t>
        </is>
      </c>
      <c r="E376" s="4" t="inlineStr"/>
      <c r="F376" s="4" t="inlineStr">
        <is>
          <t>faqs.en.faqs[36]</t>
        </is>
      </c>
      <c r="G376" s="4" t="inlineStr">
        <is>
          <t>M01@20261028-4614b9c2</t>
        </is>
      </c>
      <c r="H376" s="4" t="n">
        <v>1</v>
      </c>
      <c r="I376" s="4" t="n">
        <v>1</v>
      </c>
      <c r="J376" s="4" t="inlineStr">
        <is>
          <t>Where Can I Find The Addresses Of The District Social Welfare Offices?
The addresses of the District Social Welfare Offices can be found at - https://sjsa.maharashtra.gov.in/en/contacts</t>
        </is>
      </c>
      <c r="K376" s="4" t="inlineStr">
        <is>
          <t>MS-M01</t>
        </is>
      </c>
      <c r="L376" s="6" t="n">
        <v>46323</v>
      </c>
      <c r="M376" s="4" t="inlineStr">
        <is>
          <t>Approved</t>
        </is>
      </c>
      <c r="N376" s="4" t="inlineStr">
        <is>
          <t>faq</t>
        </is>
      </c>
    </row>
    <row r="377" ht="54" customHeight="1">
      <c r="A377" s="8" t="inlineStr">
        <is>
          <t>M01-P0096</t>
        </is>
      </c>
      <c r="B377" s="8" t="inlineStr">
        <is>
          <t>M01</t>
        </is>
      </c>
      <c r="C377" s="8" t="inlineStr">
        <is>
          <t>Sanjay Gandhi Niradhar Grant Scheme</t>
        </is>
      </c>
      <c r="D377" s="8" t="inlineStr">
        <is>
          <t>FAQ</t>
        </is>
      </c>
      <c r="E377" s="8" t="inlineStr"/>
      <c r="F377" s="8" t="inlineStr">
        <is>
          <t>faqs.en.faqs[37]</t>
        </is>
      </c>
      <c r="G377" s="8" t="inlineStr">
        <is>
          <t>M01@20261028-4614b9c2</t>
        </is>
      </c>
      <c r="H377" s="8" t="n">
        <v>1</v>
      </c>
      <c r="I377" s="8" t="n">
        <v>1</v>
      </c>
      <c r="J377" s="8" t="inlineStr">
        <is>
          <t>Where Can I Post My Grievances Related To This Scheme?
You can post your grievances at the Grievance Redressal Portal by the Govt. of Maharashtra: https://grievances.maharashtra.gov.in/en</t>
        </is>
      </c>
      <c r="K377" s="8" t="inlineStr">
        <is>
          <t>MS-M01</t>
        </is>
      </c>
      <c r="L377" s="9" t="n">
        <v>46323</v>
      </c>
      <c r="M377" s="8" t="inlineStr">
        <is>
          <t>Approved</t>
        </is>
      </c>
      <c r="N377" s="8" t="inlineStr">
        <is>
          <t>faq</t>
        </is>
      </c>
    </row>
    <row r="378" ht="82" customHeight="1">
      <c r="A378" s="4" t="inlineStr">
        <is>
          <t>M02-P0001</t>
        </is>
      </c>
      <c r="B378" s="4" t="inlineStr">
        <is>
          <t>M02</t>
        </is>
      </c>
      <c r="C378" s="4" t="inlineStr">
        <is>
          <t>Shravanbal Seva State Pension Scheme</t>
        </is>
      </c>
      <c r="D378" s="4" t="inlineStr">
        <is>
          <t>Details</t>
        </is>
      </c>
      <c r="E378" s="4" t="inlineStr"/>
      <c r="F378" s="4" t="inlineStr">
        <is>
          <t>en.schemeContent.detailedDescription[0]</t>
        </is>
      </c>
      <c r="G378" s="4" t="inlineStr">
        <is>
          <t>M02@20261028-0e33c069</t>
        </is>
      </c>
      <c r="H378" s="4" t="n">
        <v>1</v>
      </c>
      <c r="I378" s="4" t="n">
        <v>1</v>
      </c>
      <c r="J378" s="4" t="inlineStr">
        <is>
          <t>The "Shravanbal Seva State Pension Scheme" is a Pension Scheme by the Department of Social Justice &amp; Special Assistance, Govt. of Maharashtra. In this scheme, a monthly pension of ₹ 600/- is provided to destitute persons in the state of Maharashtra. Only citizens who are permanent residents of the state of Maharashtra are eligible to apply for this scheme. This scheme is 100% funded by the Govt. of Maharashtra.</t>
        </is>
      </c>
      <c r="K378" s="4" t="inlineStr">
        <is>
          <t>MS-M02</t>
        </is>
      </c>
      <c r="L378" s="6" t="n">
        <v>46323</v>
      </c>
      <c r="M378" s="4" t="inlineStr">
        <is>
          <t>Approved</t>
        </is>
      </c>
      <c r="N378" s="4" t="inlineStr">
        <is>
          <t>paragraph</t>
        </is>
      </c>
    </row>
    <row r="379" ht="40" customHeight="1">
      <c r="A379" s="8" t="inlineStr">
        <is>
          <t>M02-P0002</t>
        </is>
      </c>
      <c r="B379" s="8" t="inlineStr">
        <is>
          <t>M02</t>
        </is>
      </c>
      <c r="C379" s="8" t="inlineStr">
        <is>
          <t>Shravanbal Seva State Pension Scheme</t>
        </is>
      </c>
      <c r="D379" s="8" t="inlineStr">
        <is>
          <t>Benefits</t>
        </is>
      </c>
      <c r="E379" s="8" t="inlineStr"/>
      <c r="F379" s="8" t="inlineStr">
        <is>
          <t>en.schemeContent.benefits[0]</t>
        </is>
      </c>
      <c r="G379" s="8" t="inlineStr">
        <is>
          <t>M02@20261028-0e33c069</t>
        </is>
      </c>
      <c r="H379" s="8" t="n">
        <v>1</v>
      </c>
      <c r="I379" s="8" t="n">
        <v>1</v>
      </c>
      <c r="J379" s="8" t="inlineStr">
        <is>
          <t>₹ 600/- per month is given to each beneficiary.</t>
        </is>
      </c>
      <c r="K379" s="8" t="inlineStr">
        <is>
          <t>MS-M02</t>
        </is>
      </c>
      <c r="L379" s="9" t="n">
        <v>46323</v>
      </c>
      <c r="M379" s="8" t="inlineStr">
        <is>
          <t>Approved</t>
        </is>
      </c>
      <c r="N379" s="8" t="inlineStr">
        <is>
          <t>paragraph</t>
        </is>
      </c>
    </row>
    <row r="380" ht="68" customHeight="1">
      <c r="A380" s="4" t="inlineStr">
        <is>
          <t>M02-P0003</t>
        </is>
      </c>
      <c r="B380" s="4" t="inlineStr">
        <is>
          <t>M02</t>
        </is>
      </c>
      <c r="C380" s="4" t="inlineStr">
        <is>
          <t>Shravanbal Seva State Pension Scheme</t>
        </is>
      </c>
      <c r="D380" s="4" t="inlineStr">
        <is>
          <t>Benefits</t>
        </is>
      </c>
      <c r="E380" s="4" t="inlineStr"/>
      <c r="F380" s="4" t="inlineStr">
        <is>
          <t>en.schemeContent.benefits[2]</t>
        </is>
      </c>
      <c r="G380" s="4" t="inlineStr">
        <is>
          <t>M02@20261028-0e33c069</t>
        </is>
      </c>
      <c r="H380" s="4" t="n">
        <v>1</v>
      </c>
      <c r="I380" s="4" t="n">
        <v>1</v>
      </c>
      <c r="J380" s="4" t="inlineStr">
        <is>
          <t>Group (A): The destitute men and women who are 65 years or above in age, and whose family is listed as "Below Poverty Line", are provided a monthly pension of ₹ 600/-. In this pension, ₹ 200/- per month is provided under Indira Gandhi Old Age Pension Scheme (Central Govt.), and ₹ 400/- per month under Shravan Bal State Pension Scheme.</t>
        </is>
      </c>
      <c r="K380" s="4" t="inlineStr">
        <is>
          <t>MS-M02</t>
        </is>
      </c>
      <c r="L380" s="6" t="n">
        <v>46323</v>
      </c>
      <c r="M380" s="4" t="inlineStr">
        <is>
          <t>Approved</t>
        </is>
      </c>
      <c r="N380" s="4" t="inlineStr">
        <is>
          <t>paragraph</t>
        </is>
      </c>
    </row>
    <row r="381" ht="54" customHeight="1">
      <c r="A381" s="8" t="inlineStr">
        <is>
          <t>M02-P0004</t>
        </is>
      </c>
      <c r="B381" s="8" t="inlineStr">
        <is>
          <t>M02</t>
        </is>
      </c>
      <c r="C381" s="8" t="inlineStr">
        <is>
          <t>Shravanbal Seva State Pension Scheme</t>
        </is>
      </c>
      <c r="D381" s="8" t="inlineStr">
        <is>
          <t>Benefits</t>
        </is>
      </c>
      <c r="E381" s="8" t="inlineStr"/>
      <c r="F381" s="8" t="inlineStr">
        <is>
          <t>en.schemeContent.benefits[4]</t>
        </is>
      </c>
      <c r="G381" s="8" t="inlineStr">
        <is>
          <t>M02@20261028-0e33c069</t>
        </is>
      </c>
      <c r="H381" s="8" t="n">
        <v>1</v>
      </c>
      <c r="I381" s="8" t="n">
        <v>1</v>
      </c>
      <c r="J381" s="8" t="inlineStr">
        <is>
          <t>Group (B): The destitute men and women who are 65 years or above in age, whose family is not listed as "Below Poverty Line", and whose annual family income is less than or equal to ₹ 21,000 are provided a monthly pension of ₹ 600/- entirely by the Shravan Bal State Pension Scheme.</t>
        </is>
      </c>
      <c r="K381" s="8" t="inlineStr">
        <is>
          <t>MS-M02</t>
        </is>
      </c>
      <c r="L381" s="9" t="n">
        <v>46323</v>
      </c>
      <c r="M381" s="8" t="inlineStr">
        <is>
          <t>Approved</t>
        </is>
      </c>
      <c r="N381" s="8" t="inlineStr">
        <is>
          <t>paragraph</t>
        </is>
      </c>
    </row>
    <row r="382" ht="40" customHeight="1">
      <c r="A382" s="4" t="inlineStr">
        <is>
          <t>M02-P0005</t>
        </is>
      </c>
      <c r="B382" s="4" t="inlineStr">
        <is>
          <t>M02</t>
        </is>
      </c>
      <c r="C382" s="4" t="inlineStr">
        <is>
          <t>Shravanbal Seva State Pension Scheme</t>
        </is>
      </c>
      <c r="D382" s="4" t="inlineStr">
        <is>
          <t>Eligibility</t>
        </is>
      </c>
      <c r="E382" s="4" t="inlineStr"/>
      <c r="F382" s="4" t="inlineStr">
        <is>
          <t>en.eligibilityCriteria.eligibilityDescription[0].children[0]</t>
        </is>
      </c>
      <c r="G382" s="4" t="inlineStr">
        <is>
          <t>M02@20261028-0e33c069</t>
        </is>
      </c>
      <c r="H382" s="4" t="n">
        <v>1</v>
      </c>
      <c r="I382" s="4" t="n">
        <v>1</v>
      </c>
      <c r="J382" s="4" t="inlineStr">
        <is>
          <t>The applicant should be a citizen of India.</t>
        </is>
      </c>
      <c r="K382" s="4" t="inlineStr">
        <is>
          <t>MS-M02</t>
        </is>
      </c>
      <c r="L382" s="6" t="n">
        <v>46323</v>
      </c>
      <c r="M382" s="4" t="inlineStr">
        <is>
          <t>Approved</t>
        </is>
      </c>
      <c r="N382" s="4" t="inlineStr">
        <is>
          <t>list_item</t>
        </is>
      </c>
    </row>
    <row r="383" ht="40" customHeight="1">
      <c r="A383" s="8" t="inlineStr">
        <is>
          <t>M02-P0006</t>
        </is>
      </c>
      <c r="B383" s="8" t="inlineStr">
        <is>
          <t>M02</t>
        </is>
      </c>
      <c r="C383" s="8" t="inlineStr">
        <is>
          <t>Shravanbal Seva State Pension Scheme</t>
        </is>
      </c>
      <c r="D383" s="8" t="inlineStr">
        <is>
          <t>Eligibility</t>
        </is>
      </c>
      <c r="E383" s="8" t="inlineStr"/>
      <c r="F383" s="8" t="inlineStr">
        <is>
          <t>en.eligibilityCriteria.eligibilityDescription[0].children[1]</t>
        </is>
      </c>
      <c r="G383" s="8" t="inlineStr">
        <is>
          <t>M02@20261028-0e33c069</t>
        </is>
      </c>
      <c r="H383" s="8" t="n">
        <v>1</v>
      </c>
      <c r="I383" s="8" t="n">
        <v>1</v>
      </c>
      <c r="J383" s="8" t="inlineStr">
        <is>
          <t>The applicant should be a domicile / permanent resident of the state of Maharashtra for at least 15 years.</t>
        </is>
      </c>
      <c r="K383" s="8" t="inlineStr">
        <is>
          <t>MS-M02</t>
        </is>
      </c>
      <c r="L383" s="9" t="n">
        <v>46323</v>
      </c>
      <c r="M383" s="8" t="inlineStr">
        <is>
          <t>Approved</t>
        </is>
      </c>
      <c r="N383" s="8" t="inlineStr">
        <is>
          <t>list_item</t>
        </is>
      </c>
    </row>
    <row r="384" ht="40" customHeight="1">
      <c r="A384" s="4" t="inlineStr">
        <is>
          <t>M02-P0007</t>
        </is>
      </c>
      <c r="B384" s="4" t="inlineStr">
        <is>
          <t>M02</t>
        </is>
      </c>
      <c r="C384" s="4" t="inlineStr">
        <is>
          <t>Shravanbal Seva State Pension Scheme</t>
        </is>
      </c>
      <c r="D384" s="4" t="inlineStr">
        <is>
          <t>Eligibility</t>
        </is>
      </c>
      <c r="E384" s="4" t="inlineStr"/>
      <c r="F384" s="4" t="inlineStr">
        <is>
          <t>en.eligibilityCriteria.eligibilityDescription[0].children[2]</t>
        </is>
      </c>
      <c r="G384" s="4" t="inlineStr">
        <is>
          <t>M02@20261028-0e33c069</t>
        </is>
      </c>
      <c r="H384" s="4" t="n">
        <v>1</v>
      </c>
      <c r="I384" s="4" t="n">
        <v>1</v>
      </c>
      <c r="J384" s="4" t="inlineStr">
        <is>
          <t>The applicant should be destitute.</t>
        </is>
      </c>
      <c r="K384" s="4" t="inlineStr">
        <is>
          <t>MS-M02</t>
        </is>
      </c>
      <c r="L384" s="6" t="n">
        <v>46323</v>
      </c>
      <c r="M384" s="4" t="inlineStr">
        <is>
          <t>Approved</t>
        </is>
      </c>
      <c r="N384" s="4" t="inlineStr">
        <is>
          <t>list_item</t>
        </is>
      </c>
    </row>
    <row r="385" ht="40" customHeight="1">
      <c r="A385" s="8" t="inlineStr">
        <is>
          <t>M02-P0008</t>
        </is>
      </c>
      <c r="B385" s="8" t="inlineStr">
        <is>
          <t>M02</t>
        </is>
      </c>
      <c r="C385" s="8" t="inlineStr">
        <is>
          <t>Shravanbal Seva State Pension Scheme</t>
        </is>
      </c>
      <c r="D385" s="8" t="inlineStr">
        <is>
          <t>Eligibility</t>
        </is>
      </c>
      <c r="E385" s="8" t="inlineStr"/>
      <c r="F385" s="8" t="inlineStr">
        <is>
          <t>en.eligibilityCriteria.eligibilityDescription[0].children[3]</t>
        </is>
      </c>
      <c r="G385" s="8" t="inlineStr">
        <is>
          <t>M02@20261028-0e33c069</t>
        </is>
      </c>
      <c r="H385" s="8" t="n">
        <v>1</v>
      </c>
      <c r="I385" s="8" t="n">
        <v>1</v>
      </c>
      <c r="J385" s="8" t="inlineStr">
        <is>
          <t>The applicant should be 65 years or above in age.</t>
        </is>
      </c>
      <c r="K385" s="8" t="inlineStr">
        <is>
          <t>MS-M02</t>
        </is>
      </c>
      <c r="L385" s="9" t="n">
        <v>46323</v>
      </c>
      <c r="M385" s="8" t="inlineStr">
        <is>
          <t>Approved</t>
        </is>
      </c>
      <c r="N385" s="8" t="inlineStr">
        <is>
          <t>list_item</t>
        </is>
      </c>
    </row>
    <row r="386" ht="40" customHeight="1">
      <c r="A386" s="4" t="inlineStr">
        <is>
          <t>M02-P0009</t>
        </is>
      </c>
      <c r="B386" s="4" t="inlineStr">
        <is>
          <t>M02</t>
        </is>
      </c>
      <c r="C386" s="4" t="inlineStr">
        <is>
          <t>Shravanbal Seva State Pension Scheme</t>
        </is>
      </c>
      <c r="D386" s="4" t="inlineStr">
        <is>
          <t>Eligibility</t>
        </is>
      </c>
      <c r="E386" s="4" t="inlineStr"/>
      <c r="F386" s="4" t="inlineStr">
        <is>
          <t>en.eligibilityCriteria.eligibilityDescription[0].children[4]</t>
        </is>
      </c>
      <c r="G386" s="4" t="inlineStr">
        <is>
          <t>M02@20261028-0e33c069</t>
        </is>
      </c>
      <c r="H386" s="4" t="n">
        <v>1</v>
      </c>
      <c r="I386" s="4" t="n">
        <v>1</v>
      </c>
      <c r="J386" s="4" t="inlineStr">
        <is>
          <t>The name of the applicant should be in the list of Below Poverty Line (BPL) families OR the annual income of the family should be less than or equal to ₹ 21,000/-.</t>
        </is>
      </c>
      <c r="K386" s="4" t="inlineStr">
        <is>
          <t>MS-M02</t>
        </is>
      </c>
      <c r="L386" s="6" t="n">
        <v>46323</v>
      </c>
      <c r="M386" s="4" t="inlineStr">
        <is>
          <t>Approved</t>
        </is>
      </c>
      <c r="N386" s="4" t="inlineStr">
        <is>
          <t>list_item</t>
        </is>
      </c>
    </row>
    <row r="387" ht="40" customHeight="1">
      <c r="A387" s="8" t="inlineStr">
        <is>
          <t>M02-P0010</t>
        </is>
      </c>
      <c r="B387" s="8" t="inlineStr">
        <is>
          <t>M02</t>
        </is>
      </c>
      <c r="C387" s="8" t="inlineStr">
        <is>
          <t>Shravanbal Seva State Pension Scheme</t>
        </is>
      </c>
      <c r="D387" s="8" t="inlineStr">
        <is>
          <t>Applicant documents</t>
        </is>
      </c>
      <c r="E387" s="8" t="inlineStr"/>
      <c r="F387" s="8" t="inlineStr">
        <is>
          <t>documents.en.documents_required[0].children[0]</t>
        </is>
      </c>
      <c r="G387" s="8" t="inlineStr">
        <is>
          <t>M02@20261028-0e33c069</t>
        </is>
      </c>
      <c r="H387" s="8" t="n">
        <v>1</v>
      </c>
      <c r="I387" s="8" t="n">
        <v>1</v>
      </c>
      <c r="J387" s="8" t="inlineStr">
        <is>
          <t>Aadhaar Card.</t>
        </is>
      </c>
      <c r="K387" s="8" t="inlineStr">
        <is>
          <t>MS-M02</t>
        </is>
      </c>
      <c r="L387" s="9" t="n">
        <v>46323</v>
      </c>
      <c r="M387" s="8" t="inlineStr">
        <is>
          <t>Approved</t>
        </is>
      </c>
      <c r="N387" s="8" t="inlineStr">
        <is>
          <t>list_item</t>
        </is>
      </c>
    </row>
    <row r="388" ht="40" customHeight="1">
      <c r="A388" s="4" t="inlineStr">
        <is>
          <t>M02-P0011</t>
        </is>
      </c>
      <c r="B388" s="4" t="inlineStr">
        <is>
          <t>M02</t>
        </is>
      </c>
      <c r="C388" s="4" t="inlineStr">
        <is>
          <t>Shravanbal Seva State Pension Scheme</t>
        </is>
      </c>
      <c r="D388" s="4" t="inlineStr">
        <is>
          <t>Applicant documents</t>
        </is>
      </c>
      <c r="E388" s="4" t="inlineStr"/>
      <c r="F388" s="4" t="inlineStr">
        <is>
          <t>documents.en.documents_required[0].children[1]</t>
        </is>
      </c>
      <c r="G388" s="4" t="inlineStr">
        <is>
          <t>M02@20261028-0e33c069</t>
        </is>
      </c>
      <c r="H388" s="4" t="n">
        <v>1</v>
      </c>
      <c r="I388" s="4" t="n">
        <v>1</v>
      </c>
      <c r="J388" s="4" t="inlineStr">
        <is>
          <t>2-Passport Sized Photograph (Signed Across).</t>
        </is>
      </c>
      <c r="K388" s="4" t="inlineStr">
        <is>
          <t>MS-M02</t>
        </is>
      </c>
      <c r="L388" s="6" t="n">
        <v>46323</v>
      </c>
      <c r="M388" s="4" t="inlineStr">
        <is>
          <t>Approved</t>
        </is>
      </c>
      <c r="N388" s="4" t="inlineStr">
        <is>
          <t>list_item</t>
        </is>
      </c>
    </row>
    <row r="389" ht="40" customHeight="1">
      <c r="A389" s="8" t="inlineStr">
        <is>
          <t>M02-P0012</t>
        </is>
      </c>
      <c r="B389" s="8" t="inlineStr">
        <is>
          <t>M02</t>
        </is>
      </c>
      <c r="C389" s="8" t="inlineStr">
        <is>
          <t>Shravanbal Seva State Pension Scheme</t>
        </is>
      </c>
      <c r="D389" s="8" t="inlineStr">
        <is>
          <t>Applicant documents</t>
        </is>
      </c>
      <c r="E389" s="8" t="inlineStr"/>
      <c r="F389" s="8" t="inlineStr">
        <is>
          <t>documents.en.documents_required[0].children[2]</t>
        </is>
      </c>
      <c r="G389" s="8" t="inlineStr">
        <is>
          <t>M02@20261028-0e33c069</t>
        </is>
      </c>
      <c r="H389" s="8" t="n">
        <v>1</v>
      </c>
      <c r="I389" s="8" t="n">
        <v>1</v>
      </c>
      <c r="J389" s="8" t="inlineStr">
        <is>
          <t>Proof of Age.</t>
        </is>
      </c>
      <c r="K389" s="8" t="inlineStr">
        <is>
          <t>MS-M02</t>
        </is>
      </c>
      <c r="L389" s="9" t="n">
        <v>46323</v>
      </c>
      <c r="M389" s="8" t="inlineStr">
        <is>
          <t>Approved</t>
        </is>
      </c>
      <c r="N389" s="8" t="inlineStr">
        <is>
          <t>list_item</t>
        </is>
      </c>
    </row>
    <row r="390" ht="40" customHeight="1">
      <c r="A390" s="4" t="inlineStr">
        <is>
          <t>M02-P0013</t>
        </is>
      </c>
      <c r="B390" s="4" t="inlineStr">
        <is>
          <t>M02</t>
        </is>
      </c>
      <c r="C390" s="4" t="inlineStr">
        <is>
          <t>Shravanbal Seva State Pension Scheme</t>
        </is>
      </c>
      <c r="D390" s="4" t="inlineStr">
        <is>
          <t>Applicant documents</t>
        </is>
      </c>
      <c r="E390" s="4" t="inlineStr"/>
      <c r="F390" s="4" t="inlineStr">
        <is>
          <t>documents.en.documents_required[0].children[3]</t>
        </is>
      </c>
      <c r="G390" s="4" t="inlineStr">
        <is>
          <t>M02@20261028-0e33c069</t>
        </is>
      </c>
      <c r="H390" s="4" t="n">
        <v>1</v>
      </c>
      <c r="I390" s="4" t="n">
        <v>1</v>
      </c>
      <c r="J390" s="4" t="inlineStr">
        <is>
          <t>Income Certificate / BPL Card of the Family (if applicable)</t>
        </is>
      </c>
      <c r="K390" s="4" t="inlineStr">
        <is>
          <t>MS-M02</t>
        </is>
      </c>
      <c r="L390" s="6" t="n">
        <v>46323</v>
      </c>
      <c r="M390" s="4" t="inlineStr">
        <is>
          <t>Approved</t>
        </is>
      </c>
      <c r="N390" s="4" t="inlineStr">
        <is>
          <t>list_item</t>
        </is>
      </c>
    </row>
    <row r="391" ht="40" customHeight="1">
      <c r="A391" s="8" t="inlineStr">
        <is>
          <t>M02-P0014</t>
        </is>
      </c>
      <c r="B391" s="8" t="inlineStr">
        <is>
          <t>M02</t>
        </is>
      </c>
      <c r="C391" s="8" t="inlineStr">
        <is>
          <t>Shravanbal Seva State Pension Scheme</t>
        </is>
      </c>
      <c r="D391" s="8" t="inlineStr">
        <is>
          <t>Applicant documents</t>
        </is>
      </c>
      <c r="E391" s="8" t="inlineStr"/>
      <c r="F391" s="8" t="inlineStr">
        <is>
          <t>documents.en.documents_required[0].children[4]</t>
        </is>
      </c>
      <c r="G391" s="8" t="inlineStr">
        <is>
          <t>M02@20261028-0e33c069</t>
        </is>
      </c>
      <c r="H391" s="8" t="n">
        <v>1</v>
      </c>
      <c r="I391" s="8" t="n">
        <v>1</v>
      </c>
      <c r="J391" s="8" t="inlineStr">
        <is>
          <t>Residential Certificate / Domicile Certificate of the State of Maharashtra.</t>
        </is>
      </c>
      <c r="K391" s="8" t="inlineStr">
        <is>
          <t>MS-M02</t>
        </is>
      </c>
      <c r="L391" s="9" t="n">
        <v>46323</v>
      </c>
      <c r="M391" s="8" t="inlineStr">
        <is>
          <t>Approved</t>
        </is>
      </c>
      <c r="N391" s="8" t="inlineStr">
        <is>
          <t>list_item</t>
        </is>
      </c>
    </row>
    <row r="392" ht="40" customHeight="1">
      <c r="A392" s="4" t="inlineStr">
        <is>
          <t>M02-P0015</t>
        </is>
      </c>
      <c r="B392" s="4" t="inlineStr">
        <is>
          <t>M02</t>
        </is>
      </c>
      <c r="C392" s="4" t="inlineStr">
        <is>
          <t>Shravanbal Seva State Pension Scheme</t>
        </is>
      </c>
      <c r="D392" s="4" t="inlineStr">
        <is>
          <t>Applicant documents</t>
        </is>
      </c>
      <c r="E392" s="4" t="inlineStr"/>
      <c r="F392" s="4" t="inlineStr">
        <is>
          <t>documents.en.documents_required[0].children[5]</t>
        </is>
      </c>
      <c r="G392" s="4" t="inlineStr">
        <is>
          <t>M02@20261028-0e33c069</t>
        </is>
      </c>
      <c r="H392" s="4" t="n">
        <v>1</v>
      </c>
      <c r="I392" s="4" t="n">
        <v>1</v>
      </c>
      <c r="J392" s="4" t="inlineStr">
        <is>
          <t>Details of the Bank Account (Bank Name, Branch Name, Address, IFSC, etc).</t>
        </is>
      </c>
      <c r="K392" s="4" t="inlineStr">
        <is>
          <t>MS-M02</t>
        </is>
      </c>
      <c r="L392" s="6" t="n">
        <v>46323</v>
      </c>
      <c r="M392" s="4" t="inlineStr">
        <is>
          <t>Approved</t>
        </is>
      </c>
      <c r="N392" s="4" t="inlineStr">
        <is>
          <t>list_item</t>
        </is>
      </c>
    </row>
    <row r="393" ht="40" customHeight="1">
      <c r="A393" s="8" t="inlineStr">
        <is>
          <t>M02-P0016</t>
        </is>
      </c>
      <c r="B393" s="8" t="inlineStr">
        <is>
          <t>M02</t>
        </is>
      </c>
      <c r="C393" s="8" t="inlineStr">
        <is>
          <t>Shravanbal Seva State Pension Scheme</t>
        </is>
      </c>
      <c r="D393" s="8" t="inlineStr">
        <is>
          <t>Applicant documents</t>
        </is>
      </c>
      <c r="E393" s="8" t="inlineStr"/>
      <c r="F393" s="8" t="inlineStr">
        <is>
          <t>documents.en.documents_required[0].children[6]</t>
        </is>
      </c>
      <c r="G393" s="8" t="inlineStr">
        <is>
          <t>M02@20261028-0e33c069</t>
        </is>
      </c>
      <c r="H393" s="8" t="n">
        <v>1</v>
      </c>
      <c r="I393" s="8" t="n">
        <v>1</v>
      </c>
      <c r="J393" s="8" t="inlineStr">
        <is>
          <t>Any other document required by the District Social Welfare Office.</t>
        </is>
      </c>
      <c r="K393" s="8" t="inlineStr">
        <is>
          <t>MS-M02</t>
        </is>
      </c>
      <c r="L393" s="9" t="n">
        <v>46323</v>
      </c>
      <c r="M393" s="8" t="inlineStr">
        <is>
          <t>Approved</t>
        </is>
      </c>
      <c r="N393" s="8" t="inlineStr">
        <is>
          <t>list_item</t>
        </is>
      </c>
    </row>
    <row r="394" ht="40" customHeight="1">
      <c r="A394" s="4" t="inlineStr">
        <is>
          <t>M02-P0017</t>
        </is>
      </c>
      <c r="B394" s="4" t="inlineStr">
        <is>
          <t>M02</t>
        </is>
      </c>
      <c r="C394" s="4" t="inlineStr">
        <is>
          <t>Shravanbal Seva State Pension Scheme</t>
        </is>
      </c>
      <c r="D394" s="4" t="inlineStr">
        <is>
          <t>Application process</t>
        </is>
      </c>
      <c r="E394" s="4" t="inlineStr"/>
      <c r="F394" s="4" t="inlineStr">
        <is>
          <t>en.applicationProcess[0].process[0].children[1].children[0]</t>
        </is>
      </c>
      <c r="G394" s="4" t="inlineStr">
        <is>
          <t>M02@20261028-0e33c069</t>
        </is>
      </c>
      <c r="H394" s="4" t="n">
        <v>1</v>
      </c>
      <c r="I394" s="4" t="n">
        <v>1</v>
      </c>
      <c r="J394" s="4" t="inlineStr">
        <is>
          <t>Registration:</t>
        </is>
      </c>
      <c r="K394" s="4" t="inlineStr">
        <is>
          <t>MS-M02</t>
        </is>
      </c>
      <c r="L394" s="6" t="n">
        <v>46323</v>
      </c>
      <c r="M394" s="4" t="inlineStr">
        <is>
          <t>Approved</t>
        </is>
      </c>
      <c r="N394" s="4" t="inlineStr">
        <is>
          <t>text</t>
        </is>
      </c>
    </row>
    <row r="395" ht="40" customHeight="1">
      <c r="A395" s="8" t="inlineStr">
        <is>
          <t>M02-P0018</t>
        </is>
      </c>
      <c r="B395" s="8" t="inlineStr">
        <is>
          <t>M02</t>
        </is>
      </c>
      <c r="C395" s="8" t="inlineStr">
        <is>
          <t>Shravanbal Seva State Pension Scheme</t>
        </is>
      </c>
      <c r="D395" s="8" t="inlineStr">
        <is>
          <t>Application process</t>
        </is>
      </c>
      <c r="E395" s="8" t="inlineStr"/>
      <c r="F395" s="8" t="inlineStr">
        <is>
          <t>en.applicationProcess[0].process[2]</t>
        </is>
      </c>
      <c r="G395" s="8" t="inlineStr">
        <is>
          <t>M02@20261028-0e33c069</t>
        </is>
      </c>
      <c r="H395" s="8" t="n">
        <v>1</v>
      </c>
      <c r="I395" s="8" t="n">
        <v>1</v>
      </c>
      <c r="J395" s="8" t="inlineStr">
        <is>
          <t>Step 1: Visit the Official Portal of Aaple Sarkar (Maha DBT). On the right pane (green), click "New User? Register Here". You will be directed to the Registration Page.</t>
        </is>
      </c>
      <c r="K395" s="8" t="inlineStr">
        <is>
          <t>MS-M02</t>
        </is>
      </c>
      <c r="L395" s="9" t="n">
        <v>46323</v>
      </c>
      <c r="M395" s="8" t="inlineStr">
        <is>
          <t>Approved</t>
        </is>
      </c>
      <c r="N395" s="8" t="inlineStr">
        <is>
          <t>paragraph</t>
        </is>
      </c>
    </row>
    <row r="396" ht="54" customHeight="1">
      <c r="A396" s="4" t="inlineStr">
        <is>
          <t>M02-P0019</t>
        </is>
      </c>
      <c r="B396" s="4" t="inlineStr">
        <is>
          <t>M02</t>
        </is>
      </c>
      <c r="C396" s="4" t="inlineStr">
        <is>
          <t>Shravanbal Seva State Pension Scheme</t>
        </is>
      </c>
      <c r="D396" s="4" t="inlineStr">
        <is>
          <t>Application process</t>
        </is>
      </c>
      <c r="E396" s="4" t="inlineStr"/>
      <c r="F396" s="4" t="inlineStr">
        <is>
          <t>en.applicationProcess[0].process[4]</t>
        </is>
      </c>
      <c r="G396" s="4" t="inlineStr">
        <is>
          <t>M02@20261028-0e33c069</t>
        </is>
      </c>
      <c r="H396" s="4" t="n">
        <v>1</v>
      </c>
      <c r="I396" s="4" t="n">
        <v>1</v>
      </c>
      <c r="J396" s="4" t="inlineStr">
        <is>
          <t>Step 2: Verify your Email ID and Mobile Number using OTP and then create a Unique Username and Password. (You will also find the link to the Registration Manual on the top right of the page.)</t>
        </is>
      </c>
      <c r="K396" s="4" t="inlineStr">
        <is>
          <t>MS-M02</t>
        </is>
      </c>
      <c r="L396" s="6" t="n">
        <v>46323</v>
      </c>
      <c r="M396" s="4" t="inlineStr">
        <is>
          <t>Approved</t>
        </is>
      </c>
      <c r="N396" s="4" t="inlineStr">
        <is>
          <t>paragraph</t>
        </is>
      </c>
    </row>
    <row r="397" ht="54" customHeight="1">
      <c r="A397" s="8" t="inlineStr">
        <is>
          <t>M02-P0020</t>
        </is>
      </c>
      <c r="B397" s="8" t="inlineStr">
        <is>
          <t>M02</t>
        </is>
      </c>
      <c r="C397" s="8" t="inlineStr">
        <is>
          <t>Shravanbal Seva State Pension Scheme</t>
        </is>
      </c>
      <c r="D397" s="8" t="inlineStr">
        <is>
          <t>Application process</t>
        </is>
      </c>
      <c r="E397" s="8" t="inlineStr"/>
      <c r="F397" s="8" t="inlineStr">
        <is>
          <t>en.applicationProcess[0].process[6]</t>
        </is>
      </c>
      <c r="G397" s="8" t="inlineStr">
        <is>
          <t>M02@20261028-0e33c069</t>
        </is>
      </c>
      <c r="H397" s="8" t="n">
        <v>1</v>
      </c>
      <c r="I397" s="8" t="n">
        <v>1</v>
      </c>
      <c r="J397" s="8" t="inlineStr">
        <is>
          <t>In the "Applicant Detail" section, fill in the following mandatory fields: Salutation, Full Name(English), Full Name(Marathi), Father's Salutation, Father's Name (English), Father's Name(Marathi), Date of Birth, Age, Gender, Occupation.</t>
        </is>
      </c>
      <c r="K397" s="8" t="inlineStr">
        <is>
          <t>MS-M02</t>
        </is>
      </c>
      <c r="L397" s="9" t="n">
        <v>46323</v>
      </c>
      <c r="M397" s="8" t="inlineStr">
        <is>
          <t>Approved</t>
        </is>
      </c>
      <c r="N397" s="8" t="inlineStr">
        <is>
          <t>paragraph</t>
        </is>
      </c>
    </row>
    <row r="398" ht="68" customHeight="1">
      <c r="A398" s="4" t="inlineStr">
        <is>
          <t>M02-P0021</t>
        </is>
      </c>
      <c r="B398" s="4" t="inlineStr">
        <is>
          <t>M02</t>
        </is>
      </c>
      <c r="C398" s="4" t="inlineStr">
        <is>
          <t>Shravanbal Seva State Pension Scheme</t>
        </is>
      </c>
      <c r="D398" s="4" t="inlineStr">
        <is>
          <t>Application process</t>
        </is>
      </c>
      <c r="E398" s="4" t="inlineStr"/>
      <c r="F398" s="4" t="inlineStr">
        <is>
          <t>en.applicationProcess[0].process[8]</t>
        </is>
      </c>
      <c r="G398" s="4" t="inlineStr">
        <is>
          <t>M02@20261028-0e33c069</t>
        </is>
      </c>
      <c r="H398" s="4" t="n">
        <v>1</v>
      </c>
      <c r="I398" s="4" t="n">
        <v>1</v>
      </c>
      <c r="J398" s="4" t="inlineStr">
        <is>
          <t>In the "Applicant's Address" section, fill in the following mandatory fields: Address (English), Address (Marathi), Street (English), Street (Marathi), Section (English), Section (Marathi), Building (English), Building (Marathi), Landmark (English), Landmark (Marathi), District, Taluka, Village, Pincode</t>
        </is>
      </c>
      <c r="K398" s="4" t="inlineStr">
        <is>
          <t>MS-M02</t>
        </is>
      </c>
      <c r="L398" s="6" t="n">
        <v>46323</v>
      </c>
      <c r="M398" s="4" t="inlineStr">
        <is>
          <t>Approved</t>
        </is>
      </c>
      <c r="N398" s="4" t="inlineStr">
        <is>
          <t>paragraph</t>
        </is>
      </c>
    </row>
    <row r="399" ht="54" customHeight="1">
      <c r="A399" s="8" t="inlineStr">
        <is>
          <t>M02-P0022</t>
        </is>
      </c>
      <c r="B399" s="8" t="inlineStr">
        <is>
          <t>M02</t>
        </is>
      </c>
      <c r="C399" s="8" t="inlineStr">
        <is>
          <t>Shravanbal Seva State Pension Scheme</t>
        </is>
      </c>
      <c r="D399" s="8" t="inlineStr">
        <is>
          <t>Application process</t>
        </is>
      </c>
      <c r="E399" s="8" t="inlineStr"/>
      <c r="F399" s="8" t="inlineStr">
        <is>
          <t>en.applicationProcess[0].process[10]</t>
        </is>
      </c>
      <c r="G399" s="8" t="inlineStr">
        <is>
          <t>M02@20261028-0e33c069</t>
        </is>
      </c>
      <c r="H399" s="8" t="n">
        <v>1</v>
      </c>
      <c r="I399" s="8" t="n">
        <v>1</v>
      </c>
      <c r="J399" s="8" t="inlineStr">
        <is>
          <t>In the "Mobile No. &amp; Username Verification" section, fill in the following mandatory fields: 10-digit Mobile Number (to be verified via OTP), PAN No, User Name, Email ID (to be verified via OTP), Password, and Confirm Password.</t>
        </is>
      </c>
      <c r="K399" s="8" t="inlineStr">
        <is>
          <t>MS-M02</t>
        </is>
      </c>
      <c r="L399" s="9" t="n">
        <v>46323</v>
      </c>
      <c r="M399" s="8" t="inlineStr">
        <is>
          <t>Approved</t>
        </is>
      </c>
      <c r="N399" s="8" t="inlineStr">
        <is>
          <t>paragraph</t>
        </is>
      </c>
    </row>
    <row r="400" ht="40" customHeight="1">
      <c r="A400" s="4" t="inlineStr">
        <is>
          <t>M02-P0023</t>
        </is>
      </c>
      <c r="B400" s="4" t="inlineStr">
        <is>
          <t>M02</t>
        </is>
      </c>
      <c r="C400" s="4" t="inlineStr">
        <is>
          <t>Shravanbal Seva State Pension Scheme</t>
        </is>
      </c>
      <c r="D400" s="4" t="inlineStr">
        <is>
          <t>Application process</t>
        </is>
      </c>
      <c r="E400" s="4" t="inlineStr"/>
      <c r="F400" s="4" t="inlineStr">
        <is>
          <t>en.applicationProcess[0].process[12]</t>
        </is>
      </c>
      <c r="G400" s="4" t="inlineStr">
        <is>
          <t>M02@20261028-0e33c069</t>
        </is>
      </c>
      <c r="H400" s="4" t="n">
        <v>1</v>
      </c>
      <c r="I400" s="4" t="n">
        <v>1</v>
      </c>
      <c r="J400" s="4" t="inlineStr">
        <is>
          <t>In the "Upload your Photograph" section, upload your passport-sized photograph following the instructions given below:</t>
        </is>
      </c>
      <c r="K400" s="4" t="inlineStr">
        <is>
          <t>MS-M02</t>
        </is>
      </c>
      <c r="L400" s="6" t="n">
        <v>46323</v>
      </c>
      <c r="M400" s="4" t="inlineStr">
        <is>
          <t>Approved</t>
        </is>
      </c>
      <c r="N400" s="4" t="inlineStr">
        <is>
          <t>paragraph</t>
        </is>
      </c>
    </row>
    <row r="401" ht="40" customHeight="1">
      <c r="A401" s="8" t="inlineStr">
        <is>
          <t>M02-P0024</t>
        </is>
      </c>
      <c r="B401" s="8" t="inlineStr">
        <is>
          <t>M02</t>
        </is>
      </c>
      <c r="C401" s="8" t="inlineStr">
        <is>
          <t>Shravanbal Seva State Pension Scheme</t>
        </is>
      </c>
      <c r="D401" s="8" t="inlineStr">
        <is>
          <t>Application process</t>
        </is>
      </c>
      <c r="E401" s="8" t="inlineStr"/>
      <c r="F401" s="8" t="inlineStr">
        <is>
          <t>en.applicationProcess[0].process[13]</t>
        </is>
      </c>
      <c r="G401" s="8" t="inlineStr">
        <is>
          <t>M02@20261028-0e33c069</t>
        </is>
      </c>
      <c r="H401" s="8" t="n">
        <v>1</v>
      </c>
      <c r="I401" s="8" t="n">
        <v>1</v>
      </c>
      <c r="J401" s="8" t="inlineStr">
        <is>
          <t>1. The file size should fall between 5 KB to 20 KB.</t>
        </is>
      </c>
      <c r="K401" s="8" t="inlineStr">
        <is>
          <t>MS-M02</t>
        </is>
      </c>
      <c r="L401" s="9" t="n">
        <v>46323</v>
      </c>
      <c r="M401" s="8" t="inlineStr">
        <is>
          <t>Approved</t>
        </is>
      </c>
      <c r="N401" s="8" t="inlineStr">
        <is>
          <t>paragraph</t>
        </is>
      </c>
    </row>
    <row r="402" ht="40" customHeight="1">
      <c r="A402" s="4" t="inlineStr">
        <is>
          <t>M02-P0025</t>
        </is>
      </c>
      <c r="B402" s="4" t="inlineStr">
        <is>
          <t>M02</t>
        </is>
      </c>
      <c r="C402" s="4" t="inlineStr">
        <is>
          <t>Shravanbal Seva State Pension Scheme</t>
        </is>
      </c>
      <c r="D402" s="4" t="inlineStr">
        <is>
          <t>Application process</t>
        </is>
      </c>
      <c r="E402" s="4" t="inlineStr"/>
      <c r="F402" s="4" t="inlineStr">
        <is>
          <t>en.applicationProcess[0].process[14]</t>
        </is>
      </c>
      <c r="G402" s="4" t="inlineStr">
        <is>
          <t>M02@20261028-0e33c069</t>
        </is>
      </c>
      <c r="H402" s="4" t="n">
        <v>1</v>
      </c>
      <c r="I402" s="4" t="n">
        <v>1</v>
      </c>
      <c r="J402" s="4" t="inlineStr">
        <is>
          <t>2. The format should be JPEG.</t>
        </is>
      </c>
      <c r="K402" s="4" t="inlineStr">
        <is>
          <t>MS-M02</t>
        </is>
      </c>
      <c r="L402" s="6" t="n">
        <v>46323</v>
      </c>
      <c r="M402" s="4" t="inlineStr">
        <is>
          <t>Approved</t>
        </is>
      </c>
      <c r="N402" s="4" t="inlineStr">
        <is>
          <t>paragraph</t>
        </is>
      </c>
    </row>
    <row r="403" ht="40" customHeight="1">
      <c r="A403" s="8" t="inlineStr">
        <is>
          <t>M02-P0026</t>
        </is>
      </c>
      <c r="B403" s="8" t="inlineStr">
        <is>
          <t>M02</t>
        </is>
      </c>
      <c r="C403" s="8" t="inlineStr">
        <is>
          <t>Shravanbal Seva State Pension Scheme</t>
        </is>
      </c>
      <c r="D403" s="8" t="inlineStr">
        <is>
          <t>Application process</t>
        </is>
      </c>
      <c r="E403" s="8" t="inlineStr"/>
      <c r="F403" s="8" t="inlineStr">
        <is>
          <t>en.applicationProcess[0].process[15]</t>
        </is>
      </c>
      <c r="G403" s="8" t="inlineStr">
        <is>
          <t>M02@20261028-0e33c069</t>
        </is>
      </c>
      <c r="H403" s="8" t="n">
        <v>1</v>
      </c>
      <c r="I403" s="8" t="n">
        <v>1</v>
      </c>
      <c r="J403" s="8" t="inlineStr">
        <is>
          <t>3. The width should be 160 pixels.</t>
        </is>
      </c>
      <c r="K403" s="8" t="inlineStr">
        <is>
          <t>MS-M02</t>
        </is>
      </c>
      <c r="L403" s="9" t="n">
        <v>46323</v>
      </c>
      <c r="M403" s="8" t="inlineStr">
        <is>
          <t>Approved</t>
        </is>
      </c>
      <c r="N403" s="8" t="inlineStr">
        <is>
          <t>paragraph</t>
        </is>
      </c>
    </row>
    <row r="404" ht="40" customHeight="1">
      <c r="A404" s="4" t="inlineStr">
        <is>
          <t>M02-P0027</t>
        </is>
      </c>
      <c r="B404" s="4" t="inlineStr">
        <is>
          <t>M02</t>
        </is>
      </c>
      <c r="C404" s="4" t="inlineStr">
        <is>
          <t>Shravanbal Seva State Pension Scheme</t>
        </is>
      </c>
      <c r="D404" s="4" t="inlineStr">
        <is>
          <t>Application process</t>
        </is>
      </c>
      <c r="E404" s="4" t="inlineStr"/>
      <c r="F404" s="4" t="inlineStr">
        <is>
          <t>en.applicationProcess[0].process[16]</t>
        </is>
      </c>
      <c r="G404" s="4" t="inlineStr">
        <is>
          <t>M02@20261028-0e33c069</t>
        </is>
      </c>
      <c r="H404" s="4" t="n">
        <v>1</v>
      </c>
      <c r="I404" s="4" t="n">
        <v>1</v>
      </c>
      <c r="J404" s="4" t="inlineStr">
        <is>
          <t>4. The height should fall between 200 to 212 pixels.</t>
        </is>
      </c>
      <c r="K404" s="4" t="inlineStr">
        <is>
          <t>MS-M02</t>
        </is>
      </c>
      <c r="L404" s="6" t="n">
        <v>46323</v>
      </c>
      <c r="M404" s="4" t="inlineStr">
        <is>
          <t>Approved</t>
        </is>
      </c>
      <c r="N404" s="4" t="inlineStr">
        <is>
          <t>paragraph</t>
        </is>
      </c>
    </row>
    <row r="405" ht="54" customHeight="1">
      <c r="A405" s="8" t="inlineStr">
        <is>
          <t>M02-P0028</t>
        </is>
      </c>
      <c r="B405" s="8" t="inlineStr">
        <is>
          <t>M02</t>
        </is>
      </c>
      <c r="C405" s="8" t="inlineStr">
        <is>
          <t>Shravanbal Seva State Pension Scheme</t>
        </is>
      </c>
      <c r="D405" s="8" t="inlineStr">
        <is>
          <t>Application process</t>
        </is>
      </c>
      <c r="E405" s="8" t="inlineStr"/>
      <c r="F405" s="8" t="inlineStr">
        <is>
          <t>en.applicationProcess[0].process[18]</t>
        </is>
      </c>
      <c r="G405" s="8" t="inlineStr">
        <is>
          <t>M02@20261028-0e33c069</t>
        </is>
      </c>
      <c r="H405" s="8" t="n">
        <v>1</v>
      </c>
      <c r="I405" s="8" t="n">
        <v>1</v>
      </c>
      <c r="J405" s="8" t="inlineStr">
        <is>
          <t>In the "Proof Of Identity" section, upload ANY ONE of the following documents: PAN Card, Voter ID Card (POI), Passport (POI), Aadhaar Card (POI), Driving License (POI), Government / Semi-Government ID, Proof MNREGA Job Card, RSBY Card.</t>
        </is>
      </c>
      <c r="K405" s="8" t="inlineStr">
        <is>
          <t>MS-M02</t>
        </is>
      </c>
      <c r="L405" s="9" t="n">
        <v>46323</v>
      </c>
      <c r="M405" s="8" t="inlineStr">
        <is>
          <t>Approved</t>
        </is>
      </c>
      <c r="N405" s="8" t="inlineStr">
        <is>
          <t>paragraph</t>
        </is>
      </c>
    </row>
    <row r="406" ht="40" customHeight="1">
      <c r="A406" s="4" t="inlineStr">
        <is>
          <t>M02-P0029</t>
        </is>
      </c>
      <c r="B406" s="4" t="inlineStr">
        <is>
          <t>M02</t>
        </is>
      </c>
      <c r="C406" s="4" t="inlineStr">
        <is>
          <t>Shravanbal Seva State Pension Scheme</t>
        </is>
      </c>
      <c r="D406" s="4" t="inlineStr">
        <is>
          <t>Application process</t>
        </is>
      </c>
      <c r="E406" s="4" t="inlineStr"/>
      <c r="F406" s="4" t="inlineStr">
        <is>
          <t>en.applicationProcess[0].process[19]</t>
        </is>
      </c>
      <c r="G406" s="4" t="inlineStr">
        <is>
          <t>M02@20261028-0e33c069</t>
        </is>
      </c>
      <c r="H406" s="4" t="n">
        <v>1</v>
      </c>
      <c r="I406" s="4" t="n">
        <v>1</v>
      </c>
      <c r="J406" s="4" t="inlineStr">
        <is>
          <t>The format should be JPEG/ PDF, and the file size should be between 75 KB to 256 KB.</t>
        </is>
      </c>
      <c r="K406" s="4" t="inlineStr">
        <is>
          <t>MS-M02</t>
        </is>
      </c>
      <c r="L406" s="6" t="n">
        <v>46323</v>
      </c>
      <c r="M406" s="4" t="inlineStr">
        <is>
          <t>Approved</t>
        </is>
      </c>
      <c r="N406" s="4" t="inlineStr">
        <is>
          <t>paragraph</t>
        </is>
      </c>
    </row>
    <row r="407" ht="68" customHeight="1">
      <c r="A407" s="8" t="inlineStr">
        <is>
          <t>M02-P0030</t>
        </is>
      </c>
      <c r="B407" s="8" t="inlineStr">
        <is>
          <t>M02</t>
        </is>
      </c>
      <c r="C407" s="8" t="inlineStr">
        <is>
          <t>Shravanbal Seva State Pension Scheme</t>
        </is>
      </c>
      <c r="D407" s="8" t="inlineStr">
        <is>
          <t>Application process</t>
        </is>
      </c>
      <c r="E407" s="8" t="inlineStr"/>
      <c r="F407" s="8" t="inlineStr">
        <is>
          <t>en.applicationProcess[0].process[21]</t>
        </is>
      </c>
      <c r="G407" s="8" t="inlineStr">
        <is>
          <t>M02@20261028-0e33c069</t>
        </is>
      </c>
      <c r="H407" s="8" t="n">
        <v>1</v>
      </c>
      <c r="I407" s="8" t="n">
        <v>1</v>
      </c>
      <c r="J407" s="8" t="inlineStr">
        <is>
          <t>In the "Proof Of Address" section, upload ANY ONE of the following documents: Ration Card Passport (POA), Aadhaar Card (POA), Driving License (POA), Voter ID Card (POA), Extracts of 7/12 and 8 A, Property Tax Receipt, Property Agreement Copy, Water Bill, Electricity Bill, Telephone Bill, Rent Receipt.</t>
        </is>
      </c>
      <c r="K407" s="8" t="inlineStr">
        <is>
          <t>MS-M02</t>
        </is>
      </c>
      <c r="L407" s="9" t="n">
        <v>46323</v>
      </c>
      <c r="M407" s="8" t="inlineStr">
        <is>
          <t>Approved</t>
        </is>
      </c>
      <c r="N407" s="8" t="inlineStr">
        <is>
          <t>paragraph</t>
        </is>
      </c>
    </row>
    <row r="408" ht="40" customHeight="1">
      <c r="A408" s="4" t="inlineStr">
        <is>
          <t>M02-P0031</t>
        </is>
      </c>
      <c r="B408" s="4" t="inlineStr">
        <is>
          <t>M02</t>
        </is>
      </c>
      <c r="C408" s="4" t="inlineStr">
        <is>
          <t>Shravanbal Seva State Pension Scheme</t>
        </is>
      </c>
      <c r="D408" s="4" t="inlineStr">
        <is>
          <t>Application process</t>
        </is>
      </c>
      <c r="E408" s="4" t="inlineStr"/>
      <c r="F408" s="4" t="inlineStr">
        <is>
          <t>en.applicationProcess[0].process[23]</t>
        </is>
      </c>
      <c r="G408" s="4" t="inlineStr">
        <is>
          <t>M02@20261028-0e33c069</t>
        </is>
      </c>
      <c r="H408" s="4" t="n">
        <v>1</v>
      </c>
      <c r="I408" s="4" t="n">
        <v>1</v>
      </c>
      <c r="J408" s="4" t="inlineStr">
        <is>
          <t>Step 3: At the bottom of the Registration Page, read the following declaration carefully:</t>
        </is>
      </c>
      <c r="K408" s="4" t="inlineStr">
        <is>
          <t>MS-M02</t>
        </is>
      </c>
      <c r="L408" s="6" t="n">
        <v>46323</v>
      </c>
      <c r="M408" s="4" t="inlineStr">
        <is>
          <t>Approved</t>
        </is>
      </c>
      <c r="N408" s="4" t="inlineStr">
        <is>
          <t>paragraph</t>
        </is>
      </c>
    </row>
    <row r="409" ht="54" customHeight="1">
      <c r="A409" s="8" t="inlineStr">
        <is>
          <t>M02-P0032</t>
        </is>
      </c>
      <c r="B409" s="8" t="inlineStr">
        <is>
          <t>M02</t>
        </is>
      </c>
      <c r="C409" s="8" t="inlineStr">
        <is>
          <t>Shravanbal Seva State Pension Scheme</t>
        </is>
      </c>
      <c r="D409" s="8" t="inlineStr">
        <is>
          <t>Application process</t>
        </is>
      </c>
      <c r="E409" s="8" t="inlineStr"/>
      <c r="F409" s="8" t="inlineStr">
        <is>
          <t>en.applicationProcess[0].process[24]</t>
        </is>
      </c>
      <c r="G409" s="8" t="inlineStr">
        <is>
          <t>M02@20261028-0e33c069</t>
        </is>
      </c>
      <c r="H409" s="8" t="n">
        <v>1</v>
      </c>
      <c r="I409" s="8" t="n">
        <v>1</v>
      </c>
      <c r="J409" s="8" t="inlineStr">
        <is>
          <t>"I declare that the above-mentioned information submitted by me is true and correct to my knowledge and belief. I hereby agree to be liable for legal consequences for any information found incorrect or false under section 200 of the Indian penal code 1960."</t>
        </is>
      </c>
      <c r="K409" s="8" t="inlineStr">
        <is>
          <t>MS-M02</t>
        </is>
      </c>
      <c r="L409" s="9" t="n">
        <v>46323</v>
      </c>
      <c r="M409" s="8" t="inlineStr">
        <is>
          <t>Approved</t>
        </is>
      </c>
      <c r="N409" s="8" t="inlineStr">
        <is>
          <t>paragraph</t>
        </is>
      </c>
    </row>
    <row r="410" ht="40" customHeight="1">
      <c r="A410" s="4" t="inlineStr">
        <is>
          <t>M02-P0033</t>
        </is>
      </c>
      <c r="B410" s="4" t="inlineStr">
        <is>
          <t>M02</t>
        </is>
      </c>
      <c r="C410" s="4" t="inlineStr">
        <is>
          <t>Shravanbal Seva State Pension Scheme</t>
        </is>
      </c>
      <c r="D410" s="4" t="inlineStr">
        <is>
          <t>Application process</t>
        </is>
      </c>
      <c r="E410" s="4" t="inlineStr"/>
      <c r="F410" s="4" t="inlineStr">
        <is>
          <t>en.applicationProcess[0].process[26]</t>
        </is>
      </c>
      <c r="G410" s="4" t="inlineStr">
        <is>
          <t>M02@20261028-0e33c069</t>
        </is>
      </c>
      <c r="H410" s="4" t="n">
        <v>1</v>
      </c>
      <c r="I410" s="4" t="n">
        <v>1</v>
      </c>
      <c r="J410" s="4" t="inlineStr">
        <is>
          <t>Select the "I accept" checkbox, and click "Register". Your Login Credentials will be shared over your registered Email ID and Mobile Number.</t>
        </is>
      </c>
      <c r="K410" s="4" t="inlineStr">
        <is>
          <t>MS-M02</t>
        </is>
      </c>
      <c r="L410" s="6" t="n">
        <v>46323</v>
      </c>
      <c r="M410" s="4" t="inlineStr">
        <is>
          <t>Approved</t>
        </is>
      </c>
      <c r="N410" s="4" t="inlineStr">
        <is>
          <t>paragraph</t>
        </is>
      </c>
    </row>
    <row r="411" ht="40" customHeight="1">
      <c r="A411" s="8" t="inlineStr">
        <is>
          <t>M02-P0034</t>
        </is>
      </c>
      <c r="B411" s="8" t="inlineStr">
        <is>
          <t>M02</t>
        </is>
      </c>
      <c r="C411" s="8" t="inlineStr">
        <is>
          <t>Shravanbal Seva State Pension Scheme</t>
        </is>
      </c>
      <c r="D411" s="8" t="inlineStr">
        <is>
          <t>Application process</t>
        </is>
      </c>
      <c r="E411" s="8" t="inlineStr"/>
      <c r="F411" s="8" t="inlineStr">
        <is>
          <t>en.applicationProcess[0].process[28].children[0]</t>
        </is>
      </c>
      <c r="G411" s="8" t="inlineStr">
        <is>
          <t>M02@20261028-0e33c069</t>
        </is>
      </c>
      <c r="H411" s="8" t="n">
        <v>1</v>
      </c>
      <c r="I411" s="8" t="n">
        <v>1</v>
      </c>
      <c r="J411" s="8" t="inlineStr">
        <is>
          <t>Application:</t>
        </is>
      </c>
      <c r="K411" s="8" t="inlineStr">
        <is>
          <t>MS-M02</t>
        </is>
      </c>
      <c r="L411" s="9" t="n">
        <v>46323</v>
      </c>
      <c r="M411" s="8" t="inlineStr">
        <is>
          <t>Approved</t>
        </is>
      </c>
      <c r="N411" s="8" t="inlineStr">
        <is>
          <t>text</t>
        </is>
      </c>
    </row>
    <row r="412" ht="54" customHeight="1">
      <c r="A412" s="4" t="inlineStr">
        <is>
          <t>M02-P0035</t>
        </is>
      </c>
      <c r="B412" s="4" t="inlineStr">
        <is>
          <t>M02</t>
        </is>
      </c>
      <c r="C412" s="4" t="inlineStr">
        <is>
          <t>Shravanbal Seva State Pension Scheme</t>
        </is>
      </c>
      <c r="D412" s="4" t="inlineStr">
        <is>
          <t>Application process</t>
        </is>
      </c>
      <c r="E412" s="4" t="inlineStr"/>
      <c r="F412" s="4" t="inlineStr">
        <is>
          <t>en.applicationProcess[0].process[30]</t>
        </is>
      </c>
      <c r="G412" s="4" t="inlineStr">
        <is>
          <t>M02@20261028-0e33c069</t>
        </is>
      </c>
      <c r="H412" s="4" t="n">
        <v>1</v>
      </c>
      <c r="I412" s="4" t="n">
        <v>1</v>
      </c>
      <c r="J412" s="4" t="inlineStr">
        <is>
          <t>Step 1: Visit the Official Portal of Aaple Sarkar (Maha DBT). On the right pane (green), click "Already Registered? Login Here". Provide your Username and Password. Fill in the Captcha Code, Select your District from the dropdown menu, and click "Login".</t>
        </is>
      </c>
      <c r="K412" s="4" t="inlineStr">
        <is>
          <t>MS-M02</t>
        </is>
      </c>
      <c r="L412" s="6" t="n">
        <v>46323</v>
      </c>
      <c r="M412" s="4" t="inlineStr">
        <is>
          <t>Approved</t>
        </is>
      </c>
      <c r="N412" s="4" t="inlineStr">
        <is>
          <t>paragraph</t>
        </is>
      </c>
    </row>
    <row r="413" ht="54" customHeight="1">
      <c r="A413" s="8" t="inlineStr">
        <is>
          <t>M02-P0036</t>
        </is>
      </c>
      <c r="B413" s="8" t="inlineStr">
        <is>
          <t>M02</t>
        </is>
      </c>
      <c r="C413" s="8" t="inlineStr">
        <is>
          <t>Shravanbal Seva State Pension Scheme</t>
        </is>
      </c>
      <c r="D413" s="8" t="inlineStr">
        <is>
          <t>Application process</t>
        </is>
      </c>
      <c r="E413" s="8" t="inlineStr"/>
      <c r="F413" s="8" t="inlineStr">
        <is>
          <t>en.applicationProcess[0].process[32]</t>
        </is>
      </c>
      <c r="G413" s="8" t="inlineStr">
        <is>
          <t>M02@20261028-0e33c069</t>
        </is>
      </c>
      <c r="H413" s="8" t="n">
        <v>1</v>
      </c>
      <c r="I413" s="8" t="n">
        <v>1</v>
      </c>
      <c r="J413" s="8" t="inlineStr">
        <is>
          <t>Step 2: On the next page, in the left pane, click "All Schemes". From the dropdown menu, select the Department Name, and the name of the scheme that you seek to apply for. Click "Apply" against the concerned scheme.</t>
        </is>
      </c>
      <c r="K413" s="8" t="inlineStr">
        <is>
          <t>MS-M02</t>
        </is>
      </c>
      <c r="L413" s="9" t="n">
        <v>46323</v>
      </c>
      <c r="M413" s="8" t="inlineStr">
        <is>
          <t>Approved</t>
        </is>
      </c>
      <c r="N413" s="8" t="inlineStr">
        <is>
          <t>paragraph</t>
        </is>
      </c>
    </row>
    <row r="414" ht="54" customHeight="1">
      <c r="A414" s="4" t="inlineStr">
        <is>
          <t>M02-P0037</t>
        </is>
      </c>
      <c r="B414" s="4" t="inlineStr">
        <is>
          <t>M02</t>
        </is>
      </c>
      <c r="C414" s="4" t="inlineStr">
        <is>
          <t>Shravanbal Seva State Pension Scheme</t>
        </is>
      </c>
      <c r="D414" s="4" t="inlineStr">
        <is>
          <t>Application process</t>
        </is>
      </c>
      <c r="E414" s="4" t="inlineStr"/>
      <c r="F414" s="4" t="inlineStr">
        <is>
          <t>en.applicationProcess[0].process[34]</t>
        </is>
      </c>
      <c r="G414" s="4" t="inlineStr">
        <is>
          <t>M02@20261028-0e33c069</t>
        </is>
      </c>
      <c r="H414" s="4" t="n">
        <v>1</v>
      </c>
      <c r="I414" s="4" t="n">
        <v>1</v>
      </c>
      <c r="J414" s="4" t="inlineStr">
        <is>
          <t>Step 3: Fill in all the mandatory fields and upload the mandatory documents, and click "Apply". A popup message acknowledging the successful submission of the application will be displayed, along with the Application ID:</t>
        </is>
      </c>
      <c r="K414" s="4" t="inlineStr">
        <is>
          <t>MS-M02</t>
        </is>
      </c>
      <c r="L414" s="6" t="n">
        <v>46323</v>
      </c>
      <c r="M414" s="4" t="inlineStr">
        <is>
          <t>Approved</t>
        </is>
      </c>
      <c r="N414" s="4" t="inlineStr">
        <is>
          <t>paragraph</t>
        </is>
      </c>
    </row>
    <row r="415" ht="40" customHeight="1">
      <c r="A415" s="8" t="inlineStr">
        <is>
          <t>M02-P0038</t>
        </is>
      </c>
      <c r="B415" s="8" t="inlineStr">
        <is>
          <t>M02</t>
        </is>
      </c>
      <c r="C415" s="8" t="inlineStr">
        <is>
          <t>Shravanbal Seva State Pension Scheme</t>
        </is>
      </c>
      <c r="D415" s="8" t="inlineStr">
        <is>
          <t>Application process</t>
        </is>
      </c>
      <c r="E415" s="8" t="inlineStr"/>
      <c r="F415" s="8" t="inlineStr">
        <is>
          <t>en.applicationProcess[0].process[35]</t>
        </is>
      </c>
      <c r="G415" s="8" t="inlineStr">
        <is>
          <t>M02@20261028-0e33c069</t>
        </is>
      </c>
      <c r="H415" s="8" t="n">
        <v>1</v>
      </c>
      <c r="I415" s="8" t="n">
        <v>1</v>
      </c>
      <c r="J415" s="8" t="inlineStr">
        <is>
          <t>"Dear [Username], you have successfully applied for [Scheme Name]. Your Application ID is [Application ID here]."</t>
        </is>
      </c>
      <c r="K415" s="8" t="inlineStr">
        <is>
          <t>MS-M02</t>
        </is>
      </c>
      <c r="L415" s="9" t="n">
        <v>46323</v>
      </c>
      <c r="M415" s="8" t="inlineStr">
        <is>
          <t>Approved</t>
        </is>
      </c>
      <c r="N415" s="8" t="inlineStr">
        <is>
          <t>paragraph</t>
        </is>
      </c>
    </row>
    <row r="416" ht="40" customHeight="1">
      <c r="A416" s="4" t="inlineStr">
        <is>
          <t>M02-P0039</t>
        </is>
      </c>
      <c r="B416" s="4" t="inlineStr">
        <is>
          <t>M02</t>
        </is>
      </c>
      <c r="C416" s="4" t="inlineStr">
        <is>
          <t>Shravanbal Seva State Pension Scheme</t>
        </is>
      </c>
      <c r="D416" s="4" t="inlineStr">
        <is>
          <t>Application process</t>
        </is>
      </c>
      <c r="E416" s="4" t="inlineStr"/>
      <c r="F416" s="4" t="inlineStr">
        <is>
          <t>en.applicationProcess[0].process[37]</t>
        </is>
      </c>
      <c r="G416" s="4" t="inlineStr">
        <is>
          <t>M02@20261028-0e33c069</t>
        </is>
      </c>
      <c r="H416" s="4" t="n">
        <v>1</v>
      </c>
      <c r="I416" s="4" t="n">
        <v>1</v>
      </c>
      <c r="J416" s="4" t="inlineStr">
        <is>
          <t>The Application ID will also be shared over your registered Email ID and Mobile Number. Save this Application ID for future reference and for checking the application status.</t>
        </is>
      </c>
      <c r="K416" s="4" t="inlineStr">
        <is>
          <t>MS-M02</t>
        </is>
      </c>
      <c r="L416" s="6" t="n">
        <v>46323</v>
      </c>
      <c r="M416" s="4" t="inlineStr">
        <is>
          <t>Approved</t>
        </is>
      </c>
      <c r="N416" s="4" t="inlineStr">
        <is>
          <t>paragraph</t>
        </is>
      </c>
    </row>
    <row r="417" ht="40" customHeight="1">
      <c r="A417" s="8" t="inlineStr">
        <is>
          <t>M02-P0040</t>
        </is>
      </c>
      <c r="B417" s="8" t="inlineStr">
        <is>
          <t>M02</t>
        </is>
      </c>
      <c r="C417" s="8" t="inlineStr">
        <is>
          <t>Shravanbal Seva State Pension Scheme</t>
        </is>
      </c>
      <c r="D417" s="8" t="inlineStr">
        <is>
          <t>Application process</t>
        </is>
      </c>
      <c r="E417" s="8" t="inlineStr"/>
      <c r="F417" s="8" t="inlineStr">
        <is>
          <t>en.applicationProcess[0].process[39]</t>
        </is>
      </c>
      <c r="G417" s="8" t="inlineStr">
        <is>
          <t>M02@20261028-0e33c069</t>
        </is>
      </c>
      <c r="H417" s="8" t="n">
        <v>1</v>
      </c>
      <c r="I417" s="8" t="n">
        <v>1</v>
      </c>
      <c r="J417" s="8" t="inlineStr">
        <is>
          <t>Step 4: You can also view the status of your applications (Under Scrutiny / Approved / Rejected / Fund Disbursed) using the "My Applied Scheme History" in the left pane.</t>
        </is>
      </c>
      <c r="K417" s="8" t="inlineStr">
        <is>
          <t>MS-M02</t>
        </is>
      </c>
      <c r="L417" s="9" t="n">
        <v>46323</v>
      </c>
      <c r="M417" s="8" t="inlineStr">
        <is>
          <t>Approved</t>
        </is>
      </c>
      <c r="N417" s="8" t="inlineStr">
        <is>
          <t>paragraph</t>
        </is>
      </c>
    </row>
    <row r="418" ht="40" customHeight="1">
      <c r="A418" s="4" t="inlineStr">
        <is>
          <t>M02-P0041</t>
        </is>
      </c>
      <c r="B418" s="4" t="inlineStr">
        <is>
          <t>M02</t>
        </is>
      </c>
      <c r="C418" s="4" t="inlineStr">
        <is>
          <t>Shravanbal Seva State Pension Scheme</t>
        </is>
      </c>
      <c r="D418" s="4" t="inlineStr">
        <is>
          <t>Application process</t>
        </is>
      </c>
      <c r="E418" s="4" t="inlineStr"/>
      <c r="F418" s="4" t="inlineStr">
        <is>
          <t>en.applicationProcess[1].process[0]</t>
        </is>
      </c>
      <c r="G418" s="4" t="inlineStr">
        <is>
          <t>M02@20261028-0e33c069</t>
        </is>
      </c>
      <c r="H418" s="4" t="n">
        <v>1</v>
      </c>
      <c r="I418" s="4" t="n">
        <v>1</v>
      </c>
      <c r="J418" s="4" t="inlineStr">
        <is>
          <t>Step 1: Visit the Talathi Office, and request a hard copy of the format of the application form for the scheme from the concerned authority.</t>
        </is>
      </c>
      <c r="K418" s="4" t="inlineStr">
        <is>
          <t>MS-M02</t>
        </is>
      </c>
      <c r="L418" s="6" t="n">
        <v>46323</v>
      </c>
      <c r="M418" s="4" t="inlineStr">
        <is>
          <t>Approved</t>
        </is>
      </c>
      <c r="N418" s="4" t="inlineStr">
        <is>
          <t>paragraph</t>
        </is>
      </c>
    </row>
    <row r="419" ht="40" customHeight="1">
      <c r="A419" s="8" t="inlineStr">
        <is>
          <t>M02-P0042</t>
        </is>
      </c>
      <c r="B419" s="8" t="inlineStr">
        <is>
          <t>M02</t>
        </is>
      </c>
      <c r="C419" s="8" t="inlineStr">
        <is>
          <t>Shravanbal Seva State Pension Scheme</t>
        </is>
      </c>
      <c r="D419" s="8" t="inlineStr">
        <is>
          <t>Application process</t>
        </is>
      </c>
      <c r="E419" s="8" t="inlineStr"/>
      <c r="F419" s="8" t="inlineStr">
        <is>
          <t>en.applicationProcess[1].process[1]</t>
        </is>
      </c>
      <c r="G419" s="8" t="inlineStr">
        <is>
          <t>M02@20261028-0e33c069</t>
        </is>
      </c>
      <c r="H419" s="8" t="n">
        <v>1</v>
      </c>
      <c r="I419" s="8" t="n">
        <v>1</v>
      </c>
      <c r="J419" s="8" t="inlineStr">
        <is>
          <t>Step 2: In the application form, fill in all the mandatory fields, paste the passport-sized photograph (signed across), and attach all the (self-attested) mandatory documents.</t>
        </is>
      </c>
      <c r="K419" s="8" t="inlineStr">
        <is>
          <t>MS-M02</t>
        </is>
      </c>
      <c r="L419" s="9" t="n">
        <v>46323</v>
      </c>
      <c r="M419" s="8" t="inlineStr">
        <is>
          <t>Approved</t>
        </is>
      </c>
      <c r="N419" s="8" t="inlineStr">
        <is>
          <t>paragraph</t>
        </is>
      </c>
    </row>
    <row r="420" ht="40" customHeight="1">
      <c r="A420" s="4" t="inlineStr">
        <is>
          <t>M02-P0043</t>
        </is>
      </c>
      <c r="B420" s="4" t="inlineStr">
        <is>
          <t>M02</t>
        </is>
      </c>
      <c r="C420" s="4" t="inlineStr">
        <is>
          <t>Shravanbal Seva State Pension Scheme</t>
        </is>
      </c>
      <c r="D420" s="4" t="inlineStr">
        <is>
          <t>Application process</t>
        </is>
      </c>
      <c r="E420" s="4" t="inlineStr"/>
      <c r="F420" s="4" t="inlineStr">
        <is>
          <t>en.applicationProcess[1].process[2]</t>
        </is>
      </c>
      <c r="G420" s="4" t="inlineStr">
        <is>
          <t>M02@20261028-0e33c069</t>
        </is>
      </c>
      <c r="H420" s="4" t="n">
        <v>1</v>
      </c>
      <c r="I420" s="4" t="n">
        <v>1</v>
      </c>
      <c r="J420" s="4" t="inlineStr">
        <is>
          <t>Step 3: Submit the duly filled and signed application form along with the documents to the Talathi Office.</t>
        </is>
      </c>
      <c r="K420" s="4" t="inlineStr">
        <is>
          <t>MS-M02</t>
        </is>
      </c>
      <c r="L420" s="6" t="n">
        <v>46323</v>
      </c>
      <c r="M420" s="4" t="inlineStr">
        <is>
          <t>Approved</t>
        </is>
      </c>
      <c r="N420" s="4" t="inlineStr">
        <is>
          <t>paragraph</t>
        </is>
      </c>
    </row>
    <row r="421" ht="40" customHeight="1">
      <c r="A421" s="8" t="inlineStr">
        <is>
          <t>M02-P0044</t>
        </is>
      </c>
      <c r="B421" s="8" t="inlineStr">
        <is>
          <t>M02</t>
        </is>
      </c>
      <c r="C421" s="8" t="inlineStr">
        <is>
          <t>Shravanbal Seva State Pension Scheme</t>
        </is>
      </c>
      <c r="D421" s="8" t="inlineStr">
        <is>
          <t>Application process</t>
        </is>
      </c>
      <c r="E421" s="8" t="inlineStr"/>
      <c r="F421" s="8" t="inlineStr">
        <is>
          <t>en.applicationProcess[1].process[3]</t>
        </is>
      </c>
      <c r="G421" s="8" t="inlineStr">
        <is>
          <t>M02@20261028-0e33c069</t>
        </is>
      </c>
      <c r="H421" s="8" t="n">
        <v>1</v>
      </c>
      <c r="I421" s="8" t="n">
        <v>1</v>
      </c>
      <c r="J421" s="8" t="inlineStr">
        <is>
          <t>Step 4: Acquire the receipt/acknowledgment of the successful submission of the application form.</t>
        </is>
      </c>
      <c r="K421" s="8" t="inlineStr">
        <is>
          <t>MS-M02</t>
        </is>
      </c>
      <c r="L421" s="9" t="n">
        <v>46323</v>
      </c>
      <c r="M421" s="8" t="inlineStr">
        <is>
          <t>Approved</t>
        </is>
      </c>
      <c r="N421" s="8" t="inlineStr">
        <is>
          <t>paragraph</t>
        </is>
      </c>
    </row>
    <row r="422" ht="54" customHeight="1">
      <c r="A422" s="4" t="inlineStr">
        <is>
          <t>M02-P0045</t>
        </is>
      </c>
      <c r="B422" s="4" t="inlineStr">
        <is>
          <t>M02</t>
        </is>
      </c>
      <c r="C422" s="4" t="inlineStr">
        <is>
          <t>Shravanbal Seva State Pension Scheme</t>
        </is>
      </c>
      <c r="D422" s="4" t="inlineStr">
        <is>
          <t>FAQ</t>
        </is>
      </c>
      <c r="E422" s="4" t="inlineStr"/>
      <c r="F422" s="4" t="inlineStr">
        <is>
          <t>faqs.en.faqs[0]</t>
        </is>
      </c>
      <c r="G422" s="4" t="inlineStr">
        <is>
          <t>M02@20261028-0e33c069</t>
        </is>
      </c>
      <c r="H422" s="4" t="n">
        <v>1</v>
      </c>
      <c r="I422" s="4" t="n">
        <v>1</v>
      </c>
      <c r="J422" s="4" t="inlineStr">
        <is>
          <t>What Is The Amount Of Pension Provided To Destitute Men And Women Through This Scheme?
A monthly pension of ₹ 600/- is provided to destitute men and women in the state of Maharashtra.</t>
        </is>
      </c>
      <c r="K422" s="4" t="inlineStr">
        <is>
          <t>MS-M02</t>
        </is>
      </c>
      <c r="L422" s="6" t="n">
        <v>46323</v>
      </c>
      <c r="M422" s="4" t="inlineStr">
        <is>
          <t>Approved</t>
        </is>
      </c>
      <c r="N422" s="4" t="inlineStr">
        <is>
          <t>faq</t>
        </is>
      </c>
    </row>
    <row r="423" ht="82" customHeight="1">
      <c r="A423" s="8" t="inlineStr">
        <is>
          <t>M02-P0046</t>
        </is>
      </c>
      <c r="B423" s="8" t="inlineStr">
        <is>
          <t>M02</t>
        </is>
      </c>
      <c r="C423" s="8" t="inlineStr">
        <is>
          <t>Shravanbal Seva State Pension Scheme</t>
        </is>
      </c>
      <c r="D423" s="8" t="inlineStr">
        <is>
          <t>FAQ</t>
        </is>
      </c>
      <c r="E423" s="8" t="inlineStr"/>
      <c r="F423" s="8" t="inlineStr">
        <is>
          <t>faqs.en.faqs[1]</t>
        </is>
      </c>
      <c r="G423" s="8" t="inlineStr">
        <is>
          <t>M02@20261028-0e33c069</t>
        </is>
      </c>
      <c r="H423" s="8" t="n">
        <v>1</v>
      </c>
      <c r="I423" s="8" t="n">
        <v>1</v>
      </c>
      <c r="J423" s="8" t="inlineStr">
        <is>
          <t>Which Type Of Pensioners Come Under Group (A) Of This Scheme?
Group (A): The destitute men and women who are 65 years or above in age, and whose family is listed as "Below Poverty Line", are provided a monthly pension of ₹ 600/-. In this pension, ₹ 200/- per month is provided under Indira Gandhi Old Age Pension Scheme (Central Govt.), and ₹ 400/- per month under Shravan Bal State Pension Scheme.</t>
        </is>
      </c>
      <c r="K423" s="8" t="inlineStr">
        <is>
          <t>MS-M02</t>
        </is>
      </c>
      <c r="L423" s="9" t="n">
        <v>46323</v>
      </c>
      <c r="M423" s="8" t="inlineStr">
        <is>
          <t>Approved</t>
        </is>
      </c>
      <c r="N423" s="8" t="inlineStr">
        <is>
          <t>faq</t>
        </is>
      </c>
    </row>
    <row r="424" ht="68" customHeight="1">
      <c r="A424" s="4" t="inlineStr">
        <is>
          <t>M02-P0047</t>
        </is>
      </c>
      <c r="B424" s="4" t="inlineStr">
        <is>
          <t>M02</t>
        </is>
      </c>
      <c r="C424" s="4" t="inlineStr">
        <is>
          <t>Shravanbal Seva State Pension Scheme</t>
        </is>
      </c>
      <c r="D424" s="4" t="inlineStr">
        <is>
          <t>FAQ</t>
        </is>
      </c>
      <c r="E424" s="4" t="inlineStr"/>
      <c r="F424" s="4" t="inlineStr">
        <is>
          <t>faqs.en.faqs[2]</t>
        </is>
      </c>
      <c r="G424" s="4" t="inlineStr">
        <is>
          <t>M02@20261028-0e33c069</t>
        </is>
      </c>
      <c r="H424" s="4" t="n">
        <v>1</v>
      </c>
      <c r="I424" s="4" t="n">
        <v>1</v>
      </c>
      <c r="J424" s="4" t="inlineStr">
        <is>
          <t>Which Type Of Pensioners Come Under Group (B) Of This Scheme?
Group (B): The destitute men and women who are 65 years or above in age, whose family is not listed as "Below Poverty Line", and whose annual family income is less than or equal to ₹ 21,000 are provided a monthly pension of ₹ 600/- entirely by the Shravan Bal State Pension Scheme.</t>
        </is>
      </c>
      <c r="K424" s="4" t="inlineStr">
        <is>
          <t>MS-M02</t>
        </is>
      </c>
      <c r="L424" s="6" t="n">
        <v>46323</v>
      </c>
      <c r="M424" s="4" t="inlineStr">
        <is>
          <t>Approved</t>
        </is>
      </c>
      <c r="N424" s="4" t="inlineStr">
        <is>
          <t>faq</t>
        </is>
      </c>
    </row>
    <row r="425" ht="54" customHeight="1">
      <c r="A425" s="8" t="inlineStr">
        <is>
          <t>M02-P0048</t>
        </is>
      </c>
      <c r="B425" s="8" t="inlineStr">
        <is>
          <t>M02</t>
        </is>
      </c>
      <c r="C425" s="8" t="inlineStr">
        <is>
          <t>Shravanbal Seva State Pension Scheme</t>
        </is>
      </c>
      <c r="D425" s="8" t="inlineStr">
        <is>
          <t>FAQ</t>
        </is>
      </c>
      <c r="E425" s="8" t="inlineStr"/>
      <c r="F425" s="8" t="inlineStr">
        <is>
          <t>faqs.en.faqs[3]</t>
        </is>
      </c>
      <c r="G425" s="8" t="inlineStr">
        <is>
          <t>M02@20261028-0e33c069</t>
        </is>
      </c>
      <c r="H425" s="8" t="n">
        <v>1</v>
      </c>
      <c r="I425" s="8" t="n">
        <v>1</v>
      </c>
      <c r="J425" s="8" t="inlineStr">
        <is>
          <t>What Are The Income Criteria For Group (B) Of This Scheme?
The total annual family income of the family of the applicant should be less than or equal to ₹ 21,000.</t>
        </is>
      </c>
      <c r="K425" s="8" t="inlineStr">
        <is>
          <t>MS-M02</t>
        </is>
      </c>
      <c r="L425" s="9" t="n">
        <v>46323</v>
      </c>
      <c r="M425" s="8" t="inlineStr">
        <is>
          <t>Approved</t>
        </is>
      </c>
      <c r="N425" s="8" t="inlineStr">
        <is>
          <t>faq</t>
        </is>
      </c>
    </row>
    <row r="426" ht="40" customHeight="1">
      <c r="A426" s="4" t="inlineStr">
        <is>
          <t>M02-P0049</t>
        </is>
      </c>
      <c r="B426" s="4" t="inlineStr">
        <is>
          <t>M02</t>
        </is>
      </c>
      <c r="C426" s="4" t="inlineStr">
        <is>
          <t>Shravanbal Seva State Pension Scheme</t>
        </is>
      </c>
      <c r="D426" s="4" t="inlineStr">
        <is>
          <t>FAQ</t>
        </is>
      </c>
      <c r="E426" s="4" t="inlineStr"/>
      <c r="F426" s="4" t="inlineStr">
        <is>
          <t>faqs.en.faqs[4]</t>
        </is>
      </c>
      <c r="G426" s="4" t="inlineStr">
        <is>
          <t>M02@20261028-0e33c069</t>
        </is>
      </c>
      <c r="H426" s="4" t="n">
        <v>1</v>
      </c>
      <c r="I426" s="4" t="n">
        <v>1</v>
      </c>
      <c r="J426" s="4" t="inlineStr">
        <is>
          <t>What Is The Age Criteria For This Scheme?
The applicant should be 65 years or above in age.</t>
        </is>
      </c>
      <c r="K426" s="4" t="inlineStr">
        <is>
          <t>MS-M02</t>
        </is>
      </c>
      <c r="L426" s="6" t="n">
        <v>46323</v>
      </c>
      <c r="M426" s="4" t="inlineStr">
        <is>
          <t>Approved</t>
        </is>
      </c>
      <c r="N426" s="4" t="inlineStr">
        <is>
          <t>faq</t>
        </is>
      </c>
    </row>
    <row r="427" ht="68" customHeight="1">
      <c r="A427" s="8" t="inlineStr">
        <is>
          <t>M02-P0050</t>
        </is>
      </c>
      <c r="B427" s="8" t="inlineStr">
        <is>
          <t>M02</t>
        </is>
      </c>
      <c r="C427" s="8" t="inlineStr">
        <is>
          <t>Shravanbal Seva State Pension Scheme</t>
        </is>
      </c>
      <c r="D427" s="8" t="inlineStr">
        <is>
          <t>FAQ</t>
        </is>
      </c>
      <c r="E427" s="8" t="inlineStr"/>
      <c r="F427" s="8" t="inlineStr">
        <is>
          <t>faqs.en.faqs[5]</t>
        </is>
      </c>
      <c r="G427" s="8" t="inlineStr">
        <is>
          <t>M02@20261028-0e33c069</t>
        </is>
      </c>
      <c r="H427" s="8" t="n">
        <v>1</v>
      </c>
      <c r="I427" s="8" t="n">
        <v>1</v>
      </c>
      <c r="J427" s="8" t="inlineStr">
        <is>
          <t>For How Long Should The Applicant Should Be A Domicile / Permanent Resident Of The State Of Maharashtra In Order To Be Eligible For This Scheme?
The applicant should be a domicile / permanent resident of the state of Maharashtra for at least 15 years.</t>
        </is>
      </c>
      <c r="K427" s="8" t="inlineStr">
        <is>
          <t>MS-M02</t>
        </is>
      </c>
      <c r="L427" s="9" t="n">
        <v>46323</v>
      </c>
      <c r="M427" s="8" t="inlineStr">
        <is>
          <t>Approved</t>
        </is>
      </c>
      <c r="N427" s="8" t="inlineStr">
        <is>
          <t>faq</t>
        </is>
      </c>
    </row>
    <row r="428" ht="54" customHeight="1">
      <c r="A428" s="4" t="inlineStr">
        <is>
          <t>M02-P0051</t>
        </is>
      </c>
      <c r="B428" s="4" t="inlineStr">
        <is>
          <t>M02</t>
        </is>
      </c>
      <c r="C428" s="4" t="inlineStr">
        <is>
          <t>Shravanbal Seva State Pension Scheme</t>
        </is>
      </c>
      <c r="D428" s="4" t="inlineStr">
        <is>
          <t>FAQ</t>
        </is>
      </c>
      <c r="E428" s="4" t="inlineStr"/>
      <c r="F428" s="4" t="inlineStr">
        <is>
          <t>faqs.en.faqs[6]</t>
        </is>
      </c>
      <c r="G428" s="4" t="inlineStr">
        <is>
          <t>M02@20261028-0e33c069</t>
        </is>
      </c>
      <c r="H428" s="4" t="n">
        <v>1</v>
      </c>
      <c r="I428" s="4" t="n">
        <v>1</v>
      </c>
      <c r="J428" s="4" t="inlineStr">
        <is>
          <t>Where Can I Find The Scheme Guidelines In Marathi?
Yes, you can find the Marathi version of the Scheme Guidelines at this link - 
https://cdn.s3waas.gov.in/s317e62166fc8586dfa4d1bc0e1742c08b/uploads/2018/03/2018031988.pdf</t>
        </is>
      </c>
      <c r="K428" s="4" t="inlineStr">
        <is>
          <t>MS-M02</t>
        </is>
      </c>
      <c r="L428" s="6" t="n">
        <v>46323</v>
      </c>
      <c r="M428" s="4" t="inlineStr">
        <is>
          <t>Approved</t>
        </is>
      </c>
      <c r="N428" s="4" t="inlineStr">
        <is>
          <t>faq</t>
        </is>
      </c>
    </row>
    <row r="429" ht="40" customHeight="1">
      <c r="A429" s="8" t="inlineStr">
        <is>
          <t>M02-P0052</t>
        </is>
      </c>
      <c r="B429" s="8" t="inlineStr">
        <is>
          <t>M02</t>
        </is>
      </c>
      <c r="C429" s="8" t="inlineStr">
        <is>
          <t>Shravanbal Seva State Pension Scheme</t>
        </is>
      </c>
      <c r="D429" s="8" t="inlineStr">
        <is>
          <t>FAQ</t>
        </is>
      </c>
      <c r="E429" s="8" t="inlineStr"/>
      <c r="F429" s="8" t="inlineStr">
        <is>
          <t>faqs.en.faqs[7]</t>
        </is>
      </c>
      <c r="G429" s="8" t="inlineStr">
        <is>
          <t>M02@20261028-0e33c069</t>
        </is>
      </c>
      <c r="H429" s="8" t="n">
        <v>1</v>
      </c>
      <c r="I429" s="8" t="n">
        <v>1</v>
      </c>
      <c r="J429" s="8" t="inlineStr">
        <is>
          <t>What Is The Full Form Of BPL?
The full form of BPL is "Below Poverty Line".</t>
        </is>
      </c>
      <c r="K429" s="8" t="inlineStr">
        <is>
          <t>MS-M02</t>
        </is>
      </c>
      <c r="L429" s="9" t="n">
        <v>46323</v>
      </c>
      <c r="M429" s="8" t="inlineStr">
        <is>
          <t>Approved</t>
        </is>
      </c>
      <c r="N429" s="8" t="inlineStr">
        <is>
          <t>faq</t>
        </is>
      </c>
    </row>
    <row r="430" ht="54" customHeight="1">
      <c r="A430" s="4" t="inlineStr">
        <is>
          <t>M02-P0053</t>
        </is>
      </c>
      <c r="B430" s="4" t="inlineStr">
        <is>
          <t>M02</t>
        </is>
      </c>
      <c r="C430" s="4" t="inlineStr">
        <is>
          <t>Shravanbal Seva State Pension Scheme</t>
        </is>
      </c>
      <c r="D430" s="4" t="inlineStr">
        <is>
          <t>FAQ</t>
        </is>
      </c>
      <c r="E430" s="4" t="inlineStr"/>
      <c r="F430" s="4" t="inlineStr">
        <is>
          <t>faqs.en.faqs[8]</t>
        </is>
      </c>
      <c r="G430" s="4" t="inlineStr">
        <is>
          <t>M02@20261028-0e33c069</t>
        </is>
      </c>
      <c r="H430" s="4" t="n">
        <v>1</v>
      </c>
      <c r="I430" s="4" t="n">
        <v>1</v>
      </c>
      <c r="J430" s="4" t="inlineStr">
        <is>
          <t>From Where Can I Get The Hard Copy Of The Format Of The Application Form?
The hard copy of the format of the application form can be received from the Collector's Office / Tahsildar Sanjay Gandhi Yojana / Talathi Office.</t>
        </is>
      </c>
      <c r="K430" s="4" t="inlineStr">
        <is>
          <t>MS-M02</t>
        </is>
      </c>
      <c r="L430" s="6" t="n">
        <v>46323</v>
      </c>
      <c r="M430" s="4" t="inlineStr">
        <is>
          <t>Approved</t>
        </is>
      </c>
      <c r="N430" s="4" t="inlineStr">
        <is>
          <t>faq</t>
        </is>
      </c>
    </row>
    <row r="431" ht="54" customHeight="1">
      <c r="A431" s="8" t="inlineStr">
        <is>
          <t>M02-P0054</t>
        </is>
      </c>
      <c r="B431" s="8" t="inlineStr">
        <is>
          <t>M02</t>
        </is>
      </c>
      <c r="C431" s="8" t="inlineStr">
        <is>
          <t>Shravanbal Seva State Pension Scheme</t>
        </is>
      </c>
      <c r="D431" s="8" t="inlineStr">
        <is>
          <t>FAQ</t>
        </is>
      </c>
      <c r="E431" s="8" t="inlineStr"/>
      <c r="F431" s="8" t="inlineStr">
        <is>
          <t>faqs.en.faqs[9]</t>
        </is>
      </c>
      <c r="G431" s="8" t="inlineStr">
        <is>
          <t>M02@20261028-0e33c069</t>
        </is>
      </c>
      <c r="H431" s="8" t="n">
        <v>1</v>
      </c>
      <c r="I431" s="8" t="n">
        <v>1</v>
      </c>
      <c r="J431" s="8" t="inlineStr">
        <is>
          <t>What Is The URL Of The Official Portal Of Aaple Sarkar (Maha DBT)?
The URL of the Official Portal of Aaple Sarkar (Maha DBT) is: https://aaplesarkar.mahaonline.gov.in/</t>
        </is>
      </c>
      <c r="K431" s="8" t="inlineStr">
        <is>
          <t>MS-M02</t>
        </is>
      </c>
      <c r="L431" s="9" t="n">
        <v>46323</v>
      </c>
      <c r="M431" s="8" t="inlineStr">
        <is>
          <t>Approved</t>
        </is>
      </c>
      <c r="N431" s="8" t="inlineStr">
        <is>
          <t>faq</t>
        </is>
      </c>
    </row>
    <row r="432" ht="40" customHeight="1">
      <c r="A432" s="4" t="inlineStr">
        <is>
          <t>M02-P0055</t>
        </is>
      </c>
      <c r="B432" s="4" t="inlineStr">
        <is>
          <t>M02</t>
        </is>
      </c>
      <c r="C432" s="4" t="inlineStr">
        <is>
          <t>Shravanbal Seva State Pension Scheme</t>
        </is>
      </c>
      <c r="D432" s="4" t="inlineStr">
        <is>
          <t>FAQ</t>
        </is>
      </c>
      <c r="E432" s="4" t="inlineStr"/>
      <c r="F432" s="4" t="inlineStr">
        <is>
          <t>faqs.en.faqs[10]</t>
        </is>
      </c>
      <c r="G432" s="4" t="inlineStr">
        <is>
          <t>M02@20261028-0e33c069</t>
        </is>
      </c>
      <c r="H432" s="4" t="n">
        <v>1</v>
      </c>
      <c r="I432" s="4" t="n">
        <v>1</v>
      </c>
      <c r="J432" s="4" t="inlineStr">
        <is>
          <t>What Is The Hindi Translation Of "Aaple Sarkar"?
The Hindi Translation of "Aaple Sarkar" is "Aapki Sarkar".</t>
        </is>
      </c>
      <c r="K432" s="4" t="inlineStr">
        <is>
          <t>MS-M02</t>
        </is>
      </c>
      <c r="L432" s="6" t="n">
        <v>46323</v>
      </c>
      <c r="M432" s="4" t="inlineStr">
        <is>
          <t>Approved</t>
        </is>
      </c>
      <c r="N432" s="4" t="inlineStr">
        <is>
          <t>faq</t>
        </is>
      </c>
    </row>
    <row r="433" ht="68" customHeight="1">
      <c r="A433" s="8" t="inlineStr">
        <is>
          <t>M02-P0056</t>
        </is>
      </c>
      <c r="B433" s="8" t="inlineStr">
        <is>
          <t>M02</t>
        </is>
      </c>
      <c r="C433" s="8" t="inlineStr">
        <is>
          <t>Shravanbal Seva State Pension Scheme</t>
        </is>
      </c>
      <c r="D433" s="8" t="inlineStr">
        <is>
          <t>FAQ</t>
        </is>
      </c>
      <c r="E433" s="8" t="inlineStr"/>
      <c r="F433" s="8" t="inlineStr">
        <is>
          <t>faqs.en.faqs[11]</t>
        </is>
      </c>
      <c r="G433" s="8" t="inlineStr">
        <is>
          <t>M02@20261028-0e33c069</t>
        </is>
      </c>
      <c r="H433" s="8" t="n">
        <v>1</v>
      </c>
      <c r="I433" s="8" t="n">
        <v>1</v>
      </c>
      <c r="J433" s="8" t="inlineStr">
        <is>
          <t>Where Can I Find The Registration Manual For Online Application Through Aaple Sarkar (Maha DBT)?
The Registration Manual can be found at this link: https://aaplesarkar.mahaonline.gov.in/pdf/UM_AS_Reg.pdf</t>
        </is>
      </c>
      <c r="K433" s="8" t="inlineStr">
        <is>
          <t>MS-M02</t>
        </is>
      </c>
      <c r="L433" s="9" t="n">
        <v>46323</v>
      </c>
      <c r="M433" s="8" t="inlineStr">
        <is>
          <t>Approved</t>
        </is>
      </c>
      <c r="N433" s="8" t="inlineStr">
        <is>
          <t>faq</t>
        </is>
      </c>
    </row>
    <row r="434" ht="54" customHeight="1">
      <c r="A434" s="4" t="inlineStr">
        <is>
          <t>M02-P0057</t>
        </is>
      </c>
      <c r="B434" s="4" t="inlineStr">
        <is>
          <t>M02</t>
        </is>
      </c>
      <c r="C434" s="4" t="inlineStr">
        <is>
          <t>Shravanbal Seva State Pension Scheme</t>
        </is>
      </c>
      <c r="D434" s="4" t="inlineStr">
        <is>
          <t>FAQ</t>
        </is>
      </c>
      <c r="E434" s="4" t="inlineStr"/>
      <c r="F434" s="4" t="inlineStr">
        <is>
          <t>faqs.en.faqs[12]</t>
        </is>
      </c>
      <c r="G434" s="4" t="inlineStr">
        <is>
          <t>M02@20261028-0e33c069</t>
        </is>
      </c>
      <c r="H434" s="4" t="n">
        <v>1</v>
      </c>
      <c r="I434" s="4" t="n">
        <v>1</v>
      </c>
      <c r="J434" s="4" t="inlineStr">
        <is>
          <t>What Are The Objectives Of This Scheme?
The objective of this scheme is to encourage students with disability (SwDs) to complete their pre-matric education.</t>
        </is>
      </c>
      <c r="K434" s="4" t="inlineStr">
        <is>
          <t>MS-M02</t>
        </is>
      </c>
      <c r="L434" s="6" t="n">
        <v>46323</v>
      </c>
      <c r="M434" s="4" t="inlineStr">
        <is>
          <t>Approved</t>
        </is>
      </c>
      <c r="N434" s="4" t="inlineStr">
        <is>
          <t>faq</t>
        </is>
      </c>
    </row>
    <row r="435" ht="54" customHeight="1">
      <c r="A435" s="8" t="inlineStr">
        <is>
          <t>M02-P0058</t>
        </is>
      </c>
      <c r="B435" s="8" t="inlineStr">
        <is>
          <t>M02</t>
        </is>
      </c>
      <c r="C435" s="8" t="inlineStr">
        <is>
          <t>Shravanbal Seva State Pension Scheme</t>
        </is>
      </c>
      <c r="D435" s="8" t="inlineStr">
        <is>
          <t>FAQ</t>
        </is>
      </c>
      <c r="E435" s="8" t="inlineStr"/>
      <c r="F435" s="8" t="inlineStr">
        <is>
          <t>faqs.en.faqs[13]</t>
        </is>
      </c>
      <c r="G435" s="8" t="inlineStr">
        <is>
          <t>M02@20261028-0e33c069</t>
        </is>
      </c>
      <c r="H435" s="8" t="n">
        <v>1</v>
      </c>
      <c r="I435" s="8" t="n">
        <v>1</v>
      </c>
      <c r="J435" s="8" t="inlineStr">
        <is>
          <t>Can All Students From Maharashtra Apply To This Scheme?
Only students with disability (SwDs) who are domiciled in the state of Maharashtra can apply to this scheme.</t>
        </is>
      </c>
      <c r="K435" s="8" t="inlineStr">
        <is>
          <t>MS-M02</t>
        </is>
      </c>
      <c r="L435" s="9" t="n">
        <v>46323</v>
      </c>
      <c r="M435" s="8" t="inlineStr">
        <is>
          <t>Approved</t>
        </is>
      </c>
      <c r="N435" s="8" t="inlineStr">
        <is>
          <t>faq</t>
        </is>
      </c>
    </row>
    <row r="436" ht="40" customHeight="1">
      <c r="A436" s="4" t="inlineStr">
        <is>
          <t>M02-P0059</t>
        </is>
      </c>
      <c r="B436" s="4" t="inlineStr">
        <is>
          <t>M02</t>
        </is>
      </c>
      <c r="C436" s="4" t="inlineStr">
        <is>
          <t>Shravanbal Seva State Pension Scheme</t>
        </is>
      </c>
      <c r="D436" s="4" t="inlineStr">
        <is>
          <t>FAQ</t>
        </is>
      </c>
      <c r="E436" s="4" t="inlineStr"/>
      <c r="F436" s="4" t="inlineStr">
        <is>
          <t>faqs.en.faqs[14]</t>
        </is>
      </c>
      <c r="G436" s="4" t="inlineStr">
        <is>
          <t>M02@20261028-0e33c069</t>
        </is>
      </c>
      <c r="H436" s="4" t="n">
        <v>1</v>
      </c>
      <c r="I436" s="4" t="n">
        <v>1</v>
      </c>
      <c r="J436" s="4" t="inlineStr">
        <is>
          <t>How Will My Mobile Number And Email ID Be Verified?
The Mobile Number and Email ID of the applicant will be verified via One Time Password (OTP).</t>
        </is>
      </c>
      <c r="K436" s="4" t="inlineStr">
        <is>
          <t>MS-M02</t>
        </is>
      </c>
      <c r="L436" s="6" t="n">
        <v>46323</v>
      </c>
      <c r="M436" s="4" t="inlineStr">
        <is>
          <t>Approved</t>
        </is>
      </c>
      <c r="N436" s="4" t="inlineStr">
        <is>
          <t>faq</t>
        </is>
      </c>
    </row>
    <row r="437" ht="82" customHeight="1">
      <c r="A437" s="8" t="inlineStr">
        <is>
          <t>M02-P0060</t>
        </is>
      </c>
      <c r="B437" s="8" t="inlineStr">
        <is>
          <t>M02</t>
        </is>
      </c>
      <c r="C437" s="8" t="inlineStr">
        <is>
          <t>Shravanbal Seva State Pension Scheme</t>
        </is>
      </c>
      <c r="D437" s="8" t="inlineStr">
        <is>
          <t>FAQ</t>
        </is>
      </c>
      <c r="E437" s="8" t="inlineStr"/>
      <c r="F437" s="8" t="inlineStr">
        <is>
          <t>faqs.en.faqs[15]</t>
        </is>
      </c>
      <c r="G437" s="8" t="inlineStr">
        <is>
          <t>M02@20261028-0e33c069</t>
        </is>
      </c>
      <c r="H437" s="8" t="n">
        <v>1</v>
      </c>
      <c r="I437" s="8" t="n">
        <v>1</v>
      </c>
      <c r="J437" s="8" t="inlineStr">
        <is>
          <t>During The Registration On The 'Aaple Sarkar' Portal, What Are The Mandatory Details To Be Provided In The "Applicant Detail" Section?
In the "Applicant Detail" section, fill in the following mandatory fields: Salutation, Full Name(English), Full Name(Marathi), Father's Salutation, Father's Name (English), Father's Name(Marathi), Date of Birth, Age, Gender, Occupation.</t>
        </is>
      </c>
      <c r="K437" s="8" t="inlineStr">
        <is>
          <t>MS-M02</t>
        </is>
      </c>
      <c r="L437" s="9" t="n">
        <v>46323</v>
      </c>
      <c r="M437" s="8" t="inlineStr">
        <is>
          <t>Approved</t>
        </is>
      </c>
      <c r="N437" s="8" t="inlineStr">
        <is>
          <t>faq</t>
        </is>
      </c>
    </row>
    <row r="438" ht="96" customHeight="1">
      <c r="A438" s="4" t="inlineStr">
        <is>
          <t>M02-P0061</t>
        </is>
      </c>
      <c r="B438" s="4" t="inlineStr">
        <is>
          <t>M02</t>
        </is>
      </c>
      <c r="C438" s="4" t="inlineStr">
        <is>
          <t>Shravanbal Seva State Pension Scheme</t>
        </is>
      </c>
      <c r="D438" s="4" t="inlineStr">
        <is>
          <t>FAQ</t>
        </is>
      </c>
      <c r="E438" s="4" t="inlineStr"/>
      <c r="F438" s="4" t="inlineStr">
        <is>
          <t>faqs.en.faqs[16]</t>
        </is>
      </c>
      <c r="G438" s="4" t="inlineStr">
        <is>
          <t>M02@20261028-0e33c069</t>
        </is>
      </c>
      <c r="H438" s="4" t="n">
        <v>1</v>
      </c>
      <c r="I438" s="4" t="n">
        <v>1</v>
      </c>
      <c r="J438" s="4" t="inlineStr">
        <is>
          <t>During The Registration On The 'Aaple Sarkar' Portal, What Are The Mandatory Details To Be Provided In The "Applicant's Address" Section?
In the "Applicant's Address" section, fill in the following mandatory fields: Address (English), Address (Marathi), Street (English), Street (Marathi), Section (English), Section (Marathi), Building (English), Building (Marathi), Landmark (English), Landmark (Marathi), District, Taluka, Village, Pincode</t>
        </is>
      </c>
      <c r="K438" s="4" t="inlineStr">
        <is>
          <t>MS-M02</t>
        </is>
      </c>
      <c r="L438" s="6" t="n">
        <v>46323</v>
      </c>
      <c r="M438" s="4" t="inlineStr">
        <is>
          <t>Approved</t>
        </is>
      </c>
      <c r="N438" s="4" t="inlineStr">
        <is>
          <t>faq</t>
        </is>
      </c>
    </row>
    <row r="439" ht="82" customHeight="1">
      <c r="A439" s="8" t="inlineStr">
        <is>
          <t>M02-P0062</t>
        </is>
      </c>
      <c r="B439" s="8" t="inlineStr">
        <is>
          <t>M02</t>
        </is>
      </c>
      <c r="C439" s="8" t="inlineStr">
        <is>
          <t>Shravanbal Seva State Pension Scheme</t>
        </is>
      </c>
      <c r="D439" s="8" t="inlineStr">
        <is>
          <t>FAQ</t>
        </is>
      </c>
      <c r="E439" s="8" t="inlineStr"/>
      <c r="F439" s="8" t="inlineStr">
        <is>
          <t>faqs.en.faqs[17]</t>
        </is>
      </c>
      <c r="G439" s="8" t="inlineStr">
        <is>
          <t>M02@20261028-0e33c069</t>
        </is>
      </c>
      <c r="H439" s="8" t="n">
        <v>1</v>
      </c>
      <c r="I439" s="8" t="n">
        <v>1</v>
      </c>
      <c r="J439" s="8" t="inlineStr">
        <is>
          <t>During The Registration On The 'Aaple Sarkar' Portal, What Are The Mandatory Details To Be Provided In The "Mobile No. &amp; Username Verification" Section?
In the "Mobile No. &amp; Username Verification" section, fill in the following mandatory fields: 10-digit Mobile Number (to be verified via OTP), PAN No, User Name, Email ID (to be verified via OTP), Password, and Confirm Password.</t>
        </is>
      </c>
      <c r="K439" s="8" t="inlineStr">
        <is>
          <t>MS-M02</t>
        </is>
      </c>
      <c r="L439" s="9" t="n">
        <v>46323</v>
      </c>
      <c r="M439" s="8" t="inlineStr">
        <is>
          <t>Approved</t>
        </is>
      </c>
      <c r="N439" s="8" t="inlineStr">
        <is>
          <t>faq</t>
        </is>
      </c>
    </row>
    <row r="440" ht="40" customHeight="1">
      <c r="A440" s="4" t="inlineStr">
        <is>
          <t>M02-P0063</t>
        </is>
      </c>
      <c r="B440" s="4" t="inlineStr">
        <is>
          <t>M02</t>
        </is>
      </c>
      <c r="C440" s="4" t="inlineStr">
        <is>
          <t>Shravanbal Seva State Pension Scheme</t>
        </is>
      </c>
      <c r="D440" s="4" t="inlineStr">
        <is>
          <t>FAQ</t>
        </is>
      </c>
      <c r="E440" s="4" t="inlineStr"/>
      <c r="F440" s="4" t="inlineStr">
        <is>
          <t>faqs.en.faqs[18]</t>
        </is>
      </c>
      <c r="G440" s="4" t="inlineStr">
        <is>
          <t>M02@20261028-0e33c069</t>
        </is>
      </c>
      <c r="H440" s="4" t="n">
        <v>1</v>
      </c>
      <c r="I440" s="4" t="n">
        <v>1</v>
      </c>
      <c r="J440" s="4" t="inlineStr">
        <is>
          <t>What Should Be The File Size Of The Photograph To Be Uploaded?
The file size of the photograph that is to be uploaded should fall between 5 KB to 20 KB.</t>
        </is>
      </c>
      <c r="K440" s="4" t="inlineStr">
        <is>
          <t>MS-M02</t>
        </is>
      </c>
      <c r="L440" s="6" t="n">
        <v>46323</v>
      </c>
      <c r="M440" s="4" t="inlineStr">
        <is>
          <t>Approved</t>
        </is>
      </c>
      <c r="N440" s="4" t="inlineStr">
        <is>
          <t>faq</t>
        </is>
      </c>
    </row>
    <row r="441" ht="40" customHeight="1">
      <c r="A441" s="8" t="inlineStr">
        <is>
          <t>M02-P0064</t>
        </is>
      </c>
      <c r="B441" s="8" t="inlineStr">
        <is>
          <t>M02</t>
        </is>
      </c>
      <c r="C441" s="8" t="inlineStr">
        <is>
          <t>Shravanbal Seva State Pension Scheme</t>
        </is>
      </c>
      <c r="D441" s="8" t="inlineStr">
        <is>
          <t>FAQ</t>
        </is>
      </c>
      <c r="E441" s="8" t="inlineStr"/>
      <c r="F441" s="8" t="inlineStr">
        <is>
          <t>faqs.en.faqs[19]</t>
        </is>
      </c>
      <c r="G441" s="8" t="inlineStr">
        <is>
          <t>M02@20261028-0e33c069</t>
        </is>
      </c>
      <c r="H441" s="8" t="n">
        <v>1</v>
      </c>
      <c r="I441" s="8" t="n">
        <v>1</v>
      </c>
      <c r="J441" s="8" t="inlineStr">
        <is>
          <t>What Should Be The Format Of The Photograph To Be Uploaded?
The format of the photograph to be uploaded should be JPEG.</t>
        </is>
      </c>
      <c r="K441" s="8" t="inlineStr">
        <is>
          <t>MS-M02</t>
        </is>
      </c>
      <c r="L441" s="9" t="n">
        <v>46323</v>
      </c>
      <c r="M441" s="8" t="inlineStr">
        <is>
          <t>Approved</t>
        </is>
      </c>
      <c r="N441" s="8" t="inlineStr">
        <is>
          <t>faq</t>
        </is>
      </c>
    </row>
    <row r="442" ht="40" customHeight="1">
      <c r="A442" s="4" t="inlineStr">
        <is>
          <t>M02-P0065</t>
        </is>
      </c>
      <c r="B442" s="4" t="inlineStr">
        <is>
          <t>M02</t>
        </is>
      </c>
      <c r="C442" s="4" t="inlineStr">
        <is>
          <t>Shravanbal Seva State Pension Scheme</t>
        </is>
      </c>
      <c r="D442" s="4" t="inlineStr">
        <is>
          <t>FAQ</t>
        </is>
      </c>
      <c r="E442" s="4" t="inlineStr"/>
      <c r="F442" s="4" t="inlineStr">
        <is>
          <t>faqs.en.faqs[20]</t>
        </is>
      </c>
      <c r="G442" s="4" t="inlineStr">
        <is>
          <t>M02@20261028-0e33c069</t>
        </is>
      </c>
      <c r="H442" s="4" t="n">
        <v>1</v>
      </c>
      <c r="I442" s="4" t="n">
        <v>1</v>
      </c>
      <c r="J442" s="4" t="inlineStr">
        <is>
          <t>How Much Should Be The Width &amp; Height Of The Photograph?
The width should be 160 pixels. The height should fall between 200 to 212 pixels.</t>
        </is>
      </c>
      <c r="K442" s="4" t="inlineStr">
        <is>
          <t>MS-M02</t>
        </is>
      </c>
      <c r="L442" s="6" t="n">
        <v>46323</v>
      </c>
      <c r="M442" s="4" t="inlineStr">
        <is>
          <t>Approved</t>
        </is>
      </c>
      <c r="N442" s="4" t="inlineStr">
        <is>
          <t>faq</t>
        </is>
      </c>
    </row>
    <row r="443" ht="68" customHeight="1">
      <c r="A443" s="8" t="inlineStr">
        <is>
          <t>M02-P0066</t>
        </is>
      </c>
      <c r="B443" s="8" t="inlineStr">
        <is>
          <t>M02</t>
        </is>
      </c>
      <c r="C443" s="8" t="inlineStr">
        <is>
          <t>Shravanbal Seva State Pension Scheme</t>
        </is>
      </c>
      <c r="D443" s="8" t="inlineStr">
        <is>
          <t>FAQ</t>
        </is>
      </c>
      <c r="E443" s="8" t="inlineStr"/>
      <c r="F443" s="8" t="inlineStr">
        <is>
          <t>faqs.en.faqs[21]</t>
        </is>
      </c>
      <c r="G443" s="8" t="inlineStr">
        <is>
          <t>M02@20261028-0e33c069</t>
        </is>
      </c>
      <c r="H443" s="8" t="n">
        <v>1</v>
      </c>
      <c r="I443" s="8" t="n">
        <v>1</v>
      </c>
      <c r="J443" s="8" t="inlineStr">
        <is>
          <t>What Documents Are Acceptable As Proof Of Identity For The Purpose Of Applying To This Scheme?
The following documents are acceptable as Proof of Identity: PAN Card, Voter ID Card (POI), Passport (POI), Aadhaar Card (POI), Driving License (POI), Government / Semi-Government ID, Proof MNREGA Job Card, RSBY Card.</t>
        </is>
      </c>
      <c r="K443" s="8" t="inlineStr">
        <is>
          <t>MS-M02</t>
        </is>
      </c>
      <c r="L443" s="9" t="n">
        <v>46323</v>
      </c>
      <c r="M443" s="8" t="inlineStr">
        <is>
          <t>Approved</t>
        </is>
      </c>
      <c r="N443" s="8" t="inlineStr">
        <is>
          <t>faq</t>
        </is>
      </c>
    </row>
    <row r="444" ht="82" customHeight="1">
      <c r="A444" s="4" t="inlineStr">
        <is>
          <t>M02-P0067</t>
        </is>
      </c>
      <c r="B444" s="4" t="inlineStr">
        <is>
          <t>M02</t>
        </is>
      </c>
      <c r="C444" s="4" t="inlineStr">
        <is>
          <t>Shravanbal Seva State Pension Scheme</t>
        </is>
      </c>
      <c r="D444" s="4" t="inlineStr">
        <is>
          <t>FAQ</t>
        </is>
      </c>
      <c r="E444" s="4" t="inlineStr"/>
      <c r="F444" s="4" t="inlineStr">
        <is>
          <t>faqs.en.faqs[22]</t>
        </is>
      </c>
      <c r="G444" s="4" t="inlineStr">
        <is>
          <t>M02@20261028-0e33c069</t>
        </is>
      </c>
      <c r="H444" s="4" t="n">
        <v>1</v>
      </c>
      <c r="I444" s="4" t="n">
        <v>1</v>
      </c>
      <c r="J444" s="4" t="inlineStr">
        <is>
          <t>What Documents Are Acceptable As Proof Of Address For The Purpose Of Applying To This Scheme?
The following documents are acceptable as Proof of Address: Ration Card Passport (POA), Aadhaar Card (POA), Driving License (POA), Voter ID Card (POA), Extracts of 7/12 and 8 A, Property Tax Receipt, Property Agreement Copy, Water Bill, Electricity Bill, Telephone Bill, Rent Receipt.</t>
        </is>
      </c>
      <c r="K444" s="4" t="inlineStr">
        <is>
          <t>MS-M02</t>
        </is>
      </c>
      <c r="L444" s="6" t="n">
        <v>46323</v>
      </c>
      <c r="M444" s="4" t="inlineStr">
        <is>
          <t>Approved</t>
        </is>
      </c>
      <c r="N444" s="4" t="inlineStr">
        <is>
          <t>faq</t>
        </is>
      </c>
    </row>
    <row r="445" ht="54" customHeight="1">
      <c r="A445" s="8" t="inlineStr">
        <is>
          <t>M02-P0068</t>
        </is>
      </c>
      <c r="B445" s="8" t="inlineStr">
        <is>
          <t>M02</t>
        </is>
      </c>
      <c r="C445" s="8" t="inlineStr">
        <is>
          <t>Shravanbal Seva State Pension Scheme</t>
        </is>
      </c>
      <c r="D445" s="8" t="inlineStr">
        <is>
          <t>FAQ</t>
        </is>
      </c>
      <c r="E445" s="8" t="inlineStr"/>
      <c r="F445" s="8" t="inlineStr">
        <is>
          <t>faqs.en.faqs[23]</t>
        </is>
      </c>
      <c r="G445" s="8" t="inlineStr">
        <is>
          <t>M02@20261028-0e33c069</t>
        </is>
      </c>
      <c r="H445" s="8" t="n">
        <v>1</v>
      </c>
      <c r="I445" s="8" t="n">
        <v>1</v>
      </c>
      <c r="J445" s="8" t="inlineStr">
        <is>
          <t>What Should Be The Format, And The File Size Of The Proof Of Identity, And The Proof Of Address Document?
The format should be JPEG/ PDF, and the file size should be between 75 KB to 256 KB.</t>
        </is>
      </c>
      <c r="K445" s="8" t="inlineStr">
        <is>
          <t>MS-M02</t>
        </is>
      </c>
      <c r="L445" s="9" t="n">
        <v>46323</v>
      </c>
      <c r="M445" s="8" t="inlineStr">
        <is>
          <t>Approved</t>
        </is>
      </c>
      <c r="N445" s="8" t="inlineStr">
        <is>
          <t>faq</t>
        </is>
      </c>
    </row>
    <row r="446" ht="68" customHeight="1">
      <c r="A446" s="4" t="inlineStr">
        <is>
          <t>M02-P0069</t>
        </is>
      </c>
      <c r="B446" s="4" t="inlineStr">
        <is>
          <t>M02</t>
        </is>
      </c>
      <c r="C446" s="4" t="inlineStr">
        <is>
          <t>Shravanbal Seva State Pension Scheme</t>
        </is>
      </c>
      <c r="D446" s="4" t="inlineStr">
        <is>
          <t>FAQ</t>
        </is>
      </c>
      <c r="E446" s="4" t="inlineStr"/>
      <c r="F446" s="4" t="inlineStr">
        <is>
          <t>faqs.en.faqs[24]</t>
        </is>
      </c>
      <c r="G446" s="4" t="inlineStr">
        <is>
          <t>M02@20261028-0e33c069</t>
        </is>
      </c>
      <c r="H446" s="4" t="n">
        <v>1</v>
      </c>
      <c r="I446" s="4" t="n">
        <v>1</v>
      </c>
      <c r="J446" s="4" t="inlineStr">
        <is>
          <t>Is The Residential Certificate / Domicile Certificate Of The State Of Maharashtra, A Mandatory Document For This Scheme?
Yes, the Residential Certificate / Domicile Certificate of the State of Maharashtra is a mandatory document for this scheme.</t>
        </is>
      </c>
      <c r="K446" s="4" t="inlineStr">
        <is>
          <t>MS-M02</t>
        </is>
      </c>
      <c r="L446" s="6" t="n">
        <v>46323</v>
      </c>
      <c r="M446" s="4" t="inlineStr">
        <is>
          <t>Approved</t>
        </is>
      </c>
      <c r="N446" s="4" t="inlineStr">
        <is>
          <t>faq</t>
        </is>
      </c>
    </row>
    <row r="447" ht="40" customHeight="1">
      <c r="A447" s="8" t="inlineStr">
        <is>
          <t>M02-P0070</t>
        </is>
      </c>
      <c r="B447" s="8" t="inlineStr">
        <is>
          <t>M02</t>
        </is>
      </c>
      <c r="C447" s="8" t="inlineStr">
        <is>
          <t>Shravanbal Seva State Pension Scheme</t>
        </is>
      </c>
      <c r="D447" s="8" t="inlineStr">
        <is>
          <t>FAQ</t>
        </is>
      </c>
      <c r="E447" s="8" t="inlineStr"/>
      <c r="F447" s="8" t="inlineStr">
        <is>
          <t>faqs.en.faqs[25]</t>
        </is>
      </c>
      <c r="G447" s="8" t="inlineStr">
        <is>
          <t>M02@20261028-0e33c069</t>
        </is>
      </c>
      <c r="H447" s="8" t="n">
        <v>1</v>
      </c>
      <c r="I447" s="8" t="n">
        <v>1</v>
      </c>
      <c r="J447" s="8" t="inlineStr">
        <is>
          <t>Can I Reapply To This Scheme If I Am Already Availing The Benefits Of This Scheme?
No, you can not reapply to this scheme if you already have availed of its benefits.</t>
        </is>
      </c>
      <c r="K447" s="8" t="inlineStr">
        <is>
          <t>MS-M02</t>
        </is>
      </c>
      <c r="L447" s="9" t="n">
        <v>46323</v>
      </c>
      <c r="M447" s="8" t="inlineStr">
        <is>
          <t>Approved</t>
        </is>
      </c>
      <c r="N447" s="8" t="inlineStr">
        <is>
          <t>faq</t>
        </is>
      </c>
    </row>
    <row r="448" ht="40" customHeight="1">
      <c r="A448" s="4" t="inlineStr">
        <is>
          <t>M02-P0071</t>
        </is>
      </c>
      <c r="B448" s="4" t="inlineStr">
        <is>
          <t>M02</t>
        </is>
      </c>
      <c r="C448" s="4" t="inlineStr">
        <is>
          <t>Shravanbal Seva State Pension Scheme</t>
        </is>
      </c>
      <c r="D448" s="4" t="inlineStr">
        <is>
          <t>FAQ</t>
        </is>
      </c>
      <c r="E448" s="4" t="inlineStr"/>
      <c r="F448" s="4" t="inlineStr">
        <is>
          <t>faqs.en.faqs[26]</t>
        </is>
      </c>
      <c r="G448" s="4" t="inlineStr">
        <is>
          <t>M02@20261028-0e33c069</t>
        </is>
      </c>
      <c r="H448" s="4" t="n">
        <v>1</v>
      </c>
      <c r="I448" s="4" t="n">
        <v>1</v>
      </c>
      <c r="J448" s="4" t="inlineStr">
        <is>
          <t>What Is The Full Form Of SJSA?
The full form of SJSA is "Social Justice &amp; Special Assistance".</t>
        </is>
      </c>
      <c r="K448" s="4" t="inlineStr">
        <is>
          <t>MS-M02</t>
        </is>
      </c>
      <c r="L448" s="6" t="n">
        <v>46323</v>
      </c>
      <c r="M448" s="4" t="inlineStr">
        <is>
          <t>Approved</t>
        </is>
      </c>
      <c r="N448" s="4" t="inlineStr">
        <is>
          <t>faq</t>
        </is>
      </c>
    </row>
    <row r="449" ht="40" customHeight="1">
      <c r="A449" s="8" t="inlineStr">
        <is>
          <t>M02-P0072</t>
        </is>
      </c>
      <c r="B449" s="8" t="inlineStr">
        <is>
          <t>M02</t>
        </is>
      </c>
      <c r="C449" s="8" t="inlineStr">
        <is>
          <t>Shravanbal Seva State Pension Scheme</t>
        </is>
      </c>
      <c r="D449" s="8" t="inlineStr">
        <is>
          <t>FAQ</t>
        </is>
      </c>
      <c r="E449" s="8" t="inlineStr"/>
      <c r="F449" s="8" t="inlineStr">
        <is>
          <t>faqs.en.faqs[27]</t>
        </is>
      </c>
      <c r="G449" s="8" t="inlineStr">
        <is>
          <t>M02@20261028-0e33c069</t>
        </is>
      </c>
      <c r="H449" s="8" t="n">
        <v>1</v>
      </c>
      <c r="I449" s="8" t="n">
        <v>1</v>
      </c>
      <c r="J449" s="8" t="inlineStr">
        <is>
          <t>Is There Any Application Fee?
No, the entire application process is entirely free of cost.</t>
        </is>
      </c>
      <c r="K449" s="8" t="inlineStr">
        <is>
          <t>MS-M02</t>
        </is>
      </c>
      <c r="L449" s="9" t="n">
        <v>46323</v>
      </c>
      <c r="M449" s="8" t="inlineStr">
        <is>
          <t>Approved</t>
        </is>
      </c>
      <c r="N449" s="8" t="inlineStr">
        <is>
          <t>faq</t>
        </is>
      </c>
    </row>
    <row r="450" ht="40" customHeight="1">
      <c r="A450" s="4" t="inlineStr">
        <is>
          <t>M02-P0073</t>
        </is>
      </c>
      <c r="B450" s="4" t="inlineStr">
        <is>
          <t>M02</t>
        </is>
      </c>
      <c r="C450" s="4" t="inlineStr">
        <is>
          <t>Shravanbal Seva State Pension Scheme</t>
        </is>
      </c>
      <c r="D450" s="4" t="inlineStr">
        <is>
          <t>FAQ</t>
        </is>
      </c>
      <c r="E450" s="4" t="inlineStr"/>
      <c r="F450" s="4" t="inlineStr">
        <is>
          <t>faqs.en.faqs[28]</t>
        </is>
      </c>
      <c r="G450" s="4" t="inlineStr">
        <is>
          <t>M02@20261028-0e33c069</t>
        </is>
      </c>
      <c r="H450" s="4" t="n">
        <v>1</v>
      </c>
      <c r="I450" s="4" t="n">
        <v>1</v>
      </c>
      <c r="J450" s="4" t="inlineStr">
        <is>
          <t>Is There Any Compensation For The Delay In The Disbursal Of The Scheme Benefits?
No, there is no such mention in the scheme guidelines.</t>
        </is>
      </c>
      <c r="K450" s="4" t="inlineStr">
        <is>
          <t>MS-M02</t>
        </is>
      </c>
      <c r="L450" s="6" t="n">
        <v>46323</v>
      </c>
      <c r="M450" s="4" t="inlineStr">
        <is>
          <t>Approved</t>
        </is>
      </c>
      <c r="N450" s="4" t="inlineStr">
        <is>
          <t>faq</t>
        </is>
      </c>
    </row>
    <row r="451" ht="40" customHeight="1">
      <c r="A451" s="8" t="inlineStr">
        <is>
          <t>M02-P0074</t>
        </is>
      </c>
      <c r="B451" s="8" t="inlineStr">
        <is>
          <t>M02</t>
        </is>
      </c>
      <c r="C451" s="8" t="inlineStr">
        <is>
          <t>Shravanbal Seva State Pension Scheme</t>
        </is>
      </c>
      <c r="D451" s="8" t="inlineStr">
        <is>
          <t>FAQ</t>
        </is>
      </c>
      <c r="E451" s="8" t="inlineStr"/>
      <c r="F451" s="8" t="inlineStr">
        <is>
          <t>faqs.en.faqs[29]</t>
        </is>
      </c>
      <c r="G451" s="8" t="inlineStr">
        <is>
          <t>M02@20261028-0e33c069</t>
        </is>
      </c>
      <c r="H451" s="8" t="n">
        <v>1</v>
      </c>
      <c r="I451" s="8" t="n">
        <v>1</v>
      </c>
      <c r="J451" s="8" t="inlineStr">
        <is>
          <t>How Do I Know If A Field In The Application Form Is Mandatory?
The mandatory fields have an asterisk (*) mark at the end.</t>
        </is>
      </c>
      <c r="K451" s="8" t="inlineStr">
        <is>
          <t>MS-M02</t>
        </is>
      </c>
      <c r="L451" s="9" t="n">
        <v>46323</v>
      </c>
      <c r="M451" s="8" t="inlineStr">
        <is>
          <t>Approved</t>
        </is>
      </c>
      <c r="N451" s="8" t="inlineStr">
        <is>
          <t>faq</t>
        </is>
      </c>
    </row>
    <row r="452" ht="68" customHeight="1">
      <c r="A452" s="4" t="inlineStr">
        <is>
          <t>M02-P0075</t>
        </is>
      </c>
      <c r="B452" s="4" t="inlineStr">
        <is>
          <t>M02</t>
        </is>
      </c>
      <c r="C452" s="4" t="inlineStr">
        <is>
          <t>Shravanbal Seva State Pension Scheme</t>
        </is>
      </c>
      <c r="D452" s="4" t="inlineStr">
        <is>
          <t>FAQ</t>
        </is>
      </c>
      <c r="E452" s="4" t="inlineStr"/>
      <c r="F452" s="4" t="inlineStr">
        <is>
          <t>faqs.en.faqs[30]</t>
        </is>
      </c>
      <c r="G452" s="4" t="inlineStr">
        <is>
          <t>M02@20261028-0e33c069</t>
        </is>
      </c>
      <c r="H452" s="4" t="n">
        <v>1</v>
      </c>
      <c r="I452" s="4" t="n">
        <v>1</v>
      </c>
      <c r="J452" s="4" t="inlineStr">
        <is>
          <t>Can Applicants From The Neighboring States Gujarat, Madhya Pradesh, Chhattisgarh, Telangana, Etc Also Apply To This Scheme?
No, only the citizens who are permanent residents of the state of Maharashtra are eligible to apply.</t>
        </is>
      </c>
      <c r="K452" s="4" t="inlineStr">
        <is>
          <t>MS-M02</t>
        </is>
      </c>
      <c r="L452" s="6" t="n">
        <v>46323</v>
      </c>
      <c r="M452" s="4" t="inlineStr">
        <is>
          <t>Approved</t>
        </is>
      </c>
      <c r="N452" s="4" t="inlineStr">
        <is>
          <t>faq</t>
        </is>
      </c>
    </row>
    <row r="453" ht="54" customHeight="1">
      <c r="A453" s="8" t="inlineStr">
        <is>
          <t>M02-P0076</t>
        </is>
      </c>
      <c r="B453" s="8" t="inlineStr">
        <is>
          <t>M02</t>
        </is>
      </c>
      <c r="C453" s="8" t="inlineStr">
        <is>
          <t>Shravanbal Seva State Pension Scheme</t>
        </is>
      </c>
      <c r="D453" s="8" t="inlineStr">
        <is>
          <t>FAQ</t>
        </is>
      </c>
      <c r="E453" s="8" t="inlineStr"/>
      <c r="F453" s="8" t="inlineStr">
        <is>
          <t>faqs.en.faqs[31]</t>
        </is>
      </c>
      <c r="G453" s="8" t="inlineStr">
        <is>
          <t>M02@20261028-0e33c069</t>
        </is>
      </c>
      <c r="H453" s="8" t="n">
        <v>1</v>
      </c>
      <c r="I453" s="8" t="n">
        <v>1</v>
      </c>
      <c r="J453" s="8" t="inlineStr">
        <is>
          <t>Where Can I Find The URL To The Website Of The Dept. Of Social Justice &amp; Special Assistance?
The URL to the official website of the Department of Social Justice &amp; Special Assistance, Government of Maharashtra is - https://sjsa.maharashtra.gov.in/</t>
        </is>
      </c>
      <c r="K453" s="8" t="inlineStr">
        <is>
          <t>MS-M02</t>
        </is>
      </c>
      <c r="L453" s="9" t="n">
        <v>46323</v>
      </c>
      <c r="M453" s="8" t="inlineStr">
        <is>
          <t>Approved</t>
        </is>
      </c>
      <c r="N453" s="8" t="inlineStr">
        <is>
          <t>faq</t>
        </is>
      </c>
    </row>
    <row r="454" ht="68" customHeight="1">
      <c r="A454" s="4" t="inlineStr">
        <is>
          <t>M02-P0077</t>
        </is>
      </c>
      <c r="B454" s="4" t="inlineStr">
        <is>
          <t>M02</t>
        </is>
      </c>
      <c r="C454" s="4" t="inlineStr">
        <is>
          <t>Shravanbal Seva State Pension Scheme</t>
        </is>
      </c>
      <c r="D454" s="4" t="inlineStr">
        <is>
          <t>FAQ</t>
        </is>
      </c>
      <c r="E454" s="4" t="inlineStr"/>
      <c r="F454" s="4" t="inlineStr">
        <is>
          <t>faqs.en.faqs[32]</t>
        </is>
      </c>
      <c r="G454" s="4" t="inlineStr">
        <is>
          <t>M02@20261028-0e33c069</t>
        </is>
      </c>
      <c r="H454" s="4" t="n">
        <v>1</v>
      </c>
      <c r="I454" s="4" t="n">
        <v>1</v>
      </c>
      <c r="J454" s="4"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454" s="4" t="inlineStr">
        <is>
          <t>MS-M02</t>
        </is>
      </c>
      <c r="L454" s="6" t="n">
        <v>46323</v>
      </c>
      <c r="M454" s="4" t="inlineStr">
        <is>
          <t>Approved</t>
        </is>
      </c>
      <c r="N454" s="4" t="inlineStr">
        <is>
          <t>faq</t>
        </is>
      </c>
    </row>
    <row r="455" ht="54" customHeight="1">
      <c r="A455" s="8" t="inlineStr">
        <is>
          <t>M02-P0078</t>
        </is>
      </c>
      <c r="B455" s="8" t="inlineStr">
        <is>
          <t>M02</t>
        </is>
      </c>
      <c r="C455" s="8" t="inlineStr">
        <is>
          <t>Shravanbal Seva State Pension Scheme</t>
        </is>
      </c>
      <c r="D455" s="8" t="inlineStr">
        <is>
          <t>FAQ</t>
        </is>
      </c>
      <c r="E455" s="8" t="inlineStr"/>
      <c r="F455" s="8" t="inlineStr">
        <is>
          <t>faqs.en.faqs[33]</t>
        </is>
      </c>
      <c r="G455" s="8" t="inlineStr">
        <is>
          <t>M02@20261028-0e33c069</t>
        </is>
      </c>
      <c r="H455" s="8" t="n">
        <v>1</v>
      </c>
      <c r="I455" s="8" t="n">
        <v>1</v>
      </c>
      <c r="J455" s="8" t="inlineStr">
        <is>
          <t>Where Can I Find The Addresses Of The District Social Welfare Offices?
The addresses of the District Social Welfare Offices can be found at - https://sjsa.maharashtra.gov.in/en/contacts</t>
        </is>
      </c>
      <c r="K455" s="8" t="inlineStr">
        <is>
          <t>MS-M02</t>
        </is>
      </c>
      <c r="L455" s="9" t="n">
        <v>46323</v>
      </c>
      <c r="M455" s="8" t="inlineStr">
        <is>
          <t>Approved</t>
        </is>
      </c>
      <c r="N455" s="8" t="inlineStr">
        <is>
          <t>faq</t>
        </is>
      </c>
    </row>
    <row r="456" ht="54" customHeight="1">
      <c r="A456" s="4" t="inlineStr">
        <is>
          <t>M02-P0079</t>
        </is>
      </c>
      <c r="B456" s="4" t="inlineStr">
        <is>
          <t>M02</t>
        </is>
      </c>
      <c r="C456" s="4" t="inlineStr">
        <is>
          <t>Shravanbal Seva State Pension Scheme</t>
        </is>
      </c>
      <c r="D456" s="4" t="inlineStr">
        <is>
          <t>FAQ</t>
        </is>
      </c>
      <c r="E456" s="4" t="inlineStr"/>
      <c r="F456" s="4" t="inlineStr">
        <is>
          <t>faqs.en.faqs[34]</t>
        </is>
      </c>
      <c r="G456" s="4" t="inlineStr">
        <is>
          <t>M02@20261028-0e33c069</t>
        </is>
      </c>
      <c r="H456" s="4" t="n">
        <v>1</v>
      </c>
      <c r="I456" s="4" t="n">
        <v>1</v>
      </c>
      <c r="J456" s="4" t="inlineStr">
        <is>
          <t>Where Can I Post My Grievances Related To This Scheme?
You can post your grievances at the Grievance Redressal Portal by the Govt. of Maharashtra: https://grievances.maharashtra.gov.in/en</t>
        </is>
      </c>
      <c r="K456" s="4" t="inlineStr">
        <is>
          <t>MS-M02</t>
        </is>
      </c>
      <c r="L456" s="6" t="n">
        <v>46323</v>
      </c>
      <c r="M456" s="4" t="inlineStr">
        <is>
          <t>Approved</t>
        </is>
      </c>
      <c r="N456" s="4" t="inlineStr">
        <is>
          <t>faq</t>
        </is>
      </c>
    </row>
    <row r="457" ht="40" customHeight="1">
      <c r="A457" s="8" t="inlineStr">
        <is>
          <t>M03-P0001</t>
        </is>
      </c>
      <c r="B457" s="8" t="inlineStr">
        <is>
          <t>M03</t>
        </is>
      </c>
      <c r="C457" s="8" t="inlineStr">
        <is>
          <t>Lek Ladki Yojana</t>
        </is>
      </c>
      <c r="D457" s="8" t="inlineStr">
        <is>
          <t>Eligibility</t>
        </is>
      </c>
      <c r="E457" s="8" t="inlineStr">
        <is>
          <t>Birth date</t>
        </is>
      </c>
      <c r="F457" s="8" t="inlineStr">
        <is>
          <t>earlier_review.rules[0]</t>
        </is>
      </c>
      <c r="G457" s="8" t="inlineStr">
        <is>
          <t>M03@20261023-86676752</t>
        </is>
      </c>
      <c r="H457" s="8" t="n">
        <v>1</v>
      </c>
      <c r="I457" s="8" t="n">
        <v>1</v>
      </c>
      <c r="J457" s="8" t="inlineStr">
        <is>
          <t>Girl born on or after 1 Apr 2023.</t>
        </is>
      </c>
      <c r="K457" s="8" t="inlineStr">
        <is>
          <t>MS-M03</t>
        </is>
      </c>
      <c r="L457" s="9" t="inlineStr">
        <is>
          <t>2026-10-23 00:00:00</t>
        </is>
      </c>
      <c r="M457" s="8" t="inlineStr">
        <is>
          <t>Unreviewed publication text</t>
        </is>
      </c>
      <c r="N457" s="8" t="inlineStr">
        <is>
          <t>reviewed_extract</t>
        </is>
      </c>
    </row>
    <row r="458" ht="40" customHeight="1">
      <c r="A458" s="4" t="inlineStr">
        <is>
          <t>M03-P0002</t>
        </is>
      </c>
      <c r="B458" s="4" t="inlineStr">
        <is>
          <t>M03</t>
        </is>
      </c>
      <c r="C458" s="4" t="inlineStr">
        <is>
          <t>Lek Ladki Yojana</t>
        </is>
      </c>
      <c r="D458" s="4" t="inlineStr">
        <is>
          <t>Eligibility</t>
        </is>
      </c>
      <c r="E458" s="4" t="inlineStr">
        <is>
          <t>Household</t>
        </is>
      </c>
      <c r="F458" s="4" t="inlineStr">
        <is>
          <t>earlier_review.rules[1]</t>
        </is>
      </c>
      <c r="G458" s="4" t="inlineStr">
        <is>
          <t>M03@20261023-86676752</t>
        </is>
      </c>
      <c r="H458" s="4" t="n">
        <v>1</v>
      </c>
      <c r="I458" s="4" t="n">
        <v>1</v>
      </c>
      <c r="J458" s="4" t="inlineStr">
        <is>
          <t>Yellow/orange ration-card family resident in Maharashtra; beneficiary bank account in Maharashtra.</t>
        </is>
      </c>
      <c r="K458" s="4" t="inlineStr">
        <is>
          <t>MS-M03</t>
        </is>
      </c>
      <c r="L458" s="6" t="inlineStr">
        <is>
          <t>2026-10-23 00:00:00</t>
        </is>
      </c>
      <c r="M458" s="4" t="inlineStr">
        <is>
          <t>Unreviewed publication text</t>
        </is>
      </c>
      <c r="N458" s="4" t="inlineStr">
        <is>
          <t>reviewed_extract</t>
        </is>
      </c>
    </row>
    <row r="459" ht="40" customHeight="1">
      <c r="A459" s="8" t="inlineStr">
        <is>
          <t>M03-P0003</t>
        </is>
      </c>
      <c r="B459" s="8" t="inlineStr">
        <is>
          <t>M03</t>
        </is>
      </c>
      <c r="C459" s="8" t="inlineStr">
        <is>
          <t>Lek Ladki Yojana</t>
        </is>
      </c>
      <c r="D459" s="8" t="inlineStr">
        <is>
          <t>Eligibility</t>
        </is>
      </c>
      <c r="E459" s="8" t="inlineStr">
        <is>
          <t>Income</t>
        </is>
      </c>
      <c r="F459" s="8" t="inlineStr">
        <is>
          <t>earlier_review.rules[2]</t>
        </is>
      </c>
      <c r="G459" s="8" t="inlineStr">
        <is>
          <t>M03@20261023-86676752</t>
        </is>
      </c>
      <c r="H459" s="8" t="n">
        <v>1</v>
      </c>
      <c r="I459" s="8" t="n">
        <v>1</v>
      </c>
      <c r="J459" s="8" t="inlineStr">
        <is>
          <t>Annual family income no greater than INR 100,000.</t>
        </is>
      </c>
      <c r="K459" s="8" t="inlineStr">
        <is>
          <t>MS-M03</t>
        </is>
      </c>
      <c r="L459" s="9" t="inlineStr">
        <is>
          <t>2026-10-23 00:00:00</t>
        </is>
      </c>
      <c r="M459" s="8" t="inlineStr">
        <is>
          <t>Unreviewed publication text</t>
        </is>
      </c>
      <c r="N459" s="8" t="inlineStr">
        <is>
          <t>reviewed_extract</t>
        </is>
      </c>
    </row>
    <row r="460" ht="40" customHeight="1">
      <c r="A460" s="4" t="inlineStr">
        <is>
          <t>M03-P0004</t>
        </is>
      </c>
      <c r="B460" s="4" t="inlineStr">
        <is>
          <t>M03</t>
        </is>
      </c>
      <c r="C460" s="4" t="inlineStr">
        <is>
          <t>Lek Ladki Yojana</t>
        </is>
      </c>
      <c r="D460" s="4" t="inlineStr">
        <is>
          <t>Eligibility</t>
        </is>
      </c>
      <c r="E460" s="4" t="inlineStr">
        <is>
          <t>Birth order</t>
        </is>
      </c>
      <c r="F460" s="4" t="inlineStr">
        <is>
          <t>earlier_review.rules[3]</t>
        </is>
      </c>
      <c r="G460" s="4" t="inlineStr">
        <is>
          <t>M03@20261023-86676752</t>
        </is>
      </c>
      <c r="H460" s="4" t="n">
        <v>1</v>
      </c>
      <c r="I460" s="4" t="n">
        <v>1</v>
      </c>
      <c r="J460" s="4" t="inlineStr">
        <is>
          <t>One or two daughters covered; daughter covered in a one-son/one-daughter family.</t>
        </is>
      </c>
      <c r="K460" s="4" t="inlineStr">
        <is>
          <t>MS-M03</t>
        </is>
      </c>
      <c r="L460" s="6" t="inlineStr">
        <is>
          <t>2026-10-23 00:00:00</t>
        </is>
      </c>
      <c r="M460" s="4" t="inlineStr">
        <is>
          <t>Unreviewed publication text</t>
        </is>
      </c>
      <c r="N460" s="4" t="inlineStr">
        <is>
          <t>reviewed_extract</t>
        </is>
      </c>
    </row>
    <row r="461" ht="40" customHeight="1">
      <c r="A461" s="8" t="inlineStr">
        <is>
          <t>M03-P0005</t>
        </is>
      </c>
      <c r="B461" s="8" t="inlineStr">
        <is>
          <t>M03</t>
        </is>
      </c>
      <c r="C461" s="8" t="inlineStr">
        <is>
          <t>Lek Ladki Yojana</t>
        </is>
      </c>
      <c r="D461" s="8" t="inlineStr">
        <is>
          <t>Eligibility</t>
        </is>
      </c>
      <c r="E461" s="8" t="inlineStr">
        <is>
          <t>Twins</t>
        </is>
      </c>
      <c r="F461" s="8" t="inlineStr">
        <is>
          <t>earlier_review.rules[4]</t>
        </is>
      </c>
      <c r="G461" s="8" t="inlineStr">
        <is>
          <t>M03@20261023-86676752</t>
        </is>
      </c>
      <c r="H461" s="8" t="n">
        <v>1</v>
      </c>
      <c r="I461" s="8" t="n">
        <v>1</v>
      </c>
      <c r="J461" s="8" t="inlineStr">
        <is>
          <t>Second-delivery twins: eligible girl(s) covered, with parental family-planning surgery requirement thereafter.</t>
        </is>
      </c>
      <c r="K461" s="8" t="inlineStr">
        <is>
          <t>MS-M03</t>
        </is>
      </c>
      <c r="L461" s="9" t="inlineStr">
        <is>
          <t>2026-10-23 00:00:00</t>
        </is>
      </c>
      <c r="M461" s="8" t="inlineStr">
        <is>
          <t>Unreviewed publication text</t>
        </is>
      </c>
      <c r="N461" s="8" t="inlineStr">
        <is>
          <t>reviewed_extract</t>
        </is>
      </c>
    </row>
    <row r="462" ht="40" customHeight="1">
      <c r="A462" s="4" t="inlineStr">
        <is>
          <t>M03-P0006</t>
        </is>
      </c>
      <c r="B462" s="4" t="inlineStr">
        <is>
          <t>M03</t>
        </is>
      </c>
      <c r="C462" s="4" t="inlineStr">
        <is>
          <t>Lek Ladki Yojana</t>
        </is>
      </c>
      <c r="D462" s="4" t="inlineStr">
        <is>
          <t>Eligibility</t>
        </is>
      </c>
      <c r="E462" s="4" t="inlineStr">
        <is>
          <t>Existing child</t>
        </is>
      </c>
      <c r="F462" s="4" t="inlineStr">
        <is>
          <t>earlier_review.rules[5]</t>
        </is>
      </c>
      <c r="G462" s="4" t="inlineStr">
        <is>
          <t>M03@20261023-86676752</t>
        </is>
      </c>
      <c r="H462" s="4" t="n">
        <v>1</v>
      </c>
      <c r="I462" s="4" t="n">
        <v>1</v>
      </c>
      <c r="J462" s="4" t="inlineStr">
        <is>
          <t>A child born before 1 Apr 2023 does not exclude a later second daughter/twin daughters, subject to family-planning condition.</t>
        </is>
      </c>
      <c r="K462" s="4" t="inlineStr">
        <is>
          <t>MS-M03</t>
        </is>
      </c>
      <c r="L462" s="6" t="inlineStr">
        <is>
          <t>2026-10-23 00:00:00</t>
        </is>
      </c>
      <c r="M462" s="4" t="inlineStr">
        <is>
          <t>Unreviewed publication text</t>
        </is>
      </c>
      <c r="N462" s="4" t="inlineStr">
        <is>
          <t>reviewed_extract</t>
        </is>
      </c>
    </row>
    <row r="463" ht="40" customHeight="1">
      <c r="A463" s="8" t="inlineStr">
        <is>
          <t>M03-P0007</t>
        </is>
      </c>
      <c r="B463" s="8" t="inlineStr">
        <is>
          <t>M03</t>
        </is>
      </c>
      <c r="C463" s="8" t="inlineStr">
        <is>
          <t>Lek Ladki Yojana</t>
        </is>
      </c>
      <c r="D463" s="8" t="inlineStr">
        <is>
          <t>Eligibility</t>
        </is>
      </c>
      <c r="E463" s="8" t="inlineStr">
        <is>
          <t>Certificate timing</t>
        </is>
      </c>
      <c r="F463" s="8" t="inlineStr">
        <is>
          <t>earlier_review.rules[6]</t>
        </is>
      </c>
      <c r="G463" s="8" t="inlineStr">
        <is>
          <t>M03@20261023-86676752</t>
        </is>
      </c>
      <c r="H463" s="8" t="n">
        <v>1</v>
      </c>
      <c r="I463" s="8" t="n">
        <v>1</v>
      </c>
      <c r="J463" s="8" t="inlineStr">
        <is>
          <t>Family-planning certificate for first child’s third instalment or second child’s second instalment.</t>
        </is>
      </c>
      <c r="K463" s="8" t="inlineStr">
        <is>
          <t>MS-M03</t>
        </is>
      </c>
      <c r="L463" s="9" t="inlineStr">
        <is>
          <t>2026-10-23 00:00:00</t>
        </is>
      </c>
      <c r="M463" s="8" t="inlineStr">
        <is>
          <t>Unreviewed publication text</t>
        </is>
      </c>
      <c r="N463" s="8" t="inlineStr">
        <is>
          <t>reviewed_extract</t>
        </is>
      </c>
    </row>
    <row r="464" ht="40" customHeight="1">
      <c r="A464" s="4" t="inlineStr">
        <is>
          <t>M03-P0008</t>
        </is>
      </c>
      <c r="B464" s="4" t="inlineStr">
        <is>
          <t>M03</t>
        </is>
      </c>
      <c r="C464" s="4" t="inlineStr">
        <is>
          <t>Lek Ladki Yojana</t>
        </is>
      </c>
      <c r="D464" s="4" t="inlineStr">
        <is>
          <t>Eligibility</t>
        </is>
      </c>
      <c r="E464" s="4" t="inlineStr">
        <is>
          <t>Stage condition</t>
        </is>
      </c>
      <c r="F464" s="4" t="inlineStr">
        <is>
          <t>earlier_review.rules[7]</t>
        </is>
      </c>
      <c r="G464" s="4" t="inlineStr">
        <is>
          <t>M03@20261023-86676752</t>
        </is>
      </c>
      <c r="H464" s="4" t="n">
        <v>1</v>
      </c>
      <c r="I464" s="4" t="n">
        <v>1</v>
      </c>
      <c r="J464" s="4" t="inlineStr">
        <is>
          <t>Relevant school attendance certificate at education stages; final benefit requires age 18, voter-list proof and unmarried declaration.</t>
        </is>
      </c>
      <c r="K464" s="4" t="inlineStr">
        <is>
          <t>MS-M03</t>
        </is>
      </c>
      <c r="L464" s="6" t="inlineStr">
        <is>
          <t>2026-10-23 00:00:00</t>
        </is>
      </c>
      <c r="M464" s="4" t="inlineStr">
        <is>
          <t>Unreviewed publication text</t>
        </is>
      </c>
      <c r="N464" s="4" t="inlineStr">
        <is>
          <t>reviewed_extract</t>
        </is>
      </c>
    </row>
    <row r="465" ht="40" customHeight="1">
      <c r="A465" s="8" t="inlineStr">
        <is>
          <t>M03-P0009</t>
        </is>
      </c>
      <c r="B465" s="8" t="inlineStr">
        <is>
          <t>M03</t>
        </is>
      </c>
      <c r="C465" s="8" t="inlineStr">
        <is>
          <t>Lek Ladki Yojana</t>
        </is>
      </c>
      <c r="D465" s="8" t="inlineStr">
        <is>
          <t>Eligibility</t>
        </is>
      </c>
      <c r="E465" s="8" t="inlineStr">
        <is>
          <t>Identity exception</t>
        </is>
      </c>
      <c r="F465" s="8" t="inlineStr">
        <is>
          <t>earlier_review.rules[8]</t>
        </is>
      </c>
      <c r="G465" s="8" t="inlineStr">
        <is>
          <t>M03@20261023-86676752</t>
        </is>
      </c>
      <c r="H465" s="8" t="n">
        <v>1</v>
      </c>
      <c r="I465" s="8" t="n">
        <v>1</v>
      </c>
      <c r="J465" s="8" t="inlineStr">
        <is>
          <t>Girl’s Aadhaar requirement relaxed for first benefit.</t>
        </is>
      </c>
      <c r="K465" s="8" t="inlineStr">
        <is>
          <t>MS-M03</t>
        </is>
      </c>
      <c r="L465" s="9" t="inlineStr">
        <is>
          <t>2026-10-23 00:00:00</t>
        </is>
      </c>
      <c r="M465" s="8" t="inlineStr">
        <is>
          <t>Unreviewed publication text</t>
        </is>
      </c>
      <c r="N465" s="8" t="inlineStr">
        <is>
          <t>reviewed_extract</t>
        </is>
      </c>
    </row>
    <row r="466" ht="54" customHeight="1">
      <c r="A466" s="4" t="inlineStr">
        <is>
          <t>M03-P0010</t>
        </is>
      </c>
      <c r="B466" s="4" t="inlineStr">
        <is>
          <t>M03</t>
        </is>
      </c>
      <c r="C466" s="4" t="inlineStr">
        <is>
          <t>Lek Ladki Yojana</t>
        </is>
      </c>
      <c r="D466" s="4" t="inlineStr">
        <is>
          <t>Applicant documents</t>
        </is>
      </c>
      <c r="E466" s="4" t="inlineStr"/>
      <c r="F466" s="4" t="inlineStr">
        <is>
          <t>earlier_review.documents</t>
        </is>
      </c>
      <c r="G466" s="4" t="inlineStr">
        <is>
          <t>M03@20261023-86676752</t>
        </is>
      </c>
      <c r="H466" s="4" t="n">
        <v>1</v>
      </c>
      <c r="I466" s="4" t="n">
        <v>1</v>
      </c>
      <c r="J466" s="4" t="inlineStr">
        <is>
          <t>Birth and income certificates; yellow/orange ration card; parent Aadhaar; girl Aadhaar (first-benefit relaxation); bank passbook; stage-specific school, family-planning, voter and unmarried declarations.</t>
        </is>
      </c>
      <c r="K466" s="4" t="inlineStr">
        <is>
          <t>MS-M03</t>
        </is>
      </c>
      <c r="L466" s="6" t="inlineStr">
        <is>
          <t>2026-10-23 00:00:00</t>
        </is>
      </c>
      <c r="M466" s="4" t="inlineStr">
        <is>
          <t>Unreviewed publication text</t>
        </is>
      </c>
      <c r="N466" s="4" t="inlineStr">
        <is>
          <t>reviewed_extract</t>
        </is>
      </c>
    </row>
    <row r="467" ht="40" customHeight="1">
      <c r="A467" s="8" t="inlineStr">
        <is>
          <t>M03-P0011</t>
        </is>
      </c>
      <c r="B467" s="8" t="inlineStr">
        <is>
          <t>M03</t>
        </is>
      </c>
      <c r="C467" s="8" t="inlineStr">
        <is>
          <t>Lek Ladki Yojana</t>
        </is>
      </c>
      <c r="D467" s="8" t="inlineStr">
        <is>
          <t>Application process</t>
        </is>
      </c>
      <c r="E467" s="8" t="inlineStr"/>
      <c r="F467" s="8" t="inlineStr">
        <is>
          <t>earlier_review.apply</t>
        </is>
      </c>
      <c r="G467" s="8" t="inlineStr">
        <is>
          <t>M03@20261023-86676752</t>
        </is>
      </c>
      <c r="H467" s="8" t="n">
        <v>1</v>
      </c>
      <c r="I467" s="8" t="n">
        <v>1</v>
      </c>
      <c r="J467" s="8" t="inlineStr">
        <is>
          <t>Prescribed form from Anganwadi centre; review GR S24 and stage-specific requirements.</t>
        </is>
      </c>
      <c r="K467" s="8" t="inlineStr">
        <is>
          <t>MS-M03</t>
        </is>
      </c>
      <c r="L467" s="9" t="inlineStr">
        <is>
          <t>2026-10-23 00:00:00</t>
        </is>
      </c>
      <c r="M467" s="8" t="inlineStr">
        <is>
          <t>Unreviewed publication text</t>
        </is>
      </c>
      <c r="N467" s="8" t="inlineStr">
        <is>
          <t>reviewed_extract</t>
        </is>
      </c>
    </row>
    <row r="468" ht="40" customHeight="1">
      <c r="A468" s="4" t="inlineStr">
        <is>
          <t>M03-P0012</t>
        </is>
      </c>
      <c r="B468" s="4" t="inlineStr">
        <is>
          <t>M03</t>
        </is>
      </c>
      <c r="C468" s="4" t="inlineStr">
        <is>
          <t>Lek Ladki Yojana</t>
        </is>
      </c>
      <c r="D468" s="4" t="inlineStr">
        <is>
          <t>Benefits</t>
        </is>
      </c>
      <c r="E468" s="4" t="inlineStr"/>
      <c r="F468" s="4" t="inlineStr">
        <is>
          <t>earlier_review.benefits</t>
        </is>
      </c>
      <c r="G468" s="4" t="inlineStr">
        <is>
          <t>M03@20261023-86676752</t>
        </is>
      </c>
      <c r="H468" s="4" t="n">
        <v>1</v>
      </c>
      <c r="I468" s="4" t="n">
        <v>1</v>
      </c>
      <c r="J468" s="4" t="inlineStr">
        <is>
          <t>Total INR 101,000 in stages: birth 5,000; class 1 6,000; class 6 7,000; class 11 8,000; age 18 75,000.</t>
        </is>
      </c>
      <c r="K468" s="4" t="inlineStr">
        <is>
          <t>MS-M03</t>
        </is>
      </c>
      <c r="L468" s="6" t="inlineStr">
        <is>
          <t>2026-10-23 00:00:00</t>
        </is>
      </c>
      <c r="M468" s="4" t="inlineStr">
        <is>
          <t>Unreviewed publication text</t>
        </is>
      </c>
      <c r="N468" s="4" t="inlineStr">
        <is>
          <t>reviewed_extract</t>
        </is>
      </c>
    </row>
    <row r="469" ht="40" customHeight="1">
      <c r="A469" s="8" t="inlineStr">
        <is>
          <t>M04-P0001</t>
        </is>
      </c>
      <c r="B469" s="8" t="inlineStr">
        <is>
          <t>M04</t>
        </is>
      </c>
      <c r="C469" s="8" t="inlineStr">
        <is>
          <t>Mukhyamantri Vayoshri Yojana</t>
        </is>
      </c>
      <c r="D469" s="8" t="inlineStr">
        <is>
          <t>Eligibility</t>
        </is>
      </c>
      <c r="E469" s="8" t="inlineStr">
        <is>
          <t>Residence and age</t>
        </is>
      </c>
      <c r="F469" s="8" t="inlineStr">
        <is>
          <t>earlier_review.rules[0]</t>
        </is>
      </c>
      <c r="G469" s="8" t="inlineStr">
        <is>
          <t>M04@20261023-230cad49</t>
        </is>
      </c>
      <c r="H469" s="8" t="n">
        <v>1</v>
      </c>
      <c r="I469" s="8" t="n">
        <v>1</v>
      </c>
      <c r="J469" s="8" t="inlineStr">
        <is>
          <t>Maharashtra senior citizen who completed 65 years by 31 Dec 2023 under original GR.</t>
        </is>
      </c>
      <c r="K469" s="8" t="inlineStr">
        <is>
          <t>MS-M04</t>
        </is>
      </c>
      <c r="L469" s="9" t="inlineStr">
        <is>
          <t>2026-10-23 00:00:00</t>
        </is>
      </c>
      <c r="M469" s="8" t="inlineStr">
        <is>
          <t>Unreviewed publication text</t>
        </is>
      </c>
      <c r="N469" s="8" t="inlineStr">
        <is>
          <t>reviewed_extract</t>
        </is>
      </c>
    </row>
    <row r="470" ht="40" customHeight="1">
      <c r="A470" s="4" t="inlineStr">
        <is>
          <t>M04-P0002</t>
        </is>
      </c>
      <c r="B470" s="4" t="inlineStr">
        <is>
          <t>M04</t>
        </is>
      </c>
      <c r="C470" s="4" t="inlineStr">
        <is>
          <t>Mukhyamantri Vayoshri Yojana</t>
        </is>
      </c>
      <c r="D470" s="4" t="inlineStr">
        <is>
          <t>Eligibility</t>
        </is>
      </c>
      <c r="E470" s="4" t="inlineStr">
        <is>
          <t>Identity</t>
        </is>
      </c>
      <c r="F470" s="4" t="inlineStr">
        <is>
          <t>earlier_review.rules[1]</t>
        </is>
      </c>
      <c r="G470" s="4" t="inlineStr">
        <is>
          <t>M04@20261023-230cad49</t>
        </is>
      </c>
      <c r="H470" s="4" t="n">
        <v>1</v>
      </c>
      <c r="I470" s="4" t="n">
        <v>1</v>
      </c>
      <c r="J470" s="4" t="inlineStr">
        <is>
          <t>Aadhaar or enrolment evidence; GR permits independent identity documents where Aadhaar is absent.</t>
        </is>
      </c>
      <c r="K470" s="4" t="inlineStr">
        <is>
          <t>MS-M04</t>
        </is>
      </c>
      <c r="L470" s="6" t="inlineStr">
        <is>
          <t>2026-10-23 00:00:00</t>
        </is>
      </c>
      <c r="M470" s="4" t="inlineStr">
        <is>
          <t>Unreviewed publication text</t>
        </is>
      </c>
      <c r="N470" s="4" t="inlineStr">
        <is>
          <t>reviewed_extract</t>
        </is>
      </c>
    </row>
    <row r="471" ht="40" customHeight="1">
      <c r="A471" s="8" t="inlineStr">
        <is>
          <t>M04-P0003</t>
        </is>
      </c>
      <c r="B471" s="8" t="inlineStr">
        <is>
          <t>M04</t>
        </is>
      </c>
      <c r="C471" s="8" t="inlineStr">
        <is>
          <t>Mukhyamantri Vayoshri Yojana</t>
        </is>
      </c>
      <c r="D471" s="8" t="inlineStr">
        <is>
          <t>Eligibility</t>
        </is>
      </c>
      <c r="E471" s="8" t="inlineStr">
        <is>
          <t>Income</t>
        </is>
      </c>
      <c r="F471" s="8" t="inlineStr">
        <is>
          <t>earlier_review.rules[2]</t>
        </is>
      </c>
      <c r="G471" s="8" t="inlineStr">
        <is>
          <t>M04@20261023-230cad49</t>
        </is>
      </c>
      <c r="H471" s="8" t="n">
        <v>1</v>
      </c>
      <c r="I471" s="8" t="n">
        <v>1</v>
      </c>
      <c r="J471" s="8" t="inlineStr">
        <is>
          <t>Family annual income within INR 200,000; income self-declaration required.</t>
        </is>
      </c>
      <c r="K471" s="8" t="inlineStr">
        <is>
          <t>MS-M04</t>
        </is>
      </c>
      <c r="L471" s="9" t="inlineStr">
        <is>
          <t>2026-10-23 00:00:00</t>
        </is>
      </c>
      <c r="M471" s="8" t="inlineStr">
        <is>
          <t>Unreviewed publication text</t>
        </is>
      </c>
      <c r="N471" s="8" t="inlineStr">
        <is>
          <t>reviewed_extract</t>
        </is>
      </c>
    </row>
    <row r="472" ht="40" customHeight="1">
      <c r="A472" s="4" t="inlineStr">
        <is>
          <t>M04-P0004</t>
        </is>
      </c>
      <c r="B472" s="4" t="inlineStr">
        <is>
          <t>M04</t>
        </is>
      </c>
      <c r="C472" s="4" t="inlineStr">
        <is>
          <t>Mukhyamantri Vayoshri Yojana</t>
        </is>
      </c>
      <c r="D472" s="4" t="inlineStr">
        <is>
          <t>Eligibility</t>
        </is>
      </c>
      <c r="E472" s="4" t="inlineStr">
        <is>
          <t>Prior benefit</t>
        </is>
      </c>
      <c r="F472" s="4" t="inlineStr">
        <is>
          <t>earlier_review.rules[3]</t>
        </is>
      </c>
      <c r="G472" s="4" t="inlineStr">
        <is>
          <t>M04@20261023-230cad49</t>
        </is>
      </c>
      <c r="H472" s="4" t="n">
        <v>1</v>
      </c>
      <c r="I472" s="4" t="n">
        <v>1</v>
      </c>
      <c r="J472" s="4" t="inlineStr">
        <is>
          <t>No same equipment received free from a government source, local body or government-controlled undertaking in previous 3 years.</t>
        </is>
      </c>
      <c r="K472" s="4" t="inlineStr">
        <is>
          <t>MS-M04</t>
        </is>
      </c>
      <c r="L472" s="6" t="inlineStr">
        <is>
          <t>2026-10-23 00:00:00</t>
        </is>
      </c>
      <c r="M472" s="4" t="inlineStr">
        <is>
          <t>Unreviewed publication text</t>
        </is>
      </c>
      <c r="N472" s="4" t="inlineStr">
        <is>
          <t>reviewed_extract</t>
        </is>
      </c>
    </row>
    <row r="473" ht="40" customHeight="1">
      <c r="A473" s="8" t="inlineStr">
        <is>
          <t>M04-P0005</t>
        </is>
      </c>
      <c r="B473" s="8" t="inlineStr">
        <is>
          <t>M04</t>
        </is>
      </c>
      <c r="C473" s="8" t="inlineStr">
        <is>
          <t>Mukhyamantri Vayoshri Yojana</t>
        </is>
      </c>
      <c r="D473" s="8" t="inlineStr">
        <is>
          <t>Eligibility</t>
        </is>
      </c>
      <c r="E473" s="8" t="inlineStr">
        <is>
          <t>Exception</t>
        </is>
      </c>
      <c r="F473" s="8" t="inlineStr">
        <is>
          <t>earlier_review.rules[4]</t>
        </is>
      </c>
      <c r="G473" s="8" t="inlineStr">
        <is>
          <t>M04@20261023-230cad49</t>
        </is>
      </c>
      <c r="H473" s="8" t="n">
        <v>1</v>
      </c>
      <c r="I473" s="8" t="n">
        <v>1</v>
      </c>
      <c r="J473" s="8" t="inlineStr">
        <is>
          <t>Replacement of defective/non-functional equipment may be permitted as an exception.</t>
        </is>
      </c>
      <c r="K473" s="8" t="inlineStr">
        <is>
          <t>MS-M04</t>
        </is>
      </c>
      <c r="L473" s="9" t="inlineStr">
        <is>
          <t>2026-10-23 00:00:00</t>
        </is>
      </c>
      <c r="M473" s="8" t="inlineStr">
        <is>
          <t>Unreviewed publication text</t>
        </is>
      </c>
      <c r="N473" s="8" t="inlineStr">
        <is>
          <t>reviewed_extract</t>
        </is>
      </c>
    </row>
    <row r="474" ht="40" customHeight="1">
      <c r="A474" s="4" t="inlineStr">
        <is>
          <t>M04-P0006</t>
        </is>
      </c>
      <c r="B474" s="4" t="inlineStr">
        <is>
          <t>M04</t>
        </is>
      </c>
      <c r="C474" s="4" t="inlineStr">
        <is>
          <t>Mukhyamantri Vayoshri Yojana</t>
        </is>
      </c>
      <c r="D474" s="4" t="inlineStr">
        <is>
          <t>Eligibility</t>
        </is>
      </c>
      <c r="E474" s="4" t="inlineStr">
        <is>
          <t>Payment</t>
        </is>
      </c>
      <c r="F474" s="4" t="inlineStr">
        <is>
          <t>earlier_review.rules[5]</t>
        </is>
      </c>
      <c r="G474" s="4" t="inlineStr">
        <is>
          <t>M04@20261023-230cad49</t>
        </is>
      </c>
      <c r="H474" s="4" t="n">
        <v>1</v>
      </c>
      <c r="I474" s="4" t="n">
        <v>1</v>
      </c>
      <c r="J474" s="4" t="inlineStr">
        <is>
          <t>Individual Aadhaar-linked savings account used for DBT.</t>
        </is>
      </c>
      <c r="K474" s="4" t="inlineStr">
        <is>
          <t>MS-M04</t>
        </is>
      </c>
      <c r="L474" s="6" t="inlineStr">
        <is>
          <t>2026-10-23 00:00:00</t>
        </is>
      </c>
      <c r="M474" s="4" t="inlineStr">
        <is>
          <t>Unreviewed publication text</t>
        </is>
      </c>
      <c r="N474" s="4" t="inlineStr">
        <is>
          <t>reviewed_extract</t>
        </is>
      </c>
    </row>
    <row r="475" ht="40" customHeight="1">
      <c r="A475" s="8" t="inlineStr">
        <is>
          <t>M04-P0007</t>
        </is>
      </c>
      <c r="B475" s="8" t="inlineStr">
        <is>
          <t>M04</t>
        </is>
      </c>
      <c r="C475" s="8" t="inlineStr">
        <is>
          <t>Mukhyamantri Vayoshri Yojana</t>
        </is>
      </c>
      <c r="D475" s="8" t="inlineStr">
        <is>
          <t>Applicant documents</t>
        </is>
      </c>
      <c r="E475" s="8" t="inlineStr"/>
      <c r="F475" s="8" t="inlineStr">
        <is>
          <t>earlier_review.documents</t>
        </is>
      </c>
      <c r="G475" s="8" t="inlineStr">
        <is>
          <t>M04@20261023-230cad49</t>
        </is>
      </c>
      <c r="H475" s="8" t="n">
        <v>1</v>
      </c>
      <c r="I475" s="8" t="n">
        <v>1</v>
      </c>
      <c r="J475" s="8" t="inlineStr">
        <is>
          <t>Aadhaar/enrolment receipt or accepted alternative ID; age/income proof or declaration; bank passbook; two photos; self-declaration of prior equipment benefit.</t>
        </is>
      </c>
      <c r="K475" s="8" t="inlineStr">
        <is>
          <t>MS-M04</t>
        </is>
      </c>
      <c r="L475" s="9" t="inlineStr">
        <is>
          <t>2026-10-23 00:00:00</t>
        </is>
      </c>
      <c r="M475" s="8" t="inlineStr">
        <is>
          <t>Unreviewed publication text</t>
        </is>
      </c>
      <c r="N475" s="8" t="inlineStr">
        <is>
          <t>reviewed_extract</t>
        </is>
      </c>
    </row>
    <row r="476" ht="40" customHeight="1">
      <c r="A476" s="4" t="inlineStr">
        <is>
          <t>M04-P0008</t>
        </is>
      </c>
      <c r="B476" s="4" t="inlineStr">
        <is>
          <t>M04</t>
        </is>
      </c>
      <c r="C476" s="4" t="inlineStr">
        <is>
          <t>Mukhyamantri Vayoshri Yojana</t>
        </is>
      </c>
      <c r="D476" s="4" t="inlineStr">
        <is>
          <t>Application process</t>
        </is>
      </c>
      <c r="E476" s="4" t="inlineStr"/>
      <c r="F476" s="4" t="inlineStr">
        <is>
          <t>earlier_review.apply</t>
        </is>
      </c>
      <c r="G476" s="4" t="inlineStr">
        <is>
          <t>M04@20261023-230cad49</t>
        </is>
      </c>
      <c r="H476" s="4" t="n">
        <v>1</v>
      </c>
      <c r="I476" s="4" t="n">
        <v>1</v>
      </c>
      <c r="J476" s="4" t="inlineStr">
        <is>
          <t>District Assistant Commissioner, Social Welfare. Department and district pages list different portal spellings; confirm before use.</t>
        </is>
      </c>
      <c r="K476" s="4" t="inlineStr">
        <is>
          <t>MS-M04</t>
        </is>
      </c>
      <c r="L476" s="6" t="inlineStr">
        <is>
          <t>2026-10-23 00:00:00</t>
        </is>
      </c>
      <c r="M476" s="4" t="inlineStr">
        <is>
          <t>Unreviewed publication text</t>
        </is>
      </c>
      <c r="N476" s="4" t="inlineStr">
        <is>
          <t>reviewed_extract</t>
        </is>
      </c>
    </row>
    <row r="477" ht="40" customHeight="1">
      <c r="A477" s="8" t="inlineStr">
        <is>
          <t>M04-P0009</t>
        </is>
      </c>
      <c r="B477" s="8" t="inlineStr">
        <is>
          <t>M04</t>
        </is>
      </c>
      <c r="C477" s="8" t="inlineStr">
        <is>
          <t>Mukhyamantri Vayoshri Yojana</t>
        </is>
      </c>
      <c r="D477" s="8" t="inlineStr">
        <is>
          <t>Benefits</t>
        </is>
      </c>
      <c r="E477" s="8" t="inlineStr"/>
      <c r="F477" s="8" t="inlineStr">
        <is>
          <t>earlier_review.benefits</t>
        </is>
      </c>
      <c r="G477" s="8" t="inlineStr">
        <is>
          <t>M04@20261023-230cad49</t>
        </is>
      </c>
      <c r="H477" s="8" t="n">
        <v>1</v>
      </c>
      <c r="I477" s="8" t="n">
        <v>1</v>
      </c>
      <c r="J477" s="8" t="inlineStr">
        <is>
          <t>One-time INR 3,000 for assistive aids/equipment and specified wellbeing/training support, through DBT.</t>
        </is>
      </c>
      <c r="K477" s="8" t="inlineStr">
        <is>
          <t>MS-M04</t>
        </is>
      </c>
      <c r="L477" s="9" t="inlineStr">
        <is>
          <t>2026-10-23 00:00:00</t>
        </is>
      </c>
      <c r="M477" s="8" t="inlineStr">
        <is>
          <t>Unreviewed publication text</t>
        </is>
      </c>
      <c r="N477" s="8" t="inlineStr">
        <is>
          <t>reviewed_extract</t>
        </is>
      </c>
    </row>
    <row r="478" ht="96" customHeight="1">
      <c r="A478" s="4" t="inlineStr">
        <is>
          <t>C07-P0001</t>
        </is>
      </c>
      <c r="B478" s="4" t="inlineStr">
        <is>
          <t>C07</t>
        </is>
      </c>
      <c r="C478" s="4" t="inlineStr">
        <is>
          <t>Rashtriya Krishi Vigyan Puraskar</t>
        </is>
      </c>
      <c r="D478" s="4" t="inlineStr">
        <is>
          <t>Details</t>
        </is>
      </c>
      <c r="E478" s="4" t="inlineStr"/>
      <c r="F478" s="4" t="inlineStr">
        <is>
          <t>en.schemeContent.detailedDescription[0]</t>
        </is>
      </c>
      <c r="G478" s="4" t="inlineStr">
        <is>
          <t>C07@20261028-2e86f237</t>
        </is>
      </c>
      <c r="H478" s="4" t="n">
        <v>1</v>
      </c>
      <c r="I478" s="4" t="n">
        <v>1</v>
      </c>
      <c r="J478" s="4" t="inlineStr">
        <is>
          <t>The Rashtriya Krishi Vigyan Puraskar under Indian Council of Agricultural Research (ICAR),Ministry of Agriculture &amp; Farmers Welfare, Government of India, recognizes and honors scientists and technical personnel who have made outstanding contributions in agriculture, agricultural education, extension, and allied sciences. This includes the development of new processes, products, tools, technologies, and innovative practices that enhance agricultural productivity and sustainability in India.</t>
        </is>
      </c>
      <c r="K478" s="4" t="inlineStr">
        <is>
          <t>MS-C07</t>
        </is>
      </c>
      <c r="L478" s="6" t="n">
        <v>46323</v>
      </c>
      <c r="M478" s="4" t="inlineStr">
        <is>
          <t>Approved</t>
        </is>
      </c>
      <c r="N478" s="4" t="inlineStr">
        <is>
          <t>paragraph</t>
        </is>
      </c>
    </row>
    <row r="479" ht="40" customHeight="1">
      <c r="A479" s="8" t="inlineStr">
        <is>
          <t>C07-P0002</t>
        </is>
      </c>
      <c r="B479" s="8" t="inlineStr">
        <is>
          <t>C07</t>
        </is>
      </c>
      <c r="C479" s="8" t="inlineStr">
        <is>
          <t>Rashtriya Krishi Vigyan Puraskar</t>
        </is>
      </c>
      <c r="D479" s="8" t="inlineStr">
        <is>
          <t>Details</t>
        </is>
      </c>
      <c r="E479" s="8" t="inlineStr">
        <is>
          <t>Fields Covered:</t>
        </is>
      </c>
      <c r="F479" s="8" t="inlineStr">
        <is>
          <t>en.schemeContent.detailedDescription[1]</t>
        </is>
      </c>
      <c r="G479" s="8" t="inlineStr">
        <is>
          <t>C07@20261028-2e86f237</t>
        </is>
      </c>
      <c r="H479" s="8" t="n">
        <v>1</v>
      </c>
      <c r="I479" s="8" t="n">
        <v>1</v>
      </c>
      <c r="J479" s="8" t="inlineStr">
        <is>
          <t>Fields Covered:</t>
        </is>
      </c>
      <c r="K479" s="8" t="inlineStr">
        <is>
          <t>MS-C07</t>
        </is>
      </c>
      <c r="L479" s="9" t="n">
        <v>46323</v>
      </c>
      <c r="M479" s="8" t="inlineStr">
        <is>
          <t>Approved</t>
        </is>
      </c>
      <c r="N479" s="8" t="inlineStr">
        <is>
          <t>paragraph</t>
        </is>
      </c>
    </row>
    <row r="480" ht="40" customHeight="1">
      <c r="A480" s="4" t="inlineStr">
        <is>
          <t>C07-P0003</t>
        </is>
      </c>
      <c r="B480" s="4" t="inlineStr">
        <is>
          <t>C07</t>
        </is>
      </c>
      <c r="C480" s="4" t="inlineStr">
        <is>
          <t>Rashtriya Krishi Vigyan Puraskar</t>
        </is>
      </c>
      <c r="D480" s="4" t="inlineStr">
        <is>
          <t>Details</t>
        </is>
      </c>
      <c r="E480" s="4" t="inlineStr">
        <is>
          <t>The awards are categorized under three main streams, each covering the following four fields:</t>
        </is>
      </c>
      <c r="F480" s="4" t="inlineStr">
        <is>
          <t>en.schemeContent.detailedDescription[2]</t>
        </is>
      </c>
      <c r="G480" s="4" t="inlineStr">
        <is>
          <t>C07@20261028-2e86f237</t>
        </is>
      </c>
      <c r="H480" s="4" t="n">
        <v>1</v>
      </c>
      <c r="I480" s="4" t="n">
        <v>1</v>
      </c>
      <c r="J480" s="4" t="inlineStr">
        <is>
          <t>The awards are categorized under three main streams, each covering the following four fields:</t>
        </is>
      </c>
      <c r="K480" s="4" t="inlineStr">
        <is>
          <t>MS-C07</t>
        </is>
      </c>
      <c r="L480" s="6" t="n">
        <v>46323</v>
      </c>
      <c r="M480" s="4" t="inlineStr">
        <is>
          <t>Approved</t>
        </is>
      </c>
      <c r="N480" s="4" t="inlineStr">
        <is>
          <t>paragraph</t>
        </is>
      </c>
    </row>
    <row r="481" ht="40" customHeight="1">
      <c r="A481" s="8" t="inlineStr">
        <is>
          <t>C07-P0004</t>
        </is>
      </c>
      <c r="B481" s="8" t="inlineStr">
        <is>
          <t>C07</t>
        </is>
      </c>
      <c r="C481" s="8" t="inlineStr">
        <is>
          <t>Rashtriya Krishi Vigyan Puraskar</t>
        </is>
      </c>
      <c r="D481" s="8" t="inlineStr">
        <is>
          <t>Details</t>
        </is>
      </c>
      <c r="E481" s="8" t="inlineStr">
        <is>
          <t>The awards are categorized under three main streams, each covering the following four fields:</t>
        </is>
      </c>
      <c r="F481" s="8" t="inlineStr">
        <is>
          <t>en.schemeContent.detailedDescription[3].children[0]</t>
        </is>
      </c>
      <c r="G481" s="8" t="inlineStr">
        <is>
          <t>C07@20261028-2e86f237</t>
        </is>
      </c>
      <c r="H481" s="8" t="n">
        <v>1</v>
      </c>
      <c r="I481" s="8" t="n">
        <v>1</v>
      </c>
      <c r="J481" s="8" t="inlineStr">
        <is>
          <t>Crops &amp; Horticultural Sciences</t>
        </is>
      </c>
      <c r="K481" s="8" t="inlineStr">
        <is>
          <t>MS-C07</t>
        </is>
      </c>
      <c r="L481" s="9" t="n">
        <v>46323</v>
      </c>
      <c r="M481" s="8" t="inlineStr">
        <is>
          <t>Approved</t>
        </is>
      </c>
      <c r="N481" s="8" t="inlineStr">
        <is>
          <t>list_item</t>
        </is>
      </c>
    </row>
    <row r="482" ht="40" customHeight="1">
      <c r="A482" s="4" t="inlineStr">
        <is>
          <t>C07-P0005</t>
        </is>
      </c>
      <c r="B482" s="4" t="inlineStr">
        <is>
          <t>C07</t>
        </is>
      </c>
      <c r="C482" s="4" t="inlineStr">
        <is>
          <t>Rashtriya Krishi Vigyan Puraskar</t>
        </is>
      </c>
      <c r="D482" s="4" t="inlineStr">
        <is>
          <t>Details</t>
        </is>
      </c>
      <c r="E482" s="4" t="inlineStr">
        <is>
          <t>The awards are categorized under three main streams, each covering the following four fields:</t>
        </is>
      </c>
      <c r="F482" s="4" t="inlineStr">
        <is>
          <t>en.schemeContent.detailedDescription[3].children[1]</t>
        </is>
      </c>
      <c r="G482" s="4" t="inlineStr">
        <is>
          <t>C07@20261028-2e86f237</t>
        </is>
      </c>
      <c r="H482" s="4" t="n">
        <v>1</v>
      </c>
      <c r="I482" s="4" t="n">
        <v>1</v>
      </c>
      <c r="J482" s="4" t="inlineStr">
        <is>
          <t>Natural Resources Management &amp; Agricultural Engineering</t>
        </is>
      </c>
      <c r="K482" s="4" t="inlineStr">
        <is>
          <t>MS-C07</t>
        </is>
      </c>
      <c r="L482" s="6" t="n">
        <v>46323</v>
      </c>
      <c r="M482" s="4" t="inlineStr">
        <is>
          <t>Approved</t>
        </is>
      </c>
      <c r="N482" s="4" t="inlineStr">
        <is>
          <t>list_item</t>
        </is>
      </c>
    </row>
    <row r="483" ht="40" customHeight="1">
      <c r="A483" s="8" t="inlineStr">
        <is>
          <t>C07-P0006</t>
        </is>
      </c>
      <c r="B483" s="8" t="inlineStr">
        <is>
          <t>C07</t>
        </is>
      </c>
      <c r="C483" s="8" t="inlineStr">
        <is>
          <t>Rashtriya Krishi Vigyan Puraskar</t>
        </is>
      </c>
      <c r="D483" s="8" t="inlineStr">
        <is>
          <t>Details</t>
        </is>
      </c>
      <c r="E483" s="8" t="inlineStr">
        <is>
          <t>The awards are categorized under three main streams, each covering the following four fields:</t>
        </is>
      </c>
      <c r="F483" s="8" t="inlineStr">
        <is>
          <t>en.schemeContent.detailedDescription[3].children[2]</t>
        </is>
      </c>
      <c r="G483" s="8" t="inlineStr">
        <is>
          <t>C07@20261028-2e86f237</t>
        </is>
      </c>
      <c r="H483" s="8" t="n">
        <v>1</v>
      </c>
      <c r="I483" s="8" t="n">
        <v>1</v>
      </c>
      <c r="J483" s="8" t="inlineStr">
        <is>
          <t>Animal &amp; Fisheries Sciences</t>
        </is>
      </c>
      <c r="K483" s="8" t="inlineStr">
        <is>
          <t>MS-C07</t>
        </is>
      </c>
      <c r="L483" s="9" t="n">
        <v>46323</v>
      </c>
      <c r="M483" s="8" t="inlineStr">
        <is>
          <t>Approved</t>
        </is>
      </c>
      <c r="N483" s="8" t="inlineStr">
        <is>
          <t>list_item</t>
        </is>
      </c>
    </row>
    <row r="484" ht="40" customHeight="1">
      <c r="A484" s="4" t="inlineStr">
        <is>
          <t>C07-P0007</t>
        </is>
      </c>
      <c r="B484" s="4" t="inlineStr">
        <is>
          <t>C07</t>
        </is>
      </c>
      <c r="C484" s="4" t="inlineStr">
        <is>
          <t>Rashtriya Krishi Vigyan Puraskar</t>
        </is>
      </c>
      <c r="D484" s="4" t="inlineStr">
        <is>
          <t>Details</t>
        </is>
      </c>
      <c r="E484" s="4" t="inlineStr">
        <is>
          <t>The awards are categorized under three main streams, each covering the following four fields:</t>
        </is>
      </c>
      <c r="F484" s="4" t="inlineStr">
        <is>
          <t>en.schemeContent.detailedDescription[3].children[3]</t>
        </is>
      </c>
      <c r="G484" s="4" t="inlineStr">
        <is>
          <t>C07@20261028-2e86f237</t>
        </is>
      </c>
      <c r="H484" s="4" t="n">
        <v>1</v>
      </c>
      <c r="I484" s="4" t="n">
        <v>1</v>
      </c>
      <c r="J484" s="4" t="inlineStr">
        <is>
          <t>Social Sciences</t>
        </is>
      </c>
      <c r="K484" s="4" t="inlineStr">
        <is>
          <t>MS-C07</t>
        </is>
      </c>
      <c r="L484" s="6" t="n">
        <v>46323</v>
      </c>
      <c r="M484" s="4" t="inlineStr">
        <is>
          <t>Approved</t>
        </is>
      </c>
      <c r="N484" s="4" t="inlineStr">
        <is>
          <t>list_item</t>
        </is>
      </c>
    </row>
    <row r="485" ht="40" customHeight="1">
      <c r="A485" s="8" t="inlineStr">
        <is>
          <t>C07-P0008</t>
        </is>
      </c>
      <c r="B485" s="8" t="inlineStr">
        <is>
          <t>C07</t>
        </is>
      </c>
      <c r="C485" s="8" t="inlineStr">
        <is>
          <t>Rashtriya Krishi Vigyan Puraskar</t>
        </is>
      </c>
      <c r="D485" s="8" t="inlineStr">
        <is>
          <t>Details</t>
        </is>
      </c>
      <c r="E485" s="8" t="inlineStr">
        <is>
          <t>Award Categories &amp; Number of Awardees:</t>
        </is>
      </c>
      <c r="F485" s="8" t="inlineStr">
        <is>
          <t>en.schemeContent.detailedDescription[4]</t>
        </is>
      </c>
      <c r="G485" s="8" t="inlineStr">
        <is>
          <t>C07@20261028-2e86f237</t>
        </is>
      </c>
      <c r="H485" s="8" t="n">
        <v>1</v>
      </c>
      <c r="I485" s="8" t="n">
        <v>1</v>
      </c>
      <c r="J485" s="8" t="inlineStr">
        <is>
          <t>Award Categories &amp; Number of Awardees:</t>
        </is>
      </c>
      <c r="K485" s="8" t="inlineStr">
        <is>
          <t>MS-C07</t>
        </is>
      </c>
      <c r="L485" s="9" t="n">
        <v>46323</v>
      </c>
      <c r="M485" s="8" t="inlineStr">
        <is>
          <t>Approved</t>
        </is>
      </c>
      <c r="N485" s="8" t="inlineStr">
        <is>
          <t>paragraph</t>
        </is>
      </c>
    </row>
    <row r="486" ht="40" customHeight="1">
      <c r="A486" s="4" t="inlineStr">
        <is>
          <t>C07-P0009</t>
        </is>
      </c>
      <c r="B486" s="4" t="inlineStr">
        <is>
          <t>C07</t>
        </is>
      </c>
      <c r="C486" s="4" t="inlineStr">
        <is>
          <t>Rashtriya Krishi Vigyan Puraskar</t>
        </is>
      </c>
      <c r="D486" s="4" t="inlineStr">
        <is>
          <t>Details</t>
        </is>
      </c>
      <c r="E486" s="4" t="inlineStr">
        <is>
          <t>Award Categories &amp; Number of Awardees:</t>
        </is>
      </c>
      <c r="F486" s="4" t="inlineStr">
        <is>
          <t>en.schemeContent.detailedDescription[5].children[0]</t>
        </is>
      </c>
      <c r="G486" s="4" t="inlineStr">
        <is>
          <t>C07@20261028-2e86f237</t>
        </is>
      </c>
      <c r="H486" s="4" t="n">
        <v>1</v>
      </c>
      <c r="I486" s="4" t="n">
        <v>1</v>
      </c>
      <c r="J486" s="4" t="inlineStr">
        <is>
          <t>Innovation &amp; Technology in Agriculture &amp; Allied Sciences – 4 awardees</t>
        </is>
      </c>
      <c r="K486" s="4" t="inlineStr">
        <is>
          <t>MS-C07</t>
        </is>
      </c>
      <c r="L486" s="6" t="n">
        <v>46323</v>
      </c>
      <c r="M486" s="4" t="inlineStr">
        <is>
          <t>Approved</t>
        </is>
      </c>
      <c r="N486" s="4" t="inlineStr">
        <is>
          <t>list_item</t>
        </is>
      </c>
    </row>
    <row r="487" ht="40" customHeight="1">
      <c r="A487" s="8" t="inlineStr">
        <is>
          <t>C07-P0010</t>
        </is>
      </c>
      <c r="B487" s="8" t="inlineStr">
        <is>
          <t>C07</t>
        </is>
      </c>
      <c r="C487" s="8" t="inlineStr">
        <is>
          <t>Rashtriya Krishi Vigyan Puraskar</t>
        </is>
      </c>
      <c r="D487" s="8" t="inlineStr">
        <is>
          <t>Details</t>
        </is>
      </c>
      <c r="E487" s="8" t="inlineStr">
        <is>
          <t>Award Categories &amp; Number of Awardees:</t>
        </is>
      </c>
      <c r="F487" s="8" t="inlineStr">
        <is>
          <t>en.schemeContent.detailedDescription[5].children[1]</t>
        </is>
      </c>
      <c r="G487" s="8" t="inlineStr">
        <is>
          <t>C07@20261028-2e86f237</t>
        </is>
      </c>
      <c r="H487" s="8" t="n">
        <v>1</v>
      </c>
      <c r="I487" s="8" t="n">
        <v>1</v>
      </c>
      <c r="J487" s="8" t="inlineStr">
        <is>
          <t>Research in Agriculture &amp; Allied Sciences – 4 awardees</t>
        </is>
      </c>
      <c r="K487" s="8" t="inlineStr">
        <is>
          <t>MS-C07</t>
        </is>
      </c>
      <c r="L487" s="9" t="n">
        <v>46323</v>
      </c>
      <c r="M487" s="8" t="inlineStr">
        <is>
          <t>Approved</t>
        </is>
      </c>
      <c r="N487" s="8" t="inlineStr">
        <is>
          <t>list_item</t>
        </is>
      </c>
    </row>
    <row r="488" ht="40" customHeight="1">
      <c r="A488" s="4" t="inlineStr">
        <is>
          <t>C07-P0011</t>
        </is>
      </c>
      <c r="B488" s="4" t="inlineStr">
        <is>
          <t>C07</t>
        </is>
      </c>
      <c r="C488" s="4" t="inlineStr">
        <is>
          <t>Rashtriya Krishi Vigyan Puraskar</t>
        </is>
      </c>
      <c r="D488" s="4" t="inlineStr">
        <is>
          <t>Details</t>
        </is>
      </c>
      <c r="E488" s="4" t="inlineStr">
        <is>
          <t>Award Categories &amp; Number of Awardees:</t>
        </is>
      </c>
      <c r="F488" s="4" t="inlineStr">
        <is>
          <t>en.schemeContent.detailedDescription[5].children[2]</t>
        </is>
      </c>
      <c r="G488" s="4" t="inlineStr">
        <is>
          <t>C07@20261028-2e86f237</t>
        </is>
      </c>
      <c r="H488" s="4" t="n">
        <v>1</v>
      </c>
      <c r="I488" s="4" t="n">
        <v>1</v>
      </c>
      <c r="J488" s="4" t="inlineStr">
        <is>
          <t>Outstanding Interdisciplinary Team Research in Agriculture, Agricultural Education, Extension &amp; Allied Sciences – 1 awardee</t>
        </is>
      </c>
      <c r="K488" s="4" t="inlineStr">
        <is>
          <t>MS-C07</t>
        </is>
      </c>
      <c r="L488" s="6" t="n">
        <v>46323</v>
      </c>
      <c r="M488" s="4" t="inlineStr">
        <is>
          <t>Approved</t>
        </is>
      </c>
      <c r="N488" s="4" t="inlineStr">
        <is>
          <t>list_item</t>
        </is>
      </c>
    </row>
    <row r="489" ht="40" customHeight="1">
      <c r="A489" s="8" t="inlineStr">
        <is>
          <t>C07-P0012</t>
        </is>
      </c>
      <c r="B489" s="8" t="inlineStr">
        <is>
          <t>C07</t>
        </is>
      </c>
      <c r="C489" s="8" t="inlineStr">
        <is>
          <t>Rashtriya Krishi Vigyan Puraskar</t>
        </is>
      </c>
      <c r="D489" s="8" t="inlineStr">
        <is>
          <t>Details</t>
        </is>
      </c>
      <c r="E489" s="8" t="inlineStr">
        <is>
          <t>Award Categories &amp; Number of Awardees:</t>
        </is>
      </c>
      <c r="F489" s="8" t="inlineStr">
        <is>
          <t>en.schemeContent.detailedDescription[5].children[3]</t>
        </is>
      </c>
      <c r="G489" s="8" t="inlineStr">
        <is>
          <t>C07@20261028-2e86f237</t>
        </is>
      </c>
      <c r="H489" s="8" t="n">
        <v>1</v>
      </c>
      <c r="I489" s="8" t="n">
        <v>1</v>
      </c>
      <c r="J489" s="8" t="inlineStr">
        <is>
          <t>Outstanding Woman Scientist in Agriculture, Agricultural Education, Extension &amp; Allied Sciences – 1 awardee</t>
        </is>
      </c>
      <c r="K489" s="8" t="inlineStr">
        <is>
          <t>MS-C07</t>
        </is>
      </c>
      <c r="L489" s="9" t="n">
        <v>46323</v>
      </c>
      <c r="M489" s="8" t="inlineStr">
        <is>
          <t>Approved</t>
        </is>
      </c>
      <c r="N489" s="8" t="inlineStr">
        <is>
          <t>list_item</t>
        </is>
      </c>
    </row>
    <row r="490" ht="40" customHeight="1">
      <c r="A490" s="4" t="inlineStr">
        <is>
          <t>C07-P0013</t>
        </is>
      </c>
      <c r="B490" s="4" t="inlineStr">
        <is>
          <t>C07</t>
        </is>
      </c>
      <c r="C490" s="4" t="inlineStr">
        <is>
          <t>Rashtriya Krishi Vigyan Puraskar</t>
        </is>
      </c>
      <c r="D490" s="4" t="inlineStr">
        <is>
          <t>Details</t>
        </is>
      </c>
      <c r="E490" s="4" t="inlineStr">
        <is>
          <t>Award Categories &amp; Number of Awardees:</t>
        </is>
      </c>
      <c r="F490" s="4" t="inlineStr">
        <is>
          <t>en.schemeContent.detailedDescription[5].children[4]</t>
        </is>
      </c>
      <c r="G490" s="4" t="inlineStr">
        <is>
          <t>C07@20261028-2e86f237</t>
        </is>
      </c>
      <c r="H490" s="4" t="n">
        <v>1</v>
      </c>
      <c r="I490" s="4" t="n">
        <v>1</v>
      </c>
      <c r="J490" s="4" t="inlineStr">
        <is>
          <t>Outstanding Young Scientist in Agriculture &amp; Allied Sciences – 4 awardees</t>
        </is>
      </c>
      <c r="K490" s="4" t="inlineStr">
        <is>
          <t>MS-C07</t>
        </is>
      </c>
      <c r="L490" s="6" t="n">
        <v>46323</v>
      </c>
      <c r="M490" s="4" t="inlineStr">
        <is>
          <t>Approved</t>
        </is>
      </c>
      <c r="N490" s="4" t="inlineStr">
        <is>
          <t>list_item</t>
        </is>
      </c>
    </row>
    <row r="491" ht="68" customHeight="1">
      <c r="A491" s="8" t="inlineStr">
        <is>
          <t>C07-P0014</t>
        </is>
      </c>
      <c r="B491" s="8" t="inlineStr">
        <is>
          <t>C07</t>
        </is>
      </c>
      <c r="C491" s="8" t="inlineStr">
        <is>
          <t>Rashtriya Krishi Vigyan Puraskar</t>
        </is>
      </c>
      <c r="D491" s="8" t="inlineStr">
        <is>
          <t>Benefits</t>
        </is>
      </c>
      <c r="E491" s="8" t="inlineStr"/>
      <c r="F491" s="8" t="inlineStr">
        <is>
          <t>en.schemeContent.benefits[0]</t>
        </is>
      </c>
      <c r="G491" s="8" t="inlineStr">
        <is>
          <t>C07@20261028-2e86f237</t>
        </is>
      </c>
      <c r="H491" s="8" t="n">
        <v>1</v>
      </c>
      <c r="I491" s="8" t="n">
        <v>1</v>
      </c>
      <c r="J491" s="8" t="inlineStr">
        <is>
          <t>i. In the Award Ceremony, the Awardees shall be presented a Sanad (certificate) signed by the Hon'ble Union Minister (Agriculture &amp; Farmers Welfare) &amp; President, ICAR. A commemorative brochure, containing the citation and photograph of the awardees shall also be released on the day of the ceremony.</t>
        </is>
      </c>
      <c r="K491" s="8" t="inlineStr">
        <is>
          <t>MS-C07</t>
        </is>
      </c>
      <c r="L491" s="9" t="n">
        <v>46323</v>
      </c>
      <c r="M491" s="8" t="inlineStr">
        <is>
          <t>Approved</t>
        </is>
      </c>
      <c r="N491" s="8" t="inlineStr">
        <is>
          <t>paragraph</t>
        </is>
      </c>
    </row>
    <row r="492" ht="68" customHeight="1">
      <c r="A492" s="4" t="inlineStr">
        <is>
          <t>C07-P0015</t>
        </is>
      </c>
      <c r="B492" s="4" t="inlineStr">
        <is>
          <t>C07</t>
        </is>
      </c>
      <c r="C492" s="4" t="inlineStr">
        <is>
          <t>Rashtriya Krishi Vigyan Puraskar</t>
        </is>
      </c>
      <c r="D492" s="4" t="inlineStr">
        <is>
          <t>Benefits</t>
        </is>
      </c>
      <c r="E492" s="4" t="inlineStr"/>
      <c r="F492" s="4" t="inlineStr">
        <is>
          <t>en.schemeContent.benefits[1]</t>
        </is>
      </c>
      <c r="G492" s="4" t="inlineStr">
        <is>
          <t>C07@20261028-2e86f237</t>
        </is>
      </c>
      <c r="H492" s="4" t="n">
        <v>1</v>
      </c>
      <c r="I492" s="4" t="n">
        <v>1</v>
      </c>
      <c r="J492" s="4" t="inlineStr">
        <is>
          <t>ii. The decoration to such persons who are not able to attend the award ceremony due to personal reasons (including indisposition, preoccupation, etc.) shall be deemed to have been conferred. No other person (including the spouse/next of kin) should be allowed to receive the award on behalf of the absentee awardee except in posthumous cases.</t>
        </is>
      </c>
      <c r="K492" s="4" t="inlineStr">
        <is>
          <t>MS-C07</t>
        </is>
      </c>
      <c r="L492" s="6" t="n">
        <v>46323</v>
      </c>
      <c r="M492" s="4" t="inlineStr">
        <is>
          <t>Approved</t>
        </is>
      </c>
      <c r="N492" s="4" t="inlineStr">
        <is>
          <t>paragraph</t>
        </is>
      </c>
    </row>
    <row r="493" ht="40" customHeight="1">
      <c r="A493" s="8" t="inlineStr">
        <is>
          <t>C07-P0016</t>
        </is>
      </c>
      <c r="B493" s="8" t="inlineStr">
        <is>
          <t>C07</t>
        </is>
      </c>
      <c r="C493" s="8" t="inlineStr">
        <is>
          <t>Rashtriya Krishi Vigyan Puraskar</t>
        </is>
      </c>
      <c r="D493" s="8" t="inlineStr">
        <is>
          <t>Eligibility</t>
        </is>
      </c>
      <c r="E493" s="8" t="inlineStr">
        <is>
          <t>General Conditions:</t>
        </is>
      </c>
      <c r="F493" s="8" t="inlineStr">
        <is>
          <t>en.eligibilityCriteria.eligibilityDescription[0]</t>
        </is>
      </c>
      <c r="G493" s="8" t="inlineStr">
        <is>
          <t>C07@20261028-2e86f237</t>
        </is>
      </c>
      <c r="H493" s="8" t="n">
        <v>1</v>
      </c>
      <c r="I493" s="8" t="n">
        <v>1</v>
      </c>
      <c r="J493" s="8" t="inlineStr">
        <is>
          <t>General Conditions:</t>
        </is>
      </c>
      <c r="K493" s="8" t="inlineStr">
        <is>
          <t>MS-C07</t>
        </is>
      </c>
      <c r="L493" s="9" t="n">
        <v>46323</v>
      </c>
      <c r="M493" s="8" t="inlineStr">
        <is>
          <t>Approved</t>
        </is>
      </c>
      <c r="N493" s="8" t="inlineStr">
        <is>
          <t>paragraph</t>
        </is>
      </c>
    </row>
    <row r="494" ht="54" customHeight="1">
      <c r="A494" s="4" t="inlineStr">
        <is>
          <t>C07-P0017</t>
        </is>
      </c>
      <c r="B494" s="4" t="inlineStr">
        <is>
          <t>C07</t>
        </is>
      </c>
      <c r="C494" s="4" t="inlineStr">
        <is>
          <t>Rashtriya Krishi Vigyan Puraskar</t>
        </is>
      </c>
      <c r="D494" s="4" t="inlineStr">
        <is>
          <t>Eligibility</t>
        </is>
      </c>
      <c r="E494" s="4" t="inlineStr">
        <is>
          <t>General Conditions:</t>
        </is>
      </c>
      <c r="F494" s="4" t="inlineStr">
        <is>
          <t>en.eligibilityCriteria.eligibilityDescription[1].children[0]</t>
        </is>
      </c>
      <c r="G494" s="4" t="inlineStr">
        <is>
          <t>C07@20261028-2e86f237</t>
        </is>
      </c>
      <c r="H494" s="4" t="n">
        <v>1</v>
      </c>
      <c r="I494" s="4" t="n">
        <v>1</v>
      </c>
      <c r="J494" s="4" t="inlineStr">
        <is>
          <t>The applicant should be an Indian scientist working in agriculture or allied fields in ICAR institutes, public agricultural institutions, or Krishi Vigyan Kendras, and must have made significant contributions in India.</t>
        </is>
      </c>
      <c r="K494" s="4" t="inlineStr">
        <is>
          <t>MS-C07</t>
        </is>
      </c>
      <c r="L494" s="6" t="n">
        <v>46323</v>
      </c>
      <c r="M494" s="4" t="inlineStr">
        <is>
          <t>Approved</t>
        </is>
      </c>
      <c r="N494" s="4" t="inlineStr">
        <is>
          <t>list_item</t>
        </is>
      </c>
    </row>
    <row r="495" ht="40" customHeight="1">
      <c r="A495" s="8" t="inlineStr">
        <is>
          <t>C07-P0018</t>
        </is>
      </c>
      <c r="B495" s="8" t="inlineStr">
        <is>
          <t>C07</t>
        </is>
      </c>
      <c r="C495" s="8" t="inlineStr">
        <is>
          <t>Rashtriya Krishi Vigyan Puraskar</t>
        </is>
      </c>
      <c r="D495" s="8" t="inlineStr">
        <is>
          <t>Eligibility</t>
        </is>
      </c>
      <c r="E495" s="8" t="inlineStr">
        <is>
          <t>General Conditions:</t>
        </is>
      </c>
      <c r="F495" s="8" t="inlineStr">
        <is>
          <t>en.eligibilityCriteria.eligibilityDescription[1].children[1]</t>
        </is>
      </c>
      <c r="G495" s="8" t="inlineStr">
        <is>
          <t>C07@20261028-2e86f237</t>
        </is>
      </c>
      <c r="H495" s="8" t="n">
        <v>1</v>
      </c>
      <c r="I495" s="8" t="n">
        <v>1</v>
      </c>
      <c r="J495" s="8" t="inlineStr">
        <is>
          <t>The applicant should have work (research, innovation, or extension) that shows clear and proven impact on society, economy, or environment, supported by the Head of the Institution.</t>
        </is>
      </c>
      <c r="K495" s="8" t="inlineStr">
        <is>
          <t>MS-C07</t>
        </is>
      </c>
      <c r="L495" s="9" t="n">
        <v>46323</v>
      </c>
      <c r="M495" s="8" t="inlineStr">
        <is>
          <t>Approved</t>
        </is>
      </c>
      <c r="N495" s="8" t="inlineStr">
        <is>
          <t>list_item</t>
        </is>
      </c>
    </row>
    <row r="496" ht="40" customHeight="1">
      <c r="A496" s="4" t="inlineStr">
        <is>
          <t>C07-P0019</t>
        </is>
      </c>
      <c r="B496" s="4" t="inlineStr">
        <is>
          <t>C07</t>
        </is>
      </c>
      <c r="C496" s="4" t="inlineStr">
        <is>
          <t>Rashtriya Krishi Vigyan Puraskar</t>
        </is>
      </c>
      <c r="D496" s="4" t="inlineStr">
        <is>
          <t>Eligibility</t>
        </is>
      </c>
      <c r="E496" s="4" t="inlineStr">
        <is>
          <t>General Conditions:</t>
        </is>
      </c>
      <c r="F496" s="4" t="inlineStr">
        <is>
          <t>en.eligibilityCriteria.eligibilityDescription[1].children[2]</t>
        </is>
      </c>
      <c r="G496" s="4" t="inlineStr">
        <is>
          <t>C07@20261028-2e86f237</t>
        </is>
      </c>
      <c r="H496" s="4" t="n">
        <v>1</v>
      </c>
      <c r="I496" s="4" t="n">
        <v>1</v>
      </c>
      <c r="J496" s="4" t="inlineStr">
        <is>
          <t>The applicant can apply at any stage of their career, as no minimum service period is required.</t>
        </is>
      </c>
      <c r="K496" s="4" t="inlineStr">
        <is>
          <t>MS-C07</t>
        </is>
      </c>
      <c r="L496" s="6" t="n">
        <v>46323</v>
      </c>
      <c r="M496" s="4" t="inlineStr">
        <is>
          <t>Approved</t>
        </is>
      </c>
      <c r="N496" s="4" t="inlineStr">
        <is>
          <t>list_item</t>
        </is>
      </c>
    </row>
    <row r="497" ht="40" customHeight="1">
      <c r="A497" s="8" t="inlineStr">
        <is>
          <t>C07-P0020</t>
        </is>
      </c>
      <c r="B497" s="8" t="inlineStr">
        <is>
          <t>C07</t>
        </is>
      </c>
      <c r="C497" s="8" t="inlineStr">
        <is>
          <t>Rashtriya Krishi Vigyan Puraskar</t>
        </is>
      </c>
      <c r="D497" s="8" t="inlineStr">
        <is>
          <t>Eligibility</t>
        </is>
      </c>
      <c r="E497" s="8" t="inlineStr">
        <is>
          <t>General Conditions:</t>
        </is>
      </c>
      <c r="F497" s="8" t="inlineStr">
        <is>
          <t>en.eligibilityCriteria.eligibilityDescription[1].children[3]</t>
        </is>
      </c>
      <c r="G497" s="8" t="inlineStr">
        <is>
          <t>C07@20261028-2e86f237</t>
        </is>
      </c>
      <c r="H497" s="8" t="n">
        <v>1</v>
      </c>
      <c r="I497" s="8" t="n">
        <v>1</v>
      </c>
      <c r="J497" s="8" t="inlineStr">
        <is>
          <t>The applicant should submit only one application for a particular contribution in a year, and the application will be valid only for that year.</t>
        </is>
      </c>
      <c r="K497" s="8" t="inlineStr">
        <is>
          <t>MS-C07</t>
        </is>
      </c>
      <c r="L497" s="9" t="n">
        <v>46323</v>
      </c>
      <c r="M497" s="8" t="inlineStr">
        <is>
          <t>Approved</t>
        </is>
      </c>
      <c r="N497" s="8" t="inlineStr">
        <is>
          <t>list_item</t>
        </is>
      </c>
    </row>
    <row r="498" ht="40" customHeight="1">
      <c r="A498" s="4" t="inlineStr">
        <is>
          <t>C07-P0021</t>
        </is>
      </c>
      <c r="B498" s="4" t="inlineStr">
        <is>
          <t>C07</t>
        </is>
      </c>
      <c r="C498" s="4" t="inlineStr">
        <is>
          <t>Rashtriya Krishi Vigyan Puraskar</t>
        </is>
      </c>
      <c r="D498" s="4" t="inlineStr">
        <is>
          <t>Eligibility</t>
        </is>
      </c>
      <c r="E498" s="4" t="inlineStr">
        <is>
          <t>General Conditions:</t>
        </is>
      </c>
      <c r="F498" s="4" t="inlineStr">
        <is>
          <t>en.eligibilityCriteria.eligibilityDescription[1].children[4]</t>
        </is>
      </c>
      <c r="G498" s="4" t="inlineStr">
        <is>
          <t>C07@20261028-2e86f237</t>
        </is>
      </c>
      <c r="H498" s="4" t="n">
        <v>1</v>
      </c>
      <c r="I498" s="4" t="n">
        <v>1</v>
      </c>
      <c r="J498" s="4" t="inlineStr">
        <is>
          <t>The applicant should have a clean service record, with no pending enquiry or major punishment in the last five years.</t>
        </is>
      </c>
      <c r="K498" s="4" t="inlineStr">
        <is>
          <t>MS-C07</t>
        </is>
      </c>
      <c r="L498" s="6" t="n">
        <v>46323</v>
      </c>
      <c r="M498" s="4" t="inlineStr">
        <is>
          <t>Approved</t>
        </is>
      </c>
      <c r="N498" s="4" t="inlineStr">
        <is>
          <t>list_item</t>
        </is>
      </c>
    </row>
    <row r="499" ht="40" customHeight="1">
      <c r="A499" s="8" t="inlineStr">
        <is>
          <t>C07-P0022</t>
        </is>
      </c>
      <c r="B499" s="8" t="inlineStr">
        <is>
          <t>C07</t>
        </is>
      </c>
      <c r="C499" s="8" t="inlineStr">
        <is>
          <t>Rashtriya Krishi Vigyan Puraskar</t>
        </is>
      </c>
      <c r="D499" s="8" t="inlineStr">
        <is>
          <t>Eligibility</t>
        </is>
      </c>
      <c r="E499" s="8" t="inlineStr">
        <is>
          <t>General Conditions:</t>
        </is>
      </c>
      <c r="F499" s="8" t="inlineStr">
        <is>
          <t>en.eligibilityCriteria.eligibilityDescription[1].children[5]</t>
        </is>
      </c>
      <c r="G499" s="8" t="inlineStr">
        <is>
          <t>C07@20261028-2e86f237</t>
        </is>
      </c>
      <c r="H499" s="8" t="n">
        <v>1</v>
      </c>
      <c r="I499" s="8" t="n">
        <v>1</v>
      </c>
      <c r="J499" s="8" t="inlineStr">
        <is>
          <t>The applicant should apply under only one category and cannot be considered for multiple categories.</t>
        </is>
      </c>
      <c r="K499" s="8" t="inlineStr">
        <is>
          <t>MS-C07</t>
        </is>
      </c>
      <c r="L499" s="9" t="n">
        <v>46323</v>
      </c>
      <c r="M499" s="8" t="inlineStr">
        <is>
          <t>Approved</t>
        </is>
      </c>
      <c r="N499" s="8" t="inlineStr">
        <is>
          <t>list_item</t>
        </is>
      </c>
    </row>
    <row r="500" ht="40" customHeight="1">
      <c r="A500" s="4" t="inlineStr">
        <is>
          <t>C07-P0023</t>
        </is>
      </c>
      <c r="B500" s="4" t="inlineStr">
        <is>
          <t>C07</t>
        </is>
      </c>
      <c r="C500" s="4" t="inlineStr">
        <is>
          <t>Rashtriya Krishi Vigyan Puraskar</t>
        </is>
      </c>
      <c r="D500" s="4" t="inlineStr">
        <is>
          <t>Eligibility</t>
        </is>
      </c>
      <c r="E500" s="4" t="inlineStr">
        <is>
          <t>Category-wise Conditions:</t>
        </is>
      </c>
      <c r="F500" s="4" t="inlineStr">
        <is>
          <t>en.eligibilityCriteria.eligibilityDescription[2]</t>
        </is>
      </c>
      <c r="G500" s="4" t="inlineStr">
        <is>
          <t>C07@20261028-2e86f237</t>
        </is>
      </c>
      <c r="H500" s="4" t="n">
        <v>1</v>
      </c>
      <c r="I500" s="4" t="n">
        <v>1</v>
      </c>
      <c r="J500" s="4" t="inlineStr">
        <is>
          <t>Category-wise Conditions:</t>
        </is>
      </c>
      <c r="K500" s="4" t="inlineStr">
        <is>
          <t>MS-C07</t>
        </is>
      </c>
      <c r="L500" s="6" t="n">
        <v>46323</v>
      </c>
      <c r="M500" s="4" t="inlineStr">
        <is>
          <t>Approved</t>
        </is>
      </c>
      <c r="N500" s="4" t="inlineStr">
        <is>
          <t>paragraph</t>
        </is>
      </c>
    </row>
    <row r="501" ht="40" customHeight="1">
      <c r="A501" s="8" t="inlineStr">
        <is>
          <t>C07-P0024</t>
        </is>
      </c>
      <c r="B501" s="8" t="inlineStr">
        <is>
          <t>C07</t>
        </is>
      </c>
      <c r="C501" s="8" t="inlineStr">
        <is>
          <t>Rashtriya Krishi Vigyan Puraskar</t>
        </is>
      </c>
      <c r="D501" s="8" t="inlineStr">
        <is>
          <t>Eligibility</t>
        </is>
      </c>
      <c r="E501" s="8" t="inlineStr">
        <is>
          <t>Category-wise Conditions:</t>
        </is>
      </c>
      <c r="F501" s="8" t="inlineStr">
        <is>
          <t>en.eligibilityCriteria.eligibilityDescription[3].children[0]</t>
        </is>
      </c>
      <c r="G501" s="8" t="inlineStr">
        <is>
          <t>C07@20261028-2e86f237</t>
        </is>
      </c>
      <c r="H501" s="8" t="n">
        <v>1</v>
      </c>
      <c r="I501" s="8" t="n">
        <v>1</v>
      </c>
      <c r="J501" s="8" t="inlineStr">
        <is>
          <t>The applicant can apply individually or as part of a team (maximum five members) for innovation and research awards, and must be below 60 years of age.</t>
        </is>
      </c>
      <c r="K501" s="8" t="inlineStr">
        <is>
          <t>MS-C07</t>
        </is>
      </c>
      <c r="L501" s="9" t="n">
        <v>46323</v>
      </c>
      <c r="M501" s="8" t="inlineStr">
        <is>
          <t>Approved</t>
        </is>
      </c>
      <c r="N501" s="8" t="inlineStr">
        <is>
          <t>list_item</t>
        </is>
      </c>
    </row>
    <row r="502" ht="40" customHeight="1">
      <c r="A502" s="4" t="inlineStr">
        <is>
          <t>C07-P0025</t>
        </is>
      </c>
      <c r="B502" s="4" t="inlineStr">
        <is>
          <t>C07</t>
        </is>
      </c>
      <c r="C502" s="4" t="inlineStr">
        <is>
          <t>Rashtriya Krishi Vigyan Puraskar</t>
        </is>
      </c>
      <c r="D502" s="4" t="inlineStr">
        <is>
          <t>Eligibility</t>
        </is>
      </c>
      <c r="E502" s="4" t="inlineStr">
        <is>
          <t>Category-wise Conditions:</t>
        </is>
      </c>
      <c r="F502" s="4" t="inlineStr">
        <is>
          <t>en.eligibilityCriteria.eligibilityDescription[3].children[1]</t>
        </is>
      </c>
      <c r="G502" s="4" t="inlineStr">
        <is>
          <t>C07@20261028-2e86f237</t>
        </is>
      </c>
      <c r="H502" s="4" t="n">
        <v>1</v>
      </c>
      <c r="I502" s="4" t="n">
        <v>1</v>
      </c>
      <c r="J502" s="4" t="inlineStr">
        <is>
          <t>The applicant applying for interdisciplinary research should be part of a team of at least three members from different disciplines, and the team leader must be below 60 years of age.</t>
        </is>
      </c>
      <c r="K502" s="4" t="inlineStr">
        <is>
          <t>MS-C07</t>
        </is>
      </c>
      <c r="L502" s="6" t="n">
        <v>46323</v>
      </c>
      <c r="M502" s="4" t="inlineStr">
        <is>
          <t>Approved</t>
        </is>
      </c>
      <c r="N502" s="4" t="inlineStr">
        <is>
          <t>list_item</t>
        </is>
      </c>
    </row>
    <row r="503" ht="40" customHeight="1">
      <c r="A503" s="8" t="inlineStr">
        <is>
          <t>C07-P0026</t>
        </is>
      </c>
      <c r="B503" s="8" t="inlineStr">
        <is>
          <t>C07</t>
        </is>
      </c>
      <c r="C503" s="8" t="inlineStr">
        <is>
          <t>Rashtriya Krishi Vigyan Puraskar</t>
        </is>
      </c>
      <c r="D503" s="8" t="inlineStr">
        <is>
          <t>Eligibility</t>
        </is>
      </c>
      <c r="E503" s="8" t="inlineStr">
        <is>
          <t>Category-wise Conditions:</t>
        </is>
      </c>
      <c r="F503" s="8" t="inlineStr">
        <is>
          <t>en.eligibilityCriteria.eligibilityDescription[3].children[2]</t>
        </is>
      </c>
      <c r="G503" s="8" t="inlineStr">
        <is>
          <t>C07@20261028-2e86f237</t>
        </is>
      </c>
      <c r="H503" s="8" t="n">
        <v>1</v>
      </c>
      <c r="I503" s="8" t="n">
        <v>1</v>
      </c>
      <c r="J503" s="8" t="inlineStr">
        <is>
          <t>The applicant applying for the women scientist category should be a woman working in agriculture or allied fields, and must be below 60 years of age.</t>
        </is>
      </c>
      <c r="K503" s="8" t="inlineStr">
        <is>
          <t>MS-C07</t>
        </is>
      </c>
      <c r="L503" s="9" t="n">
        <v>46323</v>
      </c>
      <c r="M503" s="8" t="inlineStr">
        <is>
          <t>Approved</t>
        </is>
      </c>
      <c r="N503" s="8" t="inlineStr">
        <is>
          <t>list_item</t>
        </is>
      </c>
    </row>
    <row r="504" ht="40" customHeight="1">
      <c r="A504" s="4" t="inlineStr">
        <is>
          <t>C07-P0027</t>
        </is>
      </c>
      <c r="B504" s="4" t="inlineStr">
        <is>
          <t>C07</t>
        </is>
      </c>
      <c r="C504" s="4" t="inlineStr">
        <is>
          <t>Rashtriya Krishi Vigyan Puraskar</t>
        </is>
      </c>
      <c r="D504" s="4" t="inlineStr">
        <is>
          <t>Eligibility</t>
        </is>
      </c>
      <c r="E504" s="4" t="inlineStr">
        <is>
          <t>Category-wise Conditions:</t>
        </is>
      </c>
      <c r="F504" s="4" t="inlineStr">
        <is>
          <t>en.eligibilityCriteria.eligibilityDescription[3].children[3]</t>
        </is>
      </c>
      <c r="G504" s="4" t="inlineStr">
        <is>
          <t>C07@20261028-2e86f237</t>
        </is>
      </c>
      <c r="H504" s="4" t="n">
        <v>1</v>
      </c>
      <c r="I504" s="4" t="n">
        <v>1</v>
      </c>
      <c r="J504" s="4" t="inlineStr">
        <is>
          <t>The applicant applying for the young scientist category should have a doctoral degree, hold a regular position, and must be below 45 years of age.</t>
        </is>
      </c>
      <c r="K504" s="4" t="inlineStr">
        <is>
          <t>MS-C07</t>
        </is>
      </c>
      <c r="L504" s="6" t="n">
        <v>46323</v>
      </c>
      <c r="M504" s="4" t="inlineStr">
        <is>
          <t>Approved</t>
        </is>
      </c>
      <c r="N504" s="4" t="inlineStr">
        <is>
          <t>list_item</t>
        </is>
      </c>
    </row>
    <row r="505" ht="40" customHeight="1">
      <c r="A505" s="8" t="inlineStr">
        <is>
          <t>C07-P0028</t>
        </is>
      </c>
      <c r="B505" s="8" t="inlineStr">
        <is>
          <t>C07</t>
        </is>
      </c>
      <c r="C505" s="8" t="inlineStr">
        <is>
          <t>Rashtriya Krishi Vigyan Puraskar</t>
        </is>
      </c>
      <c r="D505" s="8" t="inlineStr">
        <is>
          <t>Applicant documents</t>
        </is>
      </c>
      <c r="E505" s="8" t="inlineStr"/>
      <c r="F505" s="8" t="inlineStr">
        <is>
          <t>documents.en.documents_required[0].children[0]</t>
        </is>
      </c>
      <c r="G505" s="8" t="inlineStr">
        <is>
          <t>C07@20261028-2e86f237</t>
        </is>
      </c>
      <c r="H505" s="8" t="n">
        <v>1</v>
      </c>
      <c r="I505" s="8" t="n">
        <v>1</v>
      </c>
      <c r="J505" s="8" t="inlineStr">
        <is>
          <t>Filled application</t>
        </is>
      </c>
      <c r="K505" s="8" t="inlineStr">
        <is>
          <t>MS-C07</t>
        </is>
      </c>
      <c r="L505" s="9" t="n">
        <v>46323</v>
      </c>
      <c r="M505" s="8" t="inlineStr">
        <is>
          <t>Approved</t>
        </is>
      </c>
      <c r="N505" s="8" t="inlineStr">
        <is>
          <t>list_item</t>
        </is>
      </c>
    </row>
    <row r="506" ht="40" customHeight="1">
      <c r="A506" s="4" t="inlineStr">
        <is>
          <t>C07-P0029</t>
        </is>
      </c>
      <c r="B506" s="4" t="inlineStr">
        <is>
          <t>C07</t>
        </is>
      </c>
      <c r="C506" s="4" t="inlineStr">
        <is>
          <t>Rashtriya Krishi Vigyan Puraskar</t>
        </is>
      </c>
      <c r="D506" s="4" t="inlineStr">
        <is>
          <t>Applicant documents</t>
        </is>
      </c>
      <c r="E506" s="4" t="inlineStr"/>
      <c r="F506" s="4" t="inlineStr">
        <is>
          <t>documents.en.documents_required[0].children[1]</t>
        </is>
      </c>
      <c r="G506" s="4" t="inlineStr">
        <is>
          <t>C07@20261028-2e86f237</t>
        </is>
      </c>
      <c r="H506" s="4" t="n">
        <v>1</v>
      </c>
      <c r="I506" s="4" t="n">
        <v>1</v>
      </c>
      <c r="J506" s="4" t="inlineStr">
        <is>
          <t>Details of your work</t>
        </is>
      </c>
      <c r="K506" s="4" t="inlineStr">
        <is>
          <t>MS-C07</t>
        </is>
      </c>
      <c r="L506" s="6" t="n">
        <v>46323</v>
      </c>
      <c r="M506" s="4" t="inlineStr">
        <is>
          <t>Approved</t>
        </is>
      </c>
      <c r="N506" s="4" t="inlineStr">
        <is>
          <t>list_item</t>
        </is>
      </c>
    </row>
    <row r="507" ht="40" customHeight="1">
      <c r="A507" s="8" t="inlineStr">
        <is>
          <t>C07-P0030</t>
        </is>
      </c>
      <c r="B507" s="8" t="inlineStr">
        <is>
          <t>C07</t>
        </is>
      </c>
      <c r="C507" s="8" t="inlineStr">
        <is>
          <t>Rashtriya Krishi Vigyan Puraskar</t>
        </is>
      </c>
      <c r="D507" s="8" t="inlineStr">
        <is>
          <t>Applicant documents</t>
        </is>
      </c>
      <c r="E507" s="8" t="inlineStr"/>
      <c r="F507" s="8" t="inlineStr">
        <is>
          <t>documents.en.documents_required[0].children[2]</t>
        </is>
      </c>
      <c r="G507" s="8" t="inlineStr">
        <is>
          <t>C07@20261028-2e86f237</t>
        </is>
      </c>
      <c r="H507" s="8" t="n">
        <v>1</v>
      </c>
      <c r="I507" s="8" t="n">
        <v>1</v>
      </c>
      <c r="J507" s="8" t="inlineStr">
        <is>
          <t>Proof your work helped people/environment</t>
        </is>
      </c>
      <c r="K507" s="8" t="inlineStr">
        <is>
          <t>MS-C07</t>
        </is>
      </c>
      <c r="L507" s="9" t="n">
        <v>46323</v>
      </c>
      <c r="M507" s="8" t="inlineStr">
        <is>
          <t>Approved</t>
        </is>
      </c>
      <c r="N507" s="8" t="inlineStr">
        <is>
          <t>list_item</t>
        </is>
      </c>
    </row>
    <row r="508" ht="40" customHeight="1">
      <c r="A508" s="4" t="inlineStr">
        <is>
          <t>C07-P0031</t>
        </is>
      </c>
      <c r="B508" s="4" t="inlineStr">
        <is>
          <t>C07</t>
        </is>
      </c>
      <c r="C508" s="4" t="inlineStr">
        <is>
          <t>Rashtriya Krishi Vigyan Puraskar</t>
        </is>
      </c>
      <c r="D508" s="4" t="inlineStr">
        <is>
          <t>Applicant documents</t>
        </is>
      </c>
      <c r="E508" s="4" t="inlineStr"/>
      <c r="F508" s="4" t="inlineStr">
        <is>
          <t>documents.en.documents_required[0].children[3]</t>
        </is>
      </c>
      <c r="G508" s="4" t="inlineStr">
        <is>
          <t>C07@20261028-2e86f237</t>
        </is>
      </c>
      <c r="H508" s="4" t="n">
        <v>1</v>
      </c>
      <c r="I508" s="4" t="n">
        <v>1</v>
      </c>
      <c r="J508" s="4" t="inlineStr">
        <is>
          <t>Documents (papers, patents, etc.)</t>
        </is>
      </c>
      <c r="K508" s="4" t="inlineStr">
        <is>
          <t>MS-C07</t>
        </is>
      </c>
      <c r="L508" s="6" t="n">
        <v>46323</v>
      </c>
      <c r="M508" s="4" t="inlineStr">
        <is>
          <t>Approved</t>
        </is>
      </c>
      <c r="N508" s="4" t="inlineStr">
        <is>
          <t>list_item</t>
        </is>
      </c>
    </row>
    <row r="509" ht="40" customHeight="1">
      <c r="A509" s="8" t="inlineStr">
        <is>
          <t>C07-P0032</t>
        </is>
      </c>
      <c r="B509" s="8" t="inlineStr">
        <is>
          <t>C07</t>
        </is>
      </c>
      <c r="C509" s="8" t="inlineStr">
        <is>
          <t>Rashtriya Krishi Vigyan Puraskar</t>
        </is>
      </c>
      <c r="D509" s="8" t="inlineStr">
        <is>
          <t>Applicant documents</t>
        </is>
      </c>
      <c r="E509" s="8" t="inlineStr"/>
      <c r="F509" s="8" t="inlineStr">
        <is>
          <t>documents.en.documents_required[0].children[4]</t>
        </is>
      </c>
      <c r="G509" s="8" t="inlineStr">
        <is>
          <t>C07@20261028-2e86f237</t>
        </is>
      </c>
      <c r="H509" s="8" t="n">
        <v>1</v>
      </c>
      <c r="I509" s="8" t="n">
        <v>1</v>
      </c>
      <c r="J509" s="8" t="inlineStr">
        <is>
          <t>Clean record certificate</t>
        </is>
      </c>
      <c r="K509" s="8" t="inlineStr">
        <is>
          <t>MS-C07</t>
        </is>
      </c>
      <c r="L509" s="9" t="n">
        <v>46323</v>
      </c>
      <c r="M509" s="8" t="inlineStr">
        <is>
          <t>Approved</t>
        </is>
      </c>
      <c r="N509" s="8" t="inlineStr">
        <is>
          <t>list_item</t>
        </is>
      </c>
    </row>
    <row r="510" ht="40" customHeight="1">
      <c r="A510" s="4" t="inlineStr">
        <is>
          <t>C07-P0033</t>
        </is>
      </c>
      <c r="B510" s="4" t="inlineStr">
        <is>
          <t>C07</t>
        </is>
      </c>
      <c r="C510" s="4" t="inlineStr">
        <is>
          <t>Rashtriya Krishi Vigyan Puraskar</t>
        </is>
      </c>
      <c r="D510" s="4" t="inlineStr">
        <is>
          <t>Application process</t>
        </is>
      </c>
      <c r="E510" s="4" t="inlineStr">
        <is>
          <t>Registration:</t>
        </is>
      </c>
      <c r="F510" s="4" t="inlineStr">
        <is>
          <t>en.applicationProcess[0].process[0]</t>
        </is>
      </c>
      <c r="G510" s="4" t="inlineStr">
        <is>
          <t>C07@20261028-2e86f237</t>
        </is>
      </c>
      <c r="H510" s="4" t="n">
        <v>1</v>
      </c>
      <c r="I510" s="4" t="n">
        <v>1</v>
      </c>
      <c r="J510" s="4" t="inlineStr">
        <is>
          <t>Registration:</t>
        </is>
      </c>
      <c r="K510" s="4" t="inlineStr">
        <is>
          <t>MS-C07</t>
        </is>
      </c>
      <c r="L510" s="6" t="n">
        <v>46323</v>
      </c>
      <c r="M510" s="4" t="inlineStr">
        <is>
          <t>Approved</t>
        </is>
      </c>
      <c r="N510" s="4" t="inlineStr">
        <is>
          <t>paragraph</t>
        </is>
      </c>
    </row>
    <row r="511" ht="40" customHeight="1">
      <c r="A511" s="8" t="inlineStr">
        <is>
          <t>C07-P0034</t>
        </is>
      </c>
      <c r="B511" s="8" t="inlineStr">
        <is>
          <t>C07</t>
        </is>
      </c>
      <c r="C511" s="8" t="inlineStr">
        <is>
          <t>Rashtriya Krishi Vigyan Puraskar</t>
        </is>
      </c>
      <c r="D511" s="8" t="inlineStr">
        <is>
          <t>Application process</t>
        </is>
      </c>
      <c r="E511" s="8" t="inlineStr">
        <is>
          <t>Registration:</t>
        </is>
      </c>
      <c r="F511" s="8" t="inlineStr">
        <is>
          <t>en.applicationProcess[0].process[1]</t>
        </is>
      </c>
      <c r="G511" s="8" t="inlineStr">
        <is>
          <t>C07@20261028-2e86f237</t>
        </is>
      </c>
      <c r="H511" s="8" t="n">
        <v>1</v>
      </c>
      <c r="I511" s="8" t="n">
        <v>1</v>
      </c>
      <c r="J511" s="8" t="inlineStr">
        <is>
          <t>Step 1: Visit the official website and click on the Registration button.</t>
        </is>
      </c>
      <c r="K511" s="8" t="inlineStr">
        <is>
          <t>MS-C07</t>
        </is>
      </c>
      <c r="L511" s="9" t="n">
        <v>46323</v>
      </c>
      <c r="M511" s="8" t="inlineStr">
        <is>
          <t>Approved</t>
        </is>
      </c>
      <c r="N511" s="8" t="inlineStr">
        <is>
          <t>paragraph</t>
        </is>
      </c>
    </row>
    <row r="512" ht="40" customHeight="1">
      <c r="A512" s="4" t="inlineStr">
        <is>
          <t>C07-P0035</t>
        </is>
      </c>
      <c r="B512" s="4" t="inlineStr">
        <is>
          <t>C07</t>
        </is>
      </c>
      <c r="C512" s="4" t="inlineStr">
        <is>
          <t>Rashtriya Krishi Vigyan Puraskar</t>
        </is>
      </c>
      <c r="D512" s="4" t="inlineStr">
        <is>
          <t>Application process</t>
        </is>
      </c>
      <c r="E512" s="4" t="inlineStr">
        <is>
          <t>Registration:</t>
        </is>
      </c>
      <c r="F512" s="4" t="inlineStr">
        <is>
          <t>en.applicationProcess[0].process[2]</t>
        </is>
      </c>
      <c r="G512" s="4" t="inlineStr">
        <is>
          <t>C07@20261028-2e86f237</t>
        </is>
      </c>
      <c r="H512" s="4" t="n">
        <v>1</v>
      </c>
      <c r="I512" s="4" t="n">
        <v>1</v>
      </c>
      <c r="J512" s="4" t="inlineStr">
        <is>
          <t>Step 2: Select your category: Individual or Organization.</t>
        </is>
      </c>
      <c r="K512" s="4" t="inlineStr">
        <is>
          <t>MS-C07</t>
        </is>
      </c>
      <c r="L512" s="6" t="n">
        <v>46323</v>
      </c>
      <c r="M512" s="4" t="inlineStr">
        <is>
          <t>Approved</t>
        </is>
      </c>
      <c r="N512" s="4" t="inlineStr">
        <is>
          <t>paragraph</t>
        </is>
      </c>
    </row>
    <row r="513" ht="40" customHeight="1">
      <c r="A513" s="8" t="inlineStr">
        <is>
          <t>C07-P0036</t>
        </is>
      </c>
      <c r="B513" s="8" t="inlineStr">
        <is>
          <t>C07</t>
        </is>
      </c>
      <c r="C513" s="8" t="inlineStr">
        <is>
          <t>Rashtriya Krishi Vigyan Puraskar</t>
        </is>
      </c>
      <c r="D513" s="8" t="inlineStr">
        <is>
          <t>Application process</t>
        </is>
      </c>
      <c r="E513" s="8" t="inlineStr">
        <is>
          <t>Registration:</t>
        </is>
      </c>
      <c r="F513" s="8" t="inlineStr">
        <is>
          <t>en.applicationProcess[0].process[3]</t>
        </is>
      </c>
      <c r="G513" s="8" t="inlineStr">
        <is>
          <t>C07@20261028-2e86f237</t>
        </is>
      </c>
      <c r="H513" s="8" t="n">
        <v>1</v>
      </c>
      <c r="I513" s="8" t="n">
        <v>1</v>
      </c>
      <c r="J513" s="8" t="inlineStr">
        <is>
          <t>Step 3: Fill in the required details:</t>
        </is>
      </c>
      <c r="K513" s="8" t="inlineStr">
        <is>
          <t>MS-C07</t>
        </is>
      </c>
      <c r="L513" s="9" t="n">
        <v>46323</v>
      </c>
      <c r="M513" s="8" t="inlineStr">
        <is>
          <t>Approved</t>
        </is>
      </c>
      <c r="N513" s="8" t="inlineStr">
        <is>
          <t>paragraph</t>
        </is>
      </c>
    </row>
    <row r="514" ht="40" customHeight="1">
      <c r="A514" s="4" t="inlineStr">
        <is>
          <t>C07-P0037</t>
        </is>
      </c>
      <c r="B514" s="4" t="inlineStr">
        <is>
          <t>C07</t>
        </is>
      </c>
      <c r="C514" s="4" t="inlineStr">
        <is>
          <t>Rashtriya Krishi Vigyan Puraskar</t>
        </is>
      </c>
      <c r="D514" s="4" t="inlineStr">
        <is>
          <t>Application process</t>
        </is>
      </c>
      <c r="E514" s="4" t="inlineStr">
        <is>
          <t>Registration:</t>
        </is>
      </c>
      <c r="F514" s="4" t="inlineStr">
        <is>
          <t>en.applicationProcess[0].process[4]</t>
        </is>
      </c>
      <c r="G514" s="4" t="inlineStr">
        <is>
          <t>C07@20261028-2e86f237</t>
        </is>
      </c>
      <c r="H514" s="4" t="n">
        <v>1</v>
      </c>
      <c r="I514" s="4" t="n">
        <v>1</v>
      </c>
      <c r="J514" s="4" t="inlineStr">
        <is>
          <t>Individual: Name, Date of Birth, Nominator Type, Mobile, Email, Aadhaar Number.</t>
        </is>
      </c>
      <c r="K514" s="4" t="inlineStr">
        <is>
          <t>MS-C07</t>
        </is>
      </c>
      <c r="L514" s="6" t="n">
        <v>46323</v>
      </c>
      <c r="M514" s="4" t="inlineStr">
        <is>
          <t>Approved</t>
        </is>
      </c>
      <c r="N514" s="4" t="inlineStr">
        <is>
          <t>paragraph</t>
        </is>
      </c>
    </row>
    <row r="515" ht="40" customHeight="1">
      <c r="A515" s="8" t="inlineStr">
        <is>
          <t>C07-P0038</t>
        </is>
      </c>
      <c r="B515" s="8" t="inlineStr">
        <is>
          <t>C07</t>
        </is>
      </c>
      <c r="C515" s="8" t="inlineStr">
        <is>
          <t>Rashtriya Krishi Vigyan Puraskar</t>
        </is>
      </c>
      <c r="D515" s="8" t="inlineStr">
        <is>
          <t>Application process</t>
        </is>
      </c>
      <c r="E515" s="8" t="inlineStr">
        <is>
          <t>Registration:</t>
        </is>
      </c>
      <c r="F515" s="8" t="inlineStr">
        <is>
          <t>en.applicationProcess[0].process[5]</t>
        </is>
      </c>
      <c r="G515" s="8" t="inlineStr">
        <is>
          <t>C07@20261028-2e86f237</t>
        </is>
      </c>
      <c r="H515" s="8" t="n">
        <v>1</v>
      </c>
      <c r="I515" s="8" t="n">
        <v>1</v>
      </c>
      <c r="J515" s="8" t="inlineStr">
        <is>
          <t>Organization: Type, Authorized Person Name, Date of Birth, Organization Description, Designation, Mobile, Email, Aadhaar Number.</t>
        </is>
      </c>
      <c r="K515" s="8" t="inlineStr">
        <is>
          <t>MS-C07</t>
        </is>
      </c>
      <c r="L515" s="9" t="n">
        <v>46323</v>
      </c>
      <c r="M515" s="8" t="inlineStr">
        <is>
          <t>Approved</t>
        </is>
      </c>
      <c r="N515" s="8" t="inlineStr">
        <is>
          <t>paragraph</t>
        </is>
      </c>
    </row>
    <row r="516" ht="40" customHeight="1">
      <c r="A516" s="4" t="inlineStr">
        <is>
          <t>C07-P0039</t>
        </is>
      </c>
      <c r="B516" s="4" t="inlineStr">
        <is>
          <t>C07</t>
        </is>
      </c>
      <c r="C516" s="4" t="inlineStr">
        <is>
          <t>Rashtriya Krishi Vigyan Puraskar</t>
        </is>
      </c>
      <c r="D516" s="4" t="inlineStr">
        <is>
          <t>Application process</t>
        </is>
      </c>
      <c r="E516" s="4" t="inlineStr">
        <is>
          <t>Registration:</t>
        </is>
      </c>
      <c r="F516" s="4" t="inlineStr">
        <is>
          <t>en.applicationProcess[0].process[6]</t>
        </is>
      </c>
      <c r="G516" s="4" t="inlineStr">
        <is>
          <t>C07@20261028-2e86f237</t>
        </is>
      </c>
      <c r="H516" s="4" t="n">
        <v>1</v>
      </c>
      <c r="I516" s="4" t="n">
        <v>1</v>
      </c>
      <c r="J516" s="4" t="inlineStr">
        <is>
          <t>Step 4: Click Submit to complete registration.</t>
        </is>
      </c>
      <c r="K516" s="4" t="inlineStr">
        <is>
          <t>MS-C07</t>
        </is>
      </c>
      <c r="L516" s="6" t="n">
        <v>46323</v>
      </c>
      <c r="M516" s="4" t="inlineStr">
        <is>
          <t>Approved</t>
        </is>
      </c>
      <c r="N516" s="4" t="inlineStr">
        <is>
          <t>paragraph</t>
        </is>
      </c>
    </row>
    <row r="517" ht="40" customHeight="1">
      <c r="A517" s="8" t="inlineStr">
        <is>
          <t>C07-P0040</t>
        </is>
      </c>
      <c r="B517" s="8" t="inlineStr">
        <is>
          <t>C07</t>
        </is>
      </c>
      <c r="C517" s="8" t="inlineStr">
        <is>
          <t>Rashtriya Krishi Vigyan Puraskar</t>
        </is>
      </c>
      <c r="D517" s="8" t="inlineStr">
        <is>
          <t>Application process</t>
        </is>
      </c>
      <c r="E517" s="8" t="inlineStr">
        <is>
          <t>Apply:</t>
        </is>
      </c>
      <c r="F517" s="8" t="inlineStr">
        <is>
          <t>en.applicationProcess[0].process[7]</t>
        </is>
      </c>
      <c r="G517" s="8" t="inlineStr">
        <is>
          <t>C07@20261028-2e86f237</t>
        </is>
      </c>
      <c r="H517" s="8" t="n">
        <v>1</v>
      </c>
      <c r="I517" s="8" t="n">
        <v>1</v>
      </c>
      <c r="J517" s="8" t="inlineStr">
        <is>
          <t>Apply:</t>
        </is>
      </c>
      <c r="K517" s="8" t="inlineStr">
        <is>
          <t>MS-C07</t>
        </is>
      </c>
      <c r="L517" s="9" t="n">
        <v>46323</v>
      </c>
      <c r="M517" s="8" t="inlineStr">
        <is>
          <t>Approved</t>
        </is>
      </c>
      <c r="N517" s="8" t="inlineStr">
        <is>
          <t>paragraph</t>
        </is>
      </c>
    </row>
    <row r="518" ht="40" customHeight="1">
      <c r="A518" s="4" t="inlineStr">
        <is>
          <t>C07-P0041</t>
        </is>
      </c>
      <c r="B518" s="4" t="inlineStr">
        <is>
          <t>C07</t>
        </is>
      </c>
      <c r="C518" s="4" t="inlineStr">
        <is>
          <t>Rashtriya Krishi Vigyan Puraskar</t>
        </is>
      </c>
      <c r="D518" s="4" t="inlineStr">
        <is>
          <t>Application process</t>
        </is>
      </c>
      <c r="E518" s="4" t="inlineStr">
        <is>
          <t>Apply:</t>
        </is>
      </c>
      <c r="F518" s="4" t="inlineStr">
        <is>
          <t>en.applicationProcess[0].process[8]</t>
        </is>
      </c>
      <c r="G518" s="4" t="inlineStr">
        <is>
          <t>C07@20261028-2e86f237</t>
        </is>
      </c>
      <c r="H518" s="4" t="n">
        <v>1</v>
      </c>
      <c r="I518" s="4" t="n">
        <v>1</v>
      </c>
      <c r="J518" s="4" t="inlineStr">
        <is>
          <t>Step 1: Log in to the portal using your registered credentials.</t>
        </is>
      </c>
      <c r="K518" s="4" t="inlineStr">
        <is>
          <t>MS-C07</t>
        </is>
      </c>
      <c r="L518" s="6" t="n">
        <v>46323</v>
      </c>
      <c r="M518" s="4" t="inlineStr">
        <is>
          <t>Approved</t>
        </is>
      </c>
      <c r="N518" s="4" t="inlineStr">
        <is>
          <t>paragraph</t>
        </is>
      </c>
    </row>
    <row r="519" ht="40" customHeight="1">
      <c r="A519" s="8" t="inlineStr">
        <is>
          <t>C07-P0042</t>
        </is>
      </c>
      <c r="B519" s="8" t="inlineStr">
        <is>
          <t>C07</t>
        </is>
      </c>
      <c r="C519" s="8" t="inlineStr">
        <is>
          <t>Rashtriya Krishi Vigyan Puraskar</t>
        </is>
      </c>
      <c r="D519" s="8" t="inlineStr">
        <is>
          <t>Application process</t>
        </is>
      </c>
      <c r="E519" s="8" t="inlineStr">
        <is>
          <t>Apply:</t>
        </is>
      </c>
      <c r="F519" s="8" t="inlineStr">
        <is>
          <t>en.applicationProcess[0].process[9]</t>
        </is>
      </c>
      <c r="G519" s="8" t="inlineStr">
        <is>
          <t>C07@20261028-2e86f237</t>
        </is>
      </c>
      <c r="H519" s="8" t="n">
        <v>1</v>
      </c>
      <c r="I519" s="8" t="n">
        <v>1</v>
      </c>
      <c r="J519" s="8" t="inlineStr">
        <is>
          <t>Step 2: Select the scheme from the list of awards and click "Nominate / Apply Now".</t>
        </is>
      </c>
      <c r="K519" s="8" t="inlineStr">
        <is>
          <t>MS-C07</t>
        </is>
      </c>
      <c r="L519" s="9" t="n">
        <v>46323</v>
      </c>
      <c r="M519" s="8" t="inlineStr">
        <is>
          <t>Approved</t>
        </is>
      </c>
      <c r="N519" s="8" t="inlineStr">
        <is>
          <t>paragraph</t>
        </is>
      </c>
    </row>
    <row r="520" ht="40" customHeight="1">
      <c r="A520" s="4" t="inlineStr">
        <is>
          <t>C07-P0043</t>
        </is>
      </c>
      <c r="B520" s="4" t="inlineStr">
        <is>
          <t>C07</t>
        </is>
      </c>
      <c r="C520" s="4" t="inlineStr">
        <is>
          <t>Rashtriya Krishi Vigyan Puraskar</t>
        </is>
      </c>
      <c r="D520" s="4" t="inlineStr">
        <is>
          <t>Application process</t>
        </is>
      </c>
      <c r="E520" s="4" t="inlineStr">
        <is>
          <t>Apply:</t>
        </is>
      </c>
      <c r="F520" s="4" t="inlineStr">
        <is>
          <t>en.applicationProcess[0].process[10]</t>
        </is>
      </c>
      <c r="G520" s="4" t="inlineStr">
        <is>
          <t>C07@20261028-2e86f237</t>
        </is>
      </c>
      <c r="H520" s="4" t="n">
        <v>1</v>
      </c>
      <c r="I520" s="4" t="n">
        <v>1</v>
      </c>
      <c r="J520" s="4" t="inlineStr">
        <is>
          <t>Step 3: Fill in all mandatory fields in the online application form.</t>
        </is>
      </c>
      <c r="K520" s="4" t="inlineStr">
        <is>
          <t>MS-C07</t>
        </is>
      </c>
      <c r="L520" s="6" t="n">
        <v>46323</v>
      </c>
      <c r="M520" s="4" t="inlineStr">
        <is>
          <t>Approved</t>
        </is>
      </c>
      <c r="N520" s="4" t="inlineStr">
        <is>
          <t>paragraph</t>
        </is>
      </c>
    </row>
    <row r="521" ht="40" customHeight="1">
      <c r="A521" s="8" t="inlineStr">
        <is>
          <t>C07-P0044</t>
        </is>
      </c>
      <c r="B521" s="8" t="inlineStr">
        <is>
          <t>C07</t>
        </is>
      </c>
      <c r="C521" s="8" t="inlineStr">
        <is>
          <t>Rashtriya Krishi Vigyan Puraskar</t>
        </is>
      </c>
      <c r="D521" s="8" t="inlineStr">
        <is>
          <t>Application process</t>
        </is>
      </c>
      <c r="E521" s="8" t="inlineStr">
        <is>
          <t>Apply:</t>
        </is>
      </c>
      <c r="F521" s="8" t="inlineStr">
        <is>
          <t>en.applicationProcess[0].process[11]</t>
        </is>
      </c>
      <c r="G521" s="8" t="inlineStr">
        <is>
          <t>C07@20261028-2e86f237</t>
        </is>
      </c>
      <c r="H521" s="8" t="n">
        <v>1</v>
      </c>
      <c r="I521" s="8" t="n">
        <v>1</v>
      </c>
      <c r="J521" s="8" t="inlineStr">
        <is>
          <t>Step 4: Click Submit to complete your application.</t>
        </is>
      </c>
      <c r="K521" s="8" t="inlineStr">
        <is>
          <t>MS-C07</t>
        </is>
      </c>
      <c r="L521" s="9" t="n">
        <v>46323</v>
      </c>
      <c r="M521" s="8" t="inlineStr">
        <is>
          <t>Approved</t>
        </is>
      </c>
      <c r="N521" s="8" t="inlineStr">
        <is>
          <t>paragraph</t>
        </is>
      </c>
    </row>
    <row r="522" ht="54" customHeight="1">
      <c r="A522" s="4" t="inlineStr">
        <is>
          <t>C07-P0045</t>
        </is>
      </c>
      <c r="B522" s="4" t="inlineStr">
        <is>
          <t>C07</t>
        </is>
      </c>
      <c r="C522" s="4" t="inlineStr">
        <is>
          <t>Rashtriya Krishi Vigyan Puraskar</t>
        </is>
      </c>
      <c r="D522" s="4" t="inlineStr">
        <is>
          <t>FAQ</t>
        </is>
      </c>
      <c r="E522" s="4" t="inlineStr"/>
      <c r="F522" s="4" t="inlineStr">
        <is>
          <t>faqs.en.faqs[0]</t>
        </is>
      </c>
      <c r="G522" s="4" t="inlineStr">
        <is>
          <t>C07@20261028-2e86f237</t>
        </is>
      </c>
      <c r="H522" s="4" t="n">
        <v>1</v>
      </c>
      <c r="I522" s="4" t="n">
        <v>1</v>
      </c>
      <c r="J522" s="4" t="inlineStr">
        <is>
          <t>What is Rashtriya Krishi Vigyan Puraskar (RKVP)?
It is an award given to agricultural scientists and professionals for outstanding contributions in agriculture and allied sciences.</t>
        </is>
      </c>
      <c r="K522" s="4" t="inlineStr">
        <is>
          <t>MS-C07</t>
        </is>
      </c>
      <c r="L522" s="6" t="n">
        <v>46323</v>
      </c>
      <c r="M522" s="4" t="inlineStr">
        <is>
          <t>Approved</t>
        </is>
      </c>
      <c r="N522" s="4" t="inlineStr">
        <is>
          <t>faq</t>
        </is>
      </c>
    </row>
    <row r="523" ht="54" customHeight="1">
      <c r="A523" s="8" t="inlineStr">
        <is>
          <t>C07-P0046</t>
        </is>
      </c>
      <c r="B523" s="8" t="inlineStr">
        <is>
          <t>C07</t>
        </is>
      </c>
      <c r="C523" s="8" t="inlineStr">
        <is>
          <t>Rashtriya Krishi Vigyan Puraskar</t>
        </is>
      </c>
      <c r="D523" s="8" t="inlineStr">
        <is>
          <t>FAQ</t>
        </is>
      </c>
      <c r="E523" s="8" t="inlineStr"/>
      <c r="F523" s="8" t="inlineStr">
        <is>
          <t>faqs.en.faqs[1]</t>
        </is>
      </c>
      <c r="G523" s="8" t="inlineStr">
        <is>
          <t>C07@20261028-2e86f237</t>
        </is>
      </c>
      <c r="H523" s="8" t="n">
        <v>1</v>
      </c>
      <c r="I523" s="8" t="n">
        <v>1</v>
      </c>
      <c r="J523" s="8" t="inlineStr">
        <is>
          <t>What type of work is considered for the award?
The applicant’s work must include research, innovation, or extension activities with proven impact on society, economy, or environment.</t>
        </is>
      </c>
      <c r="K523" s="8" t="inlineStr">
        <is>
          <t>MS-C07</t>
        </is>
      </c>
      <c r="L523" s="9" t="n">
        <v>46323</v>
      </c>
      <c r="M523" s="8" t="inlineStr">
        <is>
          <t>Approved</t>
        </is>
      </c>
      <c r="N523" s="8" t="inlineStr">
        <is>
          <t>faq</t>
        </is>
      </c>
    </row>
    <row r="524" ht="54" customHeight="1">
      <c r="A524" s="4" t="inlineStr">
        <is>
          <t>C07-P0047</t>
        </is>
      </c>
      <c r="B524" s="4" t="inlineStr">
        <is>
          <t>C07</t>
        </is>
      </c>
      <c r="C524" s="4" t="inlineStr">
        <is>
          <t>Rashtriya Krishi Vigyan Puraskar</t>
        </is>
      </c>
      <c r="D524" s="4" t="inlineStr">
        <is>
          <t>FAQ</t>
        </is>
      </c>
      <c r="E524" s="4" t="inlineStr"/>
      <c r="F524" s="4" t="inlineStr">
        <is>
          <t>faqs.en.faqs[2]</t>
        </is>
      </c>
      <c r="G524" s="4" t="inlineStr">
        <is>
          <t>C07@20261028-2e86f237</t>
        </is>
      </c>
      <c r="H524" s="4" t="n">
        <v>1</v>
      </c>
      <c r="I524" s="4" t="n">
        <v>1</v>
      </c>
      <c r="J524" s="4" t="inlineStr">
        <is>
          <t>Is there any minimum experience required?
No, the applicant can apply at any stage of their career as no minimum service period is required.</t>
        </is>
      </c>
      <c r="K524" s="4" t="inlineStr">
        <is>
          <t>MS-C07</t>
        </is>
      </c>
      <c r="L524" s="6" t="n">
        <v>46323</v>
      </c>
      <c r="M524" s="4" t="inlineStr">
        <is>
          <t>Approved</t>
        </is>
      </c>
      <c r="N524" s="4" t="inlineStr">
        <is>
          <t>faq</t>
        </is>
      </c>
    </row>
    <row r="525" ht="40" customHeight="1">
      <c r="A525" s="8" t="inlineStr">
        <is>
          <t>C07-P0048</t>
        </is>
      </c>
      <c r="B525" s="8" t="inlineStr">
        <is>
          <t>C07</t>
        </is>
      </c>
      <c r="C525" s="8" t="inlineStr">
        <is>
          <t>Rashtriya Krishi Vigyan Puraskar</t>
        </is>
      </c>
      <c r="D525" s="8" t="inlineStr">
        <is>
          <t>FAQ</t>
        </is>
      </c>
      <c r="E525" s="8" t="inlineStr"/>
      <c r="F525" s="8" t="inlineStr">
        <is>
          <t>faqs.en.faqs[3]</t>
        </is>
      </c>
      <c r="G525" s="8" t="inlineStr">
        <is>
          <t>C07@20261028-2e86f237</t>
        </is>
      </c>
      <c r="H525" s="8" t="n">
        <v>1</v>
      </c>
      <c r="I525" s="8" t="n">
        <v>1</v>
      </c>
      <c r="J525" s="8" t="inlineStr">
        <is>
          <t>Can a person apply more than once in a year?
No, the applicant can submit only one application for one contribution in a year.</t>
        </is>
      </c>
      <c r="K525" s="8" t="inlineStr">
        <is>
          <t>MS-C07</t>
        </is>
      </c>
      <c r="L525" s="9" t="n">
        <v>46323</v>
      </c>
      <c r="M525" s="8" t="inlineStr">
        <is>
          <t>Approved</t>
        </is>
      </c>
      <c r="N525" s="8" t="inlineStr">
        <is>
          <t>faq</t>
        </is>
      </c>
    </row>
    <row r="526" ht="54" customHeight="1">
      <c r="A526" s="4" t="inlineStr">
        <is>
          <t>C07-P0049</t>
        </is>
      </c>
      <c r="B526" s="4" t="inlineStr">
        <is>
          <t>C07</t>
        </is>
      </c>
      <c r="C526" s="4" t="inlineStr">
        <is>
          <t>Rashtriya Krishi Vigyan Puraskar</t>
        </is>
      </c>
      <c r="D526" s="4" t="inlineStr">
        <is>
          <t>FAQ</t>
        </is>
      </c>
      <c r="E526" s="4" t="inlineStr"/>
      <c r="F526" s="4" t="inlineStr">
        <is>
          <t>faqs.en.faqs[4]</t>
        </is>
      </c>
      <c r="G526" s="4" t="inlineStr">
        <is>
          <t>C07@20261028-2e86f237</t>
        </is>
      </c>
      <c r="H526" s="4" t="n">
        <v>1</v>
      </c>
      <c r="I526" s="4" t="n">
        <v>1</v>
      </c>
      <c r="J526" s="4" t="inlineStr">
        <is>
          <t>How many members are allowed in a team?
The applicant can be part of a team of up to 5 members (or minimum 3 for interdisciplinary category).</t>
        </is>
      </c>
      <c r="K526" s="4" t="inlineStr">
        <is>
          <t>MS-C07</t>
        </is>
      </c>
      <c r="L526" s="6" t="n">
        <v>46323</v>
      </c>
      <c r="M526" s="4" t="inlineStr">
        <is>
          <t>Approved</t>
        </is>
      </c>
      <c r="N526" s="4" t="inlineStr">
        <is>
          <t>faq</t>
        </is>
      </c>
    </row>
    <row r="527" ht="40" customHeight="1">
      <c r="A527" s="8" t="inlineStr">
        <is>
          <t>C07-P0050</t>
        </is>
      </c>
      <c r="B527" s="8" t="inlineStr">
        <is>
          <t>C07</t>
        </is>
      </c>
      <c r="C527" s="8" t="inlineStr">
        <is>
          <t>Rashtriya Krishi Vigyan Puraskar</t>
        </is>
      </c>
      <c r="D527" s="8" t="inlineStr">
        <is>
          <t>FAQ</t>
        </is>
      </c>
      <c r="E527" s="8" t="inlineStr"/>
      <c r="F527" s="8" t="inlineStr">
        <is>
          <t>faqs.en.faqs[5]</t>
        </is>
      </c>
      <c r="G527" s="8" t="inlineStr">
        <is>
          <t>C07@20261028-2e86f237</t>
        </is>
      </c>
      <c r="H527" s="8" t="n">
        <v>1</v>
      </c>
      <c r="I527" s="8" t="n">
        <v>1</v>
      </c>
      <c r="J527" s="8" t="inlineStr">
        <is>
          <t>Can the same person apply in multiple categories?
No, the applicant can apply in only one category.</t>
        </is>
      </c>
      <c r="K527" s="8" t="inlineStr">
        <is>
          <t>MS-C07</t>
        </is>
      </c>
      <c r="L527" s="9" t="n">
        <v>46323</v>
      </c>
      <c r="M527" s="8" t="inlineStr">
        <is>
          <t>Approved</t>
        </is>
      </c>
      <c r="N527" s="8" t="inlineStr">
        <is>
          <t>faq</t>
        </is>
      </c>
    </row>
    <row r="528" ht="40" customHeight="1">
      <c r="A528" s="4" t="inlineStr">
        <is>
          <t>C07-P0051</t>
        </is>
      </c>
      <c r="B528" s="4" t="inlineStr">
        <is>
          <t>C07</t>
        </is>
      </c>
      <c r="C528" s="4" t="inlineStr">
        <is>
          <t>Rashtriya Krishi Vigyan Puraskar</t>
        </is>
      </c>
      <c r="D528" s="4" t="inlineStr">
        <is>
          <t>FAQ</t>
        </is>
      </c>
      <c r="E528" s="4" t="inlineStr"/>
      <c r="F528" s="4" t="inlineStr">
        <is>
          <t>faqs.en.faqs[6]</t>
        </is>
      </c>
      <c r="G528" s="4" t="inlineStr">
        <is>
          <t>C07@20261028-2e86f237</t>
        </is>
      </c>
      <c r="H528" s="4" t="n">
        <v>1</v>
      </c>
      <c r="I528" s="4" t="n">
        <v>1</v>
      </c>
      <c r="J528" s="4" t="inlineStr">
        <is>
          <t>Who can nominate the applicant?
The applicant can be nominated by institutions, government bodies, or can also self-nominate.</t>
        </is>
      </c>
      <c r="K528" s="4" t="inlineStr">
        <is>
          <t>MS-C07</t>
        </is>
      </c>
      <c r="L528" s="6" t="n">
        <v>46323</v>
      </c>
      <c r="M528" s="4" t="inlineStr">
        <is>
          <t>Approved</t>
        </is>
      </c>
      <c r="N528" s="4" t="inlineStr">
        <is>
          <t>faq</t>
        </is>
      </c>
    </row>
    <row r="529" ht="54" customHeight="1">
      <c r="A529" s="8" t="inlineStr">
        <is>
          <t>C07-P0052</t>
        </is>
      </c>
      <c r="B529" s="8" t="inlineStr">
        <is>
          <t>C07</t>
        </is>
      </c>
      <c r="C529" s="8" t="inlineStr">
        <is>
          <t>Rashtriya Krishi Vigyan Puraskar</t>
        </is>
      </c>
      <c r="D529" s="8" t="inlineStr">
        <is>
          <t>FAQ</t>
        </is>
      </c>
      <c r="E529" s="8" t="inlineStr"/>
      <c r="F529" s="8" t="inlineStr">
        <is>
          <t>faqs.en.faqs[7]</t>
        </is>
      </c>
      <c r="G529" s="8" t="inlineStr">
        <is>
          <t>C07@20261028-2e86f237</t>
        </is>
      </c>
      <c r="H529" s="8" t="n">
        <v>1</v>
      </c>
      <c r="I529" s="8" t="n">
        <v>1</v>
      </c>
      <c r="J529" s="8" t="inlineStr">
        <is>
          <t>What happens if the awardee cannot attend the ceremony?
The award is still considered given, but no one else can receive it on their behalf (except in posthumous cases).</t>
        </is>
      </c>
      <c r="K529" s="8" t="inlineStr">
        <is>
          <t>MS-C07</t>
        </is>
      </c>
      <c r="L529" s="9" t="n">
        <v>46323</v>
      </c>
      <c r="M529" s="8" t="inlineStr">
        <is>
          <t>Approved</t>
        </is>
      </c>
      <c r="N529" s="8" t="inlineStr">
        <is>
          <t>faq</t>
        </is>
      </c>
    </row>
    <row r="530" ht="40" customHeight="1">
      <c r="A530" s="4" t="inlineStr">
        <is>
          <t>C07-P0053</t>
        </is>
      </c>
      <c r="B530" s="4" t="inlineStr">
        <is>
          <t>C07</t>
        </is>
      </c>
      <c r="C530" s="4" t="inlineStr">
        <is>
          <t>Rashtriya Krishi Vigyan Puraskar</t>
        </is>
      </c>
      <c r="D530" s="4" t="inlineStr">
        <is>
          <t>FAQ</t>
        </is>
      </c>
      <c r="E530" s="4" t="inlineStr"/>
      <c r="F530" s="4" t="inlineStr">
        <is>
          <t>faqs.en.faqs[8]</t>
        </is>
      </c>
      <c r="G530" s="4" t="inlineStr">
        <is>
          <t>C07@20261028-2e86f237</t>
        </is>
      </c>
      <c r="H530" s="4" t="n">
        <v>1</v>
      </c>
      <c r="I530" s="4" t="n">
        <v>1</v>
      </c>
      <c r="J530" s="4" t="inlineStr">
        <is>
          <t>How long is the application valid?
The applicant’s application is valid for one year only and is not carried forward.</t>
        </is>
      </c>
      <c r="K530" s="4" t="inlineStr">
        <is>
          <t>MS-C07</t>
        </is>
      </c>
      <c r="L530" s="6" t="n">
        <v>46323</v>
      </c>
      <c r="M530" s="4" t="inlineStr">
        <is>
          <t>Approved</t>
        </is>
      </c>
      <c r="N530" s="4" t="inlineStr">
        <is>
          <t>faq</t>
        </is>
      </c>
    </row>
    <row r="531" ht="138" customHeight="1">
      <c r="A531" s="8" t="inlineStr">
        <is>
          <t>C08-P0001</t>
        </is>
      </c>
      <c r="B531" s="8" t="inlineStr">
        <is>
          <t>C08</t>
        </is>
      </c>
      <c r="C531" s="8" t="inlineStr">
        <is>
          <t>Market Development Assistance</t>
        </is>
      </c>
      <c r="D531" s="8" t="inlineStr">
        <is>
          <t>Details</t>
        </is>
      </c>
      <c r="E531" s="8" t="inlineStr"/>
      <c r="F531" s="8" t="inlineStr">
        <is>
          <t>en.schemeContent.detailedDescription[0]</t>
        </is>
      </c>
      <c r="G531" s="8" t="inlineStr">
        <is>
          <t>C08@20261028-6245ae04</t>
        </is>
      </c>
      <c r="H531" s="8" t="n">
        <v>1</v>
      </c>
      <c r="I531" s="8" t="n">
        <v>1</v>
      </c>
      <c r="J531" s="8" t="inlineStr">
        <is>
          <t>The scheme "Market Development Assistance" was launched by the Ministry of Chemicals &amp; Fertilizers, Department of Fertilizers, and the scheme aims to promote organic fertilizers produced at plants under the umbrella Galvanizing Organic Bio-Agro Resources Dhan initiative covering various Bio-Gas and Compressed Bio-Gas support schemes. The scheme provides Market Development Assistance at ₹1,500/- per Metric Tonne for the sale of Fermented Organic Manure, Liquid Fermented Organic Manure, and enriched Phosphate Rich Organic Manure, along with gap funding for research from a corpus of ₹3,60,00,00,000/-. The applicant must register their manufacturing units on the Galvanizing Organic Bio-Agro Resources Dhan portal and market the fertilizers in conformity with the Fertilizer Control Order specifications.</t>
        </is>
      </c>
      <c r="K531" s="8" t="inlineStr">
        <is>
          <t>MS-C08</t>
        </is>
      </c>
      <c r="L531" s="9" t="n">
        <v>46323</v>
      </c>
      <c r="M531" s="8" t="inlineStr">
        <is>
          <t>Approved</t>
        </is>
      </c>
      <c r="N531" s="8" t="inlineStr">
        <is>
          <t>paragraph</t>
        </is>
      </c>
    </row>
    <row r="532" ht="40" customHeight="1">
      <c r="A532" s="4" t="inlineStr">
        <is>
          <t>C08-P0002</t>
        </is>
      </c>
      <c r="B532" s="4" t="inlineStr">
        <is>
          <t>C08</t>
        </is>
      </c>
      <c r="C532" s="4" t="inlineStr">
        <is>
          <t>Market Development Assistance</t>
        </is>
      </c>
      <c r="D532" s="4" t="inlineStr">
        <is>
          <t>Benefits</t>
        </is>
      </c>
      <c r="E532" s="4" t="inlineStr"/>
      <c r="F532" s="4" t="inlineStr">
        <is>
          <t>en.schemeContent.benefits[0].children[0]</t>
        </is>
      </c>
      <c r="G532" s="4" t="inlineStr">
        <is>
          <t>C08@20261028-6245ae04</t>
        </is>
      </c>
      <c r="H532" s="4" t="n">
        <v>1</v>
      </c>
      <c r="I532" s="4" t="n">
        <v>1</v>
      </c>
      <c r="J532" s="4" t="inlineStr">
        <is>
          <t>Market Development Assistance of ₹1,500/- per Metric Tonne is provided for the sale of Fermented Organic Manure, Liquid Fermented Organic Manure, and enriched Phosphate Rich Organic Manure.</t>
        </is>
      </c>
      <c r="K532" s="4" t="inlineStr">
        <is>
          <t>MS-C08</t>
        </is>
      </c>
      <c r="L532" s="6" t="n">
        <v>46323</v>
      </c>
      <c r="M532" s="4" t="inlineStr">
        <is>
          <t>Approved</t>
        </is>
      </c>
      <c r="N532" s="4" t="inlineStr">
        <is>
          <t>list_item</t>
        </is>
      </c>
    </row>
    <row r="533" ht="40" customHeight="1">
      <c r="A533" s="8" t="inlineStr">
        <is>
          <t>C08-P0003</t>
        </is>
      </c>
      <c r="B533" s="8" t="inlineStr">
        <is>
          <t>C08</t>
        </is>
      </c>
      <c r="C533" s="8" t="inlineStr">
        <is>
          <t>Market Development Assistance</t>
        </is>
      </c>
      <c r="D533" s="8" t="inlineStr">
        <is>
          <t>Benefits</t>
        </is>
      </c>
      <c r="E533" s="8" t="inlineStr"/>
      <c r="F533" s="8" t="inlineStr">
        <is>
          <t>en.schemeContent.benefits[0].children[1]</t>
        </is>
      </c>
      <c r="G533" s="8" t="inlineStr">
        <is>
          <t>C08@20261028-6245ae04</t>
        </is>
      </c>
      <c r="H533" s="8" t="n">
        <v>1</v>
      </c>
      <c r="I533" s="8" t="n">
        <v>1</v>
      </c>
      <c r="J533" s="8" t="inlineStr">
        <is>
          <t>A corpus of ₹3,60,00,00,000/- is available for research gap funding, to be utilized only by Central and State Research Institutes or non-private fertilizer cooperatives.</t>
        </is>
      </c>
      <c r="K533" s="8" t="inlineStr">
        <is>
          <t>MS-C08</t>
        </is>
      </c>
      <c r="L533" s="9" t="n">
        <v>46323</v>
      </c>
      <c r="M533" s="8" t="inlineStr">
        <is>
          <t>Approved</t>
        </is>
      </c>
      <c r="N533" s="8" t="inlineStr">
        <is>
          <t>list_item</t>
        </is>
      </c>
    </row>
    <row r="534" ht="40" customHeight="1">
      <c r="A534" s="4" t="inlineStr">
        <is>
          <t>C08-P0004</t>
        </is>
      </c>
      <c r="B534" s="4" t="inlineStr">
        <is>
          <t>C08</t>
        </is>
      </c>
      <c r="C534" s="4" t="inlineStr">
        <is>
          <t>Market Development Assistance</t>
        </is>
      </c>
      <c r="D534" s="4" t="inlineStr">
        <is>
          <t>Benefits</t>
        </is>
      </c>
      <c r="E534" s="4" t="inlineStr"/>
      <c r="F534" s="4" t="inlineStr">
        <is>
          <t>en.schemeContent.benefits[0].children[2]</t>
        </is>
      </c>
      <c r="G534" s="4" t="inlineStr">
        <is>
          <t>C08@20261028-6245ae04</t>
        </is>
      </c>
      <c r="H534" s="4" t="n">
        <v>1</v>
      </c>
      <c r="I534" s="4" t="n">
        <v>1</v>
      </c>
      <c r="J534" s="4" t="inlineStr">
        <is>
          <t>The total budget outlay for the scheme is ₹14,51,82,00,000/- for three years from Financial Year 2023-24 to Financial Year 2025-26.</t>
        </is>
      </c>
      <c r="K534" s="4" t="inlineStr">
        <is>
          <t>MS-C08</t>
        </is>
      </c>
      <c r="L534" s="6" t="n">
        <v>46323</v>
      </c>
      <c r="M534" s="4" t="inlineStr">
        <is>
          <t>Approved</t>
        </is>
      </c>
      <c r="N534" s="4" t="inlineStr">
        <is>
          <t>list_item</t>
        </is>
      </c>
    </row>
    <row r="535" ht="40" customHeight="1">
      <c r="A535" s="8" t="inlineStr">
        <is>
          <t>C08-P0005</t>
        </is>
      </c>
      <c r="B535" s="8" t="inlineStr">
        <is>
          <t>C08</t>
        </is>
      </c>
      <c r="C535" s="8" t="inlineStr">
        <is>
          <t>Market Development Assistance</t>
        </is>
      </c>
      <c r="D535" s="8" t="inlineStr">
        <is>
          <t>Benefits</t>
        </is>
      </c>
      <c r="E535" s="8" t="inlineStr"/>
      <c r="F535" s="8" t="inlineStr">
        <is>
          <t>en.schemeContent.benefits[1].children[0]</t>
        </is>
      </c>
      <c r="G535" s="8" t="inlineStr">
        <is>
          <t>C08@20261028-6245ae04</t>
        </is>
      </c>
      <c r="H535" s="8" t="n">
        <v>1</v>
      </c>
      <c r="I535" s="8" t="n">
        <v>1</v>
      </c>
      <c r="J535" s="8" t="inlineStr">
        <is>
          <t>Disbursal</t>
        </is>
      </c>
      <c r="K535" s="8" t="inlineStr">
        <is>
          <t>MS-C08</t>
        </is>
      </c>
      <c r="L535" s="9" t="n">
        <v>46323</v>
      </c>
      <c r="M535" s="8" t="inlineStr">
        <is>
          <t>Approved</t>
        </is>
      </c>
      <c r="N535" s="8" t="inlineStr">
        <is>
          <t>text</t>
        </is>
      </c>
    </row>
    <row r="536" ht="40" customHeight="1">
      <c r="A536" s="4" t="inlineStr">
        <is>
          <t>C08-P0006</t>
        </is>
      </c>
      <c r="B536" s="4" t="inlineStr">
        <is>
          <t>C08</t>
        </is>
      </c>
      <c r="C536" s="4" t="inlineStr">
        <is>
          <t>Market Development Assistance</t>
        </is>
      </c>
      <c r="D536" s="4" t="inlineStr">
        <is>
          <t>Benefits</t>
        </is>
      </c>
      <c r="E536" s="4" t="inlineStr"/>
      <c r="F536" s="4" t="inlineStr">
        <is>
          <t>en.schemeContent.benefits[2].children[0]</t>
        </is>
      </c>
      <c r="G536" s="4" t="inlineStr">
        <is>
          <t>C08@20261028-6245ae04</t>
        </is>
      </c>
      <c r="H536" s="4" t="n">
        <v>1</v>
      </c>
      <c r="I536" s="4" t="n">
        <v>1</v>
      </c>
      <c r="J536" s="4" t="inlineStr">
        <is>
          <t>Assistance is provided only for the quantity sold through Point of Sale machines.</t>
        </is>
      </c>
      <c r="K536" s="4" t="inlineStr">
        <is>
          <t>MS-C08</t>
        </is>
      </c>
      <c r="L536" s="6" t="n">
        <v>46323</v>
      </c>
      <c r="M536" s="4" t="inlineStr">
        <is>
          <t>Approved</t>
        </is>
      </c>
      <c r="N536" s="4" t="inlineStr">
        <is>
          <t>list_item</t>
        </is>
      </c>
    </row>
    <row r="537" ht="40" customHeight="1">
      <c r="A537" s="8" t="inlineStr">
        <is>
          <t>C08-P0007</t>
        </is>
      </c>
      <c r="B537" s="8" t="inlineStr">
        <is>
          <t>C08</t>
        </is>
      </c>
      <c r="C537" s="8" t="inlineStr">
        <is>
          <t>Market Development Assistance</t>
        </is>
      </c>
      <c r="D537" s="8" t="inlineStr">
        <is>
          <t>Benefits</t>
        </is>
      </c>
      <c r="E537" s="8" t="inlineStr"/>
      <c r="F537" s="8" t="inlineStr">
        <is>
          <t>en.schemeContent.benefits[2].children[1]</t>
        </is>
      </c>
      <c r="G537" s="8" t="inlineStr">
        <is>
          <t>C08@20261028-6245ae04</t>
        </is>
      </c>
      <c r="H537" s="8" t="n">
        <v>1</v>
      </c>
      <c r="I537" s="8" t="n">
        <v>1</v>
      </c>
      <c r="J537" s="8" t="inlineStr">
        <is>
          <t>Assistance claims must be generated through the Integrated Fertilizer Management System portal using Direct Benefit Transfer.</t>
        </is>
      </c>
      <c r="K537" s="8" t="inlineStr">
        <is>
          <t>MS-C08</t>
        </is>
      </c>
      <c r="L537" s="9" t="n">
        <v>46323</v>
      </c>
      <c r="M537" s="8" t="inlineStr">
        <is>
          <t>Approved</t>
        </is>
      </c>
      <c r="N537" s="8" t="inlineStr">
        <is>
          <t>list_item</t>
        </is>
      </c>
    </row>
    <row r="538" ht="40" customHeight="1">
      <c r="A538" s="4" t="inlineStr">
        <is>
          <t>C08-P0008</t>
        </is>
      </c>
      <c r="B538" s="4" t="inlineStr">
        <is>
          <t>C08</t>
        </is>
      </c>
      <c r="C538" s="4" t="inlineStr">
        <is>
          <t>Market Development Assistance</t>
        </is>
      </c>
      <c r="D538" s="4" t="inlineStr">
        <is>
          <t>Benefits</t>
        </is>
      </c>
      <c r="E538" s="4" t="inlineStr"/>
      <c r="F538" s="4" t="inlineStr">
        <is>
          <t>en.schemeContent.benefits[2].children[2]</t>
        </is>
      </c>
      <c r="G538" s="4" t="inlineStr">
        <is>
          <t>C08@20261028-6245ae04</t>
        </is>
      </c>
      <c r="H538" s="4" t="n">
        <v>1</v>
      </c>
      <c r="I538" s="4" t="n">
        <v>1</v>
      </c>
      <c r="J538" s="4" t="inlineStr">
        <is>
          <t>Claims must be submitted within two months of the sale of the organic fertilizers.</t>
        </is>
      </c>
      <c r="K538" s="4" t="inlineStr">
        <is>
          <t>MS-C08</t>
        </is>
      </c>
      <c r="L538" s="6" t="n">
        <v>46323</v>
      </c>
      <c r="M538" s="4" t="inlineStr">
        <is>
          <t>Approved</t>
        </is>
      </c>
      <c r="N538" s="4" t="inlineStr">
        <is>
          <t>list_item</t>
        </is>
      </c>
    </row>
    <row r="539" ht="40" customHeight="1">
      <c r="A539" s="8" t="inlineStr">
        <is>
          <t>C08-P0009</t>
        </is>
      </c>
      <c r="B539" s="8" t="inlineStr">
        <is>
          <t>C08</t>
        </is>
      </c>
      <c r="C539" s="8" t="inlineStr">
        <is>
          <t>Market Development Assistance</t>
        </is>
      </c>
      <c r="D539" s="8" t="inlineStr">
        <is>
          <t>Benefits</t>
        </is>
      </c>
      <c r="E539" s="8" t="inlineStr"/>
      <c r="F539" s="8" t="inlineStr">
        <is>
          <t>en.schemeContent.benefits[3].children[0]</t>
        </is>
      </c>
      <c r="G539" s="8" t="inlineStr">
        <is>
          <t>C08@20261028-6245ae04</t>
        </is>
      </c>
      <c r="H539" s="8" t="n">
        <v>1</v>
      </c>
      <c r="I539" s="8" t="n">
        <v>1</v>
      </c>
      <c r="J539" s="8" t="inlineStr">
        <is>
          <t>Conditions</t>
        </is>
      </c>
      <c r="K539" s="8" t="inlineStr">
        <is>
          <t>MS-C08</t>
        </is>
      </c>
      <c r="L539" s="9" t="n">
        <v>46323</v>
      </c>
      <c r="M539" s="8" t="inlineStr">
        <is>
          <t>Approved</t>
        </is>
      </c>
      <c r="N539" s="8" t="inlineStr">
        <is>
          <t>text</t>
        </is>
      </c>
    </row>
    <row r="540" ht="40" customHeight="1">
      <c r="A540" s="4" t="inlineStr">
        <is>
          <t>C08-P0010</t>
        </is>
      </c>
      <c r="B540" s="4" t="inlineStr">
        <is>
          <t>C08</t>
        </is>
      </c>
      <c r="C540" s="4" t="inlineStr">
        <is>
          <t>Market Development Assistance</t>
        </is>
      </c>
      <c r="D540" s="4" t="inlineStr">
        <is>
          <t>Benefits</t>
        </is>
      </c>
      <c r="E540" s="4" t="inlineStr"/>
      <c r="F540" s="4" t="inlineStr">
        <is>
          <t>en.schemeContent.benefits[4].children[0]</t>
        </is>
      </c>
      <c r="G540" s="4" t="inlineStr">
        <is>
          <t>C08@20261028-6245ae04</t>
        </is>
      </c>
      <c r="H540" s="4" t="n">
        <v>1</v>
      </c>
      <c r="I540" s="4" t="n">
        <v>1</v>
      </c>
      <c r="J540" s="4" t="inlineStr">
        <is>
          <t>Marketing entities must print the Maximum Retail Price along with applicable Market Development Assistance on the bags clearly.</t>
        </is>
      </c>
      <c r="K540" s="4" t="inlineStr">
        <is>
          <t>MS-C08</t>
        </is>
      </c>
      <c r="L540" s="6" t="n">
        <v>46323</v>
      </c>
      <c r="M540" s="4" t="inlineStr">
        <is>
          <t>Approved</t>
        </is>
      </c>
      <c r="N540" s="4" t="inlineStr">
        <is>
          <t>list_item</t>
        </is>
      </c>
    </row>
    <row r="541" ht="40" customHeight="1">
      <c r="A541" s="8" t="inlineStr">
        <is>
          <t>C08-P0011</t>
        </is>
      </c>
      <c r="B541" s="8" t="inlineStr">
        <is>
          <t>C08</t>
        </is>
      </c>
      <c r="C541" s="8" t="inlineStr">
        <is>
          <t>Market Development Assistance</t>
        </is>
      </c>
      <c r="D541" s="8" t="inlineStr">
        <is>
          <t>Benefits</t>
        </is>
      </c>
      <c r="E541" s="8" t="inlineStr"/>
      <c r="F541" s="8" t="inlineStr">
        <is>
          <t>en.schemeContent.benefits[4].children[1]</t>
        </is>
      </c>
      <c r="G541" s="8" t="inlineStr">
        <is>
          <t>C08@20261028-6245ae04</t>
        </is>
      </c>
      <c r="H541" s="8" t="n">
        <v>1</v>
      </c>
      <c r="I541" s="8" t="n">
        <v>1</v>
      </c>
      <c r="J541" s="8" t="inlineStr">
        <is>
          <t>Any State subsidy provided on the organic fertilizers must be passed on to the farmers in terms of a lower Maximum Retail Price.</t>
        </is>
      </c>
      <c r="K541" s="8" t="inlineStr">
        <is>
          <t>MS-C08</t>
        </is>
      </c>
      <c r="L541" s="9" t="n">
        <v>46323</v>
      </c>
      <c r="M541" s="8" t="inlineStr">
        <is>
          <t>Approved</t>
        </is>
      </c>
      <c r="N541" s="8" t="inlineStr">
        <is>
          <t>list_item</t>
        </is>
      </c>
    </row>
    <row r="542" ht="40" customHeight="1">
      <c r="A542" s="4" t="inlineStr">
        <is>
          <t>C08-P0012</t>
        </is>
      </c>
      <c r="B542" s="4" t="inlineStr">
        <is>
          <t>C08</t>
        </is>
      </c>
      <c r="C542" s="4" t="inlineStr">
        <is>
          <t>Market Development Assistance</t>
        </is>
      </c>
      <c r="D542" s="4" t="inlineStr">
        <is>
          <t>Benefits</t>
        </is>
      </c>
      <c r="E542" s="4" t="inlineStr"/>
      <c r="F542" s="4" t="inlineStr">
        <is>
          <t>en.schemeContent.benefits[4].children[2]</t>
        </is>
      </c>
      <c r="G542" s="4" t="inlineStr">
        <is>
          <t>C08@20261028-6245ae04</t>
        </is>
      </c>
      <c r="H542" s="4" t="n">
        <v>1</v>
      </c>
      <c r="I542" s="4" t="n">
        <v>1</v>
      </c>
      <c r="J542" s="4" t="inlineStr">
        <is>
          <t>Each bag must display its constituents as given in the Fertilizer Control Order, the marketing entities' names, the manufacturer's name, and shelf-life.</t>
        </is>
      </c>
      <c r="K542" s="4" t="inlineStr">
        <is>
          <t>MS-C08</t>
        </is>
      </c>
      <c r="L542" s="6" t="n">
        <v>46323</v>
      </c>
      <c r="M542" s="4" t="inlineStr">
        <is>
          <t>Approved</t>
        </is>
      </c>
      <c r="N542" s="4" t="inlineStr">
        <is>
          <t>list_item</t>
        </is>
      </c>
    </row>
    <row r="543" ht="40" customHeight="1">
      <c r="A543" s="8" t="inlineStr">
        <is>
          <t>C08-P0013</t>
        </is>
      </c>
      <c r="B543" s="8" t="inlineStr">
        <is>
          <t>C08</t>
        </is>
      </c>
      <c r="C543" s="8" t="inlineStr">
        <is>
          <t>Market Development Assistance</t>
        </is>
      </c>
      <c r="D543" s="8" t="inlineStr">
        <is>
          <t>Benefits</t>
        </is>
      </c>
      <c r="E543" s="8" t="inlineStr"/>
      <c r="F543" s="8" t="inlineStr">
        <is>
          <t>en.schemeContent.benefits[4].children[3]</t>
        </is>
      </c>
      <c r="G543" s="8" t="inlineStr">
        <is>
          <t>C08@20261028-6245ae04</t>
        </is>
      </c>
      <c r="H543" s="8" t="n">
        <v>1</v>
      </c>
      <c r="I543" s="8" t="n">
        <v>1</v>
      </c>
      <c r="J543" s="8" t="inlineStr">
        <is>
          <t>Marketing entities must ensure that any sale above the printed net Maximum Retail Price is avoided, as it is punishable under the Essential Commodities Act.</t>
        </is>
      </c>
      <c r="K543" s="8" t="inlineStr">
        <is>
          <t>MS-C08</t>
        </is>
      </c>
      <c r="L543" s="9" t="n">
        <v>46323</v>
      </c>
      <c r="M543" s="8" t="inlineStr">
        <is>
          <t>Approved</t>
        </is>
      </c>
      <c r="N543" s="8" t="inlineStr">
        <is>
          <t>list_item</t>
        </is>
      </c>
    </row>
    <row r="544" ht="54" customHeight="1">
      <c r="A544" s="4" t="inlineStr">
        <is>
          <t>C08-P0014</t>
        </is>
      </c>
      <c r="B544" s="4" t="inlineStr">
        <is>
          <t>C08</t>
        </is>
      </c>
      <c r="C544" s="4" t="inlineStr">
        <is>
          <t>Market Development Assistance</t>
        </is>
      </c>
      <c r="D544" s="4" t="inlineStr">
        <is>
          <t>Eligibility</t>
        </is>
      </c>
      <c r="E544" s="4" t="inlineStr"/>
      <c r="F544" s="4" t="inlineStr">
        <is>
          <t>en.eligibilityCriteria.eligibilityDescription[0].children[0]</t>
        </is>
      </c>
      <c r="G544" s="4" t="inlineStr">
        <is>
          <t>C08@20261028-6245ae04</t>
        </is>
      </c>
      <c r="H544" s="4" t="n">
        <v>1</v>
      </c>
      <c r="I544" s="4" t="n">
        <v>1</v>
      </c>
      <c r="J544" s="4" t="inlineStr">
        <is>
          <t>The applicant must be a manufacturing-cum-marketing entity, a Compressed Bio-Gas operator, a Bio-gas operator, a marketer, or a distributor under the umbrella Galvanizing Organic Bio-Agro Resources Dhan initiative.</t>
        </is>
      </c>
      <c r="K544" s="4" t="inlineStr">
        <is>
          <t>MS-C08</t>
        </is>
      </c>
      <c r="L544" s="6" t="n">
        <v>46323</v>
      </c>
      <c r="M544" s="4" t="inlineStr">
        <is>
          <t>Approved</t>
        </is>
      </c>
      <c r="N544" s="4" t="inlineStr">
        <is>
          <t>list_item</t>
        </is>
      </c>
    </row>
    <row r="545" ht="40" customHeight="1">
      <c r="A545" s="8" t="inlineStr">
        <is>
          <t>C08-P0015</t>
        </is>
      </c>
      <c r="B545" s="8" t="inlineStr">
        <is>
          <t>C08</t>
        </is>
      </c>
      <c r="C545" s="8" t="inlineStr">
        <is>
          <t>Market Development Assistance</t>
        </is>
      </c>
      <c r="D545" s="8" t="inlineStr">
        <is>
          <t>Eligibility</t>
        </is>
      </c>
      <c r="E545" s="8" t="inlineStr"/>
      <c r="F545" s="8" t="inlineStr">
        <is>
          <t>en.eligibilityCriteria.eligibilityDescription[0].children[1]</t>
        </is>
      </c>
      <c r="G545" s="8" t="inlineStr">
        <is>
          <t>C08@20261028-6245ae04</t>
        </is>
      </c>
      <c r="H545" s="8" t="n">
        <v>1</v>
      </c>
      <c r="I545" s="8" t="n">
        <v>1</v>
      </c>
      <c r="J545" s="8" t="inlineStr">
        <is>
          <t>The applicant must be a Fertilizer Marketing Company marketing their organic fertilizers.</t>
        </is>
      </c>
      <c r="K545" s="8" t="inlineStr">
        <is>
          <t>MS-C08</t>
        </is>
      </c>
      <c r="L545" s="9" t="n">
        <v>46323</v>
      </c>
      <c r="M545" s="8" t="inlineStr">
        <is>
          <t>Approved</t>
        </is>
      </c>
      <c r="N545" s="8" t="inlineStr">
        <is>
          <t>list_item</t>
        </is>
      </c>
    </row>
    <row r="546" ht="40" customHeight="1">
      <c r="A546" s="4" t="inlineStr">
        <is>
          <t>C08-P0016</t>
        </is>
      </c>
      <c r="B546" s="4" t="inlineStr">
        <is>
          <t>C08</t>
        </is>
      </c>
      <c r="C546" s="4" t="inlineStr">
        <is>
          <t>Market Development Assistance</t>
        </is>
      </c>
      <c r="D546" s="4" t="inlineStr">
        <is>
          <t>Eligibility</t>
        </is>
      </c>
      <c r="E546" s="4" t="inlineStr"/>
      <c r="F546" s="4" t="inlineStr">
        <is>
          <t>en.eligibilityCriteria.eligibilityDescription[0].children[2]</t>
        </is>
      </c>
      <c r="G546" s="4" t="inlineStr">
        <is>
          <t>C08@20261028-6245ae04</t>
        </is>
      </c>
      <c r="H546" s="4" t="n">
        <v>1</v>
      </c>
      <c r="I546" s="4" t="n">
        <v>1</v>
      </c>
      <c r="J546" s="4" t="inlineStr">
        <is>
          <t>The applicant must produce organic fertilizers at Bio-Gas or Compressed Bio-Gas plants established under the umbrella Galvanizing Organic Bio-Agro Resources Dhan initiative.</t>
        </is>
      </c>
      <c r="K546" s="4" t="inlineStr">
        <is>
          <t>MS-C08</t>
        </is>
      </c>
      <c r="L546" s="6" t="n">
        <v>46323</v>
      </c>
      <c r="M546" s="4" t="inlineStr">
        <is>
          <t>Approved</t>
        </is>
      </c>
      <c r="N546" s="4" t="inlineStr">
        <is>
          <t>list_item</t>
        </is>
      </c>
    </row>
    <row r="547" ht="54" customHeight="1">
      <c r="A547" s="8" t="inlineStr">
        <is>
          <t>C08-P0017</t>
        </is>
      </c>
      <c r="B547" s="8" t="inlineStr">
        <is>
          <t>C08</t>
        </is>
      </c>
      <c r="C547" s="8" t="inlineStr">
        <is>
          <t>Market Development Assistance</t>
        </is>
      </c>
      <c r="D547" s="8" t="inlineStr">
        <is>
          <t>Eligibility</t>
        </is>
      </c>
      <c r="E547" s="8" t="inlineStr"/>
      <c r="F547" s="8" t="inlineStr">
        <is>
          <t>en.eligibilityCriteria.eligibilityDescription[0].children[3]</t>
        </is>
      </c>
      <c r="G547" s="8" t="inlineStr">
        <is>
          <t>C08@20261028-6245ae04</t>
        </is>
      </c>
      <c r="H547" s="8" t="n">
        <v>1</v>
      </c>
      <c r="I547" s="8" t="n">
        <v>1</v>
      </c>
      <c r="J547" s="8" t="inlineStr">
        <is>
          <t>The applicant must ensure the Bio-Gas or Compressed Bio-Gas plants are supported under initiatives like the Sustainable Alternative Towards Affordable Transportation scheme, the Waste to Energy programme, or the Swachh Bharat Mission.</t>
        </is>
      </c>
      <c r="K547" s="8" t="inlineStr">
        <is>
          <t>MS-C08</t>
        </is>
      </c>
      <c r="L547" s="9" t="n">
        <v>46323</v>
      </c>
      <c r="M547" s="8" t="inlineStr">
        <is>
          <t>Approved</t>
        </is>
      </c>
      <c r="N547" s="8" t="inlineStr">
        <is>
          <t>list_item</t>
        </is>
      </c>
    </row>
    <row r="548" ht="54" customHeight="1">
      <c r="A548" s="4" t="inlineStr">
        <is>
          <t>C08-P0018</t>
        </is>
      </c>
      <c r="B548" s="4" t="inlineStr">
        <is>
          <t>C08</t>
        </is>
      </c>
      <c r="C548" s="4" t="inlineStr">
        <is>
          <t>Market Development Assistance</t>
        </is>
      </c>
      <c r="D548" s="4" t="inlineStr">
        <is>
          <t>Eligibility</t>
        </is>
      </c>
      <c r="E548" s="4" t="inlineStr"/>
      <c r="F548" s="4" t="inlineStr">
        <is>
          <t>en.eligibilityCriteria.eligibilityDescription[0].children[4]</t>
        </is>
      </c>
      <c r="G548" s="4" t="inlineStr">
        <is>
          <t>C08@20261028-6245ae04</t>
        </is>
      </c>
      <c r="H548" s="4" t="n">
        <v>1</v>
      </c>
      <c r="I548" s="4" t="n">
        <v>1</v>
      </c>
      <c r="J548" s="4" t="inlineStr">
        <is>
          <t>The applicant must register the Bio-Gas or Compressed Bio-Gas units with the Galvanizing Organic Bio-Agro Resources Dhan portal of the Department of Drinking Water &amp; Sanitation as a pre-requisite condition.</t>
        </is>
      </c>
      <c r="K548" s="4" t="inlineStr">
        <is>
          <t>MS-C08</t>
        </is>
      </c>
      <c r="L548" s="6" t="n">
        <v>46323</v>
      </c>
      <c r="M548" s="4" t="inlineStr">
        <is>
          <t>Approved</t>
        </is>
      </c>
      <c r="N548" s="4" t="inlineStr">
        <is>
          <t>list_item</t>
        </is>
      </c>
    </row>
    <row r="549" ht="40" customHeight="1">
      <c r="A549" s="8" t="inlineStr">
        <is>
          <t>C08-P0019</t>
        </is>
      </c>
      <c r="B549" s="8" t="inlineStr">
        <is>
          <t>C08</t>
        </is>
      </c>
      <c r="C549" s="8" t="inlineStr">
        <is>
          <t>Market Development Assistance</t>
        </is>
      </c>
      <c r="D549" s="8" t="inlineStr">
        <is>
          <t>Eligibility</t>
        </is>
      </c>
      <c r="E549" s="8" t="inlineStr"/>
      <c r="F549" s="8" t="inlineStr">
        <is>
          <t>en.eligibilityCriteria.eligibilityDescription[0].children[5]</t>
        </is>
      </c>
      <c r="G549" s="8" t="inlineStr">
        <is>
          <t>C08@20261028-6245ae04</t>
        </is>
      </c>
      <c r="H549" s="8" t="n">
        <v>1</v>
      </c>
      <c r="I549" s="8" t="n">
        <v>1</v>
      </c>
      <c r="J549" s="8" t="inlineStr">
        <is>
          <t>The applicant must market Fermented Organic Manure, Liquid Fermented Organic Manure, or enriched Phosphate Rich Organic Manure.</t>
        </is>
      </c>
      <c r="K549" s="8" t="inlineStr">
        <is>
          <t>MS-C08</t>
        </is>
      </c>
      <c r="L549" s="9" t="n">
        <v>46323</v>
      </c>
      <c r="M549" s="8" t="inlineStr">
        <is>
          <t>Approved</t>
        </is>
      </c>
      <c r="N549" s="8" t="inlineStr">
        <is>
          <t>list_item</t>
        </is>
      </c>
    </row>
    <row r="550" ht="40" customHeight="1">
      <c r="A550" s="4" t="inlineStr">
        <is>
          <t>C08-P0020</t>
        </is>
      </c>
      <c r="B550" s="4" t="inlineStr">
        <is>
          <t>C08</t>
        </is>
      </c>
      <c r="C550" s="4" t="inlineStr">
        <is>
          <t>Market Development Assistance</t>
        </is>
      </c>
      <c r="D550" s="4" t="inlineStr">
        <is>
          <t>Eligibility</t>
        </is>
      </c>
      <c r="E550" s="4" t="inlineStr"/>
      <c r="F550" s="4" t="inlineStr">
        <is>
          <t>en.eligibilityCriteria.eligibilityDescription[0].children[6]</t>
        </is>
      </c>
      <c r="G550" s="4" t="inlineStr">
        <is>
          <t>C08@20261028-6245ae04</t>
        </is>
      </c>
      <c r="H550" s="4" t="n">
        <v>1</v>
      </c>
      <c r="I550" s="4" t="n">
        <v>1</v>
      </c>
      <c r="J550" s="4" t="inlineStr">
        <is>
          <t>The applicant must market the organic fertilizers in packed form.</t>
        </is>
      </c>
      <c r="K550" s="4" t="inlineStr">
        <is>
          <t>MS-C08</t>
        </is>
      </c>
      <c r="L550" s="6" t="n">
        <v>46323</v>
      </c>
      <c r="M550" s="4" t="inlineStr">
        <is>
          <t>Approved</t>
        </is>
      </c>
      <c r="N550" s="4" t="inlineStr">
        <is>
          <t>list_item</t>
        </is>
      </c>
    </row>
    <row r="551" ht="40" customHeight="1">
      <c r="A551" s="8" t="inlineStr">
        <is>
          <t>C08-P0021</t>
        </is>
      </c>
      <c r="B551" s="8" t="inlineStr">
        <is>
          <t>C08</t>
        </is>
      </c>
      <c r="C551" s="8" t="inlineStr">
        <is>
          <t>Market Development Assistance</t>
        </is>
      </c>
      <c r="D551" s="8" t="inlineStr">
        <is>
          <t>Eligibility</t>
        </is>
      </c>
      <c r="E551" s="8" t="inlineStr"/>
      <c r="F551" s="8" t="inlineStr">
        <is>
          <t>en.eligibilityCriteria.eligibilityDescription[0].children[7]</t>
        </is>
      </c>
      <c r="G551" s="8" t="inlineStr">
        <is>
          <t>C08@20261028-6245ae04</t>
        </is>
      </c>
      <c r="H551" s="8" t="n">
        <v>1</v>
      </c>
      <c r="I551" s="8" t="n">
        <v>1</v>
      </c>
      <c r="J551" s="8" t="inlineStr">
        <is>
          <t>The applicant must ensure the organic fertilizers conform to the specifications mentioned in the Fertilizer Control Order, 1985.</t>
        </is>
      </c>
      <c r="K551" s="8" t="inlineStr">
        <is>
          <t>MS-C08</t>
        </is>
      </c>
      <c r="L551" s="9" t="n">
        <v>46323</v>
      </c>
      <c r="M551" s="8" t="inlineStr">
        <is>
          <t>Approved</t>
        </is>
      </c>
      <c r="N551" s="8" t="inlineStr">
        <is>
          <t>list_item</t>
        </is>
      </c>
    </row>
    <row r="552" ht="40" customHeight="1">
      <c r="A552" s="4" t="inlineStr">
        <is>
          <t>C08-P0022</t>
        </is>
      </c>
      <c r="B552" s="4" t="inlineStr">
        <is>
          <t>C08</t>
        </is>
      </c>
      <c r="C552" s="4" t="inlineStr">
        <is>
          <t>Market Development Assistance</t>
        </is>
      </c>
      <c r="D552" s="4" t="inlineStr">
        <is>
          <t>Eligibility</t>
        </is>
      </c>
      <c r="E552" s="4" t="inlineStr"/>
      <c r="F552" s="4" t="inlineStr">
        <is>
          <t>en.eligibilityCriteria.eligibilityDescription[0].children[8]</t>
        </is>
      </c>
      <c r="G552" s="4" t="inlineStr">
        <is>
          <t>C08@20261028-6245ae04</t>
        </is>
      </c>
      <c r="H552" s="4" t="n">
        <v>1</v>
      </c>
      <c r="I552" s="4" t="n">
        <v>1</v>
      </c>
      <c r="J552" s="4" t="inlineStr">
        <is>
          <t>The applicant must undergo quality testing at Government notified laboratories or National Accreditation Board for Testing and Calibration Laboratories accredited private laboratories.</t>
        </is>
      </c>
      <c r="K552" s="4" t="inlineStr">
        <is>
          <t>MS-C08</t>
        </is>
      </c>
      <c r="L552" s="6" t="n">
        <v>46323</v>
      </c>
      <c r="M552" s="4" t="inlineStr">
        <is>
          <t>Approved</t>
        </is>
      </c>
      <c r="N552" s="4" t="inlineStr">
        <is>
          <t>list_item</t>
        </is>
      </c>
    </row>
    <row r="553" ht="40" customHeight="1">
      <c r="A553" s="8" t="inlineStr">
        <is>
          <t>C08-P0023</t>
        </is>
      </c>
      <c r="B553" s="8" t="inlineStr">
        <is>
          <t>C08</t>
        </is>
      </c>
      <c r="C553" s="8" t="inlineStr">
        <is>
          <t>Market Development Assistance</t>
        </is>
      </c>
      <c r="D553" s="8" t="inlineStr">
        <is>
          <t>Eligibility</t>
        </is>
      </c>
      <c r="E553" s="8" t="inlineStr"/>
      <c r="F553" s="8" t="inlineStr">
        <is>
          <t>en.eligibilityCriteria.eligibilityDescription[1].children[0]</t>
        </is>
      </c>
      <c r="G553" s="8" t="inlineStr">
        <is>
          <t>C08@20261028-6245ae04</t>
        </is>
      </c>
      <c r="H553" s="8" t="n">
        <v>1</v>
      </c>
      <c r="I553" s="8" t="n">
        <v>1</v>
      </c>
      <c r="J553" s="8" t="inlineStr">
        <is>
          <t>Relaxations</t>
        </is>
      </c>
      <c r="K553" s="8" t="inlineStr">
        <is>
          <t>MS-C08</t>
        </is>
      </c>
      <c r="L553" s="9" t="n">
        <v>46323</v>
      </c>
      <c r="M553" s="8" t="inlineStr">
        <is>
          <t>Approved</t>
        </is>
      </c>
      <c r="N553" s="8" t="inlineStr">
        <is>
          <t>text</t>
        </is>
      </c>
    </row>
    <row r="554" ht="40" customHeight="1">
      <c r="A554" s="4" t="inlineStr">
        <is>
          <t>C08-P0024</t>
        </is>
      </c>
      <c r="B554" s="4" t="inlineStr">
        <is>
          <t>C08</t>
        </is>
      </c>
      <c r="C554" s="4" t="inlineStr">
        <is>
          <t>Market Development Assistance</t>
        </is>
      </c>
      <c r="D554" s="4" t="inlineStr">
        <is>
          <t>Eligibility</t>
        </is>
      </c>
      <c r="E554" s="4" t="inlineStr"/>
      <c r="F554" s="4" t="inlineStr">
        <is>
          <t>en.eligibilityCriteria.eligibilityDescription[2].children[0]</t>
        </is>
      </c>
      <c r="G554" s="4" t="inlineStr">
        <is>
          <t>C08@20261028-6245ae04</t>
        </is>
      </c>
      <c r="H554" s="4" t="n">
        <v>1</v>
      </c>
      <c r="I554" s="4" t="n">
        <v>1</v>
      </c>
      <c r="J554" s="4" t="inlineStr">
        <is>
          <t>The applicant may market the fertilizers in bulk or loose form on an experimental basis subject to necessary notifications by the Department of Agriculture &amp; Farmers Welfare.</t>
        </is>
      </c>
      <c r="K554" s="4" t="inlineStr">
        <is>
          <t>MS-C08</t>
        </is>
      </c>
      <c r="L554" s="6" t="n">
        <v>46323</v>
      </c>
      <c r="M554" s="4" t="inlineStr">
        <is>
          <t>Approved</t>
        </is>
      </c>
      <c r="N554" s="4" t="inlineStr">
        <is>
          <t>list_item</t>
        </is>
      </c>
    </row>
    <row r="555" ht="40" customHeight="1">
      <c r="A555" s="8" t="inlineStr">
        <is>
          <t>C08-P0025</t>
        </is>
      </c>
      <c r="B555" s="8" t="inlineStr">
        <is>
          <t>C08</t>
        </is>
      </c>
      <c r="C555" s="8" t="inlineStr">
        <is>
          <t>Market Development Assistance</t>
        </is>
      </c>
      <c r="D555" s="8" t="inlineStr">
        <is>
          <t>Eligibility</t>
        </is>
      </c>
      <c r="E555" s="8" t="inlineStr"/>
      <c r="F555" s="8" t="inlineStr">
        <is>
          <t>en.eligibilityCriteria.eligibilityDescription[2].children[1]</t>
        </is>
      </c>
      <c r="G555" s="8" t="inlineStr">
        <is>
          <t>C08@20261028-6245ae04</t>
        </is>
      </c>
      <c r="H555" s="8" t="n">
        <v>1</v>
      </c>
      <c r="I555" s="8" t="n">
        <v>1</v>
      </c>
      <c r="J555" s="8" t="inlineStr">
        <is>
          <t>Primary Agricultural Cooperative Societies may be engaged as aggregators by the Fertilizers Marketing Companies or manufacturers, wherever feasible.</t>
        </is>
      </c>
      <c r="K555" s="8" t="inlineStr">
        <is>
          <t>MS-C08</t>
        </is>
      </c>
      <c r="L555" s="9" t="n">
        <v>46323</v>
      </c>
      <c r="M555" s="8" t="inlineStr">
        <is>
          <t>Approved</t>
        </is>
      </c>
      <c r="N555" s="8" t="inlineStr">
        <is>
          <t>list_item</t>
        </is>
      </c>
    </row>
    <row r="556" ht="40" customHeight="1">
      <c r="A556" s="4" t="inlineStr">
        <is>
          <t>C08-P0026</t>
        </is>
      </c>
      <c r="B556" s="4" t="inlineStr">
        <is>
          <t>C08</t>
        </is>
      </c>
      <c r="C556" s="4" t="inlineStr">
        <is>
          <t>Market Development Assistance</t>
        </is>
      </c>
      <c r="D556" s="4" t="inlineStr">
        <is>
          <t>Eligibility</t>
        </is>
      </c>
      <c r="E556" s="4" t="inlineStr"/>
      <c r="F556" s="4" t="inlineStr">
        <is>
          <t>en.eligibilityCriteria.eligibilityDescription[3].children[0]</t>
        </is>
      </c>
      <c r="G556" s="4" t="inlineStr">
        <is>
          <t>C08@20261028-6245ae04</t>
        </is>
      </c>
      <c r="H556" s="4" t="n">
        <v>1</v>
      </c>
      <c r="I556" s="4" t="n">
        <v>1</v>
      </c>
      <c r="J556" s="4" t="inlineStr">
        <is>
          <t>Post-Selection Conditions</t>
        </is>
      </c>
      <c r="K556" s="4" t="inlineStr">
        <is>
          <t>MS-C08</t>
        </is>
      </c>
      <c r="L556" s="6" t="n">
        <v>46323</v>
      </c>
      <c r="M556" s="4" t="inlineStr">
        <is>
          <t>Approved</t>
        </is>
      </c>
      <c r="N556" s="4" t="inlineStr">
        <is>
          <t>text</t>
        </is>
      </c>
    </row>
    <row r="557" ht="40" customHeight="1">
      <c r="A557" s="8" t="inlineStr">
        <is>
          <t>C08-P0027</t>
        </is>
      </c>
      <c r="B557" s="8" t="inlineStr">
        <is>
          <t>C08</t>
        </is>
      </c>
      <c r="C557" s="8" t="inlineStr">
        <is>
          <t>Market Development Assistance</t>
        </is>
      </c>
      <c r="D557" s="8" t="inlineStr">
        <is>
          <t>Eligibility</t>
        </is>
      </c>
      <c r="E557" s="8" t="inlineStr"/>
      <c r="F557" s="8" t="inlineStr">
        <is>
          <t>en.eligibilityCriteria.eligibilityDescription[4].children[0]</t>
        </is>
      </c>
      <c r="G557" s="8" t="inlineStr">
        <is>
          <t>C08@20261028-6245ae04</t>
        </is>
      </c>
      <c r="H557" s="8" t="n">
        <v>1</v>
      </c>
      <c r="I557" s="8" t="n">
        <v>1</v>
      </c>
      <c r="J557" s="8" t="inlineStr">
        <is>
          <t>The applicant must maintain records of a permanent nature in continuity year after year.</t>
        </is>
      </c>
      <c r="K557" s="8" t="inlineStr">
        <is>
          <t>MS-C08</t>
        </is>
      </c>
      <c r="L557" s="9" t="n">
        <v>46323</v>
      </c>
      <c r="M557" s="8" t="inlineStr">
        <is>
          <t>Approved</t>
        </is>
      </c>
      <c r="N557" s="8" t="inlineStr">
        <is>
          <t>list_item</t>
        </is>
      </c>
    </row>
    <row r="558" ht="40" customHeight="1">
      <c r="A558" s="4" t="inlineStr">
        <is>
          <t>C08-P0028</t>
        </is>
      </c>
      <c r="B558" s="4" t="inlineStr">
        <is>
          <t>C08</t>
        </is>
      </c>
      <c r="C558" s="4" t="inlineStr">
        <is>
          <t>Market Development Assistance</t>
        </is>
      </c>
      <c r="D558" s="4" t="inlineStr">
        <is>
          <t>Eligibility</t>
        </is>
      </c>
      <c r="E558" s="4" t="inlineStr"/>
      <c r="F558" s="4" t="inlineStr">
        <is>
          <t>en.eligibilityCriteria.eligibilityDescription[4].children[1]</t>
        </is>
      </c>
      <c r="G558" s="4" t="inlineStr">
        <is>
          <t>C08@20261028-6245ae04</t>
        </is>
      </c>
      <c r="H558" s="4" t="n">
        <v>1</v>
      </c>
      <c r="I558" s="4" t="n">
        <v>1</v>
      </c>
      <c r="J558" s="4" t="inlineStr">
        <is>
          <t>The applicant must make all permanent records available to the Department of Fertilizers or the Fertilizer Flying Squad for audit and verification.</t>
        </is>
      </c>
      <c r="K558" s="4" t="inlineStr">
        <is>
          <t>MS-C08</t>
        </is>
      </c>
      <c r="L558" s="6" t="n">
        <v>46323</v>
      </c>
      <c r="M558" s="4" t="inlineStr">
        <is>
          <t>Approved</t>
        </is>
      </c>
      <c r="N558" s="4" t="inlineStr">
        <is>
          <t>list_item</t>
        </is>
      </c>
    </row>
    <row r="559" ht="40" customHeight="1">
      <c r="A559" s="8" t="inlineStr">
        <is>
          <t>C08-P0029</t>
        </is>
      </c>
      <c r="B559" s="8" t="inlineStr">
        <is>
          <t>C08</t>
        </is>
      </c>
      <c r="C559" s="8" t="inlineStr">
        <is>
          <t>Market Development Assistance</t>
        </is>
      </c>
      <c r="D559" s="8" t="inlineStr">
        <is>
          <t>Applicant documents</t>
        </is>
      </c>
      <c r="E559" s="8" t="inlineStr"/>
      <c r="F559" s="8" t="inlineStr">
        <is>
          <t>documents.en.documents_required[0].children[0]</t>
        </is>
      </c>
      <c r="G559" s="8" t="inlineStr">
        <is>
          <t>C08@20261028-6245ae04</t>
        </is>
      </c>
      <c r="H559" s="8" t="n">
        <v>1</v>
      </c>
      <c r="I559" s="8" t="n">
        <v>1</v>
      </c>
      <c r="J559" s="8" t="inlineStr">
        <is>
          <t>Application Stage Documents</t>
        </is>
      </c>
      <c r="K559" s="8" t="inlineStr">
        <is>
          <t>MS-C08</t>
        </is>
      </c>
      <c r="L559" s="9" t="n">
        <v>46323</v>
      </c>
      <c r="M559" s="8" t="inlineStr">
        <is>
          <t>Approved</t>
        </is>
      </c>
      <c r="N559" s="8" t="inlineStr">
        <is>
          <t>text</t>
        </is>
      </c>
    </row>
    <row r="560" ht="40" customHeight="1">
      <c r="A560" s="4" t="inlineStr">
        <is>
          <t>C08-P0030</t>
        </is>
      </c>
      <c r="B560" s="4" t="inlineStr">
        <is>
          <t>C08</t>
        </is>
      </c>
      <c r="C560" s="4" t="inlineStr">
        <is>
          <t>Market Development Assistance</t>
        </is>
      </c>
      <c r="D560" s="4" t="inlineStr">
        <is>
          <t>Applicant documents</t>
        </is>
      </c>
      <c r="E560" s="4" t="inlineStr"/>
      <c r="F560" s="4" t="inlineStr">
        <is>
          <t>documents.en.documents_required[1].children[0]</t>
        </is>
      </c>
      <c r="G560" s="4" t="inlineStr">
        <is>
          <t>C08@20261028-6245ae04</t>
        </is>
      </c>
      <c r="H560" s="4" t="n">
        <v>1</v>
      </c>
      <c r="I560" s="4" t="n">
        <v>1</v>
      </c>
      <c r="J560" s="4" t="inlineStr">
        <is>
          <t>Letter Intimating Willingness to Market Organic Fertilizers.</t>
        </is>
      </c>
      <c r="K560" s="4" t="inlineStr">
        <is>
          <t>MS-C08</t>
        </is>
      </c>
      <c r="L560" s="6" t="n">
        <v>46323</v>
      </c>
      <c r="M560" s="4" t="inlineStr">
        <is>
          <t>Approved</t>
        </is>
      </c>
      <c r="N560" s="4" t="inlineStr">
        <is>
          <t>list_item</t>
        </is>
      </c>
    </row>
    <row r="561" ht="54" customHeight="1">
      <c r="A561" s="8" t="inlineStr">
        <is>
          <t>C08-P0031</t>
        </is>
      </c>
      <c r="B561" s="8" t="inlineStr">
        <is>
          <t>C08</t>
        </is>
      </c>
      <c r="C561" s="8" t="inlineStr">
        <is>
          <t>Market Development Assistance</t>
        </is>
      </c>
      <c r="D561" s="8" t="inlineStr">
        <is>
          <t>Applicant documents</t>
        </is>
      </c>
      <c r="E561" s="8" t="inlineStr"/>
      <c r="F561" s="8" t="inlineStr">
        <is>
          <t>documents.en.documents_required[1].children[1]</t>
        </is>
      </c>
      <c r="G561" s="8" t="inlineStr">
        <is>
          <t>C08@20261028-6245ae04</t>
        </is>
      </c>
      <c r="H561" s="8" t="n">
        <v>1</v>
      </c>
      <c r="I561" s="8" t="n">
        <v>1</v>
      </c>
      <c r="J561" s="8" t="inlineStr">
        <is>
          <t>Purchasing Agreement for Supply of Fermented Organic Manure, Liquid Fermented Organic Manure, or Phosphate Rich Organic Manure (Required if marketing through Fertilizer Marketing Companies).</t>
        </is>
      </c>
      <c r="K561" s="8" t="inlineStr">
        <is>
          <t>MS-C08</t>
        </is>
      </c>
      <c r="L561" s="9" t="n">
        <v>46323</v>
      </c>
      <c r="M561" s="8" t="inlineStr">
        <is>
          <t>Approved</t>
        </is>
      </c>
      <c r="N561" s="8" t="inlineStr">
        <is>
          <t>list_item</t>
        </is>
      </c>
    </row>
    <row r="562" ht="40" customHeight="1">
      <c r="A562" s="4" t="inlineStr">
        <is>
          <t>C08-P0032</t>
        </is>
      </c>
      <c r="B562" s="4" t="inlineStr">
        <is>
          <t>C08</t>
        </is>
      </c>
      <c r="C562" s="4" t="inlineStr">
        <is>
          <t>Market Development Assistance</t>
        </is>
      </c>
      <c r="D562" s="4" t="inlineStr">
        <is>
          <t>Applicant documents</t>
        </is>
      </c>
      <c r="E562" s="4" t="inlineStr"/>
      <c r="F562" s="4" t="inlineStr">
        <is>
          <t>documents.en.documents_required[1].children[2]</t>
        </is>
      </c>
      <c r="G562" s="4" t="inlineStr">
        <is>
          <t>C08@20261028-6245ae04</t>
        </is>
      </c>
      <c r="H562" s="4" t="n">
        <v>1</v>
      </c>
      <c r="I562" s="4" t="n">
        <v>1</v>
      </c>
      <c r="J562" s="4" t="inlineStr">
        <is>
          <t>Details of Fertilizer Marketing Companies Document (Annexure-I).</t>
        </is>
      </c>
      <c r="K562" s="4" t="inlineStr">
        <is>
          <t>MS-C08</t>
        </is>
      </c>
      <c r="L562" s="6" t="n">
        <v>46323</v>
      </c>
      <c r="M562" s="4" t="inlineStr">
        <is>
          <t>Approved</t>
        </is>
      </c>
      <c r="N562" s="4" t="inlineStr">
        <is>
          <t>list_item</t>
        </is>
      </c>
    </row>
    <row r="563" ht="40" customHeight="1">
      <c r="A563" s="8" t="inlineStr">
        <is>
          <t>C08-P0033</t>
        </is>
      </c>
      <c r="B563" s="8" t="inlineStr">
        <is>
          <t>C08</t>
        </is>
      </c>
      <c r="C563" s="8" t="inlineStr">
        <is>
          <t>Market Development Assistance</t>
        </is>
      </c>
      <c r="D563" s="8" t="inlineStr">
        <is>
          <t>Applicant documents</t>
        </is>
      </c>
      <c r="E563" s="8" t="inlineStr"/>
      <c r="F563" s="8" t="inlineStr">
        <is>
          <t>documents.en.documents_required[1].children[3]</t>
        </is>
      </c>
      <c r="G563" s="8" t="inlineStr">
        <is>
          <t>C08@20261028-6245ae04</t>
        </is>
      </c>
      <c r="H563" s="8" t="n">
        <v>1</v>
      </c>
      <c r="I563" s="8" t="n">
        <v>1</v>
      </c>
      <c r="J563" s="8" t="inlineStr">
        <is>
          <t>Details of Organic Fertilizer Manufacturer Document (Annexure-II).</t>
        </is>
      </c>
      <c r="K563" s="8" t="inlineStr">
        <is>
          <t>MS-C08</t>
        </is>
      </c>
      <c r="L563" s="9" t="n">
        <v>46323</v>
      </c>
      <c r="M563" s="8" t="inlineStr">
        <is>
          <t>Approved</t>
        </is>
      </c>
      <c r="N563" s="8" t="inlineStr">
        <is>
          <t>list_item</t>
        </is>
      </c>
    </row>
    <row r="564" ht="40" customHeight="1">
      <c r="A564" s="4" t="inlineStr">
        <is>
          <t>C08-P0034</t>
        </is>
      </c>
      <c r="B564" s="4" t="inlineStr">
        <is>
          <t>C08</t>
        </is>
      </c>
      <c r="C564" s="4" t="inlineStr">
        <is>
          <t>Market Development Assistance</t>
        </is>
      </c>
      <c r="D564" s="4" t="inlineStr">
        <is>
          <t>Applicant documents</t>
        </is>
      </c>
      <c r="E564" s="4" t="inlineStr"/>
      <c r="F564" s="4" t="inlineStr">
        <is>
          <t>documents.en.documents_required[1].children[4]</t>
        </is>
      </c>
      <c r="G564" s="4" t="inlineStr">
        <is>
          <t>C08@20261028-6245ae04</t>
        </is>
      </c>
      <c r="H564" s="4" t="n">
        <v>1</v>
      </c>
      <c r="I564" s="4" t="n">
        <v>1</v>
      </c>
      <c r="J564" s="4" t="inlineStr">
        <is>
          <t>Tax Identification Number Certificate of the Company.</t>
        </is>
      </c>
      <c r="K564" s="4" t="inlineStr">
        <is>
          <t>MS-C08</t>
        </is>
      </c>
      <c r="L564" s="6" t="n">
        <v>46323</v>
      </c>
      <c r="M564" s="4" t="inlineStr">
        <is>
          <t>Approved</t>
        </is>
      </c>
      <c r="N564" s="4" t="inlineStr">
        <is>
          <t>list_item</t>
        </is>
      </c>
    </row>
    <row r="565" ht="40" customHeight="1">
      <c r="A565" s="8" t="inlineStr">
        <is>
          <t>C08-P0035</t>
        </is>
      </c>
      <c r="B565" s="8" t="inlineStr">
        <is>
          <t>C08</t>
        </is>
      </c>
      <c r="C565" s="8" t="inlineStr">
        <is>
          <t>Market Development Assistance</t>
        </is>
      </c>
      <c r="D565" s="8" t="inlineStr">
        <is>
          <t>Applicant documents</t>
        </is>
      </c>
      <c r="E565" s="8" t="inlineStr"/>
      <c r="F565" s="8" t="inlineStr">
        <is>
          <t>documents.en.documents_required[1].children[5]</t>
        </is>
      </c>
      <c r="G565" s="8" t="inlineStr">
        <is>
          <t>C08@20261028-6245ae04</t>
        </is>
      </c>
      <c r="H565" s="8" t="n">
        <v>1</v>
      </c>
      <c r="I565" s="8" t="n">
        <v>1</v>
      </c>
      <c r="J565" s="8" t="inlineStr">
        <is>
          <t>Permanent Account Number Card of the Company.</t>
        </is>
      </c>
      <c r="K565" s="8" t="inlineStr">
        <is>
          <t>MS-C08</t>
        </is>
      </c>
      <c r="L565" s="9" t="n">
        <v>46323</v>
      </c>
      <c r="M565" s="8" t="inlineStr">
        <is>
          <t>Approved</t>
        </is>
      </c>
      <c r="N565" s="8" t="inlineStr">
        <is>
          <t>list_item</t>
        </is>
      </c>
    </row>
    <row r="566" ht="40" customHeight="1">
      <c r="A566" s="4" t="inlineStr">
        <is>
          <t>C08-P0036</t>
        </is>
      </c>
      <c r="B566" s="4" t="inlineStr">
        <is>
          <t>C08</t>
        </is>
      </c>
      <c r="C566" s="4" t="inlineStr">
        <is>
          <t>Market Development Assistance</t>
        </is>
      </c>
      <c r="D566" s="4" t="inlineStr">
        <is>
          <t>Applicant documents</t>
        </is>
      </c>
      <c r="E566" s="4" t="inlineStr"/>
      <c r="F566" s="4" t="inlineStr">
        <is>
          <t>documents.en.documents_required[1].children[6]</t>
        </is>
      </c>
      <c r="G566" s="4" t="inlineStr">
        <is>
          <t>C08@20261028-6245ae04</t>
        </is>
      </c>
      <c r="H566" s="4" t="n">
        <v>1</v>
      </c>
      <c r="I566" s="4" t="n">
        <v>1</v>
      </c>
      <c r="J566" s="4" t="inlineStr">
        <is>
          <t>Bank Account Details (Account Number, Indian Financial System Code, Name of Account Holder, Address of the Bank).</t>
        </is>
      </c>
      <c r="K566" s="4" t="inlineStr">
        <is>
          <t>MS-C08</t>
        </is>
      </c>
      <c r="L566" s="6" t="n">
        <v>46323</v>
      </c>
      <c r="M566" s="4" t="inlineStr">
        <is>
          <t>Approved</t>
        </is>
      </c>
      <c r="N566" s="4" t="inlineStr">
        <is>
          <t>list_item</t>
        </is>
      </c>
    </row>
    <row r="567" ht="40" customHeight="1">
      <c r="A567" s="8" t="inlineStr">
        <is>
          <t>C08-P0037</t>
        </is>
      </c>
      <c r="B567" s="8" t="inlineStr">
        <is>
          <t>C08</t>
        </is>
      </c>
      <c r="C567" s="8" t="inlineStr">
        <is>
          <t>Market Development Assistance</t>
        </is>
      </c>
      <c r="D567" s="8" t="inlineStr">
        <is>
          <t>Applicant documents</t>
        </is>
      </c>
      <c r="E567" s="8" t="inlineStr"/>
      <c r="F567" s="8" t="inlineStr">
        <is>
          <t>documents.en.documents_required[1].children[7]</t>
        </is>
      </c>
      <c r="G567" s="8" t="inlineStr">
        <is>
          <t>C08@20261028-6245ae04</t>
        </is>
      </c>
      <c r="H567" s="8" t="n">
        <v>1</v>
      </c>
      <c r="I567" s="8" t="n">
        <v>1</v>
      </c>
      <c r="J567" s="8" t="inlineStr">
        <is>
          <t>Galvanizing Organic Bio-Agro Resources Dhan Portal Registration Certificate.</t>
        </is>
      </c>
      <c r="K567" s="8" t="inlineStr">
        <is>
          <t>MS-C08</t>
        </is>
      </c>
      <c r="L567" s="9" t="n">
        <v>46323</v>
      </c>
      <c r="M567" s="8" t="inlineStr">
        <is>
          <t>Approved</t>
        </is>
      </c>
      <c r="N567" s="8" t="inlineStr">
        <is>
          <t>list_item</t>
        </is>
      </c>
    </row>
    <row r="568" ht="40" customHeight="1">
      <c r="A568" s="4" t="inlineStr">
        <is>
          <t>C08-P0038</t>
        </is>
      </c>
      <c r="B568" s="4" t="inlineStr">
        <is>
          <t>C08</t>
        </is>
      </c>
      <c r="C568" s="4" t="inlineStr">
        <is>
          <t>Market Development Assistance</t>
        </is>
      </c>
      <c r="D568" s="4" t="inlineStr">
        <is>
          <t>Applicant documents</t>
        </is>
      </c>
      <c r="E568" s="4" t="inlineStr"/>
      <c r="F568" s="4" t="inlineStr">
        <is>
          <t>documents.en.documents_required[2].children[0]</t>
        </is>
      </c>
      <c r="G568" s="4" t="inlineStr">
        <is>
          <t>C08@20261028-6245ae04</t>
        </is>
      </c>
      <c r="H568" s="4" t="n">
        <v>1</v>
      </c>
      <c r="I568" s="4" t="n">
        <v>1</v>
      </c>
      <c r="J568" s="4" t="inlineStr">
        <is>
          <t>Benefit Disbursal Documents</t>
        </is>
      </c>
      <c r="K568" s="4" t="inlineStr">
        <is>
          <t>MS-C08</t>
        </is>
      </c>
      <c r="L568" s="6" t="n">
        <v>46323</v>
      </c>
      <c r="M568" s="4" t="inlineStr">
        <is>
          <t>Approved</t>
        </is>
      </c>
      <c r="N568" s="4" t="inlineStr">
        <is>
          <t>text</t>
        </is>
      </c>
    </row>
    <row r="569" ht="40" customHeight="1">
      <c r="A569" s="8" t="inlineStr">
        <is>
          <t>C08-P0039</t>
        </is>
      </c>
      <c r="B569" s="8" t="inlineStr">
        <is>
          <t>C08</t>
        </is>
      </c>
      <c r="C569" s="8" t="inlineStr">
        <is>
          <t>Market Development Assistance</t>
        </is>
      </c>
      <c r="D569" s="8" t="inlineStr">
        <is>
          <t>Applicant documents</t>
        </is>
      </c>
      <c r="E569" s="8" t="inlineStr"/>
      <c r="F569" s="8" t="inlineStr">
        <is>
          <t>documents.en.documents_required[3].children[0]</t>
        </is>
      </c>
      <c r="G569" s="8" t="inlineStr">
        <is>
          <t>C08@20261028-6245ae04</t>
        </is>
      </c>
      <c r="H569" s="8" t="n">
        <v>1</v>
      </c>
      <c r="I569" s="8" t="n">
        <v>1</v>
      </c>
      <c r="J569" s="8" t="inlineStr">
        <is>
          <t>Quantity Certificate for Organic Fertilizers (Proforma 'B1-MDA').</t>
        </is>
      </c>
      <c r="K569" s="8" t="inlineStr">
        <is>
          <t>MS-C08</t>
        </is>
      </c>
      <c r="L569" s="9" t="n">
        <v>46323</v>
      </c>
      <c r="M569" s="8" t="inlineStr">
        <is>
          <t>Approved</t>
        </is>
      </c>
      <c r="N569" s="8" t="inlineStr">
        <is>
          <t>list_item</t>
        </is>
      </c>
    </row>
    <row r="570" ht="40" customHeight="1">
      <c r="A570" s="4" t="inlineStr">
        <is>
          <t>C08-P0040</t>
        </is>
      </c>
      <c r="B570" s="4" t="inlineStr">
        <is>
          <t>C08</t>
        </is>
      </c>
      <c r="C570" s="4" t="inlineStr">
        <is>
          <t>Market Development Assistance</t>
        </is>
      </c>
      <c r="D570" s="4" t="inlineStr">
        <is>
          <t>Applicant documents</t>
        </is>
      </c>
      <c r="E570" s="4" t="inlineStr"/>
      <c r="F570" s="4" t="inlineStr">
        <is>
          <t>documents.en.documents_required[3].children[1]</t>
        </is>
      </c>
      <c r="G570" s="4" t="inlineStr">
        <is>
          <t>C08@20261028-6245ae04</t>
        </is>
      </c>
      <c r="H570" s="4" t="n">
        <v>1</v>
      </c>
      <c r="I570" s="4" t="n">
        <v>1</v>
      </c>
      <c r="J570" s="4" t="inlineStr">
        <is>
          <t>Quality Certificate for Organic Fertilizers (Proforma 'B2-MDA').</t>
        </is>
      </c>
      <c r="K570" s="4" t="inlineStr">
        <is>
          <t>MS-C08</t>
        </is>
      </c>
      <c r="L570" s="6" t="n">
        <v>46323</v>
      </c>
      <c r="M570" s="4" t="inlineStr">
        <is>
          <t>Approved</t>
        </is>
      </c>
      <c r="N570" s="4" t="inlineStr">
        <is>
          <t>list_item</t>
        </is>
      </c>
    </row>
    <row r="571" ht="40" customHeight="1">
      <c r="A571" s="8" t="inlineStr">
        <is>
          <t>C08-P0041</t>
        </is>
      </c>
      <c r="B571" s="8" t="inlineStr">
        <is>
          <t>C08</t>
        </is>
      </c>
      <c r="C571" s="8" t="inlineStr">
        <is>
          <t>Market Development Assistance</t>
        </is>
      </c>
      <c r="D571" s="8" t="inlineStr">
        <is>
          <t>Applicant documents</t>
        </is>
      </c>
      <c r="E571" s="8" t="inlineStr"/>
      <c r="F571" s="8" t="inlineStr">
        <is>
          <t>documents.en.documents_required[3].children[2]</t>
        </is>
      </c>
      <c r="G571" s="8" t="inlineStr">
        <is>
          <t>C08@20261028-6245ae04</t>
        </is>
      </c>
      <c r="H571" s="8" t="n">
        <v>1</v>
      </c>
      <c r="I571" s="8" t="n">
        <v>1</v>
      </c>
      <c r="J571" s="8" t="inlineStr">
        <is>
          <t>Quality Test Report from a Government Notified Laboratory or National Accreditation Board for Testing and Calibration Laboratories Accredited Private Laboratory.</t>
        </is>
      </c>
      <c r="K571" s="8" t="inlineStr">
        <is>
          <t>MS-C08</t>
        </is>
      </c>
      <c r="L571" s="9" t="n">
        <v>46323</v>
      </c>
      <c r="M571" s="8" t="inlineStr">
        <is>
          <t>Approved</t>
        </is>
      </c>
      <c r="N571" s="8" t="inlineStr">
        <is>
          <t>list_item</t>
        </is>
      </c>
    </row>
    <row r="572" ht="40" customHeight="1">
      <c r="A572" s="4" t="inlineStr">
        <is>
          <t>C08-P0042</t>
        </is>
      </c>
      <c r="B572" s="4" t="inlineStr">
        <is>
          <t>C08</t>
        </is>
      </c>
      <c r="C572" s="4" t="inlineStr">
        <is>
          <t>Market Development Assistance</t>
        </is>
      </c>
      <c r="D572" s="4" t="inlineStr">
        <is>
          <t>Applicant documents</t>
        </is>
      </c>
      <c r="E572" s="4" t="inlineStr"/>
      <c r="F572" s="4" t="inlineStr">
        <is>
          <t>documents.en.documents_required[3].children[3]</t>
        </is>
      </c>
      <c r="G572" s="4" t="inlineStr">
        <is>
          <t>C08@20261028-6245ae04</t>
        </is>
      </c>
      <c r="H572" s="4" t="n">
        <v>1</v>
      </c>
      <c r="I572" s="4" t="n">
        <v>1</v>
      </c>
      <c r="J572" s="4" t="inlineStr">
        <is>
          <t>Proforma for Claiming Payment of Market Development Assistance (Annexure) with the Digital Signature of the Chartered Accountant or Statutory Auditor and the Authorized Officer.</t>
        </is>
      </c>
      <c r="K572" s="4" t="inlineStr">
        <is>
          <t>MS-C08</t>
        </is>
      </c>
      <c r="L572" s="6" t="n">
        <v>46323</v>
      </c>
      <c r="M572" s="4" t="inlineStr">
        <is>
          <t>Approved</t>
        </is>
      </c>
      <c r="N572" s="4" t="inlineStr">
        <is>
          <t>list_item</t>
        </is>
      </c>
    </row>
    <row r="573" ht="40" customHeight="1">
      <c r="A573" s="8" t="inlineStr">
        <is>
          <t>C08-P0043</t>
        </is>
      </c>
      <c r="B573" s="8" t="inlineStr">
        <is>
          <t>C08</t>
        </is>
      </c>
      <c r="C573" s="8" t="inlineStr">
        <is>
          <t>Market Development Assistance</t>
        </is>
      </c>
      <c r="D573" s="8" t="inlineStr">
        <is>
          <t>Applicant documents</t>
        </is>
      </c>
      <c r="E573" s="8" t="inlineStr"/>
      <c r="F573" s="8" t="inlineStr">
        <is>
          <t>documents.en.documents_required[4].children[0]</t>
        </is>
      </c>
      <c r="G573" s="8" t="inlineStr">
        <is>
          <t>C08@20261028-6245ae04</t>
        </is>
      </c>
      <c r="H573" s="8" t="n">
        <v>1</v>
      </c>
      <c r="I573" s="8" t="n">
        <v>1</v>
      </c>
      <c r="J573" s="8" t="inlineStr">
        <is>
          <t>Verification and Audit Documents</t>
        </is>
      </c>
      <c r="K573" s="8" t="inlineStr">
        <is>
          <t>MS-C08</t>
        </is>
      </c>
      <c r="L573" s="9" t="n">
        <v>46323</v>
      </c>
      <c r="M573" s="8" t="inlineStr">
        <is>
          <t>Approved</t>
        </is>
      </c>
      <c r="N573" s="8" t="inlineStr">
        <is>
          <t>text</t>
        </is>
      </c>
    </row>
    <row r="574" ht="40" customHeight="1">
      <c r="A574" s="4" t="inlineStr">
        <is>
          <t>C08-P0044</t>
        </is>
      </c>
      <c r="B574" s="4" t="inlineStr">
        <is>
          <t>C08</t>
        </is>
      </c>
      <c r="C574" s="4" t="inlineStr">
        <is>
          <t>Market Development Assistance</t>
        </is>
      </c>
      <c r="D574" s="4" t="inlineStr">
        <is>
          <t>Applicant documents</t>
        </is>
      </c>
      <c r="E574" s="4" t="inlineStr"/>
      <c r="F574" s="4" t="inlineStr">
        <is>
          <t>documents.en.documents_required[5].children[0]</t>
        </is>
      </c>
      <c r="G574" s="4" t="inlineStr">
        <is>
          <t>C08@20261028-6245ae04</t>
        </is>
      </c>
      <c r="H574" s="4" t="n">
        <v>1</v>
      </c>
      <c r="I574" s="4" t="n">
        <v>1</v>
      </c>
      <c r="J574" s="4" t="inlineStr">
        <is>
          <t>Stock Registers Showing Opening Balance, Production, Quantity Dispatched, and Closing Balance.</t>
        </is>
      </c>
      <c r="K574" s="4" t="inlineStr">
        <is>
          <t>MS-C08</t>
        </is>
      </c>
      <c r="L574" s="6" t="n">
        <v>46323</v>
      </c>
      <c r="M574" s="4" t="inlineStr">
        <is>
          <t>Approved</t>
        </is>
      </c>
      <c r="N574" s="4" t="inlineStr">
        <is>
          <t>list_item</t>
        </is>
      </c>
    </row>
    <row r="575" ht="40" customHeight="1">
      <c r="A575" s="8" t="inlineStr">
        <is>
          <t>C08-P0045</t>
        </is>
      </c>
      <c r="B575" s="8" t="inlineStr">
        <is>
          <t>C08</t>
        </is>
      </c>
      <c r="C575" s="8" t="inlineStr">
        <is>
          <t>Market Development Assistance</t>
        </is>
      </c>
      <c r="D575" s="8" t="inlineStr">
        <is>
          <t>Applicant documents</t>
        </is>
      </c>
      <c r="E575" s="8" t="inlineStr"/>
      <c r="F575" s="8" t="inlineStr">
        <is>
          <t>documents.en.documents_required[5].children[1]</t>
        </is>
      </c>
      <c r="G575" s="8" t="inlineStr">
        <is>
          <t>C08@20261028-6245ae04</t>
        </is>
      </c>
      <c r="H575" s="8" t="n">
        <v>1</v>
      </c>
      <c r="I575" s="8" t="n">
        <v>1</v>
      </c>
      <c r="J575" s="8" t="inlineStr">
        <is>
          <t>Daily Report of Production and Stock Authenticated by the Production Manager.</t>
        </is>
      </c>
      <c r="K575" s="8" t="inlineStr">
        <is>
          <t>MS-C08</t>
        </is>
      </c>
      <c r="L575" s="9" t="n">
        <v>46323</v>
      </c>
      <c r="M575" s="8" t="inlineStr">
        <is>
          <t>Approved</t>
        </is>
      </c>
      <c r="N575" s="8" t="inlineStr">
        <is>
          <t>list_item</t>
        </is>
      </c>
    </row>
    <row r="576" ht="40" customHeight="1">
      <c r="A576" s="4" t="inlineStr">
        <is>
          <t>C08-P0046</t>
        </is>
      </c>
      <c r="B576" s="4" t="inlineStr">
        <is>
          <t>C08</t>
        </is>
      </c>
      <c r="C576" s="4" t="inlineStr">
        <is>
          <t>Market Development Assistance</t>
        </is>
      </c>
      <c r="D576" s="4" t="inlineStr">
        <is>
          <t>Applicant documents</t>
        </is>
      </c>
      <c r="E576" s="4" t="inlineStr"/>
      <c r="F576" s="4" t="inlineStr">
        <is>
          <t>documents.en.documents_required[5].children[2]</t>
        </is>
      </c>
      <c r="G576" s="4" t="inlineStr">
        <is>
          <t>C08@20261028-6245ae04</t>
        </is>
      </c>
      <c r="H576" s="4" t="n">
        <v>1</v>
      </c>
      <c r="I576" s="4" t="n">
        <v>1</v>
      </c>
      <c r="J576" s="4" t="inlineStr">
        <is>
          <t>Dispatch and Stock Transfer Advice Serially Numbered and Signed by the Sales Manager.</t>
        </is>
      </c>
      <c r="K576" s="4" t="inlineStr">
        <is>
          <t>MS-C08</t>
        </is>
      </c>
      <c r="L576" s="6" t="n">
        <v>46323</v>
      </c>
      <c r="M576" s="4" t="inlineStr">
        <is>
          <t>Approved</t>
        </is>
      </c>
      <c r="N576" s="4" t="inlineStr">
        <is>
          <t>list_item</t>
        </is>
      </c>
    </row>
    <row r="577" ht="40" customHeight="1">
      <c r="A577" s="8" t="inlineStr">
        <is>
          <t>C08-P0047</t>
        </is>
      </c>
      <c r="B577" s="8" t="inlineStr">
        <is>
          <t>C08</t>
        </is>
      </c>
      <c r="C577" s="8" t="inlineStr">
        <is>
          <t>Market Development Assistance</t>
        </is>
      </c>
      <c r="D577" s="8" t="inlineStr">
        <is>
          <t>Applicant documents</t>
        </is>
      </c>
      <c r="E577" s="8" t="inlineStr"/>
      <c r="F577" s="8" t="inlineStr">
        <is>
          <t>documents.en.documents_required[5].children[3]</t>
        </is>
      </c>
      <c r="G577" s="8" t="inlineStr">
        <is>
          <t>C08@20261028-6245ae04</t>
        </is>
      </c>
      <c r="H577" s="8" t="n">
        <v>1</v>
      </c>
      <c r="I577" s="8" t="n">
        <v>1</v>
      </c>
      <c r="J577" s="8" t="inlineStr">
        <is>
          <t>Dispatch Instructions Issued from Headquarters.</t>
        </is>
      </c>
      <c r="K577" s="8" t="inlineStr">
        <is>
          <t>MS-C08</t>
        </is>
      </c>
      <c r="L577" s="9" t="n">
        <v>46323</v>
      </c>
      <c r="M577" s="8" t="inlineStr">
        <is>
          <t>Approved</t>
        </is>
      </c>
      <c r="N577" s="8" t="inlineStr">
        <is>
          <t>list_item</t>
        </is>
      </c>
    </row>
    <row r="578" ht="40" customHeight="1">
      <c r="A578" s="4" t="inlineStr">
        <is>
          <t>C08-P0048</t>
        </is>
      </c>
      <c r="B578" s="4" t="inlineStr">
        <is>
          <t>C08</t>
        </is>
      </c>
      <c r="C578" s="4" t="inlineStr">
        <is>
          <t>Market Development Assistance</t>
        </is>
      </c>
      <c r="D578" s="4" t="inlineStr">
        <is>
          <t>Applicant documents</t>
        </is>
      </c>
      <c r="E578" s="4" t="inlineStr"/>
      <c r="F578" s="4" t="inlineStr">
        <is>
          <t>documents.en.documents_required[5].children[4]</t>
        </is>
      </c>
      <c r="G578" s="4" t="inlineStr">
        <is>
          <t>C08@20261028-6245ae04</t>
        </is>
      </c>
      <c r="H578" s="4" t="n">
        <v>1</v>
      </c>
      <c r="I578" s="4" t="n">
        <v>1</v>
      </c>
      <c r="J578" s="4" t="inlineStr">
        <is>
          <t>Gate Passes Bearing Printed Serial Numbers.</t>
        </is>
      </c>
      <c r="K578" s="4" t="inlineStr">
        <is>
          <t>MS-C08</t>
        </is>
      </c>
      <c r="L578" s="6" t="n">
        <v>46323</v>
      </c>
      <c r="M578" s="4" t="inlineStr">
        <is>
          <t>Approved</t>
        </is>
      </c>
      <c r="N578" s="4" t="inlineStr">
        <is>
          <t>list_item</t>
        </is>
      </c>
    </row>
    <row r="579" ht="40" customHeight="1">
      <c r="A579" s="8" t="inlineStr">
        <is>
          <t>C08-P0049</t>
        </is>
      </c>
      <c r="B579" s="8" t="inlineStr">
        <is>
          <t>C08</t>
        </is>
      </c>
      <c r="C579" s="8" t="inlineStr">
        <is>
          <t>Market Development Assistance</t>
        </is>
      </c>
      <c r="D579" s="8" t="inlineStr">
        <is>
          <t>Applicant documents</t>
        </is>
      </c>
      <c r="E579" s="8" t="inlineStr"/>
      <c r="F579" s="8" t="inlineStr">
        <is>
          <t>documents.en.documents_required[5].children[5]</t>
        </is>
      </c>
      <c r="G579" s="8" t="inlineStr">
        <is>
          <t>C08@20261028-6245ae04</t>
        </is>
      </c>
      <c r="H579" s="8" t="n">
        <v>1</v>
      </c>
      <c r="I579" s="8" t="n">
        <v>1</v>
      </c>
      <c r="J579" s="8" t="inlineStr">
        <is>
          <t>Register of Gate Passes Issued.</t>
        </is>
      </c>
      <c r="K579" s="8" t="inlineStr">
        <is>
          <t>MS-C08</t>
        </is>
      </c>
      <c r="L579" s="9" t="n">
        <v>46323</v>
      </c>
      <c r="M579" s="8" t="inlineStr">
        <is>
          <t>Approved</t>
        </is>
      </c>
      <c r="N579" s="8" t="inlineStr">
        <is>
          <t>list_item</t>
        </is>
      </c>
    </row>
    <row r="580" ht="40" customHeight="1">
      <c r="A580" s="4" t="inlineStr">
        <is>
          <t>C08-P0050</t>
        </is>
      </c>
      <c r="B580" s="4" t="inlineStr">
        <is>
          <t>C08</t>
        </is>
      </c>
      <c r="C580" s="4" t="inlineStr">
        <is>
          <t>Market Development Assistance</t>
        </is>
      </c>
      <c r="D580" s="4" t="inlineStr">
        <is>
          <t>Applicant documents</t>
        </is>
      </c>
      <c r="E580" s="4" t="inlineStr"/>
      <c r="F580" s="4" t="inlineStr">
        <is>
          <t>documents.en.documents_required[5].children[6]</t>
        </is>
      </c>
      <c r="G580" s="4" t="inlineStr">
        <is>
          <t>C08@20261028-6245ae04</t>
        </is>
      </c>
      <c r="H580" s="4" t="n">
        <v>1</v>
      </c>
      <c r="I580" s="4" t="n">
        <v>1</v>
      </c>
      <c r="J580" s="4" t="inlineStr">
        <is>
          <t>Register of Dispatches.</t>
        </is>
      </c>
      <c r="K580" s="4" t="inlineStr">
        <is>
          <t>MS-C08</t>
        </is>
      </c>
      <c r="L580" s="6" t="n">
        <v>46323</v>
      </c>
      <c r="M580" s="4" t="inlineStr">
        <is>
          <t>Approved</t>
        </is>
      </c>
      <c r="N580" s="4" t="inlineStr">
        <is>
          <t>list_item</t>
        </is>
      </c>
    </row>
    <row r="581" ht="40" customHeight="1">
      <c r="A581" s="8" t="inlineStr">
        <is>
          <t>C08-P0051</t>
        </is>
      </c>
      <c r="B581" s="8" t="inlineStr">
        <is>
          <t>C08</t>
        </is>
      </c>
      <c r="C581" s="8" t="inlineStr">
        <is>
          <t>Market Development Assistance</t>
        </is>
      </c>
      <c r="D581" s="8" t="inlineStr">
        <is>
          <t>Applicant documents</t>
        </is>
      </c>
      <c r="E581" s="8" t="inlineStr"/>
      <c r="F581" s="8" t="inlineStr">
        <is>
          <t>documents.en.documents_required[5].children[7]</t>
        </is>
      </c>
      <c r="G581" s="8" t="inlineStr">
        <is>
          <t>C08@20261028-6245ae04</t>
        </is>
      </c>
      <c r="H581" s="8" t="n">
        <v>1</v>
      </c>
      <c r="I581" s="8" t="n">
        <v>1</v>
      </c>
      <c r="J581" s="8" t="inlineStr">
        <is>
          <t>Sales Invoices Serially Numbered and Supported by Warehouse Delivery Notes.</t>
        </is>
      </c>
      <c r="K581" s="8" t="inlineStr">
        <is>
          <t>MS-C08</t>
        </is>
      </c>
      <c r="L581" s="9" t="n">
        <v>46323</v>
      </c>
      <c r="M581" s="8" t="inlineStr">
        <is>
          <t>Approved</t>
        </is>
      </c>
      <c r="N581" s="8" t="inlineStr">
        <is>
          <t>list_item</t>
        </is>
      </c>
    </row>
    <row r="582" ht="40" customHeight="1">
      <c r="A582" s="4" t="inlineStr">
        <is>
          <t>C08-P0052</t>
        </is>
      </c>
      <c r="B582" s="4" t="inlineStr">
        <is>
          <t>C08</t>
        </is>
      </c>
      <c r="C582" s="4" t="inlineStr">
        <is>
          <t>Market Development Assistance</t>
        </is>
      </c>
      <c r="D582" s="4" t="inlineStr">
        <is>
          <t>Applicant documents</t>
        </is>
      </c>
      <c r="E582" s="4" t="inlineStr"/>
      <c r="F582" s="4" t="inlineStr">
        <is>
          <t>documents.en.documents_required[5].children[8]</t>
        </is>
      </c>
      <c r="G582" s="4" t="inlineStr">
        <is>
          <t>C08@20261028-6245ae04</t>
        </is>
      </c>
      <c r="H582" s="4" t="n">
        <v>1</v>
      </c>
      <c r="I582" s="4" t="n">
        <v>1</v>
      </c>
      <c r="J582" s="4" t="inlineStr">
        <is>
          <t>Sales Day Book.</t>
        </is>
      </c>
      <c r="K582" s="4" t="inlineStr">
        <is>
          <t>MS-C08</t>
        </is>
      </c>
      <c r="L582" s="6" t="n">
        <v>46323</v>
      </c>
      <c r="M582" s="4" t="inlineStr">
        <is>
          <t>Approved</t>
        </is>
      </c>
      <c r="N582" s="4" t="inlineStr">
        <is>
          <t>list_item</t>
        </is>
      </c>
    </row>
    <row r="583" ht="40" customHeight="1">
      <c r="A583" s="8" t="inlineStr">
        <is>
          <t>C08-P0053</t>
        </is>
      </c>
      <c r="B583" s="8" t="inlineStr">
        <is>
          <t>C08</t>
        </is>
      </c>
      <c r="C583" s="8" t="inlineStr">
        <is>
          <t>Market Development Assistance</t>
        </is>
      </c>
      <c r="D583" s="8" t="inlineStr">
        <is>
          <t>Applicant documents</t>
        </is>
      </c>
      <c r="E583" s="8" t="inlineStr"/>
      <c r="F583" s="8" t="inlineStr">
        <is>
          <t>documents.en.documents_required[5].children[9]</t>
        </is>
      </c>
      <c r="G583" s="8" t="inlineStr">
        <is>
          <t>C08@20261028-6245ae04</t>
        </is>
      </c>
      <c r="H583" s="8" t="n">
        <v>1</v>
      </c>
      <c r="I583" s="8" t="n">
        <v>1</v>
      </c>
      <c r="J583" s="8" t="inlineStr">
        <is>
          <t>Delivery Challan Signed by the Receiver in Confirmation of Receipt.</t>
        </is>
      </c>
      <c r="K583" s="8" t="inlineStr">
        <is>
          <t>MS-C08</t>
        </is>
      </c>
      <c r="L583" s="9" t="n">
        <v>46323</v>
      </c>
      <c r="M583" s="8" t="inlineStr">
        <is>
          <t>Approved</t>
        </is>
      </c>
      <c r="N583" s="8" t="inlineStr">
        <is>
          <t>list_item</t>
        </is>
      </c>
    </row>
    <row r="584" ht="40" customHeight="1">
      <c r="A584" s="4" t="inlineStr">
        <is>
          <t>C08-P0054</t>
        </is>
      </c>
      <c r="B584" s="4" t="inlineStr">
        <is>
          <t>C08</t>
        </is>
      </c>
      <c r="C584" s="4" t="inlineStr">
        <is>
          <t>Market Development Assistance</t>
        </is>
      </c>
      <c r="D584" s="4" t="inlineStr">
        <is>
          <t>Applicant documents</t>
        </is>
      </c>
      <c r="E584" s="4" t="inlineStr"/>
      <c r="F584" s="4" t="inlineStr">
        <is>
          <t>documents.en.documents_required[5].children[10]</t>
        </is>
      </c>
      <c r="G584" s="4" t="inlineStr">
        <is>
          <t>C08@20261028-6245ae04</t>
        </is>
      </c>
      <c r="H584" s="4" t="n">
        <v>1</v>
      </c>
      <c r="I584" s="4" t="n">
        <v>1</v>
      </c>
      <c r="J584" s="4" t="inlineStr">
        <is>
          <t>Stock Register of Raw Materials Purchased and Consumed.</t>
        </is>
      </c>
      <c r="K584" s="4" t="inlineStr">
        <is>
          <t>MS-C08</t>
        </is>
      </c>
      <c r="L584" s="6" t="n">
        <v>46323</v>
      </c>
      <c r="M584" s="4" t="inlineStr">
        <is>
          <t>Approved</t>
        </is>
      </c>
      <c r="N584" s="4" t="inlineStr">
        <is>
          <t>list_item</t>
        </is>
      </c>
    </row>
    <row r="585" ht="40" customHeight="1">
      <c r="A585" s="8" t="inlineStr">
        <is>
          <t>C08-P0055</t>
        </is>
      </c>
      <c r="B585" s="8" t="inlineStr">
        <is>
          <t>C08</t>
        </is>
      </c>
      <c r="C585" s="8" t="inlineStr">
        <is>
          <t>Market Development Assistance</t>
        </is>
      </c>
      <c r="D585" s="8" t="inlineStr">
        <is>
          <t>Application process</t>
        </is>
      </c>
      <c r="E585" s="8" t="inlineStr"/>
      <c r="F585" s="8" t="inlineStr">
        <is>
          <t>en.applicationProcess[0].process[0].children[0]</t>
        </is>
      </c>
      <c r="G585" s="8" t="inlineStr">
        <is>
          <t>C08@20261028-6245ae04</t>
        </is>
      </c>
      <c r="H585" s="8" t="n">
        <v>1</v>
      </c>
      <c r="I585" s="8" t="n">
        <v>1</v>
      </c>
      <c r="J585" s="8" t="inlineStr">
        <is>
          <t>Registration Process</t>
        </is>
      </c>
      <c r="K585" s="8" t="inlineStr">
        <is>
          <t>MS-C08</t>
        </is>
      </c>
      <c r="L585" s="9" t="n">
        <v>46323</v>
      </c>
      <c r="M585" s="8" t="inlineStr">
        <is>
          <t>Approved</t>
        </is>
      </c>
      <c r="N585" s="8" t="inlineStr">
        <is>
          <t>text</t>
        </is>
      </c>
    </row>
    <row r="586" ht="40" customHeight="1">
      <c r="A586" s="4" t="inlineStr">
        <is>
          <t>C08-P0056</t>
        </is>
      </c>
      <c r="B586" s="4" t="inlineStr">
        <is>
          <t>C08</t>
        </is>
      </c>
      <c r="C586" s="4" t="inlineStr">
        <is>
          <t>Market Development Assistance</t>
        </is>
      </c>
      <c r="D586" s="4" t="inlineStr">
        <is>
          <t>Application process</t>
        </is>
      </c>
      <c r="E586" s="4" t="inlineStr">
        <is>
          <t>Step 1: Accessing the Portal for Pre-requisite Registration</t>
        </is>
      </c>
      <c r="F586" s="4" t="inlineStr">
        <is>
          <t>en.applicationProcess[0].process[1]</t>
        </is>
      </c>
      <c r="G586" s="4" t="inlineStr">
        <is>
          <t>C08@20261028-6245ae04</t>
        </is>
      </c>
      <c r="H586" s="4" t="n">
        <v>1</v>
      </c>
      <c r="I586" s="4" t="n">
        <v>1</v>
      </c>
      <c r="J586" s="4" t="inlineStr">
        <is>
          <t>Step 1: Accessing the Portal for Pre-requisite Registration</t>
        </is>
      </c>
      <c r="K586" s="4" t="inlineStr">
        <is>
          <t>MS-C08</t>
        </is>
      </c>
      <c r="L586" s="6" t="n">
        <v>46323</v>
      </c>
      <c r="M586" s="4" t="inlineStr">
        <is>
          <t>Approved</t>
        </is>
      </c>
      <c r="N586" s="4" t="inlineStr">
        <is>
          <t>paragraph</t>
        </is>
      </c>
    </row>
    <row r="587" ht="54" customHeight="1">
      <c r="A587" s="8" t="inlineStr">
        <is>
          <t>C08-P0057</t>
        </is>
      </c>
      <c r="B587" s="8" t="inlineStr">
        <is>
          <t>C08</t>
        </is>
      </c>
      <c r="C587" s="8" t="inlineStr">
        <is>
          <t>Market Development Assistance</t>
        </is>
      </c>
      <c r="D587" s="8" t="inlineStr">
        <is>
          <t>Application process</t>
        </is>
      </c>
      <c r="E587" s="8" t="inlineStr">
        <is>
          <t>Step 1: Accessing the Portal for Pre-requisite Registration</t>
        </is>
      </c>
      <c r="F587" s="8" t="inlineStr">
        <is>
          <t>en.applicationProcess[0].process[2]</t>
        </is>
      </c>
      <c r="G587" s="8" t="inlineStr">
        <is>
          <t>C08@20261028-6245ae04</t>
        </is>
      </c>
      <c r="H587" s="8" t="n">
        <v>1</v>
      </c>
      <c r="I587" s="8" t="n">
        <v>1</v>
      </c>
      <c r="J587" s="8" t="inlineStr">
        <is>
          <t>The applicant must access the Unified Galvanizing Organic Bio-Agro Resources Dhan portal of the Department of Drinking Water &amp; Sanitation to register their Bio-Gas or Compressed Bio-Gas manufacturing units.</t>
        </is>
      </c>
      <c r="K587" s="8" t="inlineStr">
        <is>
          <t>MS-C08</t>
        </is>
      </c>
      <c r="L587" s="9" t="n">
        <v>46323</v>
      </c>
      <c r="M587" s="8" t="inlineStr">
        <is>
          <t>Approved</t>
        </is>
      </c>
      <c r="N587" s="8" t="inlineStr">
        <is>
          <t>paragraph</t>
        </is>
      </c>
    </row>
    <row r="588" ht="40" customHeight="1">
      <c r="A588" s="4" t="inlineStr">
        <is>
          <t>C08-P0058</t>
        </is>
      </c>
      <c r="B588" s="4" t="inlineStr">
        <is>
          <t>C08</t>
        </is>
      </c>
      <c r="C588" s="4" t="inlineStr">
        <is>
          <t>Market Development Assistance</t>
        </is>
      </c>
      <c r="D588" s="4" t="inlineStr">
        <is>
          <t>Application process</t>
        </is>
      </c>
      <c r="E588" s="4" t="inlineStr">
        <is>
          <t>Step 2: Submitting Details for Registration</t>
        </is>
      </c>
      <c r="F588" s="4" t="inlineStr">
        <is>
          <t>en.applicationProcess[0].process[3]</t>
        </is>
      </c>
      <c r="G588" s="4" t="inlineStr">
        <is>
          <t>C08@20261028-6245ae04</t>
        </is>
      </c>
      <c r="H588" s="4" t="n">
        <v>1</v>
      </c>
      <c r="I588" s="4" t="n">
        <v>1</v>
      </c>
      <c r="J588" s="4" t="inlineStr">
        <is>
          <t>Step 2: Submitting Details for Registration</t>
        </is>
      </c>
      <c r="K588" s="4" t="inlineStr">
        <is>
          <t>MS-C08</t>
        </is>
      </c>
      <c r="L588" s="6" t="n">
        <v>46323</v>
      </c>
      <c r="M588" s="4" t="inlineStr">
        <is>
          <t>Approved</t>
        </is>
      </c>
      <c r="N588" s="4" t="inlineStr">
        <is>
          <t>paragraph</t>
        </is>
      </c>
    </row>
    <row r="589" ht="40" customHeight="1">
      <c r="A589" s="8" t="inlineStr">
        <is>
          <t>C08-P0059</t>
        </is>
      </c>
      <c r="B589" s="8" t="inlineStr">
        <is>
          <t>C08</t>
        </is>
      </c>
      <c r="C589" s="8" t="inlineStr">
        <is>
          <t>Market Development Assistance</t>
        </is>
      </c>
      <c r="D589" s="8" t="inlineStr">
        <is>
          <t>Application process</t>
        </is>
      </c>
      <c r="E589" s="8" t="inlineStr">
        <is>
          <t>Step 2: Submitting Details for Registration</t>
        </is>
      </c>
      <c r="F589" s="8" t="inlineStr">
        <is>
          <t>en.applicationProcess[0].process[4]</t>
        </is>
      </c>
      <c r="G589" s="8" t="inlineStr">
        <is>
          <t>C08@20261028-6245ae04</t>
        </is>
      </c>
      <c r="H589" s="8" t="n">
        <v>1</v>
      </c>
      <c r="I589" s="8" t="n">
        <v>1</v>
      </c>
      <c r="J589" s="8" t="inlineStr">
        <is>
          <t>The applicant must submit all necessary plant and operational details on the portal to obtain the mandatory registration number required to avail the assistance.</t>
        </is>
      </c>
      <c r="K589" s="8" t="inlineStr">
        <is>
          <t>MS-C08</t>
        </is>
      </c>
      <c r="L589" s="9" t="n">
        <v>46323</v>
      </c>
      <c r="M589" s="8" t="inlineStr">
        <is>
          <t>Approved</t>
        </is>
      </c>
      <c r="N589" s="8" t="inlineStr">
        <is>
          <t>paragraph</t>
        </is>
      </c>
    </row>
    <row r="590" ht="40" customHeight="1">
      <c r="A590" s="4" t="inlineStr">
        <is>
          <t>C08-P0060</t>
        </is>
      </c>
      <c r="B590" s="4" t="inlineStr">
        <is>
          <t>C08</t>
        </is>
      </c>
      <c r="C590" s="4" t="inlineStr">
        <is>
          <t>Market Development Assistance</t>
        </is>
      </c>
      <c r="D590" s="4" t="inlineStr">
        <is>
          <t>Application process</t>
        </is>
      </c>
      <c r="E590" s="4" t="inlineStr">
        <is>
          <t>Step 2: Submitting Details for Registration</t>
        </is>
      </c>
      <c r="F590" s="4" t="inlineStr">
        <is>
          <t>en.applicationProcess[0].process[5].children[0]</t>
        </is>
      </c>
      <c r="G590" s="4" t="inlineStr">
        <is>
          <t>C08@20261028-6245ae04</t>
        </is>
      </c>
      <c r="H590" s="4" t="n">
        <v>1</v>
      </c>
      <c r="I590" s="4" t="n">
        <v>1</v>
      </c>
      <c r="J590" s="4" t="inlineStr">
        <is>
          <t>Application Process</t>
        </is>
      </c>
      <c r="K590" s="4" t="inlineStr">
        <is>
          <t>MS-C08</t>
        </is>
      </c>
      <c r="L590" s="6" t="n">
        <v>46323</v>
      </c>
      <c r="M590" s="4" t="inlineStr">
        <is>
          <t>Approved</t>
        </is>
      </c>
      <c r="N590" s="4" t="inlineStr">
        <is>
          <t>text</t>
        </is>
      </c>
    </row>
    <row r="591" ht="40" customHeight="1">
      <c r="A591" s="8" t="inlineStr">
        <is>
          <t>C08-P0061</t>
        </is>
      </c>
      <c r="B591" s="8" t="inlineStr">
        <is>
          <t>C08</t>
        </is>
      </c>
      <c r="C591" s="8" t="inlineStr">
        <is>
          <t>Market Development Assistance</t>
        </is>
      </c>
      <c r="D591" s="8" t="inlineStr">
        <is>
          <t>Application process</t>
        </is>
      </c>
      <c r="E591" s="8" t="inlineStr">
        <is>
          <t>Step 3: Intimation of Willingness to the Department</t>
        </is>
      </c>
      <c r="F591" s="8" t="inlineStr">
        <is>
          <t>en.applicationProcess[0].process[6]</t>
        </is>
      </c>
      <c r="G591" s="8" t="inlineStr">
        <is>
          <t>C08@20261028-6245ae04</t>
        </is>
      </c>
      <c r="H591" s="8" t="n">
        <v>1</v>
      </c>
      <c r="I591" s="8" t="n">
        <v>1</v>
      </c>
      <c r="J591" s="8" t="inlineStr">
        <is>
          <t>Step 3: Intimation of Willingness to the Department</t>
        </is>
      </c>
      <c r="K591" s="8" t="inlineStr">
        <is>
          <t>MS-C08</t>
        </is>
      </c>
      <c r="L591" s="9" t="n">
        <v>46323</v>
      </c>
      <c r="M591" s="8" t="inlineStr">
        <is>
          <t>Approved</t>
        </is>
      </c>
      <c r="N591" s="8" t="inlineStr">
        <is>
          <t>paragraph</t>
        </is>
      </c>
    </row>
    <row r="592" ht="40" customHeight="1">
      <c r="A592" s="4" t="inlineStr">
        <is>
          <t>C08-P0062</t>
        </is>
      </c>
      <c r="B592" s="4" t="inlineStr">
        <is>
          <t>C08</t>
        </is>
      </c>
      <c r="C592" s="4" t="inlineStr">
        <is>
          <t>Market Development Assistance</t>
        </is>
      </c>
      <c r="D592" s="4" t="inlineStr">
        <is>
          <t>Application process</t>
        </is>
      </c>
      <c r="E592" s="4" t="inlineStr">
        <is>
          <t>Step 3: Intimation of Willingness to the Department</t>
        </is>
      </c>
      <c r="F592" s="4" t="inlineStr">
        <is>
          <t>en.applicationProcess[0].process[7]</t>
        </is>
      </c>
      <c r="G592" s="4" t="inlineStr">
        <is>
          <t>C08@20261028-6245ae04</t>
        </is>
      </c>
      <c r="H592" s="4" t="n">
        <v>1</v>
      </c>
      <c r="I592" s="4" t="n">
        <v>1</v>
      </c>
      <c r="J592" s="4" t="inlineStr">
        <is>
          <t>The applicant must submit a physical letter intimating their willingness to market the organic fertilizers to the Department of Fertilizers.</t>
        </is>
      </c>
      <c r="K592" s="4" t="inlineStr">
        <is>
          <t>MS-C08</t>
        </is>
      </c>
      <c r="L592" s="6" t="n">
        <v>46323</v>
      </c>
      <c r="M592" s="4" t="inlineStr">
        <is>
          <t>Approved</t>
        </is>
      </c>
      <c r="N592" s="4" t="inlineStr">
        <is>
          <t>paragraph</t>
        </is>
      </c>
    </row>
    <row r="593" ht="40" customHeight="1">
      <c r="A593" s="8" t="inlineStr">
        <is>
          <t>C08-P0063</t>
        </is>
      </c>
      <c r="B593" s="8" t="inlineStr">
        <is>
          <t>C08</t>
        </is>
      </c>
      <c r="C593" s="8" t="inlineStr">
        <is>
          <t>Market Development Assistance</t>
        </is>
      </c>
      <c r="D593" s="8" t="inlineStr">
        <is>
          <t>Application process</t>
        </is>
      </c>
      <c r="E593" s="8" t="inlineStr">
        <is>
          <t>Step 4: Submission of Annexures</t>
        </is>
      </c>
      <c r="F593" s="8" t="inlineStr">
        <is>
          <t>en.applicationProcess[0].process[8]</t>
        </is>
      </c>
      <c r="G593" s="8" t="inlineStr">
        <is>
          <t>C08@20261028-6245ae04</t>
        </is>
      </c>
      <c r="H593" s="8" t="n">
        <v>1</v>
      </c>
      <c r="I593" s="8" t="n">
        <v>1</v>
      </c>
      <c r="J593" s="8" t="inlineStr">
        <is>
          <t>Step 4: Submission of Annexures</t>
        </is>
      </c>
      <c r="K593" s="8" t="inlineStr">
        <is>
          <t>MS-C08</t>
        </is>
      </c>
      <c r="L593" s="9" t="n">
        <v>46323</v>
      </c>
      <c r="M593" s="8" t="inlineStr">
        <is>
          <t>Approved</t>
        </is>
      </c>
      <c r="N593" s="8" t="inlineStr">
        <is>
          <t>paragraph</t>
        </is>
      </c>
    </row>
    <row r="594" ht="54" customHeight="1">
      <c r="A594" s="4" t="inlineStr">
        <is>
          <t>C08-P0064</t>
        </is>
      </c>
      <c r="B594" s="4" t="inlineStr">
        <is>
          <t>C08</t>
        </is>
      </c>
      <c r="C594" s="4" t="inlineStr">
        <is>
          <t>Market Development Assistance</t>
        </is>
      </c>
      <c r="D594" s="4" t="inlineStr">
        <is>
          <t>Application process</t>
        </is>
      </c>
      <c r="E594" s="4" t="inlineStr">
        <is>
          <t>Step 4: Submission of Annexures</t>
        </is>
      </c>
      <c r="F594" s="4" t="inlineStr">
        <is>
          <t>en.applicationProcess[0].process[9]</t>
        </is>
      </c>
      <c r="G594" s="4" t="inlineStr">
        <is>
          <t>C08@20261028-6245ae04</t>
        </is>
      </c>
      <c r="H594" s="4" t="n">
        <v>1</v>
      </c>
      <c r="I594" s="4" t="n">
        <v>1</v>
      </c>
      <c r="J594" s="4" t="inlineStr">
        <is>
          <t>The applicant must attach the required operational details as per Annexure-I (for Fertilizer Marketing Companies) or Annexure-II (for Manufacturers) along with the intimation letter for formal approval.</t>
        </is>
      </c>
      <c r="K594" s="4" t="inlineStr">
        <is>
          <t>MS-C08</t>
        </is>
      </c>
      <c r="L594" s="6" t="n">
        <v>46323</v>
      </c>
      <c r="M594" s="4" t="inlineStr">
        <is>
          <t>Approved</t>
        </is>
      </c>
      <c r="N594" s="4" t="inlineStr">
        <is>
          <t>paragraph</t>
        </is>
      </c>
    </row>
    <row r="595" ht="40" customHeight="1">
      <c r="A595" s="8" t="inlineStr">
        <is>
          <t>C08-P0065</t>
        </is>
      </c>
      <c r="B595" s="8" t="inlineStr">
        <is>
          <t>C08</t>
        </is>
      </c>
      <c r="C595" s="8" t="inlineStr">
        <is>
          <t>Market Development Assistance</t>
        </is>
      </c>
      <c r="D595" s="8" t="inlineStr">
        <is>
          <t>Application process</t>
        </is>
      </c>
      <c r="E595" s="8" t="inlineStr">
        <is>
          <t>Step 5: Registration on the Integrated Fertilizer Management System Portal</t>
        </is>
      </c>
      <c r="F595" s="8" t="inlineStr">
        <is>
          <t>en.applicationProcess[0].process[10]</t>
        </is>
      </c>
      <c r="G595" s="8" t="inlineStr">
        <is>
          <t>C08@20261028-6245ae04</t>
        </is>
      </c>
      <c r="H595" s="8" t="n">
        <v>1</v>
      </c>
      <c r="I595" s="8" t="n">
        <v>1</v>
      </c>
      <c r="J595" s="8" t="inlineStr">
        <is>
          <t>Step 5: Registration on the Integrated Fertilizer Management System Portal</t>
        </is>
      </c>
      <c r="K595" s="8" t="inlineStr">
        <is>
          <t>MS-C08</t>
        </is>
      </c>
      <c r="L595" s="9" t="n">
        <v>46323</v>
      </c>
      <c r="M595" s="8" t="inlineStr">
        <is>
          <t>Approved</t>
        </is>
      </c>
      <c r="N595" s="8" t="inlineStr">
        <is>
          <t>paragraph</t>
        </is>
      </c>
    </row>
    <row r="596" ht="54" customHeight="1">
      <c r="A596" s="4" t="inlineStr">
        <is>
          <t>C08-P0066</t>
        </is>
      </c>
      <c r="B596" s="4" t="inlineStr">
        <is>
          <t>C08</t>
        </is>
      </c>
      <c r="C596" s="4" t="inlineStr">
        <is>
          <t>Market Development Assistance</t>
        </is>
      </c>
      <c r="D596" s="4" t="inlineStr">
        <is>
          <t>Application process</t>
        </is>
      </c>
      <c r="E596" s="4" t="inlineStr">
        <is>
          <t>Step 5: Registration on the Integrated Fertilizer Management System Portal</t>
        </is>
      </c>
      <c r="F596" s="4" t="inlineStr">
        <is>
          <t>en.applicationProcess[0].process[11]</t>
        </is>
      </c>
      <c r="G596" s="4" t="inlineStr">
        <is>
          <t>C08@20261028-6245ae04</t>
        </is>
      </c>
      <c r="H596" s="4" t="n">
        <v>1</v>
      </c>
      <c r="I596" s="4" t="n">
        <v>1</v>
      </c>
      <c r="J596" s="4" t="inlineStr">
        <is>
          <t>The applicant must register on the newly introduced module on the Integrated Fertilizer Management System portal where the Department of Fertilizers will allot a unique identification number to the manufacturing units.</t>
        </is>
      </c>
      <c r="K596" s="4" t="inlineStr">
        <is>
          <t>MS-C08</t>
        </is>
      </c>
      <c r="L596" s="6" t="n">
        <v>46323</v>
      </c>
      <c r="M596" s="4" t="inlineStr">
        <is>
          <t>Approved</t>
        </is>
      </c>
      <c r="N596" s="4" t="inlineStr">
        <is>
          <t>paragraph</t>
        </is>
      </c>
    </row>
    <row r="597" ht="40" customHeight="1">
      <c r="A597" s="8" t="inlineStr">
        <is>
          <t>C08-P0067</t>
        </is>
      </c>
      <c r="B597" s="8" t="inlineStr">
        <is>
          <t>C08</t>
        </is>
      </c>
      <c r="C597" s="8" t="inlineStr">
        <is>
          <t>Market Development Assistance</t>
        </is>
      </c>
      <c r="D597" s="8" t="inlineStr">
        <is>
          <t>Application process</t>
        </is>
      </c>
      <c r="E597" s="8" t="inlineStr">
        <is>
          <t>Step 6: Uploading Operational Data</t>
        </is>
      </c>
      <c r="F597" s="8" t="inlineStr">
        <is>
          <t>en.applicationProcess[0].process[12]</t>
        </is>
      </c>
      <c r="G597" s="8" t="inlineStr">
        <is>
          <t>C08@20261028-6245ae04</t>
        </is>
      </c>
      <c r="H597" s="8" t="n">
        <v>1</v>
      </c>
      <c r="I597" s="8" t="n">
        <v>1</v>
      </c>
      <c r="J597" s="8" t="inlineStr">
        <is>
          <t>Step 6: Uploading Operational Data</t>
        </is>
      </c>
      <c r="K597" s="8" t="inlineStr">
        <is>
          <t>MS-C08</t>
        </is>
      </c>
      <c r="L597" s="9" t="n">
        <v>46323</v>
      </c>
      <c r="M597" s="8" t="inlineStr">
        <is>
          <t>Approved</t>
        </is>
      </c>
      <c r="N597" s="8" t="inlineStr">
        <is>
          <t>paragraph</t>
        </is>
      </c>
    </row>
    <row r="598" ht="54" customHeight="1">
      <c r="A598" s="4" t="inlineStr">
        <is>
          <t>C08-P0068</t>
        </is>
      </c>
      <c r="B598" s="4" t="inlineStr">
        <is>
          <t>C08</t>
        </is>
      </c>
      <c r="C598" s="4" t="inlineStr">
        <is>
          <t>Market Development Assistance</t>
        </is>
      </c>
      <c r="D598" s="4" t="inlineStr">
        <is>
          <t>Application process</t>
        </is>
      </c>
      <c r="E598" s="4" t="inlineStr">
        <is>
          <t>Step 6: Uploading Operational Data</t>
        </is>
      </c>
      <c r="F598" s="4" t="inlineStr">
        <is>
          <t>en.applicationProcess[0].process[13]</t>
        </is>
      </c>
      <c r="G598" s="4" t="inlineStr">
        <is>
          <t>C08@20261028-6245ae04</t>
        </is>
      </c>
      <c r="H598" s="4" t="n">
        <v>1</v>
      </c>
      <c r="I598" s="4" t="n">
        <v>1</v>
      </c>
      <c r="J598" s="4" t="inlineStr">
        <is>
          <t>The applicant must use the allotted identification number to upload the quantity of organic fertilizers produced, data relating to sales, Maximum Retail Price, remaining stock, and quality certificates on the Integrated Fertilizer Management System portal.</t>
        </is>
      </c>
      <c r="K598" s="4" t="inlineStr">
        <is>
          <t>MS-C08</t>
        </is>
      </c>
      <c r="L598" s="6" t="n">
        <v>46323</v>
      </c>
      <c r="M598" s="4" t="inlineStr">
        <is>
          <t>Approved</t>
        </is>
      </c>
      <c r="N598" s="4" t="inlineStr">
        <is>
          <t>paragraph</t>
        </is>
      </c>
    </row>
    <row r="599" ht="40" customHeight="1">
      <c r="A599" s="8" t="inlineStr">
        <is>
          <t>C08-P0069</t>
        </is>
      </c>
      <c r="B599" s="8" t="inlineStr">
        <is>
          <t>C08</t>
        </is>
      </c>
      <c r="C599" s="8" t="inlineStr">
        <is>
          <t>Market Development Assistance</t>
        </is>
      </c>
      <c r="D599" s="8" t="inlineStr">
        <is>
          <t>Application process</t>
        </is>
      </c>
      <c r="E599" s="8" t="inlineStr">
        <is>
          <t>Step 6: Uploading Operational Data</t>
        </is>
      </c>
      <c r="F599" s="8" t="inlineStr">
        <is>
          <t>en.applicationProcess[0].process[14].children[0]</t>
        </is>
      </c>
      <c r="G599" s="8" t="inlineStr">
        <is>
          <t>C08@20261028-6245ae04</t>
        </is>
      </c>
      <c r="H599" s="8" t="n">
        <v>1</v>
      </c>
      <c r="I599" s="8" t="n">
        <v>1</v>
      </c>
      <c r="J599" s="8" t="inlineStr">
        <is>
          <t>Post-Application Processes</t>
        </is>
      </c>
      <c r="K599" s="8" t="inlineStr">
        <is>
          <t>MS-C08</t>
        </is>
      </c>
      <c r="L599" s="9" t="n">
        <v>46323</v>
      </c>
      <c r="M599" s="8" t="inlineStr">
        <is>
          <t>Approved</t>
        </is>
      </c>
      <c r="N599" s="8" t="inlineStr">
        <is>
          <t>text</t>
        </is>
      </c>
    </row>
    <row r="600" ht="40" customHeight="1">
      <c r="A600" s="4" t="inlineStr">
        <is>
          <t>C08-P0070</t>
        </is>
      </c>
      <c r="B600" s="4" t="inlineStr">
        <is>
          <t>C08</t>
        </is>
      </c>
      <c r="C600" s="4" t="inlineStr">
        <is>
          <t>Market Development Assistance</t>
        </is>
      </c>
      <c r="D600" s="4" t="inlineStr">
        <is>
          <t>Application process</t>
        </is>
      </c>
      <c r="E600" s="4" t="inlineStr">
        <is>
          <t>Step 7: Quality Testing and Certification</t>
        </is>
      </c>
      <c r="F600" s="4" t="inlineStr">
        <is>
          <t>en.applicationProcess[0].process[15]</t>
        </is>
      </c>
      <c r="G600" s="4" t="inlineStr">
        <is>
          <t>C08@20261028-6245ae04</t>
        </is>
      </c>
      <c r="H600" s="4" t="n">
        <v>1</v>
      </c>
      <c r="I600" s="4" t="n">
        <v>1</v>
      </c>
      <c r="J600" s="4" t="inlineStr">
        <is>
          <t>Step 7: Quality Testing and Certification</t>
        </is>
      </c>
      <c r="K600" s="4" t="inlineStr">
        <is>
          <t>MS-C08</t>
        </is>
      </c>
      <c r="L600" s="6" t="n">
        <v>46323</v>
      </c>
      <c r="M600" s="4" t="inlineStr">
        <is>
          <t>Approved</t>
        </is>
      </c>
      <c r="N600" s="4" t="inlineStr">
        <is>
          <t>paragraph</t>
        </is>
      </c>
    </row>
    <row r="601" ht="54" customHeight="1">
      <c r="A601" s="8" t="inlineStr">
        <is>
          <t>C08-P0071</t>
        </is>
      </c>
      <c r="B601" s="8" t="inlineStr">
        <is>
          <t>C08</t>
        </is>
      </c>
      <c r="C601" s="8" t="inlineStr">
        <is>
          <t>Market Development Assistance</t>
        </is>
      </c>
      <c r="D601" s="8" t="inlineStr">
        <is>
          <t>Application process</t>
        </is>
      </c>
      <c r="E601" s="8" t="inlineStr">
        <is>
          <t>Step 7: Quality Testing and Certification</t>
        </is>
      </c>
      <c r="F601" s="8" t="inlineStr">
        <is>
          <t>en.applicationProcess[0].process[16]</t>
        </is>
      </c>
      <c r="G601" s="8" t="inlineStr">
        <is>
          <t>C08@20261028-6245ae04</t>
        </is>
      </c>
      <c r="H601" s="8" t="n">
        <v>1</v>
      </c>
      <c r="I601" s="8" t="n">
        <v>1</v>
      </c>
      <c r="J601" s="8" t="inlineStr">
        <is>
          <t>The applicant must ensure batch-wise or dispatch-wise quality testing at accredited laboratories and get the test reports validated by the State Agriculture Department or State Energy Development Agency to receive the 'B2-MDA' certificate.</t>
        </is>
      </c>
      <c r="K601" s="8" t="inlineStr">
        <is>
          <t>MS-C08</t>
        </is>
      </c>
      <c r="L601" s="9" t="n">
        <v>46323</v>
      </c>
      <c r="M601" s="8" t="inlineStr">
        <is>
          <t>Approved</t>
        </is>
      </c>
      <c r="N601" s="8" t="inlineStr">
        <is>
          <t>paragraph</t>
        </is>
      </c>
    </row>
    <row r="602" ht="40" customHeight="1">
      <c r="A602" s="4" t="inlineStr">
        <is>
          <t>C08-P0072</t>
        </is>
      </c>
      <c r="B602" s="4" t="inlineStr">
        <is>
          <t>C08</t>
        </is>
      </c>
      <c r="C602" s="4" t="inlineStr">
        <is>
          <t>Market Development Assistance</t>
        </is>
      </c>
      <c r="D602" s="4" t="inlineStr">
        <is>
          <t>Application process</t>
        </is>
      </c>
      <c r="E602" s="4" t="inlineStr">
        <is>
          <t>Step 8: Generating Benefit Claims</t>
        </is>
      </c>
      <c r="F602" s="4" t="inlineStr">
        <is>
          <t>en.applicationProcess[0].process[17]</t>
        </is>
      </c>
      <c r="G602" s="4" t="inlineStr">
        <is>
          <t>C08@20261028-6245ae04</t>
        </is>
      </c>
      <c r="H602" s="4" t="n">
        <v>1</v>
      </c>
      <c r="I602" s="4" t="n">
        <v>1</v>
      </c>
      <c r="J602" s="4" t="inlineStr">
        <is>
          <t>Step 8: Generating Benefit Claims</t>
        </is>
      </c>
      <c r="K602" s="4" t="inlineStr">
        <is>
          <t>MS-C08</t>
        </is>
      </c>
      <c r="L602" s="6" t="n">
        <v>46323</v>
      </c>
      <c r="M602" s="4" t="inlineStr">
        <is>
          <t>Approved</t>
        </is>
      </c>
      <c r="N602" s="4" t="inlineStr">
        <is>
          <t>paragraph</t>
        </is>
      </c>
    </row>
    <row r="603" ht="40" customHeight="1">
      <c r="A603" s="8" t="inlineStr">
        <is>
          <t>C08-P0073</t>
        </is>
      </c>
      <c r="B603" s="8" t="inlineStr">
        <is>
          <t>C08</t>
        </is>
      </c>
      <c r="C603" s="8" t="inlineStr">
        <is>
          <t>Market Development Assistance</t>
        </is>
      </c>
      <c r="D603" s="8" t="inlineStr">
        <is>
          <t>Application process</t>
        </is>
      </c>
      <c r="E603" s="8" t="inlineStr">
        <is>
          <t>Step 8: Generating Benefit Claims</t>
        </is>
      </c>
      <c r="F603" s="8" t="inlineStr">
        <is>
          <t>en.applicationProcess[0].process[18]</t>
        </is>
      </c>
      <c r="G603" s="8" t="inlineStr">
        <is>
          <t>C08@20261028-6245ae04</t>
        </is>
      </c>
      <c r="H603" s="8" t="n">
        <v>1</v>
      </c>
      <c r="I603" s="8" t="n">
        <v>1</v>
      </c>
      <c r="J603" s="8" t="inlineStr">
        <is>
          <t>The applicant must generate Direct Benefit Transfer claims through the Integrated Fertilizer Management System portal using the prescribed Annexure within two months from the month of sale.</t>
        </is>
      </c>
      <c r="K603" s="8" t="inlineStr">
        <is>
          <t>MS-C08</t>
        </is>
      </c>
      <c r="L603" s="9" t="n">
        <v>46323</v>
      </c>
      <c r="M603" s="8" t="inlineStr">
        <is>
          <t>Approved</t>
        </is>
      </c>
      <c r="N603" s="8" t="inlineStr">
        <is>
          <t>paragraph</t>
        </is>
      </c>
    </row>
    <row r="604" ht="40" customHeight="1">
      <c r="A604" s="4" t="inlineStr">
        <is>
          <t>C08-P0074</t>
        </is>
      </c>
      <c r="B604" s="4" t="inlineStr">
        <is>
          <t>C08</t>
        </is>
      </c>
      <c r="C604" s="4" t="inlineStr">
        <is>
          <t>Market Development Assistance</t>
        </is>
      </c>
      <c r="D604" s="4" t="inlineStr">
        <is>
          <t>Application process</t>
        </is>
      </c>
      <c r="E604" s="4" t="inlineStr">
        <is>
          <t>Step 9: Submission of Claim Documentation</t>
        </is>
      </c>
      <c r="F604" s="4" t="inlineStr">
        <is>
          <t>en.applicationProcess[0].process[19]</t>
        </is>
      </c>
      <c r="G604" s="4" t="inlineStr">
        <is>
          <t>C08@20261028-6245ae04</t>
        </is>
      </c>
      <c r="H604" s="4" t="n">
        <v>1</v>
      </c>
      <c r="I604" s="4" t="n">
        <v>1</v>
      </c>
      <c r="J604" s="4" t="inlineStr">
        <is>
          <t>Step 9: Submission of Claim Documentation</t>
        </is>
      </c>
      <c r="K604" s="4" t="inlineStr">
        <is>
          <t>MS-C08</t>
        </is>
      </c>
      <c r="L604" s="6" t="n">
        <v>46323</v>
      </c>
      <c r="M604" s="4" t="inlineStr">
        <is>
          <t>Approved</t>
        </is>
      </c>
      <c r="N604" s="4" t="inlineStr">
        <is>
          <t>paragraph</t>
        </is>
      </c>
    </row>
    <row r="605" ht="54" customHeight="1">
      <c r="A605" s="8" t="inlineStr">
        <is>
          <t>C08-P0075</t>
        </is>
      </c>
      <c r="B605" s="8" t="inlineStr">
        <is>
          <t>C08</t>
        </is>
      </c>
      <c r="C605" s="8" t="inlineStr">
        <is>
          <t>Market Development Assistance</t>
        </is>
      </c>
      <c r="D605" s="8" t="inlineStr">
        <is>
          <t>Application process</t>
        </is>
      </c>
      <c r="E605" s="8" t="inlineStr">
        <is>
          <t>Step 9: Submission of Claim Documentation</t>
        </is>
      </c>
      <c r="F605" s="8" t="inlineStr">
        <is>
          <t>en.applicationProcess[0].process[20]</t>
        </is>
      </c>
      <c r="G605" s="8" t="inlineStr">
        <is>
          <t>C08@20261028-6245ae04</t>
        </is>
      </c>
      <c r="H605" s="8" t="n">
        <v>1</v>
      </c>
      <c r="I605" s="8" t="n">
        <v>1</v>
      </c>
      <c r="J605" s="8" t="inlineStr">
        <is>
          <t>The applicant must submit a copy of the Quality Certificate along with the claim for Market Development Assistance payment for that particular month to the Department of Fertilizers to receive the financial disbursement.</t>
        </is>
      </c>
      <c r="K605" s="8" t="inlineStr">
        <is>
          <t>MS-C08</t>
        </is>
      </c>
      <c r="L605" s="9" t="n">
        <v>46323</v>
      </c>
      <c r="M605" s="8" t="inlineStr">
        <is>
          <t>Approved</t>
        </is>
      </c>
      <c r="N605" s="8" t="inlineStr">
        <is>
          <t>paragraph</t>
        </is>
      </c>
    </row>
    <row r="606" ht="68" customHeight="1">
      <c r="A606" s="4" t="inlineStr">
        <is>
          <t>C08-P0076</t>
        </is>
      </c>
      <c r="B606" s="4" t="inlineStr">
        <is>
          <t>C08</t>
        </is>
      </c>
      <c r="C606" s="4" t="inlineStr">
        <is>
          <t>Market Development Assistance</t>
        </is>
      </c>
      <c r="D606" s="4" t="inlineStr">
        <is>
          <t>FAQ</t>
        </is>
      </c>
      <c r="E606" s="4" t="inlineStr"/>
      <c r="F606" s="4" t="inlineStr">
        <is>
          <t>faqs.en.faqs[0]</t>
        </is>
      </c>
      <c r="G606" s="4" t="inlineStr">
        <is>
          <t>C08@20261028-6245ae04</t>
        </is>
      </c>
      <c r="H606" s="4" t="n">
        <v>1</v>
      </c>
      <c r="I606" s="4" t="n">
        <v>1</v>
      </c>
      <c r="J606" s="4" t="inlineStr">
        <is>
          <t>To be eligible to receive the financial assistance for promoting organic fertilizers, what specific online registration must I complete beforehand?
You must register your Bio-Gas or Compressed Bio-Gas units on the unified Galvanizing Organic Bio-Agro Resources Dhan portal managed by the Department of Drinking Water and Sanitation.</t>
        </is>
      </c>
      <c r="K606" s="4" t="inlineStr">
        <is>
          <t>MS-C08</t>
        </is>
      </c>
      <c r="L606" s="6" t="n">
        <v>46323</v>
      </c>
      <c r="M606" s="4" t="inlineStr">
        <is>
          <t>Approved</t>
        </is>
      </c>
      <c r="N606" s="4" t="inlineStr">
        <is>
          <t>faq</t>
        </is>
      </c>
    </row>
    <row r="607" ht="68" customHeight="1">
      <c r="A607" s="8" t="inlineStr">
        <is>
          <t>C08-P0077</t>
        </is>
      </c>
      <c r="B607" s="8" t="inlineStr">
        <is>
          <t>C08</t>
        </is>
      </c>
      <c r="C607" s="8" t="inlineStr">
        <is>
          <t>Market Development Assistance</t>
        </is>
      </c>
      <c r="D607" s="8" t="inlineStr">
        <is>
          <t>FAQ</t>
        </is>
      </c>
      <c r="E607" s="8" t="inlineStr"/>
      <c r="F607" s="8" t="inlineStr">
        <is>
          <t>faqs.en.faqs[1]</t>
        </is>
      </c>
      <c r="G607" s="8" t="inlineStr">
        <is>
          <t>C08@20261028-6245ae04</t>
        </is>
      </c>
      <c r="H607" s="8" t="n">
        <v>1</v>
      </c>
      <c r="I607" s="8" t="n">
        <v>1</v>
      </c>
      <c r="J607" s="8" t="inlineStr">
        <is>
          <t>If I want to ensure my organic manure qualifies for the monetary support, where should I get the mandatory quality testing conducted?
Quality testing must be ensured at laboratories notified by the Government or private laboratories accredited by the National Accreditation Board for Testing and Calibration Laboratories.</t>
        </is>
      </c>
      <c r="K607" s="8" t="inlineStr">
        <is>
          <t>MS-C08</t>
        </is>
      </c>
      <c r="L607" s="9" t="n">
        <v>46323</v>
      </c>
      <c r="M607" s="8" t="inlineStr">
        <is>
          <t>Approved</t>
        </is>
      </c>
      <c r="N607" s="8" t="inlineStr">
        <is>
          <t>faq</t>
        </is>
      </c>
    </row>
    <row r="608" ht="68" customHeight="1">
      <c r="A608" s="4" t="inlineStr">
        <is>
          <t>C08-P0078</t>
        </is>
      </c>
      <c r="B608" s="4" t="inlineStr">
        <is>
          <t>C08</t>
        </is>
      </c>
      <c r="C608" s="4" t="inlineStr">
        <is>
          <t>Market Development Assistance</t>
        </is>
      </c>
      <c r="D608" s="4" t="inlineStr">
        <is>
          <t>FAQ</t>
        </is>
      </c>
      <c r="E608" s="4" t="inlineStr"/>
      <c r="F608" s="4" t="inlineStr">
        <is>
          <t>faqs.en.faqs[2]</t>
        </is>
      </c>
      <c r="G608" s="4" t="inlineStr">
        <is>
          <t>C08@20261028-6245ae04</t>
        </is>
      </c>
      <c r="H608" s="4" t="n">
        <v>1</v>
      </c>
      <c r="I608" s="4" t="n">
        <v>1</v>
      </c>
      <c r="J608" s="4" t="inlineStr">
        <is>
          <t>I represent a private fertilizer cooperative and want to apply for the research and development financial support; am I eligible to access this specific funding?
No, the ₹3,60,00,00,000/- corpus for research and gap funding can only be utilized by Central or State Research Institutes and non-private fertilizer cooperatives.</t>
        </is>
      </c>
      <c r="K608" s="4" t="inlineStr">
        <is>
          <t>MS-C08</t>
        </is>
      </c>
      <c r="L608" s="6" t="n">
        <v>46323</v>
      </c>
      <c r="M608" s="4" t="inlineStr">
        <is>
          <t>Approved</t>
        </is>
      </c>
      <c r="N608" s="4" t="inlineStr">
        <is>
          <t>faq</t>
        </is>
      </c>
    </row>
    <row r="609" ht="68" customHeight="1">
      <c r="A609" s="8" t="inlineStr">
        <is>
          <t>C08-P0079</t>
        </is>
      </c>
      <c r="B609" s="8" t="inlineStr">
        <is>
          <t>C08</t>
        </is>
      </c>
      <c r="C609" s="8" t="inlineStr">
        <is>
          <t>Market Development Assistance</t>
        </is>
      </c>
      <c r="D609" s="8" t="inlineStr">
        <is>
          <t>FAQ</t>
        </is>
      </c>
      <c r="E609" s="8" t="inlineStr"/>
      <c r="F609" s="8" t="inlineStr">
        <is>
          <t>faqs.en.faqs[3]</t>
        </is>
      </c>
      <c r="G609" s="8" t="inlineStr">
        <is>
          <t>C08@20261028-6245ae04</t>
        </is>
      </c>
      <c r="H609" s="8" t="n">
        <v>1</v>
      </c>
      <c r="I609" s="8" t="n">
        <v>1</v>
      </c>
      <c r="J609" s="8" t="inlineStr">
        <is>
          <t>Which exact types of organic fertilizers must my manufacturing plant produce to be considered eligible for the financial support of ₹1,500/- per Metric Tonne?
You must produce Fermented Organic Manure, Liquid Fermented Organic Manure, or enriched Phosphate Rich Organic Manure as by-products of your registered plants.</t>
        </is>
      </c>
      <c r="K609" s="8" t="inlineStr">
        <is>
          <t>MS-C08</t>
        </is>
      </c>
      <c r="L609" s="9" t="n">
        <v>46323</v>
      </c>
      <c r="M609" s="8" t="inlineStr">
        <is>
          <t>Approved</t>
        </is>
      </c>
      <c r="N609" s="8" t="inlineStr">
        <is>
          <t>faq</t>
        </is>
      </c>
    </row>
    <row r="610" ht="68" customHeight="1">
      <c r="A610" s="4" t="inlineStr">
        <is>
          <t>C08-P0080</t>
        </is>
      </c>
      <c r="B610" s="4" t="inlineStr">
        <is>
          <t>C08</t>
        </is>
      </c>
      <c r="C610" s="4" t="inlineStr">
        <is>
          <t>Market Development Assistance</t>
        </is>
      </c>
      <c r="D610" s="4" t="inlineStr">
        <is>
          <t>FAQ</t>
        </is>
      </c>
      <c r="E610" s="4" t="inlineStr"/>
      <c r="F610" s="4" t="inlineStr">
        <is>
          <t>faqs.en.faqs[4]</t>
        </is>
      </c>
      <c r="G610" s="4" t="inlineStr">
        <is>
          <t>C08@20261028-6245ae04</t>
        </is>
      </c>
      <c r="H610" s="4" t="n">
        <v>1</v>
      </c>
      <c r="I610" s="4" t="n">
        <v>1</v>
      </c>
      <c r="J610" s="4" t="inlineStr">
        <is>
          <t>After getting my fertilizer products tested at an accredited laboratory, who must validate the resulting quality test report before I can proceed?
The quality test report must be validated by the State Agriculture Department or the State Energy Development Agency before they can issue the required certification.</t>
        </is>
      </c>
      <c r="K610" s="4" t="inlineStr">
        <is>
          <t>MS-C08</t>
        </is>
      </c>
      <c r="L610" s="6" t="n">
        <v>46323</v>
      </c>
      <c r="M610" s="4" t="inlineStr">
        <is>
          <t>Approved</t>
        </is>
      </c>
      <c r="N610" s="4" t="inlineStr">
        <is>
          <t>faq</t>
        </is>
      </c>
    </row>
    <row r="611" ht="68" customHeight="1">
      <c r="A611" s="8" t="inlineStr">
        <is>
          <t>C08-P0081</t>
        </is>
      </c>
      <c r="B611" s="8" t="inlineStr">
        <is>
          <t>C08</t>
        </is>
      </c>
      <c r="C611" s="8" t="inlineStr">
        <is>
          <t>Market Development Assistance</t>
        </is>
      </c>
      <c r="D611" s="8" t="inlineStr">
        <is>
          <t>FAQ</t>
        </is>
      </c>
      <c r="E611" s="8" t="inlineStr"/>
      <c r="F611" s="8" t="inlineStr">
        <is>
          <t>faqs.en.faqs[5]</t>
        </is>
      </c>
      <c r="G611" s="8" t="inlineStr">
        <is>
          <t>C08@20261028-6245ae04</t>
        </is>
      </c>
      <c r="H611" s="8" t="n">
        <v>1</v>
      </c>
      <c r="I611" s="8" t="n">
        <v>1</v>
      </c>
      <c r="J611" s="8" t="inlineStr">
        <is>
          <t>What are my ongoing obligations regarding the documentation and maintenance of operational records once I am selected to receive the promotional funding?
You are required to maintain permanent records in continuity year after year and make them available for audit or verification when requested by authorized agencies.</t>
        </is>
      </c>
      <c r="K611" s="8" t="inlineStr">
        <is>
          <t>MS-C08</t>
        </is>
      </c>
      <c r="L611" s="9" t="n">
        <v>46323</v>
      </c>
      <c r="M611" s="8" t="inlineStr">
        <is>
          <t>Approved</t>
        </is>
      </c>
      <c r="N611" s="8" t="inlineStr">
        <is>
          <t>faq</t>
        </is>
      </c>
    </row>
    <row r="612" ht="68" customHeight="1">
      <c r="A612" s="4" t="inlineStr">
        <is>
          <t>C08-P0082</t>
        </is>
      </c>
      <c r="B612" s="4" t="inlineStr">
        <is>
          <t>C08</t>
        </is>
      </c>
      <c r="C612" s="4" t="inlineStr">
        <is>
          <t>Market Development Assistance</t>
        </is>
      </c>
      <c r="D612" s="4" t="inlineStr">
        <is>
          <t>FAQ</t>
        </is>
      </c>
      <c r="E612" s="4" t="inlineStr"/>
      <c r="F612" s="4" t="inlineStr">
        <is>
          <t>faqs.en.faqs[6]</t>
        </is>
      </c>
      <c r="G612" s="4" t="inlineStr">
        <is>
          <t>C08@20261028-6245ae04</t>
        </is>
      </c>
      <c r="H612" s="4" t="n">
        <v>1</v>
      </c>
      <c r="I612" s="4" t="n">
        <v>1</v>
      </c>
      <c r="J612" s="4" t="inlineStr">
        <is>
          <t>How must I execute the sales of my eligible organic manure products to ensure I can successfully claim the financial disbursement later?
The financial support is permitted only for the precise quantity of fertilizers that are successfully sold to farmers through official Point of Sale machines.</t>
        </is>
      </c>
      <c r="K612" s="4" t="inlineStr">
        <is>
          <t>MS-C08</t>
        </is>
      </c>
      <c r="L612" s="6" t="n">
        <v>46323</v>
      </c>
      <c r="M612" s="4" t="inlineStr">
        <is>
          <t>Approved</t>
        </is>
      </c>
      <c r="N612" s="4" t="inlineStr">
        <is>
          <t>faq</t>
        </is>
      </c>
    </row>
    <row r="613" ht="68" customHeight="1">
      <c r="A613" s="8" t="inlineStr">
        <is>
          <t>C08-P0083</t>
        </is>
      </c>
      <c r="B613" s="8" t="inlineStr">
        <is>
          <t>C08</t>
        </is>
      </c>
      <c r="C613" s="8" t="inlineStr">
        <is>
          <t>Market Development Assistance</t>
        </is>
      </c>
      <c r="D613" s="8" t="inlineStr">
        <is>
          <t>FAQ</t>
        </is>
      </c>
      <c r="E613" s="8" t="inlineStr"/>
      <c r="F613" s="8" t="inlineStr">
        <is>
          <t>faqs.en.faqs[7]</t>
        </is>
      </c>
      <c r="G613" s="8" t="inlineStr">
        <is>
          <t>C08@20261028-6245ae04</t>
        </is>
      </c>
      <c r="H613" s="8" t="n">
        <v>1</v>
      </c>
      <c r="I613" s="8" t="n">
        <v>1</v>
      </c>
      <c r="J613" s="8" t="inlineStr">
        <is>
          <t>Once I have successfully sold my approved organic manure products, within what precise timeframe must I submit my claim to receive the monetary benefit?
You are required to generate and submit your direct benefit transfer claims within exactly two months from the month the product was sold.</t>
        </is>
      </c>
      <c r="K613" s="8" t="inlineStr">
        <is>
          <t>MS-C08</t>
        </is>
      </c>
      <c r="L613" s="9" t="n">
        <v>46323</v>
      </c>
      <c r="M613" s="8" t="inlineStr">
        <is>
          <t>Approved</t>
        </is>
      </c>
      <c r="N613" s="8" t="inlineStr">
        <is>
          <t>faq</t>
        </is>
      </c>
    </row>
    <row r="614" ht="68" customHeight="1">
      <c r="A614" s="4" t="inlineStr">
        <is>
          <t>C08-P0084</t>
        </is>
      </c>
      <c r="B614" s="4" t="inlineStr">
        <is>
          <t>C08</t>
        </is>
      </c>
      <c r="C614" s="4" t="inlineStr">
        <is>
          <t>Market Development Assistance</t>
        </is>
      </c>
      <c r="D614" s="4" t="inlineStr">
        <is>
          <t>FAQ</t>
        </is>
      </c>
      <c r="E614" s="4" t="inlineStr"/>
      <c r="F614" s="4" t="inlineStr">
        <is>
          <t>faqs.en.faqs[8]</t>
        </is>
      </c>
      <c r="G614" s="4" t="inlineStr">
        <is>
          <t>C08@20261028-6245ae04</t>
        </is>
      </c>
      <c r="H614" s="4" t="n">
        <v>1</v>
      </c>
      <c r="I614" s="4" t="n">
        <v>1</v>
      </c>
      <c r="J614" s="4" t="inlineStr">
        <is>
          <t>When packaging my approved organic manure for retail sale, what specific pricing and promotional details am I legally required to print on the bags?
You must clearly print the Maximum Retail Price along with the applicable promotional assistance amount on each package to ensure complete transparency for the buyers.</t>
        </is>
      </c>
      <c r="K614" s="4" t="inlineStr">
        <is>
          <t>MS-C08</t>
        </is>
      </c>
      <c r="L614" s="6" t="n">
        <v>46323</v>
      </c>
      <c r="M614" s="4" t="inlineStr">
        <is>
          <t>Approved</t>
        </is>
      </c>
      <c r="N614" s="4" t="inlineStr">
        <is>
          <t>faq</t>
        </is>
      </c>
    </row>
    <row r="615" ht="68" customHeight="1">
      <c r="A615" s="8" t="inlineStr">
        <is>
          <t>C08-P0085</t>
        </is>
      </c>
      <c r="B615" s="8" t="inlineStr">
        <is>
          <t>C08</t>
        </is>
      </c>
      <c r="C615" s="8" t="inlineStr">
        <is>
          <t>Market Development Assistance</t>
        </is>
      </c>
      <c r="D615" s="8" t="inlineStr">
        <is>
          <t>FAQ</t>
        </is>
      </c>
      <c r="E615" s="8" t="inlineStr"/>
      <c r="F615" s="8" t="inlineStr">
        <is>
          <t>faqs.en.faqs[9]</t>
        </is>
      </c>
      <c r="G615" s="8" t="inlineStr">
        <is>
          <t>C08@20261028-6245ae04</t>
        </is>
      </c>
      <c r="H615" s="8" t="n">
        <v>1</v>
      </c>
      <c r="I615" s="8" t="n">
        <v>1</v>
      </c>
      <c r="J615" s="8" t="inlineStr">
        <is>
          <t>If my manufacturing entity chooses to market the organic manure exclusively in packed form, how frequently must the quality testing be conducted?
When marketing your products in a packed format, you must ensure that a quality test is meticulously carried out for every single batch produced.</t>
        </is>
      </c>
      <c r="K615" s="8" t="inlineStr">
        <is>
          <t>MS-C08</t>
        </is>
      </c>
      <c r="L615" s="9" t="n">
        <v>46323</v>
      </c>
      <c r="M615" s="8" t="inlineStr">
        <is>
          <t>Approved</t>
        </is>
      </c>
      <c r="N615" s="8" t="inlineStr">
        <is>
          <t>faq</t>
        </is>
      </c>
    </row>
    <row r="616" ht="68" customHeight="1">
      <c r="A616" s="4" t="inlineStr">
        <is>
          <t>C08-P0086</t>
        </is>
      </c>
      <c r="B616" s="4" t="inlineStr">
        <is>
          <t>C08</t>
        </is>
      </c>
      <c r="C616" s="4" t="inlineStr">
        <is>
          <t>Market Development Assistance</t>
        </is>
      </c>
      <c r="D616" s="4" t="inlineStr">
        <is>
          <t>FAQ</t>
        </is>
      </c>
      <c r="E616" s="4" t="inlineStr"/>
      <c r="F616" s="4" t="inlineStr">
        <is>
          <t>faqs.en.faqs[10]</t>
        </is>
      </c>
      <c r="G616" s="4" t="inlineStr">
        <is>
          <t>C08@20261028-6245ae04</t>
        </is>
      </c>
      <c r="H616" s="4" t="n">
        <v>1</v>
      </c>
      <c r="I616" s="4" t="n">
        <v>1</v>
      </c>
      <c r="J616" s="4" t="inlineStr">
        <is>
          <t>Apart from the pricing details, what other mandatory manufacturing and product information must be visibly displayed on every bag of the eligible manure?
Each bag must prominently display its constituents, the names of the marketing entities, the manufacturer's name, and the product's exact shelf-life.</t>
        </is>
      </c>
      <c r="K616" s="4" t="inlineStr">
        <is>
          <t>MS-C08</t>
        </is>
      </c>
      <c r="L616" s="6" t="n">
        <v>46323</v>
      </c>
      <c r="M616" s="4" t="inlineStr">
        <is>
          <t>Approved</t>
        </is>
      </c>
      <c r="N616" s="4" t="inlineStr">
        <is>
          <t>faq</t>
        </is>
      </c>
    </row>
    <row r="617" ht="68" customHeight="1">
      <c r="A617" s="8" t="inlineStr">
        <is>
          <t>C08-P0087</t>
        </is>
      </c>
      <c r="B617" s="8" t="inlineStr">
        <is>
          <t>C08</t>
        </is>
      </c>
      <c r="C617" s="8" t="inlineStr">
        <is>
          <t>Market Development Assistance</t>
        </is>
      </c>
      <c r="D617" s="8" t="inlineStr">
        <is>
          <t>FAQ</t>
        </is>
      </c>
      <c r="E617" s="8" t="inlineStr"/>
      <c r="F617" s="8" t="inlineStr">
        <is>
          <t>faqs.en.faqs[11]</t>
        </is>
      </c>
      <c r="G617" s="8" t="inlineStr">
        <is>
          <t>C08@20261028-6245ae04</t>
        </is>
      </c>
      <c r="H617" s="8" t="n">
        <v>1</v>
      </c>
      <c r="I617" s="8" t="n">
        <v>1</v>
      </c>
      <c r="J617" s="8" t="inlineStr">
        <is>
          <t>Under which specific national initiatives or programs must my biogas plant be supported to ensure I meet the core manufacturing eligibility criteria?
Your plant must be supported under initiatives like the Sustainable Alternative Towards Affordable Transportation, the Waste to Energy programme, or the Swachh Bharat Mission.</t>
        </is>
      </c>
      <c r="K617" s="8" t="inlineStr">
        <is>
          <t>MS-C08</t>
        </is>
      </c>
      <c r="L617" s="9" t="n">
        <v>46323</v>
      </c>
      <c r="M617" s="8" t="inlineStr">
        <is>
          <t>Approved</t>
        </is>
      </c>
      <c r="N617" s="8" t="inlineStr">
        <is>
          <t>faq</t>
        </is>
      </c>
    </row>
    <row r="618" ht="68" customHeight="1">
      <c r="A618" s="4" t="inlineStr">
        <is>
          <t>C08-P0088</t>
        </is>
      </c>
      <c r="B618" s="4" t="inlineStr">
        <is>
          <t>C08</t>
        </is>
      </c>
      <c r="C618" s="4" t="inlineStr">
        <is>
          <t>Market Development Assistance</t>
        </is>
      </c>
      <c r="D618" s="4" t="inlineStr">
        <is>
          <t>FAQ</t>
        </is>
      </c>
      <c r="E618" s="4" t="inlineStr"/>
      <c r="F618" s="4" t="inlineStr">
        <is>
          <t>faqs.en.faqs[12]</t>
        </is>
      </c>
      <c r="G618" s="4" t="inlineStr">
        <is>
          <t>C08@20261028-6245ae04</t>
        </is>
      </c>
      <c r="H618" s="4" t="n">
        <v>1</v>
      </c>
      <c r="I618" s="4" t="n">
        <v>1</v>
      </c>
      <c r="J618" s="4" t="inlineStr">
        <is>
          <t>What specific national regulatory standards must my manufactured organic manure products adhere to in order to qualify for the promotional funding?
Your products must be in strict conformity with the quality specifications mentioned in the Fertilizer Control Order of 1985, along with any subsequent amendments.</t>
        </is>
      </c>
      <c r="K618" s="4" t="inlineStr">
        <is>
          <t>MS-C08</t>
        </is>
      </c>
      <c r="L618" s="6" t="n">
        <v>46323</v>
      </c>
      <c r="M618" s="4" t="inlineStr">
        <is>
          <t>Approved</t>
        </is>
      </c>
      <c r="N618" s="4" t="inlineStr">
        <is>
          <t>faq</t>
        </is>
      </c>
    </row>
    <row r="619" ht="82" customHeight="1">
      <c r="A619" s="8" t="inlineStr">
        <is>
          <t>C08-P0089</t>
        </is>
      </c>
      <c r="B619" s="8" t="inlineStr">
        <is>
          <t>C08</t>
        </is>
      </c>
      <c r="C619" s="8" t="inlineStr">
        <is>
          <t>Market Development Assistance</t>
        </is>
      </c>
      <c r="D619" s="8" t="inlineStr">
        <is>
          <t>FAQ</t>
        </is>
      </c>
      <c r="E619" s="8" t="inlineStr"/>
      <c r="F619" s="8" t="inlineStr">
        <is>
          <t>faqs.en.faqs[13]</t>
        </is>
      </c>
      <c r="G619" s="8" t="inlineStr">
        <is>
          <t>C08@20261028-6245ae04</t>
        </is>
      </c>
      <c r="H619" s="8" t="n">
        <v>1</v>
      </c>
      <c r="I619" s="8" t="n">
        <v>1</v>
      </c>
      <c r="J619" s="8" t="inlineStr">
        <is>
          <t>What specific types of business operations or corporate entities are formally permitted to apply for the promotional funding for organic fertilizers?
Manufacturing-cum-marketing entities, Compressed Bio-Gas operators, Bio-gas operators, marketers, distributors, and established Fertilizer Marketing Companies are formally eligible to participate.</t>
        </is>
      </c>
      <c r="K619" s="8" t="inlineStr">
        <is>
          <t>MS-C08</t>
        </is>
      </c>
      <c r="L619" s="9" t="n">
        <v>46323</v>
      </c>
      <c r="M619" s="8" t="inlineStr">
        <is>
          <t>Approved</t>
        </is>
      </c>
      <c r="N619" s="8" t="inlineStr">
        <is>
          <t>faq</t>
        </is>
      </c>
    </row>
    <row r="620" ht="166" customHeight="1">
      <c r="A620" s="4" t="inlineStr">
        <is>
          <t>C09-P0001</t>
        </is>
      </c>
      <c r="B620" s="4" t="inlineStr">
        <is>
          <t>C09</t>
        </is>
      </c>
      <c r="C620" s="4" t="inlineStr">
        <is>
          <t>PRISM (Promoting Innovations in Individuals, Start-ups and MSMEs): Category-2: Fabrication of Working Model/Process Know-how/Testing &amp; Trial/Patenting/Technology Transfer</t>
        </is>
      </c>
      <c r="D620" s="4" t="inlineStr">
        <is>
          <t>Details</t>
        </is>
      </c>
      <c r="E620" s="4" t="inlineStr"/>
      <c r="F620" s="4" t="inlineStr">
        <is>
          <t>en.schemeContent.detailedDescription[0]</t>
        </is>
      </c>
      <c r="G620" s="4" t="inlineStr">
        <is>
          <t>C09@20261028-1e8f42c4</t>
        </is>
      </c>
      <c r="H620" s="4" t="n">
        <v>1</v>
      </c>
      <c r="I620" s="4" t="n">
        <v>2</v>
      </c>
      <c r="J620" s="4" t="inlineStr">
        <is>
          <t>The scheme "Promoting Innovations In Individuals, Start-Ups And Micro, Small And Medium Enterprises (PRISM)" was launched by the Department of Scientific and Industrial Research, Ministry of Science and Technology, Government of India. The scheme aims to promote innovations in individuals, start-ups and micro, small and medium enterprises. The scheme provides support for Individual Innovator Proposals under Phase-I, Category II, focusing on Fabrication of Working Model/Process Know-how/Testing &amp; Trial/Patenting/Technology Transfer. Key features include comparatively more rigorous demonstrability of original idea/invention/know-how in the form of working prototype/processes and its testing and trial/patenting/technology transfer. The scheme is implemented by the Department of Scientific and Industrial Research (DSIR). The applications for this scheme are accepted by submission to the nearest TePP Outreach cum Cluster Innovation Centres (TOCICs) or directly to the Department of</t>
        </is>
      </c>
      <c r="K620" s="4" t="inlineStr">
        <is>
          <t>MS-C09</t>
        </is>
      </c>
      <c r="L620" s="6" t="n">
        <v>46323</v>
      </c>
      <c r="M620" s="4" t="inlineStr">
        <is>
          <t>Approved</t>
        </is>
      </c>
      <c r="N620" s="4" t="inlineStr">
        <is>
          <t>paragraph</t>
        </is>
      </c>
    </row>
    <row r="621" ht="82" customHeight="1">
      <c r="A621" s="8" t="inlineStr">
        <is>
          <t>C09-P0001</t>
        </is>
      </c>
      <c r="B621" s="8" t="inlineStr">
        <is>
          <t>C09</t>
        </is>
      </c>
      <c r="C621" s="8" t="inlineStr">
        <is>
          <t>PRISM (Promoting Innovations in Individuals, Start-ups and MSMEs): Category-2: Fabrication of Working Model/Process Know-how/Testing &amp; Trial/Patenting/Technology Transfer</t>
        </is>
      </c>
      <c r="D621" s="8" t="inlineStr">
        <is>
          <t>Details</t>
        </is>
      </c>
      <c r="E621" s="8" t="inlineStr"/>
      <c r="F621" s="8" t="inlineStr">
        <is>
          <t>en.schemeContent.detailedDescription[0]</t>
        </is>
      </c>
      <c r="G621" s="8" t="inlineStr">
        <is>
          <t>C09@20261028-1e8f42c4</t>
        </is>
      </c>
      <c r="H621" s="8" t="n">
        <v>2</v>
      </c>
      <c r="I621" s="8" t="n">
        <v>2</v>
      </c>
      <c r="J621" s="8" t="inlineStr">
        <is>
          <t xml:space="preserve"> Scientific and Industrial Research.</t>
        </is>
      </c>
      <c r="K621" s="8" t="inlineStr">
        <is>
          <t>MS-C09</t>
        </is>
      </c>
      <c r="L621" s="9" t="n">
        <v>46323</v>
      </c>
      <c r="M621" s="8" t="inlineStr">
        <is>
          <t>Approved</t>
        </is>
      </c>
      <c r="N621" s="8" t="inlineStr">
        <is>
          <t>paragraph</t>
        </is>
      </c>
    </row>
    <row r="622" ht="82" customHeight="1">
      <c r="A622" s="4" t="inlineStr">
        <is>
          <t>C09-P0002</t>
        </is>
      </c>
      <c r="B622" s="4" t="inlineStr">
        <is>
          <t>C09</t>
        </is>
      </c>
      <c r="C622" s="4" t="inlineStr">
        <is>
          <t>PRISM (Promoting Innovations in Individuals, Start-ups and MSMEs): Category-2: Fabrication of Working Model/Process Know-how/Testing &amp; Trial/Patenting/Technology Transfer</t>
        </is>
      </c>
      <c r="D622" s="4" t="inlineStr">
        <is>
          <t>Benefits</t>
        </is>
      </c>
      <c r="E622" s="4" t="inlineStr"/>
      <c r="F622" s="4" t="inlineStr">
        <is>
          <t>en.schemeContent.benefits[0]</t>
        </is>
      </c>
      <c r="G622" s="4" t="inlineStr">
        <is>
          <t>C09@20261028-1e8f42c4</t>
        </is>
      </c>
      <c r="H622" s="4" t="n">
        <v>1</v>
      </c>
      <c r="I622" s="4" t="n">
        <v>1</v>
      </c>
      <c r="J622" s="4" t="inlineStr">
        <is>
          <t>The maximum support under Category II is ₹20,00,000/- or 90% of the approved project cost, whichever is lower. The approved project cost must be more than ₹5,00,000/- and up to ₹35,00,000/-.</t>
        </is>
      </c>
      <c r="K622" s="4" t="inlineStr">
        <is>
          <t>MS-C09</t>
        </is>
      </c>
      <c r="L622" s="6" t="n">
        <v>46323</v>
      </c>
      <c r="M622" s="4" t="inlineStr">
        <is>
          <t>Approved</t>
        </is>
      </c>
      <c r="N622" s="4" t="inlineStr">
        <is>
          <t>paragraph</t>
        </is>
      </c>
    </row>
    <row r="623" ht="82" customHeight="1">
      <c r="A623" s="8" t="inlineStr">
        <is>
          <t>C09-P0003</t>
        </is>
      </c>
      <c r="B623" s="8" t="inlineStr">
        <is>
          <t>C09</t>
        </is>
      </c>
      <c r="C623" s="8" t="inlineStr">
        <is>
          <t>PRISM (Promoting Innovations in Individuals, Start-ups and MSMEs): Category-2: Fabrication of Working Model/Process Know-how/Testing &amp; Trial/Patenting/Technology Transfer</t>
        </is>
      </c>
      <c r="D623" s="8" t="inlineStr">
        <is>
          <t>Benefits</t>
        </is>
      </c>
      <c r="E623" s="8" t="inlineStr"/>
      <c r="F623" s="8" t="inlineStr">
        <is>
          <t>en.schemeContent.benefits[2].children[0]</t>
        </is>
      </c>
      <c r="G623" s="8" t="inlineStr">
        <is>
          <t>C09@20261028-1e8f42c4</t>
        </is>
      </c>
      <c r="H623" s="8" t="n">
        <v>1</v>
      </c>
      <c r="I623" s="8" t="n">
        <v>1</v>
      </c>
      <c r="J623" s="8" t="inlineStr">
        <is>
          <t>Eligible Components for Support</t>
        </is>
      </c>
      <c r="K623" s="8" t="inlineStr">
        <is>
          <t>MS-C09</t>
        </is>
      </c>
      <c r="L623" s="9" t="n">
        <v>46323</v>
      </c>
      <c r="M623" s="8" t="inlineStr">
        <is>
          <t>Approved</t>
        </is>
      </c>
      <c r="N623" s="8" t="inlineStr">
        <is>
          <t>text</t>
        </is>
      </c>
    </row>
    <row r="624" ht="82" customHeight="1">
      <c r="A624" s="4" t="inlineStr">
        <is>
          <t>C09-P0004</t>
        </is>
      </c>
      <c r="B624" s="4" t="inlineStr">
        <is>
          <t>C09</t>
        </is>
      </c>
      <c r="C624" s="4" t="inlineStr">
        <is>
          <t>PRISM (Promoting Innovations in Individuals, Start-ups and MSMEs): Category-2: Fabrication of Working Model/Process Know-how/Testing &amp; Trial/Patenting/Technology Transfer</t>
        </is>
      </c>
      <c r="D624" s="4" t="inlineStr">
        <is>
          <t>Benefits</t>
        </is>
      </c>
      <c r="E624" s="4" t="inlineStr"/>
      <c r="F624" s="4" t="inlineStr">
        <is>
          <t>en.schemeContent.benefits[3].children[0]</t>
        </is>
      </c>
      <c r="G624" s="4" t="inlineStr">
        <is>
          <t>C09@20261028-1e8f42c4</t>
        </is>
      </c>
      <c r="H624" s="4" t="n">
        <v>1</v>
      </c>
      <c r="I624" s="4" t="n">
        <v>1</v>
      </c>
      <c r="J624" s="4" t="inlineStr">
        <is>
          <t>Research and Development/Design Engineering/Consultancy charges.</t>
        </is>
      </c>
      <c r="K624" s="4" t="inlineStr">
        <is>
          <t>MS-C09</t>
        </is>
      </c>
      <c r="L624" s="6" t="n">
        <v>46323</v>
      </c>
      <c r="M624" s="4" t="inlineStr">
        <is>
          <t>Approved</t>
        </is>
      </c>
      <c r="N624" s="4" t="inlineStr">
        <is>
          <t>list_item</t>
        </is>
      </c>
    </row>
    <row r="625" ht="82" customHeight="1">
      <c r="A625" s="8" t="inlineStr">
        <is>
          <t>C09-P0005</t>
        </is>
      </c>
      <c r="B625" s="8" t="inlineStr">
        <is>
          <t>C09</t>
        </is>
      </c>
      <c r="C625" s="8" t="inlineStr">
        <is>
          <t>PRISM (Promoting Innovations in Individuals, Start-ups and MSMEs): Category-2: Fabrication of Working Model/Process Know-how/Testing &amp; Trial/Patenting/Technology Transfer</t>
        </is>
      </c>
      <c r="D625" s="8" t="inlineStr">
        <is>
          <t>Benefits</t>
        </is>
      </c>
      <c r="E625" s="8" t="inlineStr"/>
      <c r="F625" s="8" t="inlineStr">
        <is>
          <t>en.schemeContent.benefits[3].children[1]</t>
        </is>
      </c>
      <c r="G625" s="8" t="inlineStr">
        <is>
          <t>C09@20261028-1e8f42c4</t>
        </is>
      </c>
      <c r="H625" s="8" t="n">
        <v>1</v>
      </c>
      <c r="I625" s="8" t="n">
        <v>1</v>
      </c>
      <c r="J625" s="8" t="inlineStr">
        <is>
          <t>Rental charges for laboratory/workshop facilities.</t>
        </is>
      </c>
      <c r="K625" s="8" t="inlineStr">
        <is>
          <t>MS-C09</t>
        </is>
      </c>
      <c r="L625" s="9" t="n">
        <v>46323</v>
      </c>
      <c r="M625" s="8" t="inlineStr">
        <is>
          <t>Approved</t>
        </is>
      </c>
      <c r="N625" s="8" t="inlineStr">
        <is>
          <t>list_item</t>
        </is>
      </c>
    </row>
    <row r="626" ht="82" customHeight="1">
      <c r="A626" s="4" t="inlineStr">
        <is>
          <t>C09-P0006</t>
        </is>
      </c>
      <c r="B626" s="4" t="inlineStr">
        <is>
          <t>C09</t>
        </is>
      </c>
      <c r="C626" s="4" t="inlineStr">
        <is>
          <t>PRISM (Promoting Innovations in Individuals, Start-ups and MSMEs): Category-2: Fabrication of Working Model/Process Know-how/Testing &amp; Trial/Patenting/Technology Transfer</t>
        </is>
      </c>
      <c r="D626" s="4" t="inlineStr">
        <is>
          <t>Benefits</t>
        </is>
      </c>
      <c r="E626" s="4" t="inlineStr"/>
      <c r="F626" s="4" t="inlineStr">
        <is>
          <t>en.schemeContent.benefits[3].children[2]</t>
        </is>
      </c>
      <c r="G626" s="4" t="inlineStr">
        <is>
          <t>C09@20261028-1e8f42c4</t>
        </is>
      </c>
      <c r="H626" s="4" t="n">
        <v>1</v>
      </c>
      <c r="I626" s="4" t="n">
        <v>1</v>
      </c>
      <c r="J626" s="4" t="inlineStr">
        <is>
          <t>Essential equipment that cannot be taken on rent (reasons for purchase must be given).</t>
        </is>
      </c>
      <c r="K626" s="4" t="inlineStr">
        <is>
          <t>MS-C09</t>
        </is>
      </c>
      <c r="L626" s="6" t="n">
        <v>46323</v>
      </c>
      <c r="M626" s="4" t="inlineStr">
        <is>
          <t>Approved</t>
        </is>
      </c>
      <c r="N626" s="4" t="inlineStr">
        <is>
          <t>list_item</t>
        </is>
      </c>
    </row>
    <row r="627" ht="82" customHeight="1">
      <c r="A627" s="8" t="inlineStr">
        <is>
          <t>C09-P0007</t>
        </is>
      </c>
      <c r="B627" s="8" t="inlineStr">
        <is>
          <t>C09</t>
        </is>
      </c>
      <c r="C627" s="8" t="inlineStr">
        <is>
          <t>PRISM (Promoting Innovations in Individuals, Start-ups and MSMEs): Category-2: Fabrication of Working Model/Process Know-how/Testing &amp; Trial/Patenting/Technology Transfer</t>
        </is>
      </c>
      <c r="D627" s="8" t="inlineStr">
        <is>
          <t>Benefits</t>
        </is>
      </c>
      <c r="E627" s="8" t="inlineStr"/>
      <c r="F627" s="8" t="inlineStr">
        <is>
          <t>en.schemeContent.benefits[3].children[3]</t>
        </is>
      </c>
      <c r="G627" s="8" t="inlineStr">
        <is>
          <t>C09@20261028-1e8f42c4</t>
        </is>
      </c>
      <c r="H627" s="8" t="n">
        <v>1</v>
      </c>
      <c r="I627" s="8" t="n">
        <v>1</v>
      </c>
      <c r="J627" s="8" t="inlineStr">
        <is>
          <t>Raw material/spares/consumables cost.</t>
        </is>
      </c>
      <c r="K627" s="8" t="inlineStr">
        <is>
          <t>MS-C09</t>
        </is>
      </c>
      <c r="L627" s="9" t="n">
        <v>46323</v>
      </c>
      <c r="M627" s="8" t="inlineStr">
        <is>
          <t>Approved</t>
        </is>
      </c>
      <c r="N627" s="8" t="inlineStr">
        <is>
          <t>list_item</t>
        </is>
      </c>
    </row>
    <row r="628" ht="82" customHeight="1">
      <c r="A628" s="4" t="inlineStr">
        <is>
          <t>C09-P0008</t>
        </is>
      </c>
      <c r="B628" s="4" t="inlineStr">
        <is>
          <t>C09</t>
        </is>
      </c>
      <c r="C628" s="4" t="inlineStr">
        <is>
          <t>PRISM (Promoting Innovations in Individuals, Start-ups and MSMEs): Category-2: Fabrication of Working Model/Process Know-how/Testing &amp; Trial/Patenting/Technology Transfer</t>
        </is>
      </c>
      <c r="D628" s="4" t="inlineStr">
        <is>
          <t>Benefits</t>
        </is>
      </c>
      <c r="E628" s="4" t="inlineStr"/>
      <c r="F628" s="4" t="inlineStr">
        <is>
          <t>en.schemeContent.benefits[3].children[4]</t>
        </is>
      </c>
      <c r="G628" s="4" t="inlineStr">
        <is>
          <t>C09@20261028-1e8f42c4</t>
        </is>
      </c>
      <c r="H628" s="4" t="n">
        <v>1</v>
      </c>
      <c r="I628" s="4" t="n">
        <v>1</v>
      </c>
      <c r="J628" s="4" t="inlineStr">
        <is>
          <t>Fabrication/synthesis charges.</t>
        </is>
      </c>
      <c r="K628" s="4" t="inlineStr">
        <is>
          <t>MS-C09</t>
        </is>
      </c>
      <c r="L628" s="6" t="n">
        <v>46323</v>
      </c>
      <c r="M628" s="4" t="inlineStr">
        <is>
          <t>Approved</t>
        </is>
      </c>
      <c r="N628" s="4" t="inlineStr">
        <is>
          <t>list_item</t>
        </is>
      </c>
    </row>
    <row r="629" ht="82" customHeight="1">
      <c r="A629" s="8" t="inlineStr">
        <is>
          <t>C09-P0009</t>
        </is>
      </c>
      <c r="B629" s="8" t="inlineStr">
        <is>
          <t>C09</t>
        </is>
      </c>
      <c r="C629" s="8" t="inlineStr">
        <is>
          <t>PRISM (Promoting Innovations in Individuals, Start-ups and MSMEs): Category-2: Fabrication of Working Model/Process Know-how/Testing &amp; Trial/Patenting/Technology Transfer</t>
        </is>
      </c>
      <c r="D629" s="8" t="inlineStr">
        <is>
          <t>Benefits</t>
        </is>
      </c>
      <c r="E629" s="8" t="inlineStr"/>
      <c r="F629" s="8" t="inlineStr">
        <is>
          <t>en.schemeContent.benefits[3].children[5]</t>
        </is>
      </c>
      <c r="G629" s="8" t="inlineStr">
        <is>
          <t>C09@20261028-1e8f42c4</t>
        </is>
      </c>
      <c r="H629" s="8" t="n">
        <v>1</v>
      </c>
      <c r="I629" s="8" t="n">
        <v>1</v>
      </c>
      <c r="J629" s="8" t="inlineStr">
        <is>
          <t>Manpower cost of technical assistants, not exceeding 20% of the approved project cost.</t>
        </is>
      </c>
      <c r="K629" s="8" t="inlineStr">
        <is>
          <t>MS-C09</t>
        </is>
      </c>
      <c r="L629" s="9" t="n">
        <v>46323</v>
      </c>
      <c r="M629" s="8" t="inlineStr">
        <is>
          <t>Approved</t>
        </is>
      </c>
      <c r="N629" s="8" t="inlineStr">
        <is>
          <t>list_item</t>
        </is>
      </c>
    </row>
    <row r="630" ht="82" customHeight="1">
      <c r="A630" s="4" t="inlineStr">
        <is>
          <t>C09-P0010</t>
        </is>
      </c>
      <c r="B630" s="4" t="inlineStr">
        <is>
          <t>C09</t>
        </is>
      </c>
      <c r="C630" s="4" t="inlineStr">
        <is>
          <t>PRISM (Promoting Innovations in Individuals, Start-ups and MSMEs): Category-2: Fabrication of Working Model/Process Know-how/Testing &amp; Trial/Patenting/Technology Transfer</t>
        </is>
      </c>
      <c r="D630" s="4" t="inlineStr">
        <is>
          <t>Benefits</t>
        </is>
      </c>
      <c r="E630" s="4" t="inlineStr"/>
      <c r="F630" s="4" t="inlineStr">
        <is>
          <t>en.schemeContent.benefits[3].children[6]</t>
        </is>
      </c>
      <c r="G630" s="4" t="inlineStr">
        <is>
          <t>C09@20261028-1e8f42c4</t>
        </is>
      </c>
      <c r="H630" s="4" t="n">
        <v>1</v>
      </c>
      <c r="I630" s="4" t="n">
        <v>1</v>
      </c>
      <c r="J630" s="4" t="inlineStr">
        <is>
          <t>Testing and trials.</t>
        </is>
      </c>
      <c r="K630" s="4" t="inlineStr">
        <is>
          <t>MS-C09</t>
        </is>
      </c>
      <c r="L630" s="6" t="n">
        <v>46323</v>
      </c>
      <c r="M630" s="4" t="inlineStr">
        <is>
          <t>Approved</t>
        </is>
      </c>
      <c r="N630" s="4" t="inlineStr">
        <is>
          <t>list_item</t>
        </is>
      </c>
    </row>
    <row r="631" ht="82" customHeight="1">
      <c r="A631" s="8" t="inlineStr">
        <is>
          <t>C09-P0011</t>
        </is>
      </c>
      <c r="B631" s="8" t="inlineStr">
        <is>
          <t>C09</t>
        </is>
      </c>
      <c r="C631" s="8" t="inlineStr">
        <is>
          <t>PRISM (Promoting Innovations in Individuals, Start-ups and MSMEs): Category-2: Fabrication of Working Model/Process Know-how/Testing &amp; Trial/Patenting/Technology Transfer</t>
        </is>
      </c>
      <c r="D631" s="8" t="inlineStr">
        <is>
          <t>Benefits</t>
        </is>
      </c>
      <c r="E631" s="8" t="inlineStr"/>
      <c r="F631" s="8" t="inlineStr">
        <is>
          <t>en.schemeContent.benefits[3].children[7]</t>
        </is>
      </c>
      <c r="G631" s="8" t="inlineStr">
        <is>
          <t>C09@20261028-1e8f42c4</t>
        </is>
      </c>
      <c r="H631" s="8" t="n">
        <v>1</v>
      </c>
      <c r="I631" s="8" t="n">
        <v>1</v>
      </c>
      <c r="J631" s="8" t="inlineStr">
        <is>
          <t>Travel cost, not exceeding 5% of the approved project cost.</t>
        </is>
      </c>
      <c r="K631" s="8" t="inlineStr">
        <is>
          <t>MS-C09</t>
        </is>
      </c>
      <c r="L631" s="9" t="n">
        <v>46323</v>
      </c>
      <c r="M631" s="8" t="inlineStr">
        <is>
          <t>Approved</t>
        </is>
      </c>
      <c r="N631" s="8" t="inlineStr">
        <is>
          <t>list_item</t>
        </is>
      </c>
    </row>
    <row r="632" ht="82" customHeight="1">
      <c r="A632" s="4" t="inlineStr">
        <is>
          <t>C09-P0012</t>
        </is>
      </c>
      <c r="B632" s="4" t="inlineStr">
        <is>
          <t>C09</t>
        </is>
      </c>
      <c r="C632" s="4" t="inlineStr">
        <is>
          <t>PRISM (Promoting Innovations in Individuals, Start-ups and MSMEs): Category-2: Fabrication of Working Model/Process Know-how/Testing &amp; Trial/Patenting/Technology Transfer</t>
        </is>
      </c>
      <c r="D632" s="4" t="inlineStr">
        <is>
          <t>Benefits</t>
        </is>
      </c>
      <c r="E632" s="4" t="inlineStr"/>
      <c r="F632" s="4" t="inlineStr">
        <is>
          <t>en.schemeContent.benefits[3].children[8]</t>
        </is>
      </c>
      <c r="G632" s="4" t="inlineStr">
        <is>
          <t>C09@20261028-1e8f42c4</t>
        </is>
      </c>
      <c r="H632" s="4" t="n">
        <v>1</v>
      </c>
      <c r="I632" s="4" t="n">
        <v>1</v>
      </c>
      <c r="J632" s="4" t="inlineStr">
        <is>
          <t>Patent filing (actual fee paid to the patent office).</t>
        </is>
      </c>
      <c r="K632" s="4" t="inlineStr">
        <is>
          <t>MS-C09</t>
        </is>
      </c>
      <c r="L632" s="6" t="n">
        <v>46323</v>
      </c>
      <c r="M632" s="4" t="inlineStr">
        <is>
          <t>Approved</t>
        </is>
      </c>
      <c r="N632" s="4" t="inlineStr">
        <is>
          <t>list_item</t>
        </is>
      </c>
    </row>
    <row r="633" ht="82" customHeight="1">
      <c r="A633" s="8" t="inlineStr">
        <is>
          <t>C09-P0013</t>
        </is>
      </c>
      <c r="B633" s="8" t="inlineStr">
        <is>
          <t>C09</t>
        </is>
      </c>
      <c r="C633" s="8" t="inlineStr">
        <is>
          <t>PRISM (Promoting Innovations in Individuals, Start-ups and MSMEs): Category-2: Fabrication of Working Model/Process Know-how/Testing &amp; Trial/Patenting/Technology Transfer</t>
        </is>
      </c>
      <c r="D633" s="8" t="inlineStr">
        <is>
          <t>Benefits</t>
        </is>
      </c>
      <c r="E633" s="8" t="inlineStr"/>
      <c r="F633" s="8" t="inlineStr">
        <is>
          <t>en.schemeContent.benefits[3].children[9]</t>
        </is>
      </c>
      <c r="G633" s="8" t="inlineStr">
        <is>
          <t>C09@20261028-1e8f42c4</t>
        </is>
      </c>
      <c r="H633" s="8" t="n">
        <v>1</v>
      </c>
      <c r="I633" s="8" t="n">
        <v>1</v>
      </c>
      <c r="J633" s="8" t="inlineStr">
        <is>
          <t>Process know-how development.</t>
        </is>
      </c>
      <c r="K633" s="8" t="inlineStr">
        <is>
          <t>MS-C09</t>
        </is>
      </c>
      <c r="L633" s="9" t="n">
        <v>46323</v>
      </c>
      <c r="M633" s="8" t="inlineStr">
        <is>
          <t>Approved</t>
        </is>
      </c>
      <c r="N633" s="8" t="inlineStr">
        <is>
          <t>list_item</t>
        </is>
      </c>
    </row>
    <row r="634" ht="82" customHeight="1">
      <c r="A634" s="4" t="inlineStr">
        <is>
          <t>C09-P0014</t>
        </is>
      </c>
      <c r="B634" s="4" t="inlineStr">
        <is>
          <t>C09</t>
        </is>
      </c>
      <c r="C634" s="4" t="inlineStr">
        <is>
          <t>PRISM (Promoting Innovations in Individuals, Start-ups and MSMEs): Category-2: Fabrication of Working Model/Process Know-how/Testing &amp; Trial/Patenting/Technology Transfer</t>
        </is>
      </c>
      <c r="D634" s="4" t="inlineStr">
        <is>
          <t>Benefits</t>
        </is>
      </c>
      <c r="E634" s="4" t="inlineStr"/>
      <c r="F634" s="4" t="inlineStr">
        <is>
          <t>en.schemeContent.benefits[3].children[10]</t>
        </is>
      </c>
      <c r="G634" s="4" t="inlineStr">
        <is>
          <t>C09@20261028-1e8f42c4</t>
        </is>
      </c>
      <c r="H634" s="4" t="n">
        <v>1</v>
      </c>
      <c r="I634" s="4" t="n">
        <v>1</v>
      </c>
      <c r="J634" s="4" t="inlineStr">
        <is>
          <t>Proposals involving scientifically characterizing or testing the efficacy and toxicity of herbal formulations.</t>
        </is>
      </c>
      <c r="K634" s="4" t="inlineStr">
        <is>
          <t>MS-C09</t>
        </is>
      </c>
      <c r="L634" s="6" t="n">
        <v>46323</v>
      </c>
      <c r="M634" s="4" t="inlineStr">
        <is>
          <t>Approved</t>
        </is>
      </c>
      <c r="N634" s="4" t="inlineStr">
        <is>
          <t>list_item</t>
        </is>
      </c>
    </row>
    <row r="635" ht="82" customHeight="1">
      <c r="A635" s="8" t="inlineStr">
        <is>
          <t>C09-P0015</t>
        </is>
      </c>
      <c r="B635" s="8" t="inlineStr">
        <is>
          <t>C09</t>
        </is>
      </c>
      <c r="C635" s="8" t="inlineStr">
        <is>
          <t>PRISM (Promoting Innovations in Individuals, Start-ups and MSMEs): Category-2: Fabrication of Working Model/Process Know-how/Testing &amp; Trial/Patenting/Technology Transfer</t>
        </is>
      </c>
      <c r="D635" s="8" t="inlineStr">
        <is>
          <t>Benefits</t>
        </is>
      </c>
      <c r="E635" s="8" t="inlineStr"/>
      <c r="F635" s="8" t="inlineStr">
        <is>
          <t>en.schemeContent.benefits[4].children[0]</t>
        </is>
      </c>
      <c r="G635" s="8" t="inlineStr">
        <is>
          <t>C09@20261028-1e8f42c4</t>
        </is>
      </c>
      <c r="H635" s="8" t="n">
        <v>1</v>
      </c>
      <c r="I635" s="8" t="n">
        <v>1</v>
      </c>
      <c r="J635" s="8" t="inlineStr">
        <is>
          <t>Exclusions from Support</t>
        </is>
      </c>
      <c r="K635" s="8" t="inlineStr">
        <is>
          <t>MS-C09</t>
        </is>
      </c>
      <c r="L635" s="9" t="n">
        <v>46323</v>
      </c>
      <c r="M635" s="8" t="inlineStr">
        <is>
          <t>Approved</t>
        </is>
      </c>
      <c r="N635" s="8" t="inlineStr">
        <is>
          <t>text</t>
        </is>
      </c>
    </row>
    <row r="636" ht="82" customHeight="1">
      <c r="A636" s="4" t="inlineStr">
        <is>
          <t>C09-P0016</t>
        </is>
      </c>
      <c r="B636" s="4" t="inlineStr">
        <is>
          <t>C09</t>
        </is>
      </c>
      <c r="C636" s="4" t="inlineStr">
        <is>
          <t>PRISM (Promoting Innovations in Individuals, Start-ups and MSMEs): Category-2: Fabrication of Working Model/Process Know-how/Testing &amp; Trial/Patenting/Technology Transfer</t>
        </is>
      </c>
      <c r="D636" s="4" t="inlineStr">
        <is>
          <t>Benefits</t>
        </is>
      </c>
      <c r="E636" s="4" t="inlineStr"/>
      <c r="F636" s="4" t="inlineStr">
        <is>
          <t>en.schemeContent.benefits[5].children[0]</t>
        </is>
      </c>
      <c r="G636" s="4" t="inlineStr">
        <is>
          <t>C09@20261028-1e8f42c4</t>
        </is>
      </c>
      <c r="H636" s="4" t="n">
        <v>1</v>
      </c>
      <c r="I636" s="4" t="n">
        <v>1</v>
      </c>
      <c r="J636" s="4" t="inlineStr">
        <is>
          <t>Innovator’s salary.</t>
        </is>
      </c>
      <c r="K636" s="4" t="inlineStr">
        <is>
          <t>MS-C09</t>
        </is>
      </c>
      <c r="L636" s="6" t="n">
        <v>46323</v>
      </c>
      <c r="M636" s="4" t="inlineStr">
        <is>
          <t>Approved</t>
        </is>
      </c>
      <c r="N636" s="4" t="inlineStr">
        <is>
          <t>list_item</t>
        </is>
      </c>
    </row>
    <row r="637" ht="82" customHeight="1">
      <c r="A637" s="8" t="inlineStr">
        <is>
          <t>C09-P0017</t>
        </is>
      </c>
      <c r="B637" s="8" t="inlineStr">
        <is>
          <t>C09</t>
        </is>
      </c>
      <c r="C637" s="8" t="inlineStr">
        <is>
          <t>PRISM (Promoting Innovations in Individuals, Start-ups and MSMEs): Category-2: Fabrication of Working Model/Process Know-how/Testing &amp; Trial/Patenting/Technology Transfer</t>
        </is>
      </c>
      <c r="D637" s="8" t="inlineStr">
        <is>
          <t>Benefits</t>
        </is>
      </c>
      <c r="E637" s="8" t="inlineStr"/>
      <c r="F637" s="8" t="inlineStr">
        <is>
          <t>en.schemeContent.benefits[5].children[1]</t>
        </is>
      </c>
      <c r="G637" s="8" t="inlineStr">
        <is>
          <t>C09@20261028-1e8f42c4</t>
        </is>
      </c>
      <c r="H637" s="8" t="n">
        <v>1</v>
      </c>
      <c r="I637" s="8" t="n">
        <v>1</v>
      </c>
      <c r="J637" s="8" t="inlineStr">
        <is>
          <t>Rental expenses for use of own facilities.</t>
        </is>
      </c>
      <c r="K637" s="8" t="inlineStr">
        <is>
          <t>MS-C09</t>
        </is>
      </c>
      <c r="L637" s="9" t="n">
        <v>46323</v>
      </c>
      <c r="M637" s="8" t="inlineStr">
        <is>
          <t>Approved</t>
        </is>
      </c>
      <c r="N637" s="8" t="inlineStr">
        <is>
          <t>list_item</t>
        </is>
      </c>
    </row>
    <row r="638" ht="82" customHeight="1">
      <c r="A638" s="4" t="inlineStr">
        <is>
          <t>C09-P0018</t>
        </is>
      </c>
      <c r="B638" s="4" t="inlineStr">
        <is>
          <t>C09</t>
        </is>
      </c>
      <c r="C638" s="4" t="inlineStr">
        <is>
          <t>PRISM (Promoting Innovations in Individuals, Start-ups and MSMEs): Category-2: Fabrication of Working Model/Process Know-how/Testing &amp; Trial/Patenting/Technology Transfer</t>
        </is>
      </c>
      <c r="D638" s="4" t="inlineStr">
        <is>
          <t>Benefits</t>
        </is>
      </c>
      <c r="E638" s="4" t="inlineStr"/>
      <c r="F638" s="4" t="inlineStr">
        <is>
          <t>en.schemeContent.benefits[6].children[0]</t>
        </is>
      </c>
      <c r="G638" s="4" t="inlineStr">
        <is>
          <t>C09@20261028-1e8f42c4</t>
        </is>
      </c>
      <c r="H638" s="4" t="n">
        <v>1</v>
      </c>
      <c r="I638" s="4" t="n">
        <v>1</v>
      </c>
      <c r="J638" s="4" t="inlineStr">
        <is>
          <t>Disbursement</t>
        </is>
      </c>
      <c r="K638" s="4" t="inlineStr">
        <is>
          <t>MS-C09</t>
        </is>
      </c>
      <c r="L638" s="6" t="n">
        <v>46323</v>
      </c>
      <c r="M638" s="4" t="inlineStr">
        <is>
          <t>Approved</t>
        </is>
      </c>
      <c r="N638" s="4" t="inlineStr">
        <is>
          <t>text</t>
        </is>
      </c>
    </row>
    <row r="639" ht="82" customHeight="1">
      <c r="A639" s="8" t="inlineStr">
        <is>
          <t>C09-P0019</t>
        </is>
      </c>
      <c r="B639" s="8" t="inlineStr">
        <is>
          <t>C09</t>
        </is>
      </c>
      <c r="C639" s="8" t="inlineStr">
        <is>
          <t>PRISM (Promoting Innovations in Individuals, Start-ups and MSMEs): Category-2: Fabrication of Working Model/Process Know-how/Testing &amp; Trial/Patenting/Technology Transfer</t>
        </is>
      </c>
      <c r="D639" s="8" t="inlineStr">
        <is>
          <t>Benefits</t>
        </is>
      </c>
      <c r="E639" s="8" t="inlineStr"/>
      <c r="F639" s="8" t="inlineStr">
        <is>
          <t>en.schemeContent.benefits[7].children[0]</t>
        </is>
      </c>
      <c r="G639" s="8" t="inlineStr">
        <is>
          <t>C09@20261028-1e8f42c4</t>
        </is>
      </c>
      <c r="H639" s="8" t="n">
        <v>1</v>
      </c>
      <c r="I639" s="8" t="n">
        <v>1</v>
      </c>
      <c r="J639" s="8" t="inlineStr">
        <is>
          <t>The first release is based on milestones/deliverables projected in the project proposals and as recommended by the PRISM Advisory and Screening Committee (PASC).</t>
        </is>
      </c>
      <c r="K639" s="8" t="inlineStr">
        <is>
          <t>MS-C09</t>
        </is>
      </c>
      <c r="L639" s="9" t="n">
        <v>46323</v>
      </c>
      <c r="M639" s="8" t="inlineStr">
        <is>
          <t>Approved</t>
        </is>
      </c>
      <c r="N639" s="8" t="inlineStr">
        <is>
          <t>list_item</t>
        </is>
      </c>
    </row>
    <row r="640" ht="82" customHeight="1">
      <c r="A640" s="4" t="inlineStr">
        <is>
          <t>C09-P0020</t>
        </is>
      </c>
      <c r="B640" s="4" t="inlineStr">
        <is>
          <t>C09</t>
        </is>
      </c>
      <c r="C640" s="4" t="inlineStr">
        <is>
          <t>PRISM (Promoting Innovations in Individuals, Start-ups and MSMEs): Category-2: Fabrication of Working Model/Process Know-how/Testing &amp; Trial/Patenting/Technology Transfer</t>
        </is>
      </c>
      <c r="D640" s="4" t="inlineStr">
        <is>
          <t>Benefits</t>
        </is>
      </c>
      <c r="E640" s="4" t="inlineStr"/>
      <c r="F640" s="4" t="inlineStr">
        <is>
          <t>en.schemeContent.benefits[7].children[1]</t>
        </is>
      </c>
      <c r="G640" s="4" t="inlineStr">
        <is>
          <t>C09@20261028-1e8f42c4</t>
        </is>
      </c>
      <c r="H640" s="4" t="n">
        <v>1</v>
      </c>
      <c r="I640" s="4" t="n">
        <v>1</v>
      </c>
      <c r="J640" s="4" t="inlineStr">
        <is>
          <t>Subsequent releases are based on the assessment of the progress of the project by the Project Review Committee (PRC).</t>
        </is>
      </c>
      <c r="K640" s="4" t="inlineStr">
        <is>
          <t>MS-C09</t>
        </is>
      </c>
      <c r="L640" s="6" t="n">
        <v>46323</v>
      </c>
      <c r="M640" s="4" t="inlineStr">
        <is>
          <t>Approved</t>
        </is>
      </c>
      <c r="N640" s="4" t="inlineStr">
        <is>
          <t>list_item</t>
        </is>
      </c>
    </row>
    <row r="641" ht="82" customHeight="1">
      <c r="A641" s="8" t="inlineStr">
        <is>
          <t>C09-P0021</t>
        </is>
      </c>
      <c r="B641" s="8" t="inlineStr">
        <is>
          <t>C09</t>
        </is>
      </c>
      <c r="C641" s="8" t="inlineStr">
        <is>
          <t>PRISM (Promoting Innovations in Individuals, Start-ups and MSMEs): Category-2: Fabrication of Working Model/Process Know-how/Testing &amp; Trial/Patenting/Technology Transfer</t>
        </is>
      </c>
      <c r="D641" s="8" t="inlineStr">
        <is>
          <t>Benefits</t>
        </is>
      </c>
      <c r="E641" s="8" t="inlineStr"/>
      <c r="F641" s="8" t="inlineStr">
        <is>
          <t>en.schemeContent.benefits[8].children[0]</t>
        </is>
      </c>
      <c r="G641" s="8" t="inlineStr">
        <is>
          <t>C09@20261028-1e8f42c4</t>
        </is>
      </c>
      <c r="H641" s="8" t="n">
        <v>1</v>
      </c>
      <c r="I641" s="8" t="n">
        <v>1</v>
      </c>
      <c r="J641" s="8" t="inlineStr">
        <is>
          <t>Conditions</t>
        </is>
      </c>
      <c r="K641" s="8" t="inlineStr">
        <is>
          <t>MS-C09</t>
        </is>
      </c>
      <c r="L641" s="9" t="n">
        <v>46323</v>
      </c>
      <c r="M641" s="8" t="inlineStr">
        <is>
          <t>Approved</t>
        </is>
      </c>
      <c r="N641" s="8" t="inlineStr">
        <is>
          <t>text</t>
        </is>
      </c>
    </row>
    <row r="642" ht="82" customHeight="1">
      <c r="A642" s="4" t="inlineStr">
        <is>
          <t>C09-P0022</t>
        </is>
      </c>
      <c r="B642" s="4" t="inlineStr">
        <is>
          <t>C09</t>
        </is>
      </c>
      <c r="C642" s="4" t="inlineStr">
        <is>
          <t>PRISM (Promoting Innovations in Individuals, Start-ups and MSMEs): Category-2: Fabrication of Working Model/Process Know-how/Testing &amp; Trial/Patenting/Technology Transfer</t>
        </is>
      </c>
      <c r="D642" s="4" t="inlineStr">
        <is>
          <t>Benefits</t>
        </is>
      </c>
      <c r="E642" s="4" t="inlineStr"/>
      <c r="F642" s="4" t="inlineStr">
        <is>
          <t>en.schemeContent.benefits[9].children[0]</t>
        </is>
      </c>
      <c r="G642" s="4" t="inlineStr">
        <is>
          <t>C09@20261028-1e8f42c4</t>
        </is>
      </c>
      <c r="H642" s="4" t="n">
        <v>1</v>
      </c>
      <c r="I642" s="4" t="n">
        <v>1</v>
      </c>
      <c r="J642" s="4" t="inlineStr">
        <is>
          <t>The applicant has to sign "Terms &amp; Conditions" prior to the actual release of grants-in-aid.</t>
        </is>
      </c>
      <c r="K642" s="4" t="inlineStr">
        <is>
          <t>MS-C09</t>
        </is>
      </c>
      <c r="L642" s="6" t="n">
        <v>46323</v>
      </c>
      <c r="M642" s="4" t="inlineStr">
        <is>
          <t>Approved</t>
        </is>
      </c>
      <c r="N642" s="4" t="inlineStr">
        <is>
          <t>list_item</t>
        </is>
      </c>
    </row>
    <row r="643" ht="82" customHeight="1">
      <c r="A643" s="8" t="inlineStr">
        <is>
          <t>C09-P0023</t>
        </is>
      </c>
      <c r="B643" s="8" t="inlineStr">
        <is>
          <t>C09</t>
        </is>
      </c>
      <c r="C643" s="8" t="inlineStr">
        <is>
          <t>PRISM (Promoting Innovations in Individuals, Start-ups and MSMEs): Category-2: Fabrication of Working Model/Process Know-how/Testing &amp; Trial/Patenting/Technology Transfer</t>
        </is>
      </c>
      <c r="D643" s="8" t="inlineStr">
        <is>
          <t>Benefits</t>
        </is>
      </c>
      <c r="E643" s="8" t="inlineStr"/>
      <c r="F643" s="8" t="inlineStr">
        <is>
          <t>en.schemeContent.benefits[9].children[1]</t>
        </is>
      </c>
      <c r="G643" s="8" t="inlineStr">
        <is>
          <t>C09@20261028-1e8f42c4</t>
        </is>
      </c>
      <c r="H643" s="8" t="n">
        <v>1</v>
      </c>
      <c r="I643" s="8" t="n">
        <v>1</v>
      </c>
      <c r="J643" s="8" t="inlineStr">
        <is>
          <t>The approved projects will be monitored by the TePP Outreach cum Cluster Innovation Centre/other network partners, including technical expert(s).</t>
        </is>
      </c>
      <c r="K643" s="8" t="inlineStr">
        <is>
          <t>MS-C09</t>
        </is>
      </c>
      <c r="L643" s="9" t="n">
        <v>46323</v>
      </c>
      <c r="M643" s="8" t="inlineStr">
        <is>
          <t>Approved</t>
        </is>
      </c>
      <c r="N643" s="8" t="inlineStr">
        <is>
          <t>list_item</t>
        </is>
      </c>
    </row>
    <row r="644" ht="82" customHeight="1">
      <c r="A644" s="4" t="inlineStr">
        <is>
          <t>C09-P0024</t>
        </is>
      </c>
      <c r="B644" s="4" t="inlineStr">
        <is>
          <t>C09</t>
        </is>
      </c>
      <c r="C644" s="4" t="inlineStr">
        <is>
          <t>PRISM (Promoting Innovations in Individuals, Start-ups and MSMEs): Category-2: Fabrication of Working Model/Process Know-how/Testing &amp; Trial/Patenting/Technology Transfer</t>
        </is>
      </c>
      <c r="D644" s="4" t="inlineStr">
        <is>
          <t>Benefits</t>
        </is>
      </c>
      <c r="E644" s="4" t="inlineStr"/>
      <c r="F644" s="4" t="inlineStr">
        <is>
          <t>en.schemeContent.benefits[9].children[2]</t>
        </is>
      </c>
      <c r="G644" s="4" t="inlineStr">
        <is>
          <t>C09@20261028-1e8f42c4</t>
        </is>
      </c>
      <c r="H644" s="4" t="n">
        <v>1</v>
      </c>
      <c r="I644" s="4" t="n">
        <v>1</v>
      </c>
      <c r="J644" s="4" t="inlineStr">
        <is>
          <t>The TePP Outreach cum Cluster Innovation Centres will be periodically reporting project status to the Department of Scientific and Industrial Research at an interval of 3 months.</t>
        </is>
      </c>
      <c r="K644" s="4" t="inlineStr">
        <is>
          <t>MS-C09</t>
        </is>
      </c>
      <c r="L644" s="6" t="n">
        <v>46323</v>
      </c>
      <c r="M644" s="4" t="inlineStr">
        <is>
          <t>Approved</t>
        </is>
      </c>
      <c r="N644" s="4" t="inlineStr">
        <is>
          <t>list_item</t>
        </is>
      </c>
    </row>
    <row r="645" ht="82" customHeight="1">
      <c r="A645" s="8" t="inlineStr">
        <is>
          <t>C09-P0025</t>
        </is>
      </c>
      <c r="B645" s="8" t="inlineStr">
        <is>
          <t>C09</t>
        </is>
      </c>
      <c r="C645" s="8" t="inlineStr">
        <is>
          <t>PRISM (Promoting Innovations in Individuals, Start-ups and MSMEs): Category-2: Fabrication of Working Model/Process Know-how/Testing &amp; Trial/Patenting/Technology Transfer</t>
        </is>
      </c>
      <c r="D645" s="8" t="inlineStr">
        <is>
          <t>Benefits</t>
        </is>
      </c>
      <c r="E645" s="8" t="inlineStr"/>
      <c r="F645" s="8" t="inlineStr">
        <is>
          <t>en.schemeContent.benefits[9].children[3]</t>
        </is>
      </c>
      <c r="G645" s="8" t="inlineStr">
        <is>
          <t>C09@20261028-1e8f42c4</t>
        </is>
      </c>
      <c r="H645" s="8" t="n">
        <v>1</v>
      </c>
      <c r="I645" s="8" t="n">
        <v>1</v>
      </c>
      <c r="J645" s="8" t="inlineStr">
        <is>
          <t>The Project Review Committees, consisting of external experts, will meet at least once in nine months to review the progress of the project.</t>
        </is>
      </c>
      <c r="K645" s="8" t="inlineStr">
        <is>
          <t>MS-C09</t>
        </is>
      </c>
      <c r="L645" s="9" t="n">
        <v>46323</v>
      </c>
      <c r="M645" s="8" t="inlineStr">
        <is>
          <t>Approved</t>
        </is>
      </c>
      <c r="N645" s="8" t="inlineStr">
        <is>
          <t>list_item</t>
        </is>
      </c>
    </row>
    <row r="646" ht="82" customHeight="1">
      <c r="A646" s="4" t="inlineStr">
        <is>
          <t>C09-P0026</t>
        </is>
      </c>
      <c r="B646" s="4" t="inlineStr">
        <is>
          <t>C09</t>
        </is>
      </c>
      <c r="C646" s="4" t="inlineStr">
        <is>
          <t>PRISM (Promoting Innovations in Individuals, Start-ups and MSMEs): Category-2: Fabrication of Working Model/Process Know-how/Testing &amp; Trial/Patenting/Technology Transfer</t>
        </is>
      </c>
      <c r="D646" s="4" t="inlineStr">
        <is>
          <t>Benefits</t>
        </is>
      </c>
      <c r="E646" s="4" t="inlineStr"/>
      <c r="F646" s="4" t="inlineStr">
        <is>
          <t>en.schemeContent.benefits[9].children[4]</t>
        </is>
      </c>
      <c r="G646" s="4" t="inlineStr">
        <is>
          <t>C09@20261028-1e8f42c4</t>
        </is>
      </c>
      <c r="H646" s="4" t="n">
        <v>1</v>
      </c>
      <c r="I646" s="4" t="n">
        <v>1</v>
      </c>
      <c r="J646" s="4" t="inlineStr">
        <is>
          <t>For student innovators, the institution will be responsible for final completion of the project in case the Innovator leaves the Institute/Organization without completion of the project.</t>
        </is>
      </c>
      <c r="K646" s="4" t="inlineStr">
        <is>
          <t>MS-C09</t>
        </is>
      </c>
      <c r="L646" s="6" t="n">
        <v>46323</v>
      </c>
      <c r="M646" s="4" t="inlineStr">
        <is>
          <t>Approved</t>
        </is>
      </c>
      <c r="N646" s="4" t="inlineStr">
        <is>
          <t>list_item</t>
        </is>
      </c>
    </row>
    <row r="647" ht="82" customHeight="1">
      <c r="A647" s="8" t="inlineStr">
        <is>
          <t>C09-P0027</t>
        </is>
      </c>
      <c r="B647" s="8" t="inlineStr">
        <is>
          <t>C09</t>
        </is>
      </c>
      <c r="C647" s="8" t="inlineStr">
        <is>
          <t>PRISM (Promoting Innovations in Individuals, Start-ups and MSMEs): Category-2: Fabrication of Working Model/Process Know-how/Testing &amp; Trial/Patenting/Technology Transfer</t>
        </is>
      </c>
      <c r="D647" s="8" t="inlineStr">
        <is>
          <t>Eligibility</t>
        </is>
      </c>
      <c r="E647" s="8" t="inlineStr"/>
      <c r="F647" s="8" t="inlineStr">
        <is>
          <t>en.eligibilityCriteria.eligibilityDescription[0].children[0]</t>
        </is>
      </c>
      <c r="G647" s="8" t="inlineStr">
        <is>
          <t>C09@20261028-1e8f42c4</t>
        </is>
      </c>
      <c r="H647" s="8" t="n">
        <v>1</v>
      </c>
      <c r="I647" s="8" t="n">
        <v>1</v>
      </c>
      <c r="J647" s="8" t="inlineStr">
        <is>
          <t>The applicant must be an Indian Citizen.</t>
        </is>
      </c>
      <c r="K647" s="8" t="inlineStr">
        <is>
          <t>MS-C09</t>
        </is>
      </c>
      <c r="L647" s="9" t="n">
        <v>46323</v>
      </c>
      <c r="M647" s="8" t="inlineStr">
        <is>
          <t>Approved</t>
        </is>
      </c>
      <c r="N647" s="8" t="inlineStr">
        <is>
          <t>list_item</t>
        </is>
      </c>
    </row>
    <row r="648" ht="82" customHeight="1">
      <c r="A648" s="4" t="inlineStr">
        <is>
          <t>C09-P0028</t>
        </is>
      </c>
      <c r="B648" s="4" t="inlineStr">
        <is>
          <t>C09</t>
        </is>
      </c>
      <c r="C648" s="4" t="inlineStr">
        <is>
          <t>PRISM (Promoting Innovations in Individuals, Start-ups and MSMEs): Category-2: Fabrication of Working Model/Process Know-how/Testing &amp; Trial/Patenting/Technology Transfer</t>
        </is>
      </c>
      <c r="D648" s="4" t="inlineStr">
        <is>
          <t>Eligibility</t>
        </is>
      </c>
      <c r="E648" s="4" t="inlineStr"/>
      <c r="F648" s="4" t="inlineStr">
        <is>
          <t>en.eligibilityCriteria.eligibilityDescription[0].children[1]</t>
        </is>
      </c>
      <c r="G648" s="4" t="inlineStr">
        <is>
          <t>C09@20261028-1e8f42c4</t>
        </is>
      </c>
      <c r="H648" s="4" t="n">
        <v>1</v>
      </c>
      <c r="I648" s="4" t="n">
        <v>1</v>
      </c>
      <c r="J648" s="4" t="inlineStr">
        <is>
          <t>The applicant must have an innovative idea or an invention.</t>
        </is>
      </c>
      <c r="K648" s="4" t="inlineStr">
        <is>
          <t>MS-C09</t>
        </is>
      </c>
      <c r="L648" s="6" t="n">
        <v>46323</v>
      </c>
      <c r="M648" s="4" t="inlineStr">
        <is>
          <t>Approved</t>
        </is>
      </c>
      <c r="N648" s="4" t="inlineStr">
        <is>
          <t>list_item</t>
        </is>
      </c>
    </row>
    <row r="649" ht="82" customHeight="1">
      <c r="A649" s="8" t="inlineStr">
        <is>
          <t>C09-P0029</t>
        </is>
      </c>
      <c r="B649" s="8" t="inlineStr">
        <is>
          <t>C09</t>
        </is>
      </c>
      <c r="C649" s="8" t="inlineStr">
        <is>
          <t>PRISM (Promoting Innovations in Individuals, Start-ups and MSMEs): Category-2: Fabrication of Working Model/Process Know-how/Testing &amp; Trial/Patenting/Technology Transfer</t>
        </is>
      </c>
      <c r="D649" s="8" t="inlineStr">
        <is>
          <t>Eligibility</t>
        </is>
      </c>
      <c r="E649" s="8" t="inlineStr"/>
      <c r="F649" s="8" t="inlineStr">
        <is>
          <t>en.eligibilityCriteria.eligibilityDescription[0].children[2]</t>
        </is>
      </c>
      <c r="G649" s="8" t="inlineStr">
        <is>
          <t>C09@20261028-1e8f42c4</t>
        </is>
      </c>
      <c r="H649" s="8" t="n">
        <v>1</v>
      </c>
      <c r="I649" s="8" t="n">
        <v>1</v>
      </c>
      <c r="J649" s="8" t="inlineStr">
        <is>
          <t>The applicant must propose a project where the project cost is more than ₹5,00,000/- and up to ₹35,00,000/-.</t>
        </is>
      </c>
      <c r="K649" s="8" t="inlineStr">
        <is>
          <t>MS-C09</t>
        </is>
      </c>
      <c r="L649" s="9" t="n">
        <v>46323</v>
      </c>
      <c r="M649" s="8" t="inlineStr">
        <is>
          <t>Approved</t>
        </is>
      </c>
      <c r="N649" s="8" t="inlineStr">
        <is>
          <t>list_item</t>
        </is>
      </c>
    </row>
    <row r="650" ht="82" customHeight="1">
      <c r="A650" s="4" t="inlineStr">
        <is>
          <t>C09-P0030</t>
        </is>
      </c>
      <c r="B650" s="4" t="inlineStr">
        <is>
          <t>C09</t>
        </is>
      </c>
      <c r="C650" s="4" t="inlineStr">
        <is>
          <t>PRISM (Promoting Innovations in Individuals, Start-ups and MSMEs): Category-2: Fabrication of Working Model/Process Know-how/Testing &amp; Trial/Patenting/Technology Transfer</t>
        </is>
      </c>
      <c r="D650" s="4" t="inlineStr">
        <is>
          <t>Eligibility</t>
        </is>
      </c>
      <c r="E650" s="4" t="inlineStr"/>
      <c r="F650" s="4" t="inlineStr">
        <is>
          <t>en.eligibilityCriteria.eligibilityDescription[0].children[3]</t>
        </is>
      </c>
      <c r="G650" s="4" t="inlineStr">
        <is>
          <t>C09@20261028-1e8f42c4</t>
        </is>
      </c>
      <c r="H650" s="4" t="n">
        <v>1</v>
      </c>
      <c r="I650" s="4" t="n">
        <v>1</v>
      </c>
      <c r="J650" s="4" t="inlineStr">
        <is>
          <t>The applicant must ensure the project duration does not exceed 24 months.</t>
        </is>
      </c>
      <c r="K650" s="4" t="inlineStr">
        <is>
          <t>MS-C09</t>
        </is>
      </c>
      <c r="L650" s="6" t="n">
        <v>46323</v>
      </c>
      <c r="M650" s="4" t="inlineStr">
        <is>
          <t>Approved</t>
        </is>
      </c>
      <c r="N650" s="4" t="inlineStr">
        <is>
          <t>list_item</t>
        </is>
      </c>
    </row>
    <row r="651" ht="82" customHeight="1">
      <c r="A651" s="8" t="inlineStr">
        <is>
          <t>C09-P0031</t>
        </is>
      </c>
      <c r="B651" s="8" t="inlineStr">
        <is>
          <t>C09</t>
        </is>
      </c>
      <c r="C651" s="8" t="inlineStr">
        <is>
          <t>PRISM (Promoting Innovations in Individuals, Start-ups and MSMEs): Category-2: Fabrication of Working Model/Process Know-how/Testing &amp; Trial/Patenting/Technology Transfer</t>
        </is>
      </c>
      <c r="D651" s="8" t="inlineStr">
        <is>
          <t>Eligibility</t>
        </is>
      </c>
      <c r="E651" s="8" t="inlineStr"/>
      <c r="F651" s="8" t="inlineStr">
        <is>
          <t>en.eligibilityCriteria.eligibilityDescription[0].children[4]</t>
        </is>
      </c>
      <c r="G651" s="8" t="inlineStr">
        <is>
          <t>C09@20261028-1e8f42c4</t>
        </is>
      </c>
      <c r="H651" s="8" t="n">
        <v>1</v>
      </c>
      <c r="I651" s="8" t="n">
        <v>1</v>
      </c>
      <c r="J651" s="8" t="inlineStr">
        <is>
          <t>The applicant must ensure the proposal involves the fabrication of a working model/process know-how/testing and trial/patenting/technology transfer.</t>
        </is>
      </c>
      <c r="K651" s="8" t="inlineStr">
        <is>
          <t>MS-C09</t>
        </is>
      </c>
      <c r="L651" s="9" t="n">
        <v>46323</v>
      </c>
      <c r="M651" s="8" t="inlineStr">
        <is>
          <t>Approved</t>
        </is>
      </c>
      <c r="N651" s="8" t="inlineStr">
        <is>
          <t>list_item</t>
        </is>
      </c>
    </row>
    <row r="652" ht="82" customHeight="1">
      <c r="A652" s="4" t="inlineStr">
        <is>
          <t>C09-P0032</t>
        </is>
      </c>
      <c r="B652" s="4" t="inlineStr">
        <is>
          <t>C09</t>
        </is>
      </c>
      <c r="C652" s="4" t="inlineStr">
        <is>
          <t>PRISM (Promoting Innovations in Individuals, Start-ups and MSMEs): Category-2: Fabrication of Working Model/Process Know-how/Testing &amp; Trial/Patenting/Technology Transfer</t>
        </is>
      </c>
      <c r="D652" s="4" t="inlineStr">
        <is>
          <t>Eligibility</t>
        </is>
      </c>
      <c r="E652" s="4" t="inlineStr"/>
      <c r="F652" s="4" t="inlineStr">
        <is>
          <t>en.eligibilityCriteria.eligibilityDescription[0].children[5]</t>
        </is>
      </c>
      <c r="G652" s="4" t="inlineStr">
        <is>
          <t>C09@20261028-1e8f42c4</t>
        </is>
      </c>
      <c r="H652" s="4" t="n">
        <v>1</v>
      </c>
      <c r="I652" s="4" t="n">
        <v>1</v>
      </c>
      <c r="J652" s="4" t="inlineStr">
        <is>
          <t>The applicant must ensure the proposal does not involve only software development.</t>
        </is>
      </c>
      <c r="K652" s="4" t="inlineStr">
        <is>
          <t>MS-C09</t>
        </is>
      </c>
      <c r="L652" s="6" t="n">
        <v>46323</v>
      </c>
      <c r="M652" s="4" t="inlineStr">
        <is>
          <t>Approved</t>
        </is>
      </c>
      <c r="N652" s="4" t="inlineStr">
        <is>
          <t>list_item</t>
        </is>
      </c>
    </row>
    <row r="653" ht="82" customHeight="1">
      <c r="A653" s="8" t="inlineStr">
        <is>
          <t>C09-P0033</t>
        </is>
      </c>
      <c r="B653" s="8" t="inlineStr">
        <is>
          <t>C09</t>
        </is>
      </c>
      <c r="C653" s="8" t="inlineStr">
        <is>
          <t>PRISM (Promoting Innovations in Individuals, Start-ups and MSMEs): Category-2: Fabrication of Working Model/Process Know-how/Testing &amp; Trial/Patenting/Technology Transfer</t>
        </is>
      </c>
      <c r="D653" s="8" t="inlineStr">
        <is>
          <t>Eligibility</t>
        </is>
      </c>
      <c r="E653" s="8" t="inlineStr"/>
      <c r="F653" s="8" t="inlineStr">
        <is>
          <t>en.eligibilityCriteria.eligibilityDescription[0].children[6]</t>
        </is>
      </c>
      <c r="G653" s="8" t="inlineStr">
        <is>
          <t>C09@20261028-1e8f42c4</t>
        </is>
      </c>
      <c r="H653" s="8" t="n">
        <v>1</v>
      </c>
      <c r="I653" s="8" t="n">
        <v>1</v>
      </c>
      <c r="J653" s="8" t="inlineStr">
        <is>
          <t>The applicant must ensure the proposal is not for basic scientific research having no immediate commercial implications.</t>
        </is>
      </c>
      <c r="K653" s="8" t="inlineStr">
        <is>
          <t>MS-C09</t>
        </is>
      </c>
      <c r="L653" s="9" t="n">
        <v>46323</v>
      </c>
      <c r="M653" s="8" t="inlineStr">
        <is>
          <t>Approved</t>
        </is>
      </c>
      <c r="N653" s="8" t="inlineStr">
        <is>
          <t>list_item</t>
        </is>
      </c>
    </row>
    <row r="654" ht="82" customHeight="1">
      <c r="A654" s="4" t="inlineStr">
        <is>
          <t>C09-P0034</t>
        </is>
      </c>
      <c r="B654" s="4" t="inlineStr">
        <is>
          <t>C09</t>
        </is>
      </c>
      <c r="C654" s="4" t="inlineStr">
        <is>
          <t>PRISM (Promoting Innovations in Individuals, Start-ups and MSMEs): Category-2: Fabrication of Working Model/Process Know-how/Testing &amp; Trial/Patenting/Technology Transfer</t>
        </is>
      </c>
      <c r="D654" s="4" t="inlineStr">
        <is>
          <t>Eligibility</t>
        </is>
      </c>
      <c r="E654" s="4" t="inlineStr"/>
      <c r="F654" s="4" t="inlineStr">
        <is>
          <t>en.eligibilityCriteria.eligibilityDescription[1].children[0]</t>
        </is>
      </c>
      <c r="G654" s="4" t="inlineStr">
        <is>
          <t>C09@20261028-1e8f42c4</t>
        </is>
      </c>
      <c r="H654" s="4" t="n">
        <v>1</v>
      </c>
      <c r="I654" s="4" t="n">
        <v>1</v>
      </c>
      <c r="J654" s="4" t="inlineStr">
        <is>
          <t>Specific Conditions</t>
        </is>
      </c>
      <c r="K654" s="4" t="inlineStr">
        <is>
          <t>MS-C09</t>
        </is>
      </c>
      <c r="L654" s="6" t="n">
        <v>46323</v>
      </c>
      <c r="M654" s="4" t="inlineStr">
        <is>
          <t>Approved</t>
        </is>
      </c>
      <c r="N654" s="4" t="inlineStr">
        <is>
          <t>text</t>
        </is>
      </c>
    </row>
    <row r="655" ht="82" customHeight="1">
      <c r="A655" s="8" t="inlineStr">
        <is>
          <t>C09-P0035</t>
        </is>
      </c>
      <c r="B655" s="8" t="inlineStr">
        <is>
          <t>C09</t>
        </is>
      </c>
      <c r="C655" s="8" t="inlineStr">
        <is>
          <t>PRISM (Promoting Innovations in Individuals, Start-ups and MSMEs): Category-2: Fabrication of Working Model/Process Know-how/Testing &amp; Trial/Patenting/Technology Transfer</t>
        </is>
      </c>
      <c r="D655" s="8" t="inlineStr">
        <is>
          <t>Eligibility</t>
        </is>
      </c>
      <c r="E655" s="8" t="inlineStr"/>
      <c r="F655" s="8" t="inlineStr">
        <is>
          <t>en.eligibilityCriteria.eligibilityDescription[2].children[0]</t>
        </is>
      </c>
      <c r="G655" s="8" t="inlineStr">
        <is>
          <t>C09@20261028-1e8f42c4</t>
        </is>
      </c>
      <c r="H655" s="8" t="n">
        <v>1</v>
      </c>
      <c r="I655" s="8" t="n">
        <v>1</v>
      </c>
      <c r="J655" s="8" t="inlineStr">
        <is>
          <t>Students: The applicant must provide a `No Objection Certificate’ from the head of their institution on the institution’s letterhead.</t>
        </is>
      </c>
      <c r="K655" s="8" t="inlineStr">
        <is>
          <t>MS-C09</t>
        </is>
      </c>
      <c r="L655" s="9" t="n">
        <v>46323</v>
      </c>
      <c r="M655" s="8" t="inlineStr">
        <is>
          <t>Approved</t>
        </is>
      </c>
      <c r="N655" s="8" t="inlineStr">
        <is>
          <t>list_item</t>
        </is>
      </c>
    </row>
    <row r="656" ht="82" customHeight="1">
      <c r="A656" s="4" t="inlineStr">
        <is>
          <t>C09-P0036</t>
        </is>
      </c>
      <c r="B656" s="4" t="inlineStr">
        <is>
          <t>C09</t>
        </is>
      </c>
      <c r="C656" s="4" t="inlineStr">
        <is>
          <t>PRISM (Promoting Innovations in Individuals, Start-ups and MSMEs): Category-2: Fabrication of Working Model/Process Know-how/Testing &amp; Trial/Patenting/Technology Transfer</t>
        </is>
      </c>
      <c r="D656" s="4" t="inlineStr">
        <is>
          <t>Eligibility</t>
        </is>
      </c>
      <c r="E656" s="4" t="inlineStr"/>
      <c r="F656" s="4" t="inlineStr">
        <is>
          <t>en.eligibilityCriteria.eligibilityDescription[2].children[1]</t>
        </is>
      </c>
      <c r="G656" s="4" t="inlineStr">
        <is>
          <t>C09@20261028-1e8f42c4</t>
        </is>
      </c>
      <c r="H656" s="4" t="n">
        <v>1</v>
      </c>
      <c r="I656" s="4" t="n">
        <v>1</v>
      </c>
      <c r="J656" s="4" t="inlineStr">
        <is>
          <t>Students: The applicant must ensure the commitment from the institution that the project will be taken to its logical conclusion by the student/concerned faculty.</t>
        </is>
      </c>
      <c r="K656" s="4" t="inlineStr">
        <is>
          <t>MS-C09</t>
        </is>
      </c>
      <c r="L656" s="6" t="n">
        <v>46323</v>
      </c>
      <c r="M656" s="4" t="inlineStr">
        <is>
          <t>Approved</t>
        </is>
      </c>
      <c r="N656" s="4" t="inlineStr">
        <is>
          <t>list_item</t>
        </is>
      </c>
    </row>
    <row r="657" ht="82" customHeight="1">
      <c r="A657" s="8" t="inlineStr">
        <is>
          <t>C09-P0037</t>
        </is>
      </c>
      <c r="B657" s="8" t="inlineStr">
        <is>
          <t>C09</t>
        </is>
      </c>
      <c r="C657" s="8" t="inlineStr">
        <is>
          <t>PRISM (Promoting Innovations in Individuals, Start-ups and MSMEs): Category-2: Fabrication of Working Model/Process Know-how/Testing &amp; Trial/Patenting/Technology Transfer</t>
        </is>
      </c>
      <c r="D657" s="8" t="inlineStr">
        <is>
          <t>Eligibility</t>
        </is>
      </c>
      <c r="E657" s="8" t="inlineStr"/>
      <c r="F657" s="8" t="inlineStr">
        <is>
          <t>en.eligibilityCriteria.eligibilityDescription[2].children[2]</t>
        </is>
      </c>
      <c r="G657" s="8" t="inlineStr">
        <is>
          <t>C09@20261028-1e8f42c4</t>
        </is>
      </c>
      <c r="H657" s="8" t="n">
        <v>1</v>
      </c>
      <c r="I657" s="8" t="n">
        <v>1</v>
      </c>
      <c r="J657" s="8" t="inlineStr">
        <is>
          <t>Individuals Working in Organizations: The applicant must furnish a `No Objection Certificate’ from their employer.</t>
        </is>
      </c>
      <c r="K657" s="8" t="inlineStr">
        <is>
          <t>MS-C09</t>
        </is>
      </c>
      <c r="L657" s="9" t="n">
        <v>46323</v>
      </c>
      <c r="M657" s="8" t="inlineStr">
        <is>
          <t>Approved</t>
        </is>
      </c>
      <c r="N657" s="8" t="inlineStr">
        <is>
          <t>list_item</t>
        </is>
      </c>
    </row>
    <row r="658" ht="82" customHeight="1">
      <c r="A658" s="4" t="inlineStr">
        <is>
          <t>C09-P0038</t>
        </is>
      </c>
      <c r="B658" s="4" t="inlineStr">
        <is>
          <t>C09</t>
        </is>
      </c>
      <c r="C658" s="4" t="inlineStr">
        <is>
          <t>PRISM (Promoting Innovations in Individuals, Start-ups and MSMEs): Category-2: Fabrication of Working Model/Process Know-how/Testing &amp; Trial/Patenting/Technology Transfer</t>
        </is>
      </c>
      <c r="D658" s="4" t="inlineStr">
        <is>
          <t>Eligibility</t>
        </is>
      </c>
      <c r="E658" s="4" t="inlineStr"/>
      <c r="F658" s="4" t="inlineStr">
        <is>
          <t>en.eligibilityCriteria.eligibilityDescription[3].children[0]</t>
        </is>
      </c>
      <c r="G658" s="4" t="inlineStr">
        <is>
          <t>C09@20261028-1e8f42c4</t>
        </is>
      </c>
      <c r="H658" s="4" t="n">
        <v>1</v>
      </c>
      <c r="I658" s="4" t="n">
        <v>1</v>
      </c>
      <c r="J658" s="4" t="inlineStr">
        <is>
          <t>Desirable Criteria (Preference)</t>
        </is>
      </c>
      <c r="K658" s="4" t="inlineStr">
        <is>
          <t>MS-C09</t>
        </is>
      </c>
      <c r="L658" s="6" t="n">
        <v>46323</v>
      </c>
      <c r="M658" s="4" t="inlineStr">
        <is>
          <t>Approved</t>
        </is>
      </c>
      <c r="N658" s="4" t="inlineStr">
        <is>
          <t>text</t>
        </is>
      </c>
    </row>
    <row r="659" ht="82" customHeight="1">
      <c r="A659" s="8" t="inlineStr">
        <is>
          <t>C09-P0039</t>
        </is>
      </c>
      <c r="B659" s="8" t="inlineStr">
        <is>
          <t>C09</t>
        </is>
      </c>
      <c r="C659" s="8" t="inlineStr">
        <is>
          <t>PRISM (Promoting Innovations in Individuals, Start-ups and MSMEs): Category-2: Fabrication of Working Model/Process Know-how/Testing &amp; Trial/Patenting/Technology Transfer</t>
        </is>
      </c>
      <c r="D659" s="8" t="inlineStr">
        <is>
          <t>Eligibility</t>
        </is>
      </c>
      <c r="E659" s="8" t="inlineStr"/>
      <c r="F659" s="8" t="inlineStr">
        <is>
          <t>en.eligibilityCriteria.eligibilityDescription[4].children[0]</t>
        </is>
      </c>
      <c r="G659" s="8" t="inlineStr">
        <is>
          <t>C09@20261028-1e8f42c4</t>
        </is>
      </c>
      <c r="H659" s="8" t="n">
        <v>1</v>
      </c>
      <c r="I659" s="8" t="n">
        <v>1</v>
      </c>
      <c r="J659" s="8" t="inlineStr">
        <is>
          <t>The proposals should preferably be in the following focus sectors: Green Technology, Clean Energy, Industrially utilizable smart materials, Waste to wealth, Affordable healthcare, Water &amp; sewage management, or any other technology or knowledge-intensive area.</t>
        </is>
      </c>
      <c r="K659" s="8" t="inlineStr">
        <is>
          <t>MS-C09</t>
        </is>
      </c>
      <c r="L659" s="9" t="n">
        <v>46323</v>
      </c>
      <c r="M659" s="8" t="inlineStr">
        <is>
          <t>Approved</t>
        </is>
      </c>
      <c r="N659" s="8" t="inlineStr">
        <is>
          <t>list_item</t>
        </is>
      </c>
    </row>
    <row r="660" ht="82" customHeight="1">
      <c r="A660" s="4" t="inlineStr">
        <is>
          <t>C09-P0040</t>
        </is>
      </c>
      <c r="B660" s="4" t="inlineStr">
        <is>
          <t>C09</t>
        </is>
      </c>
      <c r="C660" s="4" t="inlineStr">
        <is>
          <t>PRISM (Promoting Innovations in Individuals, Start-ups and MSMEs): Category-2: Fabrication of Working Model/Process Know-how/Testing &amp; Trial/Patenting/Technology Transfer</t>
        </is>
      </c>
      <c r="D660" s="4" t="inlineStr">
        <is>
          <t>Eligibility</t>
        </is>
      </c>
      <c r="E660" s="4" t="inlineStr"/>
      <c r="F660" s="4" t="inlineStr">
        <is>
          <t>en.eligibilityCriteria.eligibilityDescription[4].children[1]</t>
        </is>
      </c>
      <c r="G660" s="4" t="inlineStr">
        <is>
          <t>C09@20261028-1e8f42c4</t>
        </is>
      </c>
      <c r="H660" s="4" t="n">
        <v>1</v>
      </c>
      <c r="I660" s="4" t="n">
        <v>1</v>
      </c>
      <c r="J660" s="4" t="inlineStr">
        <is>
          <t>Preference: Student innovators making it to the final of any competition are eligible, but they should take the project as a full-time activity after graduation to ensure their studies are not adversely affected.</t>
        </is>
      </c>
      <c r="K660" s="4" t="inlineStr">
        <is>
          <t>MS-C09</t>
        </is>
      </c>
      <c r="L660" s="6" t="n">
        <v>46323</v>
      </c>
      <c r="M660" s="4" t="inlineStr">
        <is>
          <t>Approved</t>
        </is>
      </c>
      <c r="N660" s="4" t="inlineStr">
        <is>
          <t>list_item</t>
        </is>
      </c>
    </row>
    <row r="661" ht="82" customHeight="1">
      <c r="A661" s="8" t="inlineStr">
        <is>
          <t>C09-P0041</t>
        </is>
      </c>
      <c r="B661" s="8" t="inlineStr">
        <is>
          <t>C09</t>
        </is>
      </c>
      <c r="C661" s="8" t="inlineStr">
        <is>
          <t>PRISM (Promoting Innovations in Individuals, Start-ups and MSMEs): Category-2: Fabrication of Working Model/Process Know-how/Testing &amp; Trial/Patenting/Technology Transfer</t>
        </is>
      </c>
      <c r="D661" s="8" t="inlineStr">
        <is>
          <t>Eligibility</t>
        </is>
      </c>
      <c r="E661" s="8" t="inlineStr"/>
      <c r="F661" s="8" t="inlineStr">
        <is>
          <t>en.eligibilityCriteria.eligibilityDescription[4].children[2]</t>
        </is>
      </c>
      <c r="G661" s="8" t="inlineStr">
        <is>
          <t>C09@20261028-1e8f42c4</t>
        </is>
      </c>
      <c r="H661" s="8" t="n">
        <v>1</v>
      </c>
      <c r="I661" s="8" t="n">
        <v>1</v>
      </c>
      <c r="J661" s="8" t="inlineStr">
        <is>
          <t>The applicant should ensure the proposal is submitted through the nearest TePP Outreach cum Cluster Innovation Centre, even if scouted, documented, and mentored by other agencies, and must include evaluation by the assisting agency.</t>
        </is>
      </c>
      <c r="K661" s="8" t="inlineStr">
        <is>
          <t>MS-C09</t>
        </is>
      </c>
      <c r="L661" s="9" t="n">
        <v>46323</v>
      </c>
      <c r="M661" s="8" t="inlineStr">
        <is>
          <t>Approved</t>
        </is>
      </c>
      <c r="N661" s="8" t="inlineStr">
        <is>
          <t>list_item</t>
        </is>
      </c>
    </row>
    <row r="662" ht="82" customHeight="1">
      <c r="A662" s="4" t="inlineStr">
        <is>
          <t>C09-P0042</t>
        </is>
      </c>
      <c r="B662" s="4" t="inlineStr">
        <is>
          <t>C09</t>
        </is>
      </c>
      <c r="C662" s="4" t="inlineStr">
        <is>
          <t>PRISM (Promoting Innovations in Individuals, Start-ups and MSMEs): Category-2: Fabrication of Working Model/Process Know-how/Testing &amp; Trial/Patenting/Technology Transfer</t>
        </is>
      </c>
      <c r="D662" s="4" t="inlineStr">
        <is>
          <t>Exclusions</t>
        </is>
      </c>
      <c r="E662" s="4" t="inlineStr"/>
      <c r="F662" s="4" t="inlineStr">
        <is>
          <t>en.schemeContent.exclusions[0].children[0]</t>
        </is>
      </c>
      <c r="G662" s="4" t="inlineStr">
        <is>
          <t>C09@20261028-1e8f42c4</t>
        </is>
      </c>
      <c r="H662" s="4" t="n">
        <v>1</v>
      </c>
      <c r="I662" s="4" t="n">
        <v>1</v>
      </c>
      <c r="J662" s="4" t="inlineStr">
        <is>
          <t>Proposals involving only software development.</t>
        </is>
      </c>
      <c r="K662" s="4" t="inlineStr">
        <is>
          <t>MS-C09</t>
        </is>
      </c>
      <c r="L662" s="6" t="n">
        <v>46323</v>
      </c>
      <c r="M662" s="4" t="inlineStr">
        <is>
          <t>Approved</t>
        </is>
      </c>
      <c r="N662" s="4" t="inlineStr">
        <is>
          <t>list_item</t>
        </is>
      </c>
    </row>
    <row r="663" ht="82" customHeight="1">
      <c r="A663" s="8" t="inlineStr">
        <is>
          <t>C09-P0043</t>
        </is>
      </c>
      <c r="B663" s="8" t="inlineStr">
        <is>
          <t>C09</t>
        </is>
      </c>
      <c r="C663" s="8" t="inlineStr">
        <is>
          <t>PRISM (Promoting Innovations in Individuals, Start-ups and MSMEs): Category-2: Fabrication of Working Model/Process Know-how/Testing &amp; Trial/Patenting/Technology Transfer</t>
        </is>
      </c>
      <c r="D663" s="8" t="inlineStr">
        <is>
          <t>Exclusions</t>
        </is>
      </c>
      <c r="E663" s="8" t="inlineStr"/>
      <c r="F663" s="8" t="inlineStr">
        <is>
          <t>en.schemeContent.exclusions[0].children[1]</t>
        </is>
      </c>
      <c r="G663" s="8" t="inlineStr">
        <is>
          <t>C09@20261028-1e8f42c4</t>
        </is>
      </c>
      <c r="H663" s="8" t="n">
        <v>1</v>
      </c>
      <c r="I663" s="8" t="n">
        <v>1</v>
      </c>
      <c r="J663" s="8" t="inlineStr">
        <is>
          <t>Proposals involving only patenting (unless patenting is along with prototype development).</t>
        </is>
      </c>
      <c r="K663" s="8" t="inlineStr">
        <is>
          <t>MS-C09</t>
        </is>
      </c>
      <c r="L663" s="9" t="n">
        <v>46323</v>
      </c>
      <c r="M663" s="8" t="inlineStr">
        <is>
          <t>Approved</t>
        </is>
      </c>
      <c r="N663" s="8" t="inlineStr">
        <is>
          <t>list_item</t>
        </is>
      </c>
    </row>
    <row r="664" ht="82" customHeight="1">
      <c r="A664" s="4" t="inlineStr">
        <is>
          <t>C09-P0044</t>
        </is>
      </c>
      <c r="B664" s="4" t="inlineStr">
        <is>
          <t>C09</t>
        </is>
      </c>
      <c r="C664" s="4" t="inlineStr">
        <is>
          <t>PRISM (Promoting Innovations in Individuals, Start-ups and MSMEs): Category-2: Fabrication of Working Model/Process Know-how/Testing &amp; Trial/Patenting/Technology Transfer</t>
        </is>
      </c>
      <c r="D664" s="4" t="inlineStr">
        <is>
          <t>Exclusions</t>
        </is>
      </c>
      <c r="E664" s="4" t="inlineStr"/>
      <c r="F664" s="4" t="inlineStr">
        <is>
          <t>en.schemeContent.exclusions[0].children[2]</t>
        </is>
      </c>
      <c r="G664" s="4" t="inlineStr">
        <is>
          <t>C09@20261028-1e8f42c4</t>
        </is>
      </c>
      <c r="H664" s="4" t="n">
        <v>1</v>
      </c>
      <c r="I664" s="4" t="n">
        <v>1</v>
      </c>
      <c r="J664" s="4" t="inlineStr">
        <is>
          <t>Proposals for basic scientific research having no immediate commercial implication</t>
        </is>
      </c>
      <c r="K664" s="4" t="inlineStr">
        <is>
          <t>MS-C09</t>
        </is>
      </c>
      <c r="L664" s="6" t="n">
        <v>46323</v>
      </c>
      <c r="M664" s="4" t="inlineStr">
        <is>
          <t>Approved</t>
        </is>
      </c>
      <c r="N664" s="4" t="inlineStr">
        <is>
          <t>list_item</t>
        </is>
      </c>
    </row>
    <row r="665" ht="82" customHeight="1">
      <c r="A665" s="8" t="inlineStr">
        <is>
          <t>C09-P0045</t>
        </is>
      </c>
      <c r="B665" s="8" t="inlineStr">
        <is>
          <t>C09</t>
        </is>
      </c>
      <c r="C665" s="8" t="inlineStr">
        <is>
          <t>PRISM (Promoting Innovations in Individuals, Start-ups and MSMEs): Category-2: Fabrication of Working Model/Process Know-how/Testing &amp; Trial/Patenting/Technology Transfer</t>
        </is>
      </c>
      <c r="D665" s="8" t="inlineStr">
        <is>
          <t>Applicant documents</t>
        </is>
      </c>
      <c r="E665" s="8" t="inlineStr"/>
      <c r="F665" s="8" t="inlineStr">
        <is>
          <t>documents.en.documents_required[0].children[0]</t>
        </is>
      </c>
      <c r="G665" s="8" t="inlineStr">
        <is>
          <t>C09@20261028-1e8f42c4</t>
        </is>
      </c>
      <c r="H665" s="8" t="n">
        <v>1</v>
      </c>
      <c r="I665" s="8" t="n">
        <v>1</v>
      </c>
      <c r="J665" s="8" t="inlineStr">
        <is>
          <t>Required During Application/Submission Stage</t>
        </is>
      </c>
      <c r="K665" s="8" t="inlineStr">
        <is>
          <t>MS-C09</t>
        </is>
      </c>
      <c r="L665" s="9" t="n">
        <v>46323</v>
      </c>
      <c r="M665" s="8" t="inlineStr">
        <is>
          <t>Approved</t>
        </is>
      </c>
      <c r="N665" s="8" t="inlineStr">
        <is>
          <t>text</t>
        </is>
      </c>
    </row>
    <row r="666" ht="82" customHeight="1">
      <c r="A666" s="4" t="inlineStr">
        <is>
          <t>C09-P0046</t>
        </is>
      </c>
      <c r="B666" s="4" t="inlineStr">
        <is>
          <t>C09</t>
        </is>
      </c>
      <c r="C666" s="4" t="inlineStr">
        <is>
          <t>PRISM (Promoting Innovations in Individuals, Start-ups and MSMEs): Category-2: Fabrication of Working Model/Process Know-how/Testing &amp; Trial/Patenting/Technology Transfer</t>
        </is>
      </c>
      <c r="D666" s="4" t="inlineStr">
        <is>
          <t>Applicant documents</t>
        </is>
      </c>
      <c r="E666" s="4" t="inlineStr"/>
      <c r="F666" s="4" t="inlineStr">
        <is>
          <t>documents.en.documents_required[1].children[0]</t>
        </is>
      </c>
      <c r="G666" s="4" t="inlineStr">
        <is>
          <t>C09@20261028-1e8f42c4</t>
        </is>
      </c>
      <c r="H666" s="4" t="n">
        <v>1</v>
      </c>
      <c r="I666" s="4" t="n">
        <v>1</v>
      </c>
      <c r="J666" s="4" t="inlineStr">
        <is>
          <t>Proof Of Residence (Issued By Sub-Divisional Magistrate (SDM)/District Magistrate (DM) Or A Copy Of Ration Card Or Any Other Document Regarding Proof Of Residence).</t>
        </is>
      </c>
      <c r="K666" s="4" t="inlineStr">
        <is>
          <t>MS-C09</t>
        </is>
      </c>
      <c r="L666" s="6" t="n">
        <v>46323</v>
      </c>
      <c r="M666" s="4" t="inlineStr">
        <is>
          <t>Approved</t>
        </is>
      </c>
      <c r="N666" s="4" t="inlineStr">
        <is>
          <t>list_item</t>
        </is>
      </c>
    </row>
    <row r="667" ht="82" customHeight="1">
      <c r="A667" s="8" t="inlineStr">
        <is>
          <t>C09-P0047</t>
        </is>
      </c>
      <c r="B667" s="8" t="inlineStr">
        <is>
          <t>C09</t>
        </is>
      </c>
      <c r="C667" s="8" t="inlineStr">
        <is>
          <t>PRISM (Promoting Innovations in Individuals, Start-ups and MSMEs): Category-2: Fabrication of Working Model/Process Know-how/Testing &amp; Trial/Patenting/Technology Transfer</t>
        </is>
      </c>
      <c r="D667" s="8" t="inlineStr">
        <is>
          <t>Applicant documents</t>
        </is>
      </c>
      <c r="E667" s="8" t="inlineStr"/>
      <c r="F667" s="8" t="inlineStr">
        <is>
          <t>documents.en.documents_required[1].children[1]</t>
        </is>
      </c>
      <c r="G667" s="8" t="inlineStr">
        <is>
          <t>C09@20261028-1e8f42c4</t>
        </is>
      </c>
      <c r="H667" s="8" t="n">
        <v>1</v>
      </c>
      <c r="I667" s="8" t="n">
        <v>1</v>
      </c>
      <c r="J667" s="8" t="inlineStr">
        <is>
          <t>Copy Of Aadhaar Card.</t>
        </is>
      </c>
      <c r="K667" s="8" t="inlineStr">
        <is>
          <t>MS-C09</t>
        </is>
      </c>
      <c r="L667" s="9" t="n">
        <v>46323</v>
      </c>
      <c r="M667" s="8" t="inlineStr">
        <is>
          <t>Approved</t>
        </is>
      </c>
      <c r="N667" s="8" t="inlineStr">
        <is>
          <t>list_item</t>
        </is>
      </c>
    </row>
    <row r="668" ht="82" customHeight="1">
      <c r="A668" s="4" t="inlineStr">
        <is>
          <t>C09-P0048</t>
        </is>
      </c>
      <c r="B668" s="4" t="inlineStr">
        <is>
          <t>C09</t>
        </is>
      </c>
      <c r="C668" s="4" t="inlineStr">
        <is>
          <t>PRISM (Promoting Innovations in Individuals, Start-ups and MSMEs): Category-2: Fabrication of Working Model/Process Know-how/Testing &amp; Trial/Patenting/Technology Transfer</t>
        </is>
      </c>
      <c r="D668" s="4" t="inlineStr">
        <is>
          <t>Applicant documents</t>
        </is>
      </c>
      <c r="E668" s="4" t="inlineStr"/>
      <c r="F668" s="4" t="inlineStr">
        <is>
          <t>documents.en.documents_required[1].children[2]</t>
        </is>
      </c>
      <c r="G668" s="4" t="inlineStr">
        <is>
          <t>C09@20261028-1e8f42c4</t>
        </is>
      </c>
      <c r="H668" s="4" t="n">
        <v>1</v>
      </c>
      <c r="I668" s="4" t="n">
        <v>1</v>
      </c>
      <c r="J668" s="4" t="inlineStr">
        <is>
          <t>Documentary Proof Of Prior Work (Video, Photo, Press Coverage, etc.).</t>
        </is>
      </c>
      <c r="K668" s="4" t="inlineStr">
        <is>
          <t>MS-C09</t>
        </is>
      </c>
      <c r="L668" s="6" t="n">
        <v>46323</v>
      </c>
      <c r="M668" s="4" t="inlineStr">
        <is>
          <t>Approved</t>
        </is>
      </c>
      <c r="N668" s="4" t="inlineStr">
        <is>
          <t>list_item</t>
        </is>
      </c>
    </row>
    <row r="669" ht="82" customHeight="1">
      <c r="A669" s="8" t="inlineStr">
        <is>
          <t>C09-P0049</t>
        </is>
      </c>
      <c r="B669" s="8" t="inlineStr">
        <is>
          <t>C09</t>
        </is>
      </c>
      <c r="C669" s="8" t="inlineStr">
        <is>
          <t>PRISM (Promoting Innovations in Individuals, Start-ups and MSMEs): Category-2: Fabrication of Working Model/Process Know-how/Testing &amp; Trial/Patenting/Technology Transfer</t>
        </is>
      </c>
      <c r="D669" s="8" t="inlineStr">
        <is>
          <t>Applicant documents</t>
        </is>
      </c>
      <c r="E669" s="8" t="inlineStr"/>
      <c r="F669" s="8" t="inlineStr">
        <is>
          <t>documents.en.documents_required[1].children[3]</t>
        </is>
      </c>
      <c r="G669" s="8" t="inlineStr">
        <is>
          <t>C09@20261028-1e8f42c4</t>
        </is>
      </c>
      <c r="H669" s="8" t="n">
        <v>1</v>
      </c>
      <c r="I669" s="8" t="n">
        <v>1</v>
      </c>
      <c r="J669" s="8" t="inlineStr">
        <is>
          <t>No Objection Certificate (From Head of Institute/Organization, on institution’s letterhead, for Students and Working Innovators).</t>
        </is>
      </c>
      <c r="K669" s="8" t="inlineStr">
        <is>
          <t>MS-C09</t>
        </is>
      </c>
      <c r="L669" s="9" t="n">
        <v>46323</v>
      </c>
      <c r="M669" s="8" t="inlineStr">
        <is>
          <t>Approved</t>
        </is>
      </c>
      <c r="N669" s="8" t="inlineStr">
        <is>
          <t>list_item</t>
        </is>
      </c>
    </row>
    <row r="670" ht="82" customHeight="1">
      <c r="A670" s="4" t="inlineStr">
        <is>
          <t>C09-P0050</t>
        </is>
      </c>
      <c r="B670" s="4" t="inlineStr">
        <is>
          <t>C09</t>
        </is>
      </c>
      <c r="C670" s="4" t="inlineStr">
        <is>
          <t>PRISM (Promoting Innovations in Individuals, Start-ups and MSMEs): Category-2: Fabrication of Working Model/Process Know-how/Testing &amp; Trial/Patenting/Technology Transfer</t>
        </is>
      </c>
      <c r="D670" s="4" t="inlineStr">
        <is>
          <t>Applicant documents</t>
        </is>
      </c>
      <c r="E670" s="4" t="inlineStr"/>
      <c r="F670" s="4" t="inlineStr">
        <is>
          <t>documents.en.documents_required[1].children[4]</t>
        </is>
      </c>
      <c r="G670" s="4" t="inlineStr">
        <is>
          <t>C09@20261028-1e8f42c4</t>
        </is>
      </c>
      <c r="H670" s="4" t="n">
        <v>1</v>
      </c>
      <c r="I670" s="4" t="n">
        <v>1</v>
      </c>
      <c r="J670" s="4" t="inlineStr">
        <is>
          <t>Commitment Letter From Institution (Committing that the project will be taken to its logical conclusion by the student/concerned faculty, for Students).</t>
        </is>
      </c>
      <c r="K670" s="4" t="inlineStr">
        <is>
          <t>MS-C09</t>
        </is>
      </c>
      <c r="L670" s="6" t="n">
        <v>46323</v>
      </c>
      <c r="M670" s="4" t="inlineStr">
        <is>
          <t>Approved</t>
        </is>
      </c>
      <c r="N670" s="4" t="inlineStr">
        <is>
          <t>list_item</t>
        </is>
      </c>
    </row>
    <row r="671" ht="82" customHeight="1">
      <c r="A671" s="8" t="inlineStr">
        <is>
          <t>C09-P0051</t>
        </is>
      </c>
      <c r="B671" s="8" t="inlineStr">
        <is>
          <t>C09</t>
        </is>
      </c>
      <c r="C671" s="8" t="inlineStr">
        <is>
          <t>PRISM (Promoting Innovations in Individuals, Start-ups and MSMEs): Category-2: Fabrication of Working Model/Process Know-how/Testing &amp; Trial/Patenting/Technology Transfer</t>
        </is>
      </c>
      <c r="D671" s="8" t="inlineStr">
        <is>
          <t>Applicant documents</t>
        </is>
      </c>
      <c r="E671" s="8" t="inlineStr"/>
      <c r="F671" s="8" t="inlineStr">
        <is>
          <t>documents.en.documents_required[1].children[5]</t>
        </is>
      </c>
      <c r="G671" s="8" t="inlineStr">
        <is>
          <t>C09@20261028-1e8f42c4</t>
        </is>
      </c>
      <c r="H671" s="8" t="n">
        <v>1</v>
      </c>
      <c r="I671" s="8" t="n">
        <v>1</v>
      </c>
      <c r="J671" s="8" t="inlineStr">
        <is>
          <t>Copy Of The Latest Income Tax Returns Filed (If Applicant Is An Income Tax Payer).</t>
        </is>
      </c>
      <c r="K671" s="8" t="inlineStr">
        <is>
          <t>MS-C09</t>
        </is>
      </c>
      <c r="L671" s="9" t="n">
        <v>46323</v>
      </c>
      <c r="M671" s="8" t="inlineStr">
        <is>
          <t>Approved</t>
        </is>
      </c>
      <c r="N671" s="8" t="inlineStr">
        <is>
          <t>list_item</t>
        </is>
      </c>
    </row>
    <row r="672" ht="82" customHeight="1">
      <c r="A672" s="4" t="inlineStr">
        <is>
          <t>C09-P0052</t>
        </is>
      </c>
      <c r="B672" s="4" t="inlineStr">
        <is>
          <t>C09</t>
        </is>
      </c>
      <c r="C672" s="4" t="inlineStr">
        <is>
          <t>PRISM (Promoting Innovations in Individuals, Start-ups and MSMEs): Category-2: Fabrication of Working Model/Process Know-how/Testing &amp; Trial/Patenting/Technology Transfer</t>
        </is>
      </c>
      <c r="D672" s="4" t="inlineStr">
        <is>
          <t>Applicant documents</t>
        </is>
      </c>
      <c r="E672" s="4" t="inlineStr"/>
      <c r="F672" s="4" t="inlineStr">
        <is>
          <t>documents.en.documents_required[1].children[6]</t>
        </is>
      </c>
      <c r="G672" s="4" t="inlineStr">
        <is>
          <t>C09@20261028-1e8f42c4</t>
        </is>
      </c>
      <c r="H672" s="4" t="n">
        <v>1</v>
      </c>
      <c r="I672" s="4" t="n">
        <v>1</v>
      </c>
      <c r="J672" s="4" t="inlineStr">
        <is>
          <t>List Of Equipment/Instruments, Etc. With Their Respective Costs In A Separate Annexure (Required if an essential equipment purchase is proposed).</t>
        </is>
      </c>
      <c r="K672" s="4" t="inlineStr">
        <is>
          <t>MS-C09</t>
        </is>
      </c>
      <c r="L672" s="6" t="n">
        <v>46323</v>
      </c>
      <c r="M672" s="4" t="inlineStr">
        <is>
          <t>Approved</t>
        </is>
      </c>
      <c r="N672" s="4" t="inlineStr">
        <is>
          <t>list_item</t>
        </is>
      </c>
    </row>
    <row r="673" ht="82" customHeight="1">
      <c r="A673" s="8" t="inlineStr">
        <is>
          <t>C09-P0053</t>
        </is>
      </c>
      <c r="B673" s="8" t="inlineStr">
        <is>
          <t>C09</t>
        </is>
      </c>
      <c r="C673" s="8" t="inlineStr">
        <is>
          <t>PRISM (Promoting Innovations in Individuals, Start-ups and MSMEs): Category-2: Fabrication of Working Model/Process Know-how/Testing &amp; Trial/Patenting/Technology Transfer</t>
        </is>
      </c>
      <c r="D673" s="8" t="inlineStr">
        <is>
          <t>Applicant documents</t>
        </is>
      </c>
      <c r="E673" s="8" t="inlineStr"/>
      <c r="F673" s="8" t="inlineStr">
        <is>
          <t>documents.en.documents_required[1].children[7]</t>
        </is>
      </c>
      <c r="G673" s="8" t="inlineStr">
        <is>
          <t>C09@20261028-1e8f42c4</t>
        </is>
      </c>
      <c r="H673" s="8" t="n">
        <v>1</v>
      </c>
      <c r="I673" s="8" t="n">
        <v>1</v>
      </c>
      <c r="J673" s="8" t="inlineStr">
        <is>
          <t>Details Of Work Done On Innovation So Far (Including Literature Survey/Patent Search, Development Work Done, etc.).</t>
        </is>
      </c>
      <c r="K673" s="8" t="inlineStr">
        <is>
          <t>MS-C09</t>
        </is>
      </c>
      <c r="L673" s="9" t="n">
        <v>46323</v>
      </c>
      <c r="M673" s="8" t="inlineStr">
        <is>
          <t>Approved</t>
        </is>
      </c>
      <c r="N673" s="8" t="inlineStr">
        <is>
          <t>list_item</t>
        </is>
      </c>
    </row>
    <row r="674" ht="82" customHeight="1">
      <c r="A674" s="4" t="inlineStr">
        <is>
          <t>C09-P0054</t>
        </is>
      </c>
      <c r="B674" s="4" t="inlineStr">
        <is>
          <t>C09</t>
        </is>
      </c>
      <c r="C674" s="4" t="inlineStr">
        <is>
          <t>PRISM (Promoting Innovations in Individuals, Start-ups and MSMEs): Category-2: Fabrication of Working Model/Process Know-how/Testing &amp; Trial/Patenting/Technology Transfer</t>
        </is>
      </c>
      <c r="D674" s="4" t="inlineStr">
        <is>
          <t>Applicant documents</t>
        </is>
      </c>
      <c r="E674" s="4" t="inlineStr"/>
      <c r="F674" s="4" t="inlineStr">
        <is>
          <t>documents.en.documents_required[1].children[8]</t>
        </is>
      </c>
      <c r="G674" s="4" t="inlineStr">
        <is>
          <t>C09@20261028-1e8f42c4</t>
        </is>
      </c>
      <c r="H674" s="4" t="n">
        <v>1</v>
      </c>
      <c r="I674" s="4" t="n">
        <v>1</v>
      </c>
      <c r="J674" s="4" t="inlineStr">
        <is>
          <t>Brief Write-Up Giving Broad Details Of The Original Idea/Invention/Intellectual Property Rights/Know How Available.</t>
        </is>
      </c>
      <c r="K674" s="4" t="inlineStr">
        <is>
          <t>MS-C09</t>
        </is>
      </c>
      <c r="L674" s="6" t="n">
        <v>46323</v>
      </c>
      <c r="M674" s="4" t="inlineStr">
        <is>
          <t>Approved</t>
        </is>
      </c>
      <c r="N674" s="4" t="inlineStr">
        <is>
          <t>list_item</t>
        </is>
      </c>
    </row>
    <row r="675" ht="82" customHeight="1">
      <c r="A675" s="8" t="inlineStr">
        <is>
          <t>C09-P0055</t>
        </is>
      </c>
      <c r="B675" s="8" t="inlineStr">
        <is>
          <t>C09</t>
        </is>
      </c>
      <c r="C675" s="8" t="inlineStr">
        <is>
          <t>PRISM (Promoting Innovations in Individuals, Start-ups and MSMEs): Category-2: Fabrication of Working Model/Process Know-how/Testing &amp; Trial/Patenting/Technology Transfer</t>
        </is>
      </c>
      <c r="D675" s="8" t="inlineStr">
        <is>
          <t>Applicant documents</t>
        </is>
      </c>
      <c r="E675" s="8" t="inlineStr"/>
      <c r="F675" s="8" t="inlineStr">
        <is>
          <t>documents.en.documents_required[1].children[9]</t>
        </is>
      </c>
      <c r="G675" s="8" t="inlineStr">
        <is>
          <t>C09@20261028-1e8f42c4</t>
        </is>
      </c>
      <c r="H675" s="8" t="n">
        <v>1</v>
      </c>
      <c r="I675" s="8" t="n">
        <v>1</v>
      </c>
      <c r="J675" s="8" t="inlineStr">
        <is>
          <t>Proposed Costs And Time Frame For The Project (Including Justification For Cost Estimation).</t>
        </is>
      </c>
      <c r="K675" s="8" t="inlineStr">
        <is>
          <t>MS-C09</t>
        </is>
      </c>
      <c r="L675" s="9" t="n">
        <v>46323</v>
      </c>
      <c r="M675" s="8" t="inlineStr">
        <is>
          <t>Approved</t>
        </is>
      </c>
      <c r="N675" s="8" t="inlineStr">
        <is>
          <t>list_item</t>
        </is>
      </c>
    </row>
    <row r="676" ht="82" customHeight="1">
      <c r="A676" s="4" t="inlineStr">
        <is>
          <t>C09-P0056</t>
        </is>
      </c>
      <c r="B676" s="4" t="inlineStr">
        <is>
          <t>C09</t>
        </is>
      </c>
      <c r="C676" s="4" t="inlineStr">
        <is>
          <t>PRISM (Promoting Innovations in Individuals, Start-ups and MSMEs): Category-2: Fabrication of Working Model/Process Know-how/Testing &amp; Trial/Patenting/Technology Transfer</t>
        </is>
      </c>
      <c r="D676" s="4" t="inlineStr">
        <is>
          <t>Applicant documents</t>
        </is>
      </c>
      <c r="E676" s="4" t="inlineStr"/>
      <c r="F676" s="4" t="inlineStr">
        <is>
          <t>documents.en.documents_required[1].children[10]</t>
        </is>
      </c>
      <c r="G676" s="4" t="inlineStr">
        <is>
          <t>C09@20261028-1e8f42c4</t>
        </is>
      </c>
      <c r="H676" s="4" t="n">
        <v>1</v>
      </c>
      <c r="I676" s="4" t="n">
        <v>1</v>
      </c>
      <c r="J676" s="4" t="inlineStr">
        <is>
          <t>Activity Details/Work Plan With Monitorable Milestones.</t>
        </is>
      </c>
      <c r="K676" s="4" t="inlineStr">
        <is>
          <t>MS-C09</t>
        </is>
      </c>
      <c r="L676" s="6" t="n">
        <v>46323</v>
      </c>
      <c r="M676" s="4" t="inlineStr">
        <is>
          <t>Approved</t>
        </is>
      </c>
      <c r="N676" s="4" t="inlineStr">
        <is>
          <t>list_item</t>
        </is>
      </c>
    </row>
    <row r="677" ht="82" customHeight="1">
      <c r="A677" s="8" t="inlineStr">
        <is>
          <t>C09-P0057</t>
        </is>
      </c>
      <c r="B677" s="8" t="inlineStr">
        <is>
          <t>C09</t>
        </is>
      </c>
      <c r="C677" s="8" t="inlineStr">
        <is>
          <t>PRISM (Promoting Innovations in Individuals, Start-ups and MSMEs): Category-2: Fabrication of Working Model/Process Know-how/Testing &amp; Trial/Patenting/Technology Transfer</t>
        </is>
      </c>
      <c r="D677" s="8" t="inlineStr">
        <is>
          <t>Applicant documents</t>
        </is>
      </c>
      <c r="E677" s="8" t="inlineStr"/>
      <c r="F677" s="8" t="inlineStr">
        <is>
          <t>documents.en.documents_required[1].children[11]</t>
        </is>
      </c>
      <c r="G677" s="8" t="inlineStr">
        <is>
          <t>C09@20261028-1e8f42c4</t>
        </is>
      </c>
      <c r="H677" s="8" t="n">
        <v>1</v>
      </c>
      <c r="I677" s="8" t="n">
        <v>1</v>
      </c>
      <c r="J677" s="8" t="inlineStr">
        <is>
          <t>Details Of End Product/Process/Output (Including Targeted Specifications, Performance Requirements/Standards).</t>
        </is>
      </c>
      <c r="K677" s="8" t="inlineStr">
        <is>
          <t>MS-C09</t>
        </is>
      </c>
      <c r="L677" s="9" t="n">
        <v>46323</v>
      </c>
      <c r="M677" s="8" t="inlineStr">
        <is>
          <t>Approved</t>
        </is>
      </c>
      <c r="N677" s="8" t="inlineStr">
        <is>
          <t>list_item</t>
        </is>
      </c>
    </row>
    <row r="678" ht="82" customHeight="1">
      <c r="A678" s="4" t="inlineStr">
        <is>
          <t>C09-P0058</t>
        </is>
      </c>
      <c r="B678" s="4" t="inlineStr">
        <is>
          <t>C09</t>
        </is>
      </c>
      <c r="C678" s="4" t="inlineStr">
        <is>
          <t>PRISM (Promoting Innovations in Individuals, Start-ups and MSMEs): Category-2: Fabrication of Working Model/Process Know-how/Testing &amp; Trial/Patenting/Technology Transfer</t>
        </is>
      </c>
      <c r="D678" s="4" t="inlineStr">
        <is>
          <t>Applicant documents</t>
        </is>
      </c>
      <c r="E678" s="4" t="inlineStr"/>
      <c r="F678" s="4" t="inlineStr">
        <is>
          <t>documents.en.documents_required[1].children[12]</t>
        </is>
      </c>
      <c r="G678" s="4" t="inlineStr">
        <is>
          <t>C09@20261028-1e8f42c4</t>
        </is>
      </c>
      <c r="H678" s="4" t="n">
        <v>1</v>
      </c>
      <c r="I678" s="4" t="n">
        <v>1</v>
      </c>
      <c r="J678" s="4" t="inlineStr">
        <is>
          <t>Referees (Two Numbers With Complete Address, Phone Number And E-Mail Identification).</t>
        </is>
      </c>
      <c r="K678" s="4" t="inlineStr">
        <is>
          <t>MS-C09</t>
        </is>
      </c>
      <c r="L678" s="6" t="n">
        <v>46323</v>
      </c>
      <c r="M678" s="4" t="inlineStr">
        <is>
          <t>Approved</t>
        </is>
      </c>
      <c r="N678" s="4" t="inlineStr">
        <is>
          <t>list_item</t>
        </is>
      </c>
    </row>
    <row r="679" ht="82" customHeight="1">
      <c r="A679" s="8" t="inlineStr">
        <is>
          <t>C09-P0059</t>
        </is>
      </c>
      <c r="B679" s="8" t="inlineStr">
        <is>
          <t>C09</t>
        </is>
      </c>
      <c r="C679" s="8" t="inlineStr">
        <is>
          <t>PRISM (Promoting Innovations in Individuals, Start-ups and MSMEs): Category-2: Fabrication of Working Model/Process Know-how/Testing &amp; Trial/Patenting/Technology Transfer</t>
        </is>
      </c>
      <c r="D679" s="8" t="inlineStr">
        <is>
          <t>Applicant documents</t>
        </is>
      </c>
      <c r="E679" s="8" t="inlineStr"/>
      <c r="F679" s="8" t="inlineStr">
        <is>
          <t>documents.en.documents_required[3].children[0]</t>
        </is>
      </c>
      <c r="G679" s="8" t="inlineStr">
        <is>
          <t>C09@20261028-1e8f42c4</t>
        </is>
      </c>
      <c r="H679" s="8" t="n">
        <v>1</v>
      </c>
      <c r="I679" s="8" t="n">
        <v>1</v>
      </c>
      <c r="J679" s="8" t="inlineStr">
        <is>
          <t>Required Prior To Grants-in-aid Release</t>
        </is>
      </c>
      <c r="K679" s="8" t="inlineStr">
        <is>
          <t>MS-C09</t>
        </is>
      </c>
      <c r="L679" s="9" t="n">
        <v>46323</v>
      </c>
      <c r="M679" s="8" t="inlineStr">
        <is>
          <t>Approved</t>
        </is>
      </c>
      <c r="N679" s="8" t="inlineStr">
        <is>
          <t>text</t>
        </is>
      </c>
    </row>
    <row r="680" ht="82" customHeight="1">
      <c r="A680" s="4" t="inlineStr">
        <is>
          <t>C09-P0060</t>
        </is>
      </c>
      <c r="B680" s="4" t="inlineStr">
        <is>
          <t>C09</t>
        </is>
      </c>
      <c r="C680" s="4" t="inlineStr">
        <is>
          <t>PRISM (Promoting Innovations in Individuals, Start-ups and MSMEs): Category-2: Fabrication of Working Model/Process Know-how/Testing &amp; Trial/Patenting/Technology Transfer</t>
        </is>
      </c>
      <c r="D680" s="4" t="inlineStr">
        <is>
          <t>Applicant documents</t>
        </is>
      </c>
      <c r="E680" s="4" t="inlineStr"/>
      <c r="F680" s="4" t="inlineStr">
        <is>
          <t>documents.en.documents_required[4].children[0]</t>
        </is>
      </c>
      <c r="G680" s="4" t="inlineStr">
        <is>
          <t>C09@20261028-1e8f42c4</t>
        </is>
      </c>
      <c r="H680" s="4" t="n">
        <v>1</v>
      </c>
      <c r="I680" s="4" t="n">
        <v>1</v>
      </c>
      <c r="J680" s="4" t="inlineStr">
        <is>
          <t>Signed "Terms &amp; Conditions" Document.</t>
        </is>
      </c>
      <c r="K680" s="4" t="inlineStr">
        <is>
          <t>MS-C09</t>
        </is>
      </c>
      <c r="L680" s="6" t="n">
        <v>46323</v>
      </c>
      <c r="M680" s="4" t="inlineStr">
        <is>
          <t>Approved</t>
        </is>
      </c>
      <c r="N680" s="4" t="inlineStr">
        <is>
          <t>list_item</t>
        </is>
      </c>
    </row>
    <row r="681" ht="82" customHeight="1">
      <c r="A681" s="8" t="inlineStr">
        <is>
          <t>C09-P0061</t>
        </is>
      </c>
      <c r="B681" s="8" t="inlineStr">
        <is>
          <t>C09</t>
        </is>
      </c>
      <c r="C681" s="8" t="inlineStr">
        <is>
          <t>PRISM (Promoting Innovations in Individuals, Start-ups and MSMEs): Category-2: Fabrication of Working Model/Process Know-how/Testing &amp; Trial/Patenting/Technology Transfer</t>
        </is>
      </c>
      <c r="D681" s="8" t="inlineStr">
        <is>
          <t>Applicant documents</t>
        </is>
      </c>
      <c r="E681" s="8" t="inlineStr"/>
      <c r="F681" s="8" t="inlineStr">
        <is>
          <t>documents.en.documents_required[6].children[0]</t>
        </is>
      </c>
      <c r="G681" s="8" t="inlineStr">
        <is>
          <t>C09@20261028-1e8f42c4</t>
        </is>
      </c>
      <c r="H681" s="8" t="n">
        <v>1</v>
      </c>
      <c r="I681" s="8" t="n">
        <v>1</v>
      </c>
      <c r="J681" s="8" t="inlineStr">
        <is>
          <t>Required At Project Closure</t>
        </is>
      </c>
      <c r="K681" s="8" t="inlineStr">
        <is>
          <t>MS-C09</t>
        </is>
      </c>
      <c r="L681" s="9" t="n">
        <v>46323</v>
      </c>
      <c r="M681" s="8" t="inlineStr">
        <is>
          <t>Approved</t>
        </is>
      </c>
      <c r="N681" s="8" t="inlineStr">
        <is>
          <t>text</t>
        </is>
      </c>
    </row>
    <row r="682" ht="82" customHeight="1">
      <c r="A682" s="4" t="inlineStr">
        <is>
          <t>C09-P0062</t>
        </is>
      </c>
      <c r="B682" s="4" t="inlineStr">
        <is>
          <t>C09</t>
        </is>
      </c>
      <c r="C682" s="4" t="inlineStr">
        <is>
          <t>PRISM (Promoting Innovations in Individuals, Start-ups and MSMEs): Category-2: Fabrication of Working Model/Process Know-how/Testing &amp; Trial/Patenting/Technology Transfer</t>
        </is>
      </c>
      <c r="D682" s="4" t="inlineStr">
        <is>
          <t>Applicant documents</t>
        </is>
      </c>
      <c r="E682" s="4" t="inlineStr"/>
      <c r="F682" s="4" t="inlineStr">
        <is>
          <t>documents.en.documents_required[7].children[0]</t>
        </is>
      </c>
      <c r="G682" s="4" t="inlineStr">
        <is>
          <t>C09@20261028-1e8f42c4</t>
        </is>
      </c>
      <c r="H682" s="4" t="n">
        <v>1</v>
      </c>
      <c r="I682" s="4" t="n">
        <v>1</v>
      </c>
      <c r="J682" s="4" t="inlineStr">
        <is>
          <t>Project Completion Report.</t>
        </is>
      </c>
      <c r="K682" s="4" t="inlineStr">
        <is>
          <t>MS-C09</t>
        </is>
      </c>
      <c r="L682" s="6" t="n">
        <v>46323</v>
      </c>
      <c r="M682" s="4" t="inlineStr">
        <is>
          <t>Approved</t>
        </is>
      </c>
      <c r="N682" s="4" t="inlineStr">
        <is>
          <t>list_item</t>
        </is>
      </c>
    </row>
    <row r="683" ht="82" customHeight="1">
      <c r="A683" s="8" t="inlineStr">
        <is>
          <t>C09-P0063</t>
        </is>
      </c>
      <c r="B683" s="8" t="inlineStr">
        <is>
          <t>C09</t>
        </is>
      </c>
      <c r="C683" s="8" t="inlineStr">
        <is>
          <t>PRISM (Promoting Innovations in Individuals, Start-ups and MSMEs): Category-2: Fabrication of Working Model/Process Know-how/Testing &amp; Trial/Patenting/Technology Transfer</t>
        </is>
      </c>
      <c r="D683" s="8" t="inlineStr">
        <is>
          <t>Application process</t>
        </is>
      </c>
      <c r="E683" s="8" t="inlineStr">
        <is>
          <t>Proposals can be submitted to the following -</t>
        </is>
      </c>
      <c r="F683" s="8" t="inlineStr">
        <is>
          <t>en.applicationProcess[0].process[0]</t>
        </is>
      </c>
      <c r="G683" s="8" t="inlineStr">
        <is>
          <t>C09@20261028-1e8f42c4</t>
        </is>
      </c>
      <c r="H683" s="8" t="n">
        <v>1</v>
      </c>
      <c r="I683" s="8" t="n">
        <v>1</v>
      </c>
      <c r="J683" s="8" t="inlineStr">
        <is>
          <t>Proposals can be submitted to the following -</t>
        </is>
      </c>
      <c r="K683" s="8" t="inlineStr">
        <is>
          <t>MS-C09</t>
        </is>
      </c>
      <c r="L683" s="9" t="n">
        <v>46323</v>
      </c>
      <c r="M683" s="8" t="inlineStr">
        <is>
          <t>Approved</t>
        </is>
      </c>
      <c r="N683" s="8" t="inlineStr">
        <is>
          <t>paragraph</t>
        </is>
      </c>
    </row>
    <row r="684" ht="82" customHeight="1">
      <c r="A684" s="4" t="inlineStr">
        <is>
          <t>C09-P0064</t>
        </is>
      </c>
      <c r="B684" s="4" t="inlineStr">
        <is>
          <t>C09</t>
        </is>
      </c>
      <c r="C684" s="4" t="inlineStr">
        <is>
          <t>PRISM (Promoting Innovations in Individuals, Start-ups and MSMEs): Category-2: Fabrication of Working Model/Process Know-how/Testing &amp; Trial/Patenting/Technology Transfer</t>
        </is>
      </c>
      <c r="D684" s="4" t="inlineStr">
        <is>
          <t>Application process</t>
        </is>
      </c>
      <c r="E684" s="4" t="inlineStr">
        <is>
          <t>Proposals can be submitted to the following -</t>
        </is>
      </c>
      <c r="F684" s="4" t="inlineStr">
        <is>
          <t>en.applicationProcess[0].process[1].children[0]</t>
        </is>
      </c>
      <c r="G684" s="4" t="inlineStr">
        <is>
          <t>C09@20261028-1e8f42c4</t>
        </is>
      </c>
      <c r="H684" s="4" t="n">
        <v>1</v>
      </c>
      <c r="I684" s="4" t="n">
        <v>1</v>
      </c>
      <c r="J684" s="4" t="inlineStr">
        <is>
          <t>The nearest TePP Outreach cum Cluster Innovation Centres (TOCICs).</t>
        </is>
      </c>
      <c r="K684" s="4" t="inlineStr">
        <is>
          <t>MS-C09</t>
        </is>
      </c>
      <c r="L684" s="6" t="n">
        <v>46323</v>
      </c>
      <c r="M684" s="4" t="inlineStr">
        <is>
          <t>Approved</t>
        </is>
      </c>
      <c r="N684" s="4" t="inlineStr">
        <is>
          <t>list_item</t>
        </is>
      </c>
    </row>
    <row r="685" ht="82" customHeight="1">
      <c r="A685" s="8" t="inlineStr">
        <is>
          <t>C09-P0065</t>
        </is>
      </c>
      <c r="B685" s="8" t="inlineStr">
        <is>
          <t>C09</t>
        </is>
      </c>
      <c r="C685" s="8" t="inlineStr">
        <is>
          <t>PRISM (Promoting Innovations in Individuals, Start-ups and MSMEs): Category-2: Fabrication of Working Model/Process Know-how/Testing &amp; Trial/Patenting/Technology Transfer</t>
        </is>
      </c>
      <c r="D685" s="8" t="inlineStr">
        <is>
          <t>Application process</t>
        </is>
      </c>
      <c r="E685" s="8" t="inlineStr">
        <is>
          <t>Proposals can be submitted to the following -</t>
        </is>
      </c>
      <c r="F685" s="8" t="inlineStr">
        <is>
          <t>en.applicationProcess[0].process[1].children[1]</t>
        </is>
      </c>
      <c r="G685" s="8" t="inlineStr">
        <is>
          <t>C09@20261028-1e8f42c4</t>
        </is>
      </c>
      <c r="H685" s="8" t="n">
        <v>1</v>
      </c>
      <c r="I685" s="8" t="n">
        <v>1</v>
      </c>
      <c r="J685" s="8" t="inlineStr">
        <is>
          <t>The Department of Scientific and Industrial Research (DSIR).</t>
        </is>
      </c>
      <c r="K685" s="8" t="inlineStr">
        <is>
          <t>MS-C09</t>
        </is>
      </c>
      <c r="L685" s="9" t="n">
        <v>46323</v>
      </c>
      <c r="M685" s="8" t="inlineStr">
        <is>
          <t>Approved</t>
        </is>
      </c>
      <c r="N685" s="8" t="inlineStr">
        <is>
          <t>list_item</t>
        </is>
      </c>
    </row>
    <row r="686" ht="82" customHeight="1">
      <c r="A686" s="4" t="inlineStr">
        <is>
          <t>C09-P0066</t>
        </is>
      </c>
      <c r="B686" s="4" t="inlineStr">
        <is>
          <t>C09</t>
        </is>
      </c>
      <c r="C686" s="4" t="inlineStr">
        <is>
          <t>PRISM (Promoting Innovations in Individuals, Start-ups and MSMEs): Category-2: Fabrication of Working Model/Process Know-how/Testing &amp; Trial/Patenting/Technology Transfer</t>
        </is>
      </c>
      <c r="D686" s="4" t="inlineStr">
        <is>
          <t>Application process</t>
        </is>
      </c>
      <c r="E686" s="4" t="inlineStr">
        <is>
          <t>Proposals can be submitted to the following -</t>
        </is>
      </c>
      <c r="F686" s="4" t="inlineStr">
        <is>
          <t>en.applicationProcess[0].process[3].children[0]</t>
        </is>
      </c>
      <c r="G686" s="4" t="inlineStr">
        <is>
          <t>C09@20261028-1e8f42c4</t>
        </is>
      </c>
      <c r="H686" s="4" t="n">
        <v>1</v>
      </c>
      <c r="I686" s="4" t="n">
        <v>1</v>
      </c>
      <c r="J686" s="4" t="inlineStr">
        <is>
          <t>Step 1:</t>
        </is>
      </c>
      <c r="K686" s="4" t="inlineStr">
        <is>
          <t>MS-C09</t>
        </is>
      </c>
      <c r="L686" s="6" t="n">
        <v>46323</v>
      </c>
      <c r="M686" s="4" t="inlineStr">
        <is>
          <t>Approved</t>
        </is>
      </c>
      <c r="N686" s="4" t="inlineStr">
        <is>
          <t>text</t>
        </is>
      </c>
    </row>
    <row r="687" ht="82" customHeight="1">
      <c r="A687" s="8" t="inlineStr">
        <is>
          <t>C09-P0068</t>
        </is>
      </c>
      <c r="B687" s="8" t="inlineStr">
        <is>
          <t>C09</t>
        </is>
      </c>
      <c r="C687" s="8" t="inlineStr">
        <is>
          <t>PRISM (Promoting Innovations in Individuals, Start-ups and MSMEs): Category-2: Fabrication of Working Model/Process Know-how/Testing &amp; Trial/Patenting/Technology Transfer</t>
        </is>
      </c>
      <c r="D687" s="8" t="inlineStr">
        <is>
          <t>Application process</t>
        </is>
      </c>
      <c r="E687" s="8" t="inlineStr">
        <is>
          <t>Proposals can be submitted to the following -</t>
        </is>
      </c>
      <c r="F687" s="8" t="inlineStr">
        <is>
          <t>en.applicationProcess[0].process[3].children[2]</t>
        </is>
      </c>
      <c r="G687" s="8" t="inlineStr">
        <is>
          <t>C09@20261028-1e8f42c4</t>
        </is>
      </c>
      <c r="H687" s="8" t="n">
        <v>1</v>
      </c>
      <c r="I687" s="8" t="n">
        <v>1</v>
      </c>
      <c r="J687" s="8" t="inlineStr">
        <is>
          <t>Consultation and Preparation</t>
        </is>
      </c>
      <c r="K687" s="8" t="inlineStr">
        <is>
          <t>MS-C09</t>
        </is>
      </c>
      <c r="L687" s="9" t="n">
        <v>46323</v>
      </c>
      <c r="M687" s="8" t="inlineStr">
        <is>
          <t>Approved</t>
        </is>
      </c>
      <c r="N687" s="8" t="inlineStr">
        <is>
          <t>text</t>
        </is>
      </c>
    </row>
    <row r="688" ht="82" customHeight="1">
      <c r="A688" s="4" t="inlineStr">
        <is>
          <t>C09-P0069</t>
        </is>
      </c>
      <c r="B688" s="4" t="inlineStr">
        <is>
          <t>C09</t>
        </is>
      </c>
      <c r="C688" s="4" t="inlineStr">
        <is>
          <t>PRISM (Promoting Innovations in Individuals, Start-ups and MSMEs): Category-2: Fabrication of Working Model/Process Know-how/Testing &amp; Trial/Patenting/Technology Transfer</t>
        </is>
      </c>
      <c r="D688" s="4" t="inlineStr">
        <is>
          <t>Application process</t>
        </is>
      </c>
      <c r="E688" s="4" t="inlineStr">
        <is>
          <t>Proposals can be submitted to the following -</t>
        </is>
      </c>
      <c r="F688" s="4" t="inlineStr">
        <is>
          <t>en.applicationProcess[0].process[4].children[0]</t>
        </is>
      </c>
      <c r="G688" s="4" t="inlineStr">
        <is>
          <t>C09@20261028-1e8f42c4</t>
        </is>
      </c>
      <c r="H688" s="4" t="n">
        <v>1</v>
      </c>
      <c r="I688" s="4" t="n">
        <v>1</v>
      </c>
      <c r="J688" s="4" t="inlineStr">
        <is>
          <t>The innovator should meet coordinators of TePP Outreach cum Cluster Innovation Centres (TOCICs) and take their advice before submitting the application.</t>
        </is>
      </c>
      <c r="K688" s="4" t="inlineStr">
        <is>
          <t>MS-C09</t>
        </is>
      </c>
      <c r="L688" s="6" t="n">
        <v>46323</v>
      </c>
      <c r="M688" s="4" t="inlineStr">
        <is>
          <t>Approved</t>
        </is>
      </c>
      <c r="N688" s="4" t="inlineStr">
        <is>
          <t>list_item</t>
        </is>
      </c>
    </row>
    <row r="689" ht="82" customHeight="1">
      <c r="A689" s="8" t="inlineStr">
        <is>
          <t>C09-P0070</t>
        </is>
      </c>
      <c r="B689" s="8" t="inlineStr">
        <is>
          <t>C09</t>
        </is>
      </c>
      <c r="C689" s="8" t="inlineStr">
        <is>
          <t>PRISM (Promoting Innovations in Individuals, Start-ups and MSMEs): Category-2: Fabrication of Working Model/Process Know-how/Testing &amp; Trial/Patenting/Technology Transfer</t>
        </is>
      </c>
      <c r="D689" s="8" t="inlineStr">
        <is>
          <t>Application process</t>
        </is>
      </c>
      <c r="E689" s="8" t="inlineStr">
        <is>
          <t>Proposals can be submitted to the following -</t>
        </is>
      </c>
      <c r="F689" s="8" t="inlineStr">
        <is>
          <t>en.applicationProcess[0].process[4].children[1]</t>
        </is>
      </c>
      <c r="G689" s="8" t="inlineStr">
        <is>
          <t>C09@20261028-1e8f42c4</t>
        </is>
      </c>
      <c r="H689" s="8" t="n">
        <v>1</v>
      </c>
      <c r="I689" s="8" t="n">
        <v>1</v>
      </c>
      <c r="J689" s="8" t="inlineStr">
        <is>
          <t>The applicant must prepare the application form, ensuring all mandatory details like the Title of the proposed project, Name, Address, Date of Birth, Educational qualification, Annual Income, Permanent Account Number (PAN) (mandatory), and Aadhaar Number are included.</t>
        </is>
      </c>
      <c r="K689" s="8" t="inlineStr">
        <is>
          <t>MS-C09</t>
        </is>
      </c>
      <c r="L689" s="9" t="n">
        <v>46323</v>
      </c>
      <c r="M689" s="8" t="inlineStr">
        <is>
          <t>Approved</t>
        </is>
      </c>
      <c r="N689" s="8" t="inlineStr">
        <is>
          <t>list_item</t>
        </is>
      </c>
    </row>
    <row r="690" ht="82" customHeight="1">
      <c r="A690" s="4" t="inlineStr">
        <is>
          <t>C09-P0071</t>
        </is>
      </c>
      <c r="B690" s="4" t="inlineStr">
        <is>
          <t>C09</t>
        </is>
      </c>
      <c r="C690" s="4" t="inlineStr">
        <is>
          <t>PRISM (Promoting Innovations in Individuals, Start-ups and MSMEs): Category-2: Fabrication of Working Model/Process Know-how/Testing &amp; Trial/Patenting/Technology Transfer</t>
        </is>
      </c>
      <c r="D690" s="4" t="inlineStr">
        <is>
          <t>Application process</t>
        </is>
      </c>
      <c r="E690" s="4" t="inlineStr">
        <is>
          <t>Proposals can be submitted to the following -</t>
        </is>
      </c>
      <c r="F690" s="4" t="inlineStr">
        <is>
          <t>en.applicationProcess[0].process[5].children[0]</t>
        </is>
      </c>
      <c r="G690" s="4" t="inlineStr">
        <is>
          <t>C09@20261028-1e8f42c4</t>
        </is>
      </c>
      <c r="H690" s="4" t="n">
        <v>1</v>
      </c>
      <c r="I690" s="4" t="n">
        <v>1</v>
      </c>
      <c r="J690" s="4" t="inlineStr">
        <is>
          <t>Step 2:</t>
        </is>
      </c>
      <c r="K690" s="4" t="inlineStr">
        <is>
          <t>MS-C09</t>
        </is>
      </c>
      <c r="L690" s="6" t="n">
        <v>46323</v>
      </c>
      <c r="M690" s="4" t="inlineStr">
        <is>
          <t>Approved</t>
        </is>
      </c>
      <c r="N690" s="4" t="inlineStr">
        <is>
          <t>text</t>
        </is>
      </c>
    </row>
    <row r="691" ht="82" customHeight="1">
      <c r="A691" s="8" t="inlineStr">
        <is>
          <t>C09-P0073</t>
        </is>
      </c>
      <c r="B691" s="8" t="inlineStr">
        <is>
          <t>C09</t>
        </is>
      </c>
      <c r="C691" s="8" t="inlineStr">
        <is>
          <t>PRISM (Promoting Innovations in Individuals, Start-ups and MSMEs): Category-2: Fabrication of Working Model/Process Know-how/Testing &amp; Trial/Patenting/Technology Transfer</t>
        </is>
      </c>
      <c r="D691" s="8" t="inlineStr">
        <is>
          <t>Application process</t>
        </is>
      </c>
      <c r="E691" s="8" t="inlineStr">
        <is>
          <t>Proposals can be submitted to the following -</t>
        </is>
      </c>
      <c r="F691" s="8" t="inlineStr">
        <is>
          <t>en.applicationProcess[0].process[5].children[2]</t>
        </is>
      </c>
      <c r="G691" s="8" t="inlineStr">
        <is>
          <t>C09@20261028-1e8f42c4</t>
        </is>
      </c>
      <c r="H691" s="8" t="n">
        <v>1</v>
      </c>
      <c r="I691" s="8" t="n">
        <v>1</v>
      </c>
      <c r="J691" s="8" t="inlineStr">
        <is>
          <t>Submission of Proposal</t>
        </is>
      </c>
      <c r="K691" s="8" t="inlineStr">
        <is>
          <t>MS-C09</t>
        </is>
      </c>
      <c r="L691" s="9" t="n">
        <v>46323</v>
      </c>
      <c r="M691" s="8" t="inlineStr">
        <is>
          <t>Approved</t>
        </is>
      </c>
      <c r="N691" s="8" t="inlineStr">
        <is>
          <t>text</t>
        </is>
      </c>
    </row>
    <row r="692" ht="82" customHeight="1">
      <c r="A692" s="4" t="inlineStr">
        <is>
          <t>C09-P0074</t>
        </is>
      </c>
      <c r="B692" s="4" t="inlineStr">
        <is>
          <t>C09</t>
        </is>
      </c>
      <c r="C692" s="4" t="inlineStr">
        <is>
          <t>PRISM (Promoting Innovations in Individuals, Start-ups and MSMEs): Category-2: Fabrication of Working Model/Process Know-how/Testing &amp; Trial/Patenting/Technology Transfer</t>
        </is>
      </c>
      <c r="D692" s="4" t="inlineStr">
        <is>
          <t>Application process</t>
        </is>
      </c>
      <c r="E692" s="4" t="inlineStr">
        <is>
          <t>Proposals can be submitted to the following -</t>
        </is>
      </c>
      <c r="F692" s="4" t="inlineStr">
        <is>
          <t>en.applicationProcess[0].process[6].children[0]</t>
        </is>
      </c>
      <c r="G692" s="4" t="inlineStr">
        <is>
          <t>C09@20261028-1e8f42c4</t>
        </is>
      </c>
      <c r="H692" s="4" t="n">
        <v>1</v>
      </c>
      <c r="I692" s="4" t="n">
        <v>1</v>
      </c>
      <c r="J692" s="4" t="inlineStr">
        <is>
          <t>The applicant must submit the application either directly to the nearest TePP Outreach cum Cluster Innovation Centre (TOCIC) or directly to the Department of Scientific and Industrial Research (DSIR).</t>
        </is>
      </c>
      <c r="K692" s="4" t="inlineStr">
        <is>
          <t>MS-C09</t>
        </is>
      </c>
      <c r="L692" s="6" t="n">
        <v>46323</v>
      </c>
      <c r="M692" s="4" t="inlineStr">
        <is>
          <t>Approved</t>
        </is>
      </c>
      <c r="N692" s="4" t="inlineStr">
        <is>
          <t>list_item</t>
        </is>
      </c>
    </row>
    <row r="693" ht="82" customHeight="1">
      <c r="A693" s="8" t="inlineStr">
        <is>
          <t>C09-P0075</t>
        </is>
      </c>
      <c r="B693" s="8" t="inlineStr">
        <is>
          <t>C09</t>
        </is>
      </c>
      <c r="C693" s="8" t="inlineStr">
        <is>
          <t>PRISM (Promoting Innovations in Individuals, Start-ups and MSMEs): Category-2: Fabrication of Working Model/Process Know-how/Testing &amp; Trial/Patenting/Technology Transfer</t>
        </is>
      </c>
      <c r="D693" s="8" t="inlineStr">
        <is>
          <t>Application process</t>
        </is>
      </c>
      <c r="E693" s="8" t="inlineStr">
        <is>
          <t>Proposals can be submitted to the following -</t>
        </is>
      </c>
      <c r="F693" s="8" t="inlineStr">
        <is>
          <t>en.applicationProcess[0].process[6].children[1]</t>
        </is>
      </c>
      <c r="G693" s="8" t="inlineStr">
        <is>
          <t>C09@20261028-1e8f42c4</t>
        </is>
      </c>
      <c r="H693" s="8" t="n">
        <v>1</v>
      </c>
      <c r="I693" s="8" t="n">
        <v>1</v>
      </c>
      <c r="J693" s="8" t="inlineStr">
        <is>
          <t>Proposals submitted directly to the Department of Scientific and Industrial Research will be forwarded to the relevant TePP Outreach cum Cluster Innovation Centre for counselling and local screening.</t>
        </is>
      </c>
      <c r="K693" s="8" t="inlineStr">
        <is>
          <t>MS-C09</t>
        </is>
      </c>
      <c r="L693" s="9" t="n">
        <v>46323</v>
      </c>
      <c r="M693" s="8" t="inlineStr">
        <is>
          <t>Approved</t>
        </is>
      </c>
      <c r="N693" s="8" t="inlineStr">
        <is>
          <t>list_item</t>
        </is>
      </c>
    </row>
    <row r="694" ht="82" customHeight="1">
      <c r="A694" s="4" t="inlineStr">
        <is>
          <t>C09-P0076</t>
        </is>
      </c>
      <c r="B694" s="4" t="inlineStr">
        <is>
          <t>C09</t>
        </is>
      </c>
      <c r="C694" s="4" t="inlineStr">
        <is>
          <t>PRISM (Promoting Innovations in Individuals, Start-ups and MSMEs): Category-2: Fabrication of Working Model/Process Know-how/Testing &amp; Trial/Patenting/Technology Transfer</t>
        </is>
      </c>
      <c r="D694" s="4" t="inlineStr">
        <is>
          <t>Application process</t>
        </is>
      </c>
      <c r="E694" s="4" t="inlineStr">
        <is>
          <t>Proposals can be submitted to the following -</t>
        </is>
      </c>
      <c r="F694" s="4" t="inlineStr">
        <is>
          <t>en.applicationProcess[0].process[8].children[0]</t>
        </is>
      </c>
      <c r="G694" s="4" t="inlineStr">
        <is>
          <t>C09@20261028-1e8f42c4</t>
        </is>
      </c>
      <c r="H694" s="4" t="n">
        <v>1</v>
      </c>
      <c r="I694" s="4" t="n">
        <v>1</v>
      </c>
      <c r="J694" s="4" t="inlineStr">
        <is>
          <t>Post-Application Processes</t>
        </is>
      </c>
      <c r="K694" s="4" t="inlineStr">
        <is>
          <t>MS-C09</t>
        </is>
      </c>
      <c r="L694" s="6" t="n">
        <v>46323</v>
      </c>
      <c r="M694" s="4" t="inlineStr">
        <is>
          <t>Approved</t>
        </is>
      </c>
      <c r="N694" s="4" t="inlineStr">
        <is>
          <t>text</t>
        </is>
      </c>
    </row>
    <row r="695" ht="82" customHeight="1">
      <c r="A695" s="8" t="inlineStr">
        <is>
          <t>C09-P0077</t>
        </is>
      </c>
      <c r="B695" s="8" t="inlineStr">
        <is>
          <t>C09</t>
        </is>
      </c>
      <c r="C695" s="8" t="inlineStr">
        <is>
          <t>PRISM (Promoting Innovations in Individuals, Start-ups and MSMEs): Category-2: Fabrication of Working Model/Process Know-how/Testing &amp; Trial/Patenting/Technology Transfer</t>
        </is>
      </c>
      <c r="D695" s="8" t="inlineStr">
        <is>
          <t>Application process</t>
        </is>
      </c>
      <c r="E695" s="8" t="inlineStr">
        <is>
          <t>Proposals can be submitted to the following -</t>
        </is>
      </c>
      <c r="F695" s="8" t="inlineStr">
        <is>
          <t>en.applicationProcess[0].process[9].children[0]</t>
        </is>
      </c>
      <c r="G695" s="8" t="inlineStr">
        <is>
          <t>C09@20261028-1e8f42c4</t>
        </is>
      </c>
      <c r="H695" s="8" t="n">
        <v>1</v>
      </c>
      <c r="I695" s="8" t="n">
        <v>1</v>
      </c>
      <c r="J695" s="8" t="inlineStr">
        <is>
          <t>Step 1:</t>
        </is>
      </c>
      <c r="K695" s="8" t="inlineStr">
        <is>
          <t>MS-C09</t>
        </is>
      </c>
      <c r="L695" s="9" t="n">
        <v>46323</v>
      </c>
      <c r="M695" s="8" t="inlineStr">
        <is>
          <t>Approved</t>
        </is>
      </c>
      <c r="N695" s="8" t="inlineStr">
        <is>
          <t>text</t>
        </is>
      </c>
    </row>
    <row r="696" ht="82" customHeight="1">
      <c r="A696" s="4" t="inlineStr">
        <is>
          <t>C09-P0079</t>
        </is>
      </c>
      <c r="B696" s="4" t="inlineStr">
        <is>
          <t>C09</t>
        </is>
      </c>
      <c r="C696" s="4" t="inlineStr">
        <is>
          <t>PRISM (Promoting Innovations in Individuals, Start-ups and MSMEs): Category-2: Fabrication of Working Model/Process Know-how/Testing &amp; Trial/Patenting/Technology Transfer</t>
        </is>
      </c>
      <c r="D696" s="4" t="inlineStr">
        <is>
          <t>Application process</t>
        </is>
      </c>
      <c r="E696" s="4" t="inlineStr">
        <is>
          <t>Proposals can be submitted to the following -</t>
        </is>
      </c>
      <c r="F696" s="4" t="inlineStr">
        <is>
          <t>en.applicationProcess[0].process[9].children[2]</t>
        </is>
      </c>
      <c r="G696" s="4" t="inlineStr">
        <is>
          <t>C09@20261028-1e8f42c4</t>
        </is>
      </c>
      <c r="H696" s="4" t="n">
        <v>1</v>
      </c>
      <c r="I696" s="4" t="n">
        <v>1</v>
      </c>
      <c r="J696" s="4" t="inlineStr">
        <is>
          <t>Initial Screening for Completeness</t>
        </is>
      </c>
      <c r="K696" s="4" t="inlineStr">
        <is>
          <t>MS-C09</t>
        </is>
      </c>
      <c r="L696" s="6" t="n">
        <v>46323</v>
      </c>
      <c r="M696" s="4" t="inlineStr">
        <is>
          <t>Approved</t>
        </is>
      </c>
      <c r="N696" s="4" t="inlineStr">
        <is>
          <t>text</t>
        </is>
      </c>
    </row>
    <row r="697" ht="82" customHeight="1">
      <c r="A697" s="8" t="inlineStr">
        <is>
          <t>C09-P0080</t>
        </is>
      </c>
      <c r="B697" s="8" t="inlineStr">
        <is>
          <t>C09</t>
        </is>
      </c>
      <c r="C697" s="8" t="inlineStr">
        <is>
          <t>PRISM (Promoting Innovations in Individuals, Start-ups and MSMEs): Category-2: Fabrication of Working Model/Process Know-how/Testing &amp; Trial/Patenting/Technology Transfer</t>
        </is>
      </c>
      <c r="D697" s="8" t="inlineStr">
        <is>
          <t>Application process</t>
        </is>
      </c>
      <c r="E697" s="8" t="inlineStr">
        <is>
          <t>Proposals can be submitted to the following -</t>
        </is>
      </c>
      <c r="F697" s="8" t="inlineStr">
        <is>
          <t>en.applicationProcess[0].process[10]</t>
        </is>
      </c>
      <c r="G697" s="8" t="inlineStr">
        <is>
          <t>C09@20261028-1e8f42c4</t>
        </is>
      </c>
      <c r="H697" s="8" t="n">
        <v>1</v>
      </c>
      <c r="I697" s="8" t="n">
        <v>1</v>
      </c>
      <c r="J697" s="8" t="inlineStr">
        <is>
          <t>The proposals will initially be screened for completeness at the point of receipt by the coordinators of the TePP Outreach cum Cluster Innovation Centres.</t>
        </is>
      </c>
      <c r="K697" s="8" t="inlineStr">
        <is>
          <t>MS-C09</t>
        </is>
      </c>
      <c r="L697" s="9" t="n">
        <v>46323</v>
      </c>
      <c r="M697" s="8" t="inlineStr">
        <is>
          <t>Approved</t>
        </is>
      </c>
      <c r="N697" s="8" t="inlineStr">
        <is>
          <t>paragraph</t>
        </is>
      </c>
    </row>
    <row r="698" ht="82" customHeight="1">
      <c r="A698" s="4" t="inlineStr">
        <is>
          <t>C09-P0081</t>
        </is>
      </c>
      <c r="B698" s="4" t="inlineStr">
        <is>
          <t>C09</t>
        </is>
      </c>
      <c r="C698" s="4" t="inlineStr">
        <is>
          <t>PRISM (Promoting Innovations in Individuals, Start-ups and MSMEs): Category-2: Fabrication of Working Model/Process Know-how/Testing &amp; Trial/Patenting/Technology Transfer</t>
        </is>
      </c>
      <c r="D698" s="4" t="inlineStr">
        <is>
          <t>Application process</t>
        </is>
      </c>
      <c r="E698" s="4" t="inlineStr">
        <is>
          <t>Proposals can be submitted to the following -</t>
        </is>
      </c>
      <c r="F698" s="4" t="inlineStr">
        <is>
          <t>en.applicationProcess[0].process[11].children[0]</t>
        </is>
      </c>
      <c r="G698" s="4" t="inlineStr">
        <is>
          <t>C09@20261028-1e8f42c4</t>
        </is>
      </c>
      <c r="H698" s="4" t="n">
        <v>1</v>
      </c>
      <c r="I698" s="4" t="n">
        <v>1</v>
      </c>
      <c r="J698" s="4" t="inlineStr">
        <is>
          <t>Step 2:</t>
        </is>
      </c>
      <c r="K698" s="4" t="inlineStr">
        <is>
          <t>MS-C09</t>
        </is>
      </c>
      <c r="L698" s="6" t="n">
        <v>46323</v>
      </c>
      <c r="M698" s="4" t="inlineStr">
        <is>
          <t>Approved</t>
        </is>
      </c>
      <c r="N698" s="4" t="inlineStr">
        <is>
          <t>text</t>
        </is>
      </c>
    </row>
    <row r="699" ht="82" customHeight="1">
      <c r="A699" s="8" t="inlineStr">
        <is>
          <t>C09-P0083</t>
        </is>
      </c>
      <c r="B699" s="8" t="inlineStr">
        <is>
          <t>C09</t>
        </is>
      </c>
      <c r="C699" s="8" t="inlineStr">
        <is>
          <t>PRISM (Promoting Innovations in Individuals, Start-ups and MSMEs): Category-2: Fabrication of Working Model/Process Know-how/Testing &amp; Trial/Patenting/Technology Transfer</t>
        </is>
      </c>
      <c r="D699" s="8" t="inlineStr">
        <is>
          <t>Application process</t>
        </is>
      </c>
      <c r="E699" s="8" t="inlineStr">
        <is>
          <t>Proposals can be submitted to the following -</t>
        </is>
      </c>
      <c r="F699" s="8" t="inlineStr">
        <is>
          <t>en.applicationProcess[0].process[11].children[2]</t>
        </is>
      </c>
      <c r="G699" s="8" t="inlineStr">
        <is>
          <t>C09@20261028-1e8f42c4</t>
        </is>
      </c>
      <c r="H699" s="8" t="n">
        <v>1</v>
      </c>
      <c r="I699" s="8" t="n">
        <v>1</v>
      </c>
      <c r="J699" s="8" t="inlineStr">
        <is>
          <t>Evaluation by Domain Knowledge Experts</t>
        </is>
      </c>
      <c r="K699" s="8" t="inlineStr">
        <is>
          <t>MS-C09</t>
        </is>
      </c>
      <c r="L699" s="9" t="n">
        <v>46323</v>
      </c>
      <c r="M699" s="8" t="inlineStr">
        <is>
          <t>Approved</t>
        </is>
      </c>
      <c r="N699" s="8" t="inlineStr">
        <is>
          <t>text</t>
        </is>
      </c>
    </row>
    <row r="700" ht="82" customHeight="1">
      <c r="A700" s="4" t="inlineStr">
        <is>
          <t>C09-P0084</t>
        </is>
      </c>
      <c r="B700" s="4" t="inlineStr">
        <is>
          <t>C09</t>
        </is>
      </c>
      <c r="C700" s="4" t="inlineStr">
        <is>
          <t>PRISM (Promoting Innovations in Individuals, Start-ups and MSMEs): Category-2: Fabrication of Working Model/Process Know-how/Testing &amp; Trial/Patenting/Technology Transfer</t>
        </is>
      </c>
      <c r="D700" s="4" t="inlineStr">
        <is>
          <t>Application process</t>
        </is>
      </c>
      <c r="E700" s="4" t="inlineStr">
        <is>
          <t>Proposals can be submitted to the following -</t>
        </is>
      </c>
      <c r="F700" s="4" t="inlineStr">
        <is>
          <t>en.applicationProcess[0].process[12]</t>
        </is>
      </c>
      <c r="G700" s="4" t="inlineStr">
        <is>
          <t>C09@20261028-1e8f42c4</t>
        </is>
      </c>
      <c r="H700" s="4" t="n">
        <v>1</v>
      </c>
      <c r="I700" s="4" t="n">
        <v>1</v>
      </c>
      <c r="J700" s="4" t="inlineStr">
        <is>
          <t>After initial Screening, the complete and screened proposals are evaluated by the Domain Knowledge Experts associated with the TePP Outreach cum Cluster Innovation Centre.</t>
        </is>
      </c>
      <c r="K700" s="4" t="inlineStr">
        <is>
          <t>MS-C09</t>
        </is>
      </c>
      <c r="L700" s="6" t="n">
        <v>46323</v>
      </c>
      <c r="M700" s="4" t="inlineStr">
        <is>
          <t>Approved</t>
        </is>
      </c>
      <c r="N700" s="4" t="inlineStr">
        <is>
          <t>paragraph</t>
        </is>
      </c>
    </row>
    <row r="701" ht="82" customHeight="1">
      <c r="A701" s="8" t="inlineStr">
        <is>
          <t>C09-P0085</t>
        </is>
      </c>
      <c r="B701" s="8" t="inlineStr">
        <is>
          <t>C09</t>
        </is>
      </c>
      <c r="C701" s="8" t="inlineStr">
        <is>
          <t>PRISM (Promoting Innovations in Individuals, Start-ups and MSMEs): Category-2: Fabrication of Working Model/Process Know-how/Testing &amp; Trial/Patenting/Technology Transfer</t>
        </is>
      </c>
      <c r="D701" s="8" t="inlineStr">
        <is>
          <t>Application process</t>
        </is>
      </c>
      <c r="E701" s="8" t="inlineStr">
        <is>
          <t>Proposals can be submitted to the following -</t>
        </is>
      </c>
      <c r="F701" s="8" t="inlineStr">
        <is>
          <t>en.applicationProcess[0].process[13].children[0]</t>
        </is>
      </c>
      <c r="G701" s="8" t="inlineStr">
        <is>
          <t>C09@20261028-1e8f42c4</t>
        </is>
      </c>
      <c r="H701" s="8" t="n">
        <v>1</v>
      </c>
      <c r="I701" s="8" t="n">
        <v>1</v>
      </c>
      <c r="J701" s="8" t="inlineStr">
        <is>
          <t>Step 3:</t>
        </is>
      </c>
      <c r="K701" s="8" t="inlineStr">
        <is>
          <t>MS-C09</t>
        </is>
      </c>
      <c r="L701" s="9" t="n">
        <v>46323</v>
      </c>
      <c r="M701" s="8" t="inlineStr">
        <is>
          <t>Approved</t>
        </is>
      </c>
      <c r="N701" s="8" t="inlineStr">
        <is>
          <t>text</t>
        </is>
      </c>
    </row>
    <row r="702" ht="82" customHeight="1">
      <c r="A702" s="4" t="inlineStr">
        <is>
          <t>C09-P0087</t>
        </is>
      </c>
      <c r="B702" s="4" t="inlineStr">
        <is>
          <t>C09</t>
        </is>
      </c>
      <c r="C702" s="4" t="inlineStr">
        <is>
          <t>PRISM (Promoting Innovations in Individuals, Start-ups and MSMEs): Category-2: Fabrication of Working Model/Process Know-how/Testing &amp; Trial/Patenting/Technology Transfer</t>
        </is>
      </c>
      <c r="D702" s="4" t="inlineStr">
        <is>
          <t>Application process</t>
        </is>
      </c>
      <c r="E702" s="4" t="inlineStr">
        <is>
          <t>Proposals can be submitted to the following -</t>
        </is>
      </c>
      <c r="F702" s="4" t="inlineStr">
        <is>
          <t>en.applicationProcess[0].process[13].children[2]</t>
        </is>
      </c>
      <c r="G702" s="4" t="inlineStr">
        <is>
          <t>C09@20261028-1e8f42c4</t>
        </is>
      </c>
      <c r="H702" s="4" t="n">
        <v>1</v>
      </c>
      <c r="I702" s="4" t="n">
        <v>1</v>
      </c>
      <c r="J702" s="4" t="inlineStr">
        <is>
          <t>Submission to the Department of Scientific and Industrial Research</t>
        </is>
      </c>
      <c r="K702" s="4" t="inlineStr">
        <is>
          <t>MS-C09</t>
        </is>
      </c>
      <c r="L702" s="6" t="n">
        <v>46323</v>
      </c>
      <c r="M702" s="4" t="inlineStr">
        <is>
          <t>Approved</t>
        </is>
      </c>
      <c r="N702" s="4" t="inlineStr">
        <is>
          <t>text</t>
        </is>
      </c>
    </row>
    <row r="703" ht="82" customHeight="1">
      <c r="A703" s="8" t="inlineStr">
        <is>
          <t>C09-P0088</t>
        </is>
      </c>
      <c r="B703" s="8" t="inlineStr">
        <is>
          <t>C09</t>
        </is>
      </c>
      <c r="C703" s="8" t="inlineStr">
        <is>
          <t>PRISM (Promoting Innovations in Individuals, Start-ups and MSMEs): Category-2: Fabrication of Working Model/Process Know-how/Testing &amp; Trial/Patenting/Technology Transfer</t>
        </is>
      </c>
      <c r="D703" s="8" t="inlineStr">
        <is>
          <t>Application process</t>
        </is>
      </c>
      <c r="E703" s="8" t="inlineStr">
        <is>
          <t>Proposals can be submitted to the following -</t>
        </is>
      </c>
      <c r="F703" s="8" t="inlineStr">
        <is>
          <t>en.applicationProcess[0].process[14]</t>
        </is>
      </c>
      <c r="G703" s="8" t="inlineStr">
        <is>
          <t>C09@20261028-1e8f42c4</t>
        </is>
      </c>
      <c r="H703" s="8" t="n">
        <v>1</v>
      </c>
      <c r="I703" s="8" t="n">
        <v>1</v>
      </c>
      <c r="J703" s="8" t="inlineStr">
        <is>
          <t>The TePP Outreach cum Cluster Innovation Centres will send complete and evaluated proposals to the Department of Scientific and Industrial Research for further action.</t>
        </is>
      </c>
      <c r="K703" s="8" t="inlineStr">
        <is>
          <t>MS-C09</t>
        </is>
      </c>
      <c r="L703" s="9" t="n">
        <v>46323</v>
      </c>
      <c r="M703" s="8" t="inlineStr">
        <is>
          <t>Approved</t>
        </is>
      </c>
      <c r="N703" s="8" t="inlineStr">
        <is>
          <t>paragraph</t>
        </is>
      </c>
    </row>
    <row r="704" ht="82" customHeight="1">
      <c r="A704" s="4" t="inlineStr">
        <is>
          <t>C09-P0089</t>
        </is>
      </c>
      <c r="B704" s="4" t="inlineStr">
        <is>
          <t>C09</t>
        </is>
      </c>
      <c r="C704" s="4" t="inlineStr">
        <is>
          <t>PRISM (Promoting Innovations in Individuals, Start-ups and MSMEs): Category-2: Fabrication of Working Model/Process Know-how/Testing &amp; Trial/Patenting/Technology Transfer</t>
        </is>
      </c>
      <c r="D704" s="4" t="inlineStr">
        <is>
          <t>Application process</t>
        </is>
      </c>
      <c r="E704" s="4" t="inlineStr">
        <is>
          <t>Proposals can be submitted to the following -</t>
        </is>
      </c>
      <c r="F704" s="4" t="inlineStr">
        <is>
          <t>en.applicationProcess[0].process[15].children[0]</t>
        </is>
      </c>
      <c r="G704" s="4" t="inlineStr">
        <is>
          <t>C09@20261028-1e8f42c4</t>
        </is>
      </c>
      <c r="H704" s="4" t="n">
        <v>1</v>
      </c>
      <c r="I704" s="4" t="n">
        <v>1</v>
      </c>
      <c r="J704" s="4" t="inlineStr">
        <is>
          <t>Step 4:</t>
        </is>
      </c>
      <c r="K704" s="4" t="inlineStr">
        <is>
          <t>MS-C09</t>
        </is>
      </c>
      <c r="L704" s="6" t="n">
        <v>46323</v>
      </c>
      <c r="M704" s="4" t="inlineStr">
        <is>
          <t>Approved</t>
        </is>
      </c>
      <c r="N704" s="4" t="inlineStr">
        <is>
          <t>text</t>
        </is>
      </c>
    </row>
    <row r="705" ht="82" customHeight="1">
      <c r="A705" s="8" t="inlineStr">
        <is>
          <t>C09-P0091</t>
        </is>
      </c>
      <c r="B705" s="8" t="inlineStr">
        <is>
          <t>C09</t>
        </is>
      </c>
      <c r="C705" s="8" t="inlineStr">
        <is>
          <t>PRISM (Promoting Innovations in Individuals, Start-ups and MSMEs): Category-2: Fabrication of Working Model/Process Know-how/Testing &amp; Trial/Patenting/Technology Transfer</t>
        </is>
      </c>
      <c r="D705" s="8" t="inlineStr">
        <is>
          <t>Application process</t>
        </is>
      </c>
      <c r="E705" s="8" t="inlineStr">
        <is>
          <t>Proposals can be submitted to the following -</t>
        </is>
      </c>
      <c r="F705" s="8" t="inlineStr">
        <is>
          <t>en.applicationProcess[0].process[15].children[2]</t>
        </is>
      </c>
      <c r="G705" s="8" t="inlineStr">
        <is>
          <t>C09@20261028-1e8f42c4</t>
        </is>
      </c>
      <c r="H705" s="8" t="n">
        <v>1</v>
      </c>
      <c r="I705" s="8" t="n">
        <v>1</v>
      </c>
      <c r="J705" s="8" t="inlineStr">
        <is>
          <t>Committee Recommendation</t>
        </is>
      </c>
      <c r="K705" s="8" t="inlineStr">
        <is>
          <t>MS-C09</t>
        </is>
      </c>
      <c r="L705" s="9" t="n">
        <v>46323</v>
      </c>
      <c r="M705" s="8" t="inlineStr">
        <is>
          <t>Approved</t>
        </is>
      </c>
      <c r="N705" s="8" t="inlineStr">
        <is>
          <t>text</t>
        </is>
      </c>
    </row>
    <row r="706" ht="82" customHeight="1">
      <c r="A706" s="4" t="inlineStr">
        <is>
          <t>C09-P0092</t>
        </is>
      </c>
      <c r="B706" s="4" t="inlineStr">
        <is>
          <t>C09</t>
        </is>
      </c>
      <c r="C706" s="4" t="inlineStr">
        <is>
          <t>PRISM (Promoting Innovations in Individuals, Start-ups and MSMEs): Category-2: Fabrication of Working Model/Process Know-how/Testing &amp; Trial/Patenting/Technology Transfer</t>
        </is>
      </c>
      <c r="D706" s="4" t="inlineStr">
        <is>
          <t>Application process</t>
        </is>
      </c>
      <c r="E706" s="4" t="inlineStr">
        <is>
          <t>Proposals can be submitted to the following -</t>
        </is>
      </c>
      <c r="F706" s="4" t="inlineStr">
        <is>
          <t>en.applicationProcess[0].process[16]</t>
        </is>
      </c>
      <c r="G706" s="4" t="inlineStr">
        <is>
          <t>C09@20261028-1e8f42c4</t>
        </is>
      </c>
      <c r="H706" s="4" t="n">
        <v>1</v>
      </c>
      <c r="I706" s="4" t="n">
        <v>1</v>
      </c>
      <c r="J706" s="4" t="inlineStr">
        <is>
          <t>The proposals will then be considered by the PRISM Advisory and Screening Committee (PASC) for final recommendation.</t>
        </is>
      </c>
      <c r="K706" s="4" t="inlineStr">
        <is>
          <t>MS-C09</t>
        </is>
      </c>
      <c r="L706" s="6" t="n">
        <v>46323</v>
      </c>
      <c r="M706" s="4" t="inlineStr">
        <is>
          <t>Approved</t>
        </is>
      </c>
      <c r="N706" s="4" t="inlineStr">
        <is>
          <t>paragraph</t>
        </is>
      </c>
    </row>
    <row r="707" ht="82" customHeight="1">
      <c r="A707" s="8" t="inlineStr">
        <is>
          <t>C09-P0093</t>
        </is>
      </c>
      <c r="B707" s="8" t="inlineStr">
        <is>
          <t>C09</t>
        </is>
      </c>
      <c r="C707" s="8" t="inlineStr">
        <is>
          <t>PRISM (Promoting Innovations in Individuals, Start-ups and MSMEs): Category-2: Fabrication of Working Model/Process Know-how/Testing &amp; Trial/Patenting/Technology Transfer</t>
        </is>
      </c>
      <c r="D707" s="8" t="inlineStr">
        <is>
          <t>Application process</t>
        </is>
      </c>
      <c r="E707" s="8" t="inlineStr">
        <is>
          <t>Proposals can be submitted to the following -</t>
        </is>
      </c>
      <c r="F707" s="8" t="inlineStr">
        <is>
          <t>en.applicationProcess[0].process[17].children[0]</t>
        </is>
      </c>
      <c r="G707" s="8" t="inlineStr">
        <is>
          <t>C09@20261028-1e8f42c4</t>
        </is>
      </c>
      <c r="H707" s="8" t="n">
        <v>1</v>
      </c>
      <c r="I707" s="8" t="n">
        <v>1</v>
      </c>
      <c r="J707" s="8" t="inlineStr">
        <is>
          <t>Step 5:</t>
        </is>
      </c>
      <c r="K707" s="8" t="inlineStr">
        <is>
          <t>MS-C09</t>
        </is>
      </c>
      <c r="L707" s="9" t="n">
        <v>46323</v>
      </c>
      <c r="M707" s="8" t="inlineStr">
        <is>
          <t>Approved</t>
        </is>
      </c>
      <c r="N707" s="8" t="inlineStr">
        <is>
          <t>text</t>
        </is>
      </c>
    </row>
    <row r="708" ht="82" customHeight="1">
      <c r="A708" s="4" t="inlineStr">
        <is>
          <t>C09-P0094</t>
        </is>
      </c>
      <c r="B708" s="4" t="inlineStr">
        <is>
          <t>C09</t>
        </is>
      </c>
      <c r="C708" s="4" t="inlineStr">
        <is>
          <t>PRISM (Promoting Innovations in Individuals, Start-ups and MSMEs): Category-2: Fabrication of Working Model/Process Know-how/Testing &amp; Trial/Patenting/Technology Transfer</t>
        </is>
      </c>
      <c r="D708" s="4" t="inlineStr">
        <is>
          <t>Application process</t>
        </is>
      </c>
      <c r="E708" s="4" t="inlineStr">
        <is>
          <t>Proposals can be submitted to the following -</t>
        </is>
      </c>
      <c r="F708" s="4" t="inlineStr">
        <is>
          <t>en.applicationProcess[0].process[17].children[1]</t>
        </is>
      </c>
      <c r="G708" s="4" t="inlineStr">
        <is>
          <t>C09@20261028-1e8f42c4</t>
        </is>
      </c>
      <c r="H708" s="4" t="n">
        <v>1</v>
      </c>
      <c r="I708" s="4" t="n">
        <v>1</v>
      </c>
      <c r="J708" s="4" t="inlineStr">
        <is>
          <t xml:space="preserve"> Final Approval and Sanction</t>
        </is>
      </c>
      <c r="K708" s="4" t="inlineStr">
        <is>
          <t>MS-C09</t>
        </is>
      </c>
      <c r="L708" s="6" t="n">
        <v>46323</v>
      </c>
      <c r="M708" s="4" t="inlineStr">
        <is>
          <t>Approved</t>
        </is>
      </c>
      <c r="N708" s="4" t="inlineStr">
        <is>
          <t>text</t>
        </is>
      </c>
    </row>
    <row r="709" ht="82" customHeight="1">
      <c r="A709" s="8" t="inlineStr">
        <is>
          <t>C09-P0095</t>
        </is>
      </c>
      <c r="B709" s="8" t="inlineStr">
        <is>
          <t>C09</t>
        </is>
      </c>
      <c r="C709" s="8" t="inlineStr">
        <is>
          <t>PRISM (Promoting Innovations in Individuals, Start-ups and MSMEs): Category-2: Fabrication of Working Model/Process Know-how/Testing &amp; Trial/Patenting/Technology Transfer</t>
        </is>
      </c>
      <c r="D709" s="8" t="inlineStr">
        <is>
          <t>Application process</t>
        </is>
      </c>
      <c r="E709" s="8" t="inlineStr">
        <is>
          <t>Proposals can be submitted to the following -</t>
        </is>
      </c>
      <c r="F709" s="8" t="inlineStr">
        <is>
          <t>en.applicationProcess[0].process[18]</t>
        </is>
      </c>
      <c r="G709" s="8" t="inlineStr">
        <is>
          <t>C09@20261028-1e8f42c4</t>
        </is>
      </c>
      <c r="H709" s="8" t="n">
        <v>1</v>
      </c>
      <c r="I709" s="8" t="n">
        <v>1</v>
      </c>
      <c r="J709" s="8" t="inlineStr">
        <is>
          <t>The sanction will finally be released to those projects that are approved by the Department.</t>
        </is>
      </c>
      <c r="K709" s="8" t="inlineStr">
        <is>
          <t>MS-C09</t>
        </is>
      </c>
      <c r="L709" s="9" t="n">
        <v>46323</v>
      </c>
      <c r="M709" s="8" t="inlineStr">
        <is>
          <t>Approved</t>
        </is>
      </c>
      <c r="N709" s="8" t="inlineStr">
        <is>
          <t>paragraph</t>
        </is>
      </c>
    </row>
    <row r="710" ht="82" customHeight="1">
      <c r="A710" s="4" t="inlineStr">
        <is>
          <t>C09-P0096</t>
        </is>
      </c>
      <c r="B710" s="4" t="inlineStr">
        <is>
          <t>C09</t>
        </is>
      </c>
      <c r="C710" s="4" t="inlineStr">
        <is>
          <t>PRISM (Promoting Innovations in Individuals, Start-ups and MSMEs): Category-2: Fabrication of Working Model/Process Know-how/Testing &amp; Trial/Patenting/Technology Transfer</t>
        </is>
      </c>
      <c r="D710" s="4" t="inlineStr">
        <is>
          <t>Application process</t>
        </is>
      </c>
      <c r="E710" s="4" t="inlineStr">
        <is>
          <t>Proposals can be submitted to the following -</t>
        </is>
      </c>
      <c r="F710" s="4" t="inlineStr">
        <is>
          <t>en.applicationProcess[0].process[19].children[0]</t>
        </is>
      </c>
      <c r="G710" s="4" t="inlineStr">
        <is>
          <t>C09@20261028-1e8f42c4</t>
        </is>
      </c>
      <c r="H710" s="4" t="n">
        <v>1</v>
      </c>
      <c r="I710" s="4" t="n">
        <v>1</v>
      </c>
      <c r="J710" s="4" t="inlineStr">
        <is>
          <t>Step 6:</t>
        </is>
      </c>
      <c r="K710" s="4" t="inlineStr">
        <is>
          <t>MS-C09</t>
        </is>
      </c>
      <c r="L710" s="6" t="n">
        <v>46323</v>
      </c>
      <c r="M710" s="4" t="inlineStr">
        <is>
          <t>Approved</t>
        </is>
      </c>
      <c r="N710" s="4" t="inlineStr">
        <is>
          <t>text</t>
        </is>
      </c>
    </row>
    <row r="711" ht="82" customHeight="1">
      <c r="A711" s="8" t="inlineStr">
        <is>
          <t>C09-P0098</t>
        </is>
      </c>
      <c r="B711" s="8" t="inlineStr">
        <is>
          <t>C09</t>
        </is>
      </c>
      <c r="C711" s="8" t="inlineStr">
        <is>
          <t>PRISM (Promoting Innovations in Individuals, Start-ups and MSMEs): Category-2: Fabrication of Working Model/Process Know-how/Testing &amp; Trial/Patenting/Technology Transfer</t>
        </is>
      </c>
      <c r="D711" s="8" t="inlineStr">
        <is>
          <t>Application process</t>
        </is>
      </c>
      <c r="E711" s="8" t="inlineStr">
        <is>
          <t>Proposals can be submitted to the following -</t>
        </is>
      </c>
      <c r="F711" s="8" t="inlineStr">
        <is>
          <t>en.applicationProcess[0].process[19].children[2]</t>
        </is>
      </c>
      <c r="G711" s="8" t="inlineStr">
        <is>
          <t>C09@20261028-1e8f42c4</t>
        </is>
      </c>
      <c r="H711" s="8" t="n">
        <v>1</v>
      </c>
      <c r="I711" s="8" t="n">
        <v>1</v>
      </c>
      <c r="J711" s="8" t="inlineStr">
        <is>
          <t>Signing of Terms and Conditions</t>
        </is>
      </c>
      <c r="K711" s="8" t="inlineStr">
        <is>
          <t>MS-C09</t>
        </is>
      </c>
      <c r="L711" s="9" t="n">
        <v>46323</v>
      </c>
      <c r="M711" s="8" t="inlineStr">
        <is>
          <t>Approved</t>
        </is>
      </c>
      <c r="N711" s="8" t="inlineStr">
        <is>
          <t>text</t>
        </is>
      </c>
    </row>
    <row r="712" ht="82" customHeight="1">
      <c r="A712" s="4" t="inlineStr">
        <is>
          <t>C09-P0099</t>
        </is>
      </c>
      <c r="B712" s="4" t="inlineStr">
        <is>
          <t>C09</t>
        </is>
      </c>
      <c r="C712" s="4" t="inlineStr">
        <is>
          <t>PRISM (Promoting Innovations in Individuals, Start-ups and MSMEs): Category-2: Fabrication of Working Model/Process Know-how/Testing &amp; Trial/Patenting/Technology Transfer</t>
        </is>
      </c>
      <c r="D712" s="4" t="inlineStr">
        <is>
          <t>Application process</t>
        </is>
      </c>
      <c r="E712" s="4" t="inlineStr">
        <is>
          <t>Proposals can be submitted to the following -</t>
        </is>
      </c>
      <c r="F712" s="4" t="inlineStr">
        <is>
          <t>en.applicationProcess[0].process[20]</t>
        </is>
      </c>
      <c r="G712" s="4" t="inlineStr">
        <is>
          <t>C09@20261028-1e8f42c4</t>
        </is>
      </c>
      <c r="H712" s="4" t="n">
        <v>1</v>
      </c>
      <c r="I712" s="4" t="n">
        <v>1</v>
      </c>
      <c r="J712" s="4" t="inlineStr">
        <is>
          <t>The applicant has to sign the "Terms &amp; Conditions" document prior to the actual release of the grants-in-aid.</t>
        </is>
      </c>
      <c r="K712" s="4" t="inlineStr">
        <is>
          <t>MS-C09</t>
        </is>
      </c>
      <c r="L712" s="6" t="n">
        <v>46323</v>
      </c>
      <c r="M712" s="4" t="inlineStr">
        <is>
          <t>Approved</t>
        </is>
      </c>
      <c r="N712" s="4" t="inlineStr">
        <is>
          <t>paragraph</t>
        </is>
      </c>
    </row>
    <row r="713" ht="82" customHeight="1">
      <c r="A713" s="8" t="inlineStr">
        <is>
          <t>C09-P0100</t>
        </is>
      </c>
      <c r="B713" s="8" t="inlineStr">
        <is>
          <t>C09</t>
        </is>
      </c>
      <c r="C713" s="8" t="inlineStr">
        <is>
          <t>PRISM (Promoting Innovations in Individuals, Start-ups and MSMEs): Category-2: Fabrication of Working Model/Process Know-how/Testing &amp; Trial/Patenting/Technology Transfer</t>
        </is>
      </c>
      <c r="D713" s="8" t="inlineStr">
        <is>
          <t>Application process</t>
        </is>
      </c>
      <c r="E713" s="8" t="inlineStr">
        <is>
          <t>Proposals can be submitted to the following -</t>
        </is>
      </c>
      <c r="F713" s="8" t="inlineStr">
        <is>
          <t>en.applicationProcess[0].process[22].children[0]</t>
        </is>
      </c>
      <c r="G713" s="8" t="inlineStr">
        <is>
          <t>C09@20261028-1e8f42c4</t>
        </is>
      </c>
      <c r="H713" s="8" t="n">
        <v>1</v>
      </c>
      <c r="I713" s="8" t="n">
        <v>1</v>
      </c>
      <c r="J713" s="8" t="inlineStr">
        <is>
          <t>Disbursement</t>
        </is>
      </c>
      <c r="K713" s="8" t="inlineStr">
        <is>
          <t>MS-C09</t>
        </is>
      </c>
      <c r="L713" s="9" t="n">
        <v>46323</v>
      </c>
      <c r="M713" s="8" t="inlineStr">
        <is>
          <t>Approved</t>
        </is>
      </c>
      <c r="N713" s="8" t="inlineStr">
        <is>
          <t>text</t>
        </is>
      </c>
    </row>
    <row r="714" ht="82" customHeight="1">
      <c r="A714" s="4" t="inlineStr">
        <is>
          <t>C09-P0101</t>
        </is>
      </c>
      <c r="B714" s="4" t="inlineStr">
        <is>
          <t>C09</t>
        </is>
      </c>
      <c r="C714" s="4" t="inlineStr">
        <is>
          <t>PRISM (Promoting Innovations in Individuals, Start-ups and MSMEs): Category-2: Fabrication of Working Model/Process Know-how/Testing &amp; Trial/Patenting/Technology Transfer</t>
        </is>
      </c>
      <c r="D714" s="4" t="inlineStr">
        <is>
          <t>Application process</t>
        </is>
      </c>
      <c r="E714" s="4" t="inlineStr">
        <is>
          <t>Proposals can be submitted to the following -</t>
        </is>
      </c>
      <c r="F714" s="4" t="inlineStr">
        <is>
          <t>en.applicationProcess[0].process[23].children[0]</t>
        </is>
      </c>
      <c r="G714" s="4" t="inlineStr">
        <is>
          <t>C09@20261028-1e8f42c4</t>
        </is>
      </c>
      <c r="H714" s="4" t="n">
        <v>1</v>
      </c>
      <c r="I714" s="4" t="n">
        <v>1</v>
      </c>
      <c r="J714" s="4" t="inlineStr">
        <is>
          <t>Step 1:</t>
        </is>
      </c>
      <c r="K714" s="4" t="inlineStr">
        <is>
          <t>MS-C09</t>
        </is>
      </c>
      <c r="L714" s="6" t="n">
        <v>46323</v>
      </c>
      <c r="M714" s="4" t="inlineStr">
        <is>
          <t>Approved</t>
        </is>
      </c>
      <c r="N714" s="4" t="inlineStr">
        <is>
          <t>text</t>
        </is>
      </c>
    </row>
    <row r="715" ht="82" customHeight="1">
      <c r="A715" s="8" t="inlineStr">
        <is>
          <t>C09-P0103</t>
        </is>
      </c>
      <c r="B715" s="8" t="inlineStr">
        <is>
          <t>C09</t>
        </is>
      </c>
      <c r="C715" s="8" t="inlineStr">
        <is>
          <t>PRISM (Promoting Innovations in Individuals, Start-ups and MSMEs): Category-2: Fabrication of Working Model/Process Know-how/Testing &amp; Trial/Patenting/Technology Transfer</t>
        </is>
      </c>
      <c r="D715" s="8" t="inlineStr">
        <is>
          <t>Application process</t>
        </is>
      </c>
      <c r="E715" s="8" t="inlineStr">
        <is>
          <t>Proposals can be submitted to the following -</t>
        </is>
      </c>
      <c r="F715" s="8" t="inlineStr">
        <is>
          <t>en.applicationProcess[0].process[23].children[2]</t>
        </is>
      </c>
      <c r="G715" s="8" t="inlineStr">
        <is>
          <t>C09@20261028-1e8f42c4</t>
        </is>
      </c>
      <c r="H715" s="8" t="n">
        <v>1</v>
      </c>
      <c r="I715" s="8" t="n">
        <v>1</v>
      </c>
      <c r="J715" s="8" t="inlineStr">
        <is>
          <t>First Release</t>
        </is>
      </c>
      <c r="K715" s="8" t="inlineStr">
        <is>
          <t>MS-C09</t>
        </is>
      </c>
      <c r="L715" s="9" t="n">
        <v>46323</v>
      </c>
      <c r="M715" s="8" t="inlineStr">
        <is>
          <t>Approved</t>
        </is>
      </c>
      <c r="N715" s="8" t="inlineStr">
        <is>
          <t>text</t>
        </is>
      </c>
    </row>
    <row r="716" ht="82" customHeight="1">
      <c r="A716" s="4" t="inlineStr">
        <is>
          <t>C09-P0104</t>
        </is>
      </c>
      <c r="B716" s="4" t="inlineStr">
        <is>
          <t>C09</t>
        </is>
      </c>
      <c r="C716" s="4" t="inlineStr">
        <is>
          <t>PRISM (Promoting Innovations in Individuals, Start-ups and MSMEs): Category-2: Fabrication of Working Model/Process Know-how/Testing &amp; Trial/Patenting/Technology Transfer</t>
        </is>
      </c>
      <c r="D716" s="4" t="inlineStr">
        <is>
          <t>Application process</t>
        </is>
      </c>
      <c r="E716" s="4" t="inlineStr">
        <is>
          <t>Proposals can be submitted to the following -</t>
        </is>
      </c>
      <c r="F716" s="4" t="inlineStr">
        <is>
          <t>en.applicationProcess[0].process[24]</t>
        </is>
      </c>
      <c r="G716" s="4" t="inlineStr">
        <is>
          <t>C09@20261028-1e8f42c4</t>
        </is>
      </c>
      <c r="H716" s="4" t="n">
        <v>1</v>
      </c>
      <c r="I716" s="4" t="n">
        <v>1</v>
      </c>
      <c r="J716" s="4" t="inlineStr">
        <is>
          <t>The first release of funds is based on milestones and deliverables projected in the project proposals and as recommended by the PRISM Advisory and Screening Committee (PASC).</t>
        </is>
      </c>
      <c r="K716" s="4" t="inlineStr">
        <is>
          <t>MS-C09</t>
        </is>
      </c>
      <c r="L716" s="6" t="n">
        <v>46323</v>
      </c>
      <c r="M716" s="4" t="inlineStr">
        <is>
          <t>Approved</t>
        </is>
      </c>
      <c r="N716" s="4" t="inlineStr">
        <is>
          <t>paragraph</t>
        </is>
      </c>
    </row>
    <row r="717" ht="82" customHeight="1">
      <c r="A717" s="8" t="inlineStr">
        <is>
          <t>C09-P0105</t>
        </is>
      </c>
      <c r="B717" s="8" t="inlineStr">
        <is>
          <t>C09</t>
        </is>
      </c>
      <c r="C717" s="8" t="inlineStr">
        <is>
          <t>PRISM (Promoting Innovations in Individuals, Start-ups and MSMEs): Category-2: Fabrication of Working Model/Process Know-how/Testing &amp; Trial/Patenting/Technology Transfer</t>
        </is>
      </c>
      <c r="D717" s="8" t="inlineStr">
        <is>
          <t>Application process</t>
        </is>
      </c>
      <c r="E717" s="8" t="inlineStr">
        <is>
          <t>Proposals can be submitted to the following -</t>
        </is>
      </c>
      <c r="F717" s="8" t="inlineStr">
        <is>
          <t>en.applicationProcess[0].process[25].children[0]</t>
        </is>
      </c>
      <c r="G717" s="8" t="inlineStr">
        <is>
          <t>C09@20261028-1e8f42c4</t>
        </is>
      </c>
      <c r="H717" s="8" t="n">
        <v>1</v>
      </c>
      <c r="I717" s="8" t="n">
        <v>1</v>
      </c>
      <c r="J717" s="8" t="inlineStr">
        <is>
          <t>Step 2:</t>
        </is>
      </c>
      <c r="K717" s="8" t="inlineStr">
        <is>
          <t>MS-C09</t>
        </is>
      </c>
      <c r="L717" s="9" t="n">
        <v>46323</v>
      </c>
      <c r="M717" s="8" t="inlineStr">
        <is>
          <t>Approved</t>
        </is>
      </c>
      <c r="N717" s="8" t="inlineStr">
        <is>
          <t>text</t>
        </is>
      </c>
    </row>
    <row r="718" ht="82" customHeight="1">
      <c r="A718" s="4" t="inlineStr">
        <is>
          <t>C09-P0107</t>
        </is>
      </c>
      <c r="B718" s="4" t="inlineStr">
        <is>
          <t>C09</t>
        </is>
      </c>
      <c r="C718" s="4" t="inlineStr">
        <is>
          <t>PRISM (Promoting Innovations in Individuals, Start-ups and MSMEs): Category-2: Fabrication of Working Model/Process Know-how/Testing &amp; Trial/Patenting/Technology Transfer</t>
        </is>
      </c>
      <c r="D718" s="4" t="inlineStr">
        <is>
          <t>Application process</t>
        </is>
      </c>
      <c r="E718" s="4" t="inlineStr">
        <is>
          <t>Proposals can be submitted to the following -</t>
        </is>
      </c>
      <c r="F718" s="4" t="inlineStr">
        <is>
          <t>en.applicationProcess[0].process[25].children[2]</t>
        </is>
      </c>
      <c r="G718" s="4" t="inlineStr">
        <is>
          <t>C09@20261028-1e8f42c4</t>
        </is>
      </c>
      <c r="H718" s="4" t="n">
        <v>1</v>
      </c>
      <c r="I718" s="4" t="n">
        <v>1</v>
      </c>
      <c r="J718" s="4" t="inlineStr">
        <is>
          <t xml:space="preserve">Subsequent Fund Release and Monitoring </t>
        </is>
      </c>
      <c r="K718" s="4" t="inlineStr">
        <is>
          <t>MS-C09</t>
        </is>
      </c>
      <c r="L718" s="6" t="n">
        <v>46323</v>
      </c>
      <c r="M718" s="4" t="inlineStr">
        <is>
          <t>Approved</t>
        </is>
      </c>
      <c r="N718" s="4" t="inlineStr">
        <is>
          <t>text</t>
        </is>
      </c>
    </row>
    <row r="719" ht="82" customHeight="1">
      <c r="A719" s="8" t="inlineStr">
        <is>
          <t>C09-P0108</t>
        </is>
      </c>
      <c r="B719" s="8" t="inlineStr">
        <is>
          <t>C09</t>
        </is>
      </c>
      <c r="C719" s="8" t="inlineStr">
        <is>
          <t>PRISM (Promoting Innovations in Individuals, Start-ups and MSMEs): Category-2: Fabrication of Working Model/Process Know-how/Testing &amp; Trial/Patenting/Technology Transfer</t>
        </is>
      </c>
      <c r="D719" s="8" t="inlineStr">
        <is>
          <t>Application process</t>
        </is>
      </c>
      <c r="E719" s="8" t="inlineStr">
        <is>
          <t>Proposals can be submitted to the following -</t>
        </is>
      </c>
      <c r="F719" s="8" t="inlineStr">
        <is>
          <t>en.applicationProcess[0].process[26]</t>
        </is>
      </c>
      <c r="G719" s="8" t="inlineStr">
        <is>
          <t>C09@20261028-1e8f42c4</t>
        </is>
      </c>
      <c r="H719" s="8" t="n">
        <v>1</v>
      </c>
      <c r="I719" s="8" t="n">
        <v>1</v>
      </c>
      <c r="J719" s="8" t="inlineStr">
        <is>
          <t>Subsequent releases of funds are based on the assessment of the progress of the project by the Project Review Committee (PRC). The approved projects will be monitored by the TePP Outreach cum Cluster Innovation Centre/other network partners, including technical expert(s), and the Project Review Committees will meet at least once in nine months to review the progress of the project.</t>
        </is>
      </c>
      <c r="K719" s="8" t="inlineStr">
        <is>
          <t>MS-C09</t>
        </is>
      </c>
      <c r="L719" s="9" t="n">
        <v>46323</v>
      </c>
      <c r="M719" s="8" t="inlineStr">
        <is>
          <t>Approved</t>
        </is>
      </c>
      <c r="N719" s="8" t="inlineStr">
        <is>
          <t>paragraph</t>
        </is>
      </c>
    </row>
    <row r="720" ht="82" customHeight="1">
      <c r="A720" s="4" t="inlineStr">
        <is>
          <t>C09-P0109</t>
        </is>
      </c>
      <c r="B720" s="4" t="inlineStr">
        <is>
          <t>C09</t>
        </is>
      </c>
      <c r="C720" s="4" t="inlineStr">
        <is>
          <t>PRISM (Promoting Innovations in Individuals, Start-ups and MSMEs): Category-2: Fabrication of Working Model/Process Know-how/Testing &amp; Trial/Patenting/Technology Transfer</t>
        </is>
      </c>
      <c r="D720" s="4" t="inlineStr">
        <is>
          <t>Application process</t>
        </is>
      </c>
      <c r="E720" s="4" t="inlineStr">
        <is>
          <t>Proposals can be submitted to the following -</t>
        </is>
      </c>
      <c r="F720" s="4" t="inlineStr">
        <is>
          <t>en.applicationProcess[0].process[27].children[0]</t>
        </is>
      </c>
      <c r="G720" s="4" t="inlineStr">
        <is>
          <t>C09@20261028-1e8f42c4</t>
        </is>
      </c>
      <c r="H720" s="4" t="n">
        <v>1</v>
      </c>
      <c r="I720" s="4" t="n">
        <v>1</v>
      </c>
      <c r="J720" s="4" t="inlineStr">
        <is>
          <t>Step 3:</t>
        </is>
      </c>
      <c r="K720" s="4" t="inlineStr">
        <is>
          <t>MS-C09</t>
        </is>
      </c>
      <c r="L720" s="6" t="n">
        <v>46323</v>
      </c>
      <c r="M720" s="4" t="inlineStr">
        <is>
          <t>Approved</t>
        </is>
      </c>
      <c r="N720" s="4" t="inlineStr">
        <is>
          <t>text</t>
        </is>
      </c>
    </row>
    <row r="721" ht="82" customHeight="1">
      <c r="A721" s="8" t="inlineStr">
        <is>
          <t>C09-P0111</t>
        </is>
      </c>
      <c r="B721" s="8" t="inlineStr">
        <is>
          <t>C09</t>
        </is>
      </c>
      <c r="C721" s="8" t="inlineStr">
        <is>
          <t>PRISM (Promoting Innovations in Individuals, Start-ups and MSMEs): Category-2: Fabrication of Working Model/Process Know-how/Testing &amp; Trial/Patenting/Technology Transfer</t>
        </is>
      </c>
      <c r="D721" s="8" t="inlineStr">
        <is>
          <t>Application process</t>
        </is>
      </c>
      <c r="E721" s="8" t="inlineStr">
        <is>
          <t>Proposals can be submitted to the following -</t>
        </is>
      </c>
      <c r="F721" s="8" t="inlineStr">
        <is>
          <t>en.applicationProcess[0].process[27].children[2]</t>
        </is>
      </c>
      <c r="G721" s="8" t="inlineStr">
        <is>
          <t>C09@20261028-1e8f42c4</t>
        </is>
      </c>
      <c r="H721" s="8" t="n">
        <v>1</v>
      </c>
      <c r="I721" s="8" t="n">
        <v>1</v>
      </c>
      <c r="J721" s="8" t="inlineStr">
        <is>
          <t>Project Closure</t>
        </is>
      </c>
      <c r="K721" s="8" t="inlineStr">
        <is>
          <t>MS-C09</t>
        </is>
      </c>
      <c r="L721" s="9" t="n">
        <v>46323</v>
      </c>
      <c r="M721" s="8" t="inlineStr">
        <is>
          <t>Approved</t>
        </is>
      </c>
      <c r="N721" s="8" t="inlineStr">
        <is>
          <t>text</t>
        </is>
      </c>
    </row>
    <row r="722" ht="82" customHeight="1">
      <c r="A722" s="4" t="inlineStr">
        <is>
          <t>C09-P0112</t>
        </is>
      </c>
      <c r="B722" s="4" t="inlineStr">
        <is>
          <t>C09</t>
        </is>
      </c>
      <c r="C722" s="4" t="inlineStr">
        <is>
          <t>PRISM (Promoting Innovations in Individuals, Start-ups and MSMEs): Category-2: Fabrication of Working Model/Process Know-how/Testing &amp; Trial/Patenting/Technology Transfer</t>
        </is>
      </c>
      <c r="D722" s="4" t="inlineStr">
        <is>
          <t>Application process</t>
        </is>
      </c>
      <c r="E722" s="4" t="inlineStr">
        <is>
          <t>Proposals can be submitted to the following -</t>
        </is>
      </c>
      <c r="F722" s="4" t="inlineStr">
        <is>
          <t>en.applicationProcess[0].process[28]</t>
        </is>
      </c>
      <c r="G722" s="4" t="inlineStr">
        <is>
          <t>C09@20261028-1e8f42c4</t>
        </is>
      </c>
      <c r="H722" s="4" t="n">
        <v>1</v>
      </c>
      <c r="I722" s="4" t="n">
        <v>1</v>
      </c>
      <c r="J722" s="4" t="inlineStr">
        <is>
          <t>The project completion report will be accepted by the Competent Authority in the Department of Scientific and Industrial Research, based on the Project Review Committee recommendation, after the successful closure of the project.</t>
        </is>
      </c>
      <c r="K722" s="4" t="inlineStr">
        <is>
          <t>MS-C09</t>
        </is>
      </c>
      <c r="L722" s="6" t="n">
        <v>46323</v>
      </c>
      <c r="M722" s="4" t="inlineStr">
        <is>
          <t>Approved</t>
        </is>
      </c>
      <c r="N722" s="4" t="inlineStr">
        <is>
          <t>paragraph</t>
        </is>
      </c>
    </row>
    <row r="723" ht="82" customHeight="1">
      <c r="A723" s="8" t="inlineStr">
        <is>
          <t>C09-P0113</t>
        </is>
      </c>
      <c r="B723" s="8" t="inlineStr">
        <is>
          <t>C09</t>
        </is>
      </c>
      <c r="C723" s="8" t="inlineStr">
        <is>
          <t>PRISM (Promoting Innovations in Individuals, Start-ups and MSMEs): Category-2: Fabrication of Working Model/Process Know-how/Testing &amp; Trial/Patenting/Technology Transfer</t>
        </is>
      </c>
      <c r="D723" s="8" t="inlineStr">
        <is>
          <t>FAQ</t>
        </is>
      </c>
      <c r="E723" s="8" t="inlineStr"/>
      <c r="F723" s="8" t="inlineStr">
        <is>
          <t>faqs.en.faqs[0]</t>
        </is>
      </c>
      <c r="G723" s="8" t="inlineStr">
        <is>
          <t>C09@20261028-1e8f42c4</t>
        </is>
      </c>
      <c r="H723" s="8" t="n">
        <v>1</v>
      </c>
      <c r="I723" s="8" t="n">
        <v>1</v>
      </c>
      <c r="J723" s="8" t="inlineStr">
        <is>
          <t>If the user wishes to proceed with fundamental scientific investigations that have no immediate commercial value, will such a proposal be accepted for evaluation?
Proposals dedicated entirely to basic scientific research which lack immediate commercial implications are explicitly excluded and will not be accepted for consideration.</t>
        </is>
      </c>
      <c r="K723" s="8" t="inlineStr">
        <is>
          <t>MS-C09</t>
        </is>
      </c>
      <c r="L723" s="9" t="n">
        <v>46323</v>
      </c>
      <c r="M723" s="8" t="inlineStr">
        <is>
          <t>Approved</t>
        </is>
      </c>
      <c r="N723" s="8" t="inlineStr">
        <is>
          <t>faq</t>
        </is>
      </c>
    </row>
    <row r="724" ht="82" customHeight="1">
      <c r="A724" s="4" t="inlineStr">
        <is>
          <t>C09-P0114</t>
        </is>
      </c>
      <c r="B724" s="4" t="inlineStr">
        <is>
          <t>C09</t>
        </is>
      </c>
      <c r="C724" s="4" t="inlineStr">
        <is>
          <t>PRISM (Promoting Innovations in Individuals, Start-ups and MSMEs): Category-2: Fabrication of Working Model/Process Know-how/Testing &amp; Trial/Patenting/Technology Transfer</t>
        </is>
      </c>
      <c r="D724" s="4" t="inlineStr">
        <is>
          <t>FAQ</t>
        </is>
      </c>
      <c r="E724" s="4" t="inlineStr"/>
      <c r="F724" s="4" t="inlineStr">
        <is>
          <t>faqs.en.faqs[1]</t>
        </is>
      </c>
      <c r="G724" s="4" t="inlineStr">
        <is>
          <t>C09@20261028-1e8f42c4</t>
        </is>
      </c>
      <c r="H724" s="4" t="n">
        <v>1</v>
      </c>
      <c r="I724" s="4" t="n">
        <v>1</v>
      </c>
      <c r="J724" s="4" t="inlineStr">
        <is>
          <t>What is the highest percentage of the total approved project expenditure that the funding authority can provide as financial assistance under this category?
The maximum financial assistance provided is ₹20,00,000/- or 90% of the approved project cost, whichever of these two amounts is lower.</t>
        </is>
      </c>
      <c r="K724" s="4" t="inlineStr">
        <is>
          <t>MS-C09</t>
        </is>
      </c>
      <c r="L724" s="6" t="n">
        <v>46323</v>
      </c>
      <c r="M724" s="4" t="inlineStr">
        <is>
          <t>Approved</t>
        </is>
      </c>
      <c r="N724" s="4" t="inlineStr">
        <is>
          <t>faq</t>
        </is>
      </c>
    </row>
    <row r="725" ht="82" customHeight="1">
      <c r="A725" s="8" t="inlineStr">
        <is>
          <t>C09-P0115</t>
        </is>
      </c>
      <c r="B725" s="8" t="inlineStr">
        <is>
          <t>C09</t>
        </is>
      </c>
      <c r="C725" s="8" t="inlineStr">
        <is>
          <t>PRISM (Promoting Innovations in Individuals, Start-ups and MSMEs): Category-2: Fabrication of Working Model/Process Know-how/Testing &amp; Trial/Patenting/Technology Transfer</t>
        </is>
      </c>
      <c r="D725" s="8" t="inlineStr">
        <is>
          <t>FAQ</t>
        </is>
      </c>
      <c r="E725" s="8" t="inlineStr"/>
      <c r="F725" s="8" t="inlineStr">
        <is>
          <t>faqs.en.faqs[2]</t>
        </is>
      </c>
      <c r="G725" s="8" t="inlineStr">
        <is>
          <t>C09@20261028-1e8f42c4</t>
        </is>
      </c>
      <c r="H725" s="8" t="n">
        <v>1</v>
      </c>
      <c r="I725" s="8" t="n">
        <v>1</v>
      </c>
      <c r="J725" s="8" t="inlineStr">
        <is>
          <t>What types of innovation activities are primarily eligible for support under Category II, focusing on demonstrable outcomes rather than research?
Support covers the Fabrication of Working Model, Process Know-how, Testing &amp; Trial, Patenting, or Technology Transfer, which demand rigorous demonstrability of the original idea.</t>
        </is>
      </c>
      <c r="K725" s="8" t="inlineStr">
        <is>
          <t>MS-C09</t>
        </is>
      </c>
      <c r="L725" s="9" t="n">
        <v>46323</v>
      </c>
      <c r="M725" s="8" t="inlineStr">
        <is>
          <t>Approved</t>
        </is>
      </c>
      <c r="N725" s="8" t="inlineStr">
        <is>
          <t>faq</t>
        </is>
      </c>
    </row>
    <row r="726" ht="82" customHeight="1">
      <c r="A726" s="4" t="inlineStr">
        <is>
          <t>C09-P0116</t>
        </is>
      </c>
      <c r="B726" s="4" t="inlineStr">
        <is>
          <t>C09</t>
        </is>
      </c>
      <c r="C726" s="4" t="inlineStr">
        <is>
          <t>PRISM (Promoting Innovations in Individuals, Start-ups and MSMEs): Category-2: Fabrication of Working Model/Process Know-how/Testing &amp; Trial/Patenting/Technology Transfer</t>
        </is>
      </c>
      <c r="D726" s="4" t="inlineStr">
        <is>
          <t>FAQ</t>
        </is>
      </c>
      <c r="E726" s="4" t="inlineStr"/>
      <c r="F726" s="4" t="inlineStr">
        <is>
          <t>faqs.en.faqs[3]</t>
        </is>
      </c>
      <c r="G726" s="4" t="inlineStr">
        <is>
          <t>C09@20261028-1e8f42c4</t>
        </is>
      </c>
      <c r="H726" s="4" t="n">
        <v>1</v>
      </c>
      <c r="I726" s="4" t="n">
        <v>1</v>
      </c>
      <c r="J726" s="4" t="inlineStr">
        <is>
          <t>When submitting a proposal that has been mentored by external agencies other than the designated TePP Outreach cum Cluster Innovation Centres, what submission route must be followed?
Proposals scouted and documented by other agencies must still be routed through the nearest TePP Outreach cum Cluster Innovation Centre and include an evaluation by the assisting agency.</t>
        </is>
      </c>
      <c r="K726" s="4" t="inlineStr">
        <is>
          <t>MS-C09</t>
        </is>
      </c>
      <c r="L726" s="6" t="n">
        <v>46323</v>
      </c>
      <c r="M726" s="4" t="inlineStr">
        <is>
          <t>Approved</t>
        </is>
      </c>
      <c r="N726" s="4" t="inlineStr">
        <is>
          <t>faq</t>
        </is>
      </c>
    </row>
    <row r="727" ht="82" customHeight="1">
      <c r="A727" s="8" t="inlineStr">
        <is>
          <t>C09-P0117</t>
        </is>
      </c>
      <c r="B727" s="8" t="inlineStr">
        <is>
          <t>C09</t>
        </is>
      </c>
      <c r="C727" s="8" t="inlineStr">
        <is>
          <t>PRISM (Promoting Innovations in Individuals, Start-ups and MSMEs): Category-2: Fabrication of Working Model/Process Know-how/Testing &amp; Trial/Patenting/Technology Transfer</t>
        </is>
      </c>
      <c r="D727" s="8" t="inlineStr">
        <is>
          <t>FAQ</t>
        </is>
      </c>
      <c r="E727" s="8" t="inlineStr"/>
      <c r="F727" s="8" t="inlineStr">
        <is>
          <t>faqs.en.faqs[4]</t>
        </is>
      </c>
      <c r="G727" s="8" t="inlineStr">
        <is>
          <t>C09@20261028-1e8f42c4</t>
        </is>
      </c>
      <c r="H727" s="8" t="n">
        <v>1</v>
      </c>
      <c r="I727" s="8" t="n">
        <v>1</v>
      </c>
      <c r="J727" s="8" t="inlineStr">
        <is>
          <t>As a student applying for innovation support, what specific documentation is required from the head of my educational institution to be eligible for consideration?
Students must provide a 'No Objection Certificate’ signed by the head of their institution, written on the institution’s official letter-head, along with the main application.</t>
        </is>
      </c>
      <c r="K727" s="8" t="inlineStr">
        <is>
          <t>MS-C09</t>
        </is>
      </c>
      <c r="L727" s="9" t="n">
        <v>46323</v>
      </c>
      <c r="M727" s="8" t="inlineStr">
        <is>
          <t>Approved</t>
        </is>
      </c>
      <c r="N727" s="8" t="inlineStr">
        <is>
          <t>faq</t>
        </is>
      </c>
    </row>
    <row r="728" ht="82" customHeight="1">
      <c r="A728" s="4" t="inlineStr">
        <is>
          <t>C09-P0118</t>
        </is>
      </c>
      <c r="B728" s="4" t="inlineStr">
        <is>
          <t>C09</t>
        </is>
      </c>
      <c r="C728" s="4" t="inlineStr">
        <is>
          <t>PRISM (Promoting Innovations in Individuals, Start-ups and MSMEs): Category-2: Fabrication of Working Model/Process Know-how/Testing &amp; Trial/Patenting/Technology Transfer</t>
        </is>
      </c>
      <c r="D728" s="4" t="inlineStr">
        <is>
          <t>FAQ</t>
        </is>
      </c>
      <c r="E728" s="4" t="inlineStr"/>
      <c r="F728" s="4" t="inlineStr">
        <is>
          <t>faqs.en.faqs[5]</t>
        </is>
      </c>
      <c r="G728" s="4" t="inlineStr">
        <is>
          <t>C09@20261028-1e8f42c4</t>
        </is>
      </c>
      <c r="H728" s="4" t="n">
        <v>1</v>
      </c>
      <c r="I728" s="4" t="n">
        <v>1</v>
      </c>
      <c r="J728" s="4" t="inlineStr">
        <is>
          <t>What are the minimum and maximum financial limits set for the total estimated costs of the proposed invention project to qualify for this particular phase of support?
The overall project cost must fall within the range of more than ₹5,00,000/- and up to ₹35,00,000/- to meet the stipulated financial criteria for the proposal.</t>
        </is>
      </c>
      <c r="K728" s="4" t="inlineStr">
        <is>
          <t>MS-C09</t>
        </is>
      </c>
      <c r="L728" s="6" t="n">
        <v>46323</v>
      </c>
      <c r="M728" s="4" t="inlineStr">
        <is>
          <t>Approved</t>
        </is>
      </c>
      <c r="N728" s="4" t="inlineStr">
        <is>
          <t>faq</t>
        </is>
      </c>
    </row>
    <row r="729" ht="82" customHeight="1">
      <c r="A729" s="8" t="inlineStr">
        <is>
          <t>C09-P0119</t>
        </is>
      </c>
      <c r="B729" s="8" t="inlineStr">
        <is>
          <t>C09</t>
        </is>
      </c>
      <c r="C729" s="8" t="inlineStr">
        <is>
          <t>PRISM (Promoting Innovations in Individuals, Start-ups and MSMEs): Category-2: Fabrication of Working Model/Process Know-how/Testing &amp; Trial/Patenting/Technology Transfer</t>
        </is>
      </c>
      <c r="D729" s="8" t="inlineStr">
        <is>
          <t>FAQ</t>
        </is>
      </c>
      <c r="E729" s="8" t="inlineStr"/>
      <c r="F729" s="8" t="inlineStr">
        <is>
          <t>faqs.en.faqs[6]</t>
        </is>
      </c>
      <c r="G729" s="8" t="inlineStr">
        <is>
          <t>C09@20261028-1e8f42c4</t>
        </is>
      </c>
      <c r="H729" s="8" t="n">
        <v>1</v>
      </c>
      <c r="I729" s="8" t="n">
        <v>1</v>
      </c>
      <c r="J729" s="8" t="inlineStr">
        <is>
          <t>Are there any limitations placed on the cost allocated specifically for hiring technical assistants or other related manpower within the project budget?
Yes, the manpower cost intended for technical assistants is capped and must not exceed 20% of the total approved cost for the innovation project.</t>
        </is>
      </c>
      <c r="K729" s="8" t="inlineStr">
        <is>
          <t>MS-C09</t>
        </is>
      </c>
      <c r="L729" s="9" t="n">
        <v>46323</v>
      </c>
      <c r="M729" s="8" t="inlineStr">
        <is>
          <t>Approved</t>
        </is>
      </c>
      <c r="N729" s="8" t="inlineStr">
        <is>
          <t>faq</t>
        </is>
      </c>
    </row>
    <row r="730" ht="82" customHeight="1">
      <c r="A730" s="4" t="inlineStr">
        <is>
          <t>C09-P0120</t>
        </is>
      </c>
      <c r="B730" s="4" t="inlineStr">
        <is>
          <t>C09</t>
        </is>
      </c>
      <c r="C730" s="4" t="inlineStr">
        <is>
          <t>PRISM (Promoting Innovations in Individuals, Start-ups and MSMEs): Category-2: Fabrication of Working Model/Process Know-how/Testing &amp; Trial/Patenting/Technology Transfer</t>
        </is>
      </c>
      <c r="D730" s="4" t="inlineStr">
        <is>
          <t>FAQ</t>
        </is>
      </c>
      <c r="E730" s="4" t="inlineStr"/>
      <c r="F730" s="4" t="inlineStr">
        <is>
          <t>faqs.en.faqs[7]</t>
        </is>
      </c>
      <c r="G730" s="4" t="inlineStr">
        <is>
          <t>C09@20261028-1e8f42c4</t>
        </is>
      </c>
      <c r="H730" s="4" t="n">
        <v>1</v>
      </c>
      <c r="I730" s="4" t="n">
        <v>1</v>
      </c>
      <c r="J730" s="4" t="inlineStr">
        <is>
          <t>If I am currently employed by an organization and wish to seek support for my innovative idea, what formal approval must I obtain from my employer?
Individuals working in organizations must furnish a mandatory ‘No Objection Certificate’ from their employer when applying for support under the Promoting Innovations In Individuals, Start-Ups and Micro, Small and Medium Enterprises scheme.</t>
        </is>
      </c>
      <c r="K730" s="4" t="inlineStr">
        <is>
          <t>MS-C09</t>
        </is>
      </c>
      <c r="L730" s="6" t="n">
        <v>46323</v>
      </c>
      <c r="M730" s="4" t="inlineStr">
        <is>
          <t>Approved</t>
        </is>
      </c>
      <c r="N730" s="4" t="inlineStr">
        <is>
          <t>faq</t>
        </is>
      </c>
    </row>
    <row r="731" ht="82" customHeight="1">
      <c r="A731" s="8" t="inlineStr">
        <is>
          <t>C09-P0121</t>
        </is>
      </c>
      <c r="B731" s="8" t="inlineStr">
        <is>
          <t>C09</t>
        </is>
      </c>
      <c r="C731" s="8" t="inlineStr">
        <is>
          <t>PRISM (Promoting Innovations in Individuals, Start-ups and MSMEs): Category-2: Fabrication of Working Model/Process Know-how/Testing &amp; Trial/Patenting/Technology Transfer</t>
        </is>
      </c>
      <c r="D731" s="8" t="inlineStr">
        <is>
          <t>FAQ</t>
        </is>
      </c>
      <c r="E731" s="8" t="inlineStr"/>
      <c r="F731" s="8" t="inlineStr">
        <is>
          <t>faqs.en.faqs[8]</t>
        </is>
      </c>
      <c r="G731" s="8" t="inlineStr">
        <is>
          <t>C09@20261028-1e8f42c4</t>
        </is>
      </c>
      <c r="H731" s="8" t="n">
        <v>1</v>
      </c>
      <c r="I731" s="8" t="n">
        <v>1</v>
      </c>
      <c r="J731" s="8" t="inlineStr">
        <is>
          <t>If the project solely involves developing new software applications without any embedded physical component, will the proposal be considered eligible for funding?
Proposals focused exclusively on software development are not accepted for consideration under the Promoting Innovations In Individuals, Start-Ups and Micro, Small and Medium Enterprises scheme.</t>
        </is>
      </c>
      <c r="K731" s="8" t="inlineStr">
        <is>
          <t>MS-C09</t>
        </is>
      </c>
      <c r="L731" s="9" t="n">
        <v>46323</v>
      </c>
      <c r="M731" s="8" t="inlineStr">
        <is>
          <t>Approved</t>
        </is>
      </c>
      <c r="N731" s="8" t="inlineStr">
        <is>
          <t>faq</t>
        </is>
      </c>
    </row>
    <row r="732" ht="82" customHeight="1">
      <c r="A732" s="4" t="inlineStr">
        <is>
          <t>C09-P0122</t>
        </is>
      </c>
      <c r="B732" s="4" t="inlineStr">
        <is>
          <t>C09</t>
        </is>
      </c>
      <c r="C732" s="4" t="inlineStr">
        <is>
          <t>PRISM (Promoting Innovations in Individuals, Start-ups and MSMEs): Category-2: Fabrication of Working Model/Process Know-how/Testing &amp; Trial/Patenting/Technology Transfer</t>
        </is>
      </c>
      <c r="D732" s="4" t="inlineStr">
        <is>
          <t>FAQ</t>
        </is>
      </c>
      <c r="E732" s="4" t="inlineStr"/>
      <c r="F732" s="4" t="inlineStr">
        <is>
          <t>faqs.en.faqs[9]</t>
        </is>
      </c>
      <c r="G732" s="4" t="inlineStr">
        <is>
          <t>C09@20261028-1e8f42c4</t>
        </is>
      </c>
      <c r="H732" s="4" t="n">
        <v>1</v>
      </c>
      <c r="I732" s="4" t="n">
        <v>1</v>
      </c>
      <c r="J732" s="4" t="inlineStr">
        <is>
          <t>Is there a spending restriction concerning the costs incurred for travel while executing the project activities and attending necessary meetings or trials?
Yes, the total travel cost must be based on actual expenses incurred but is restricted to an amount not exceeding 5% of the total approved project cost.</t>
        </is>
      </c>
      <c r="K732" s="4" t="inlineStr">
        <is>
          <t>MS-C09</t>
        </is>
      </c>
      <c r="L732" s="6" t="n">
        <v>46323</v>
      </c>
      <c r="M732" s="4" t="inlineStr">
        <is>
          <t>Approved</t>
        </is>
      </c>
      <c r="N732" s="4" t="inlineStr">
        <is>
          <t>faq</t>
        </is>
      </c>
    </row>
    <row r="733" ht="82" customHeight="1">
      <c r="A733" s="8" t="inlineStr">
        <is>
          <t>C09-P0123</t>
        </is>
      </c>
      <c r="B733" s="8" t="inlineStr">
        <is>
          <t>C09</t>
        </is>
      </c>
      <c r="C733" s="8" t="inlineStr">
        <is>
          <t>PRISM (Promoting Innovations in Individuals, Start-ups and MSMEs): Category-2: Fabrication of Working Model/Process Know-how/Testing &amp; Trial/Patenting/Technology Transfer</t>
        </is>
      </c>
      <c r="D733" s="8" t="inlineStr">
        <is>
          <t>FAQ</t>
        </is>
      </c>
      <c r="E733" s="8" t="inlineStr"/>
      <c r="F733" s="8" t="inlineStr">
        <is>
          <t>faqs.en.faqs[10]</t>
        </is>
      </c>
      <c r="G733" s="8" t="inlineStr">
        <is>
          <t>C09@20261028-1e8f42c4</t>
        </is>
      </c>
      <c r="H733" s="8" t="n">
        <v>1</v>
      </c>
      <c r="I733" s="8" t="n">
        <v>1</v>
      </c>
      <c r="J733" s="8" t="inlineStr">
        <is>
          <t>What is the residency and intellectual property requirement that applicants must fulfill to be considered eligible for this governmental scheme?
The applicant must definitively be an Indian Citizen and must possess either a genuine innovative idea or a demonstrable invention.</t>
        </is>
      </c>
      <c r="K733" s="8" t="inlineStr">
        <is>
          <t>MS-C09</t>
        </is>
      </c>
      <c r="L733" s="9" t="n">
        <v>46323</v>
      </c>
      <c r="M733" s="8" t="inlineStr">
        <is>
          <t>Approved</t>
        </is>
      </c>
      <c r="N733" s="8" t="inlineStr">
        <is>
          <t>faq</t>
        </is>
      </c>
    </row>
    <row r="734" ht="82" customHeight="1">
      <c r="A734" s="4" t="inlineStr">
        <is>
          <t>C09-P0124</t>
        </is>
      </c>
      <c r="B734" s="4" t="inlineStr">
        <is>
          <t>C09</t>
        </is>
      </c>
      <c r="C734" s="4" t="inlineStr">
        <is>
          <t>PRISM (Promoting Innovations in Individuals, Start-ups and MSMEs): Category-2: Fabrication of Working Model/Process Know-how/Testing &amp; Trial/Patenting/Technology Transfer</t>
        </is>
      </c>
      <c r="D734" s="4" t="inlineStr">
        <is>
          <t>FAQ</t>
        </is>
      </c>
      <c r="E734" s="4" t="inlineStr"/>
      <c r="F734" s="4" t="inlineStr">
        <is>
          <t>faqs.en.faqs[11]</t>
        </is>
      </c>
      <c r="G734" s="4" t="inlineStr">
        <is>
          <t>C09@20261028-1e8f42c4</t>
        </is>
      </c>
      <c r="H734" s="4" t="n">
        <v>1</v>
      </c>
      <c r="I734" s="4" t="n">
        <v>1</v>
      </c>
      <c r="J734" s="4" t="inlineStr">
        <is>
          <t>If the primary objective of the proposal is only to register a patent for an existing invention, is this activity alone sufficient to qualify for the scheme's support?
No, proposals involving only patenting are generally not accepted; however, patenting is eligible if it is combined with parallel prototype development.</t>
        </is>
      </c>
      <c r="K734" s="4" t="inlineStr">
        <is>
          <t>MS-C09</t>
        </is>
      </c>
      <c r="L734" s="6" t="n">
        <v>46323</v>
      </c>
      <c r="M734" s="4" t="inlineStr">
        <is>
          <t>Approved</t>
        </is>
      </c>
      <c r="N734" s="4" t="inlineStr">
        <is>
          <t>faq</t>
        </is>
      </c>
    </row>
    <row r="735" ht="82" customHeight="1">
      <c r="A735" s="8" t="inlineStr">
        <is>
          <t>C09-P0125</t>
        </is>
      </c>
      <c r="B735" s="8" t="inlineStr">
        <is>
          <t>C09</t>
        </is>
      </c>
      <c r="C735" s="8" t="inlineStr">
        <is>
          <t>PRISM (Promoting Innovations in Individuals, Start-ups and MSMEs): Category-2: Fabrication of Working Model/Process Know-how/Testing &amp; Trial/Patenting/Technology Transfer</t>
        </is>
      </c>
      <c r="D735" s="8" t="inlineStr">
        <is>
          <t>FAQ</t>
        </is>
      </c>
      <c r="E735" s="8" t="inlineStr"/>
      <c r="F735" s="8" t="inlineStr">
        <is>
          <t>faqs.en.faqs[12]</t>
        </is>
      </c>
      <c r="G735" s="8" t="inlineStr">
        <is>
          <t>C09@20261028-1e8f42c4</t>
        </is>
      </c>
      <c r="H735" s="8" t="n">
        <v>1</v>
      </c>
      <c r="I735" s="8" t="n">
        <v>1</v>
      </c>
      <c r="J735" s="8" t="inlineStr">
        <is>
          <t>Which specific project expenses, related to personnel and facility usage, are explicitly designated as ineligible to receive financial support?
Support cannot be granted for the innovator’s personal salary or for covering rental expenses related to the use of facilities already owned by the applicant.</t>
        </is>
      </c>
      <c r="K735" s="8" t="inlineStr">
        <is>
          <t>MS-C09</t>
        </is>
      </c>
      <c r="L735" s="9" t="n">
        <v>46323</v>
      </c>
      <c r="M735" s="8" t="inlineStr">
        <is>
          <t>Approved</t>
        </is>
      </c>
      <c r="N735" s="8" t="inlineStr">
        <is>
          <t>faq</t>
        </is>
      </c>
    </row>
    <row r="736" ht="82" customHeight="1">
      <c r="A736" s="4" t="inlineStr">
        <is>
          <t>C09-P0126</t>
        </is>
      </c>
      <c r="B736" s="4" t="inlineStr">
        <is>
          <t>C09</t>
        </is>
      </c>
      <c r="C736" s="4" t="inlineStr">
        <is>
          <t>PRISM (Promoting Innovations in Individuals, Start-ups and MSMEs): Category-2: Fabrication of Working Model/Process Know-how/Testing &amp; Trial/Patenting/Technology Transfer</t>
        </is>
      </c>
      <c r="D736" s="4" t="inlineStr">
        <is>
          <t>FAQ</t>
        </is>
      </c>
      <c r="E736" s="4" t="inlineStr"/>
      <c r="F736" s="4" t="inlineStr">
        <is>
          <t>faqs.en.faqs[13]</t>
        </is>
      </c>
      <c r="G736" s="4" t="inlineStr">
        <is>
          <t>C09@20261028-1e8f42c4</t>
        </is>
      </c>
      <c r="H736" s="4" t="n">
        <v>1</v>
      </c>
      <c r="I736" s="4" t="n">
        <v>1</v>
      </c>
      <c r="J736" s="4" t="inlineStr">
        <is>
          <t>What specific sectors or technology intensive areas should I focus my innovation on to gain a preference during the proposal evaluation process?
Proposals are preferably focused on sectors such as Green Technology, Clean Energy, Affordable healthcare, Water &amp; sewage management, or Industrially utilizable smart materials.</t>
        </is>
      </c>
      <c r="K736" s="4" t="inlineStr">
        <is>
          <t>MS-C09</t>
        </is>
      </c>
      <c r="L736" s="6" t="n">
        <v>46323</v>
      </c>
      <c r="M736" s="4" t="inlineStr">
        <is>
          <t>Approved</t>
        </is>
      </c>
      <c r="N736" s="4" t="inlineStr">
        <is>
          <t>faq</t>
        </is>
      </c>
    </row>
    <row r="737" ht="152" customHeight="1">
      <c r="A737" s="8" t="inlineStr">
        <is>
          <t>C10-P0001</t>
        </is>
      </c>
      <c r="B737" s="8" t="inlineStr">
        <is>
          <t>C10</t>
        </is>
      </c>
      <c r="C737" s="8" t="inlineStr">
        <is>
          <t>Khadi Gramodyog Vikas Yojana: Khadi Vikas Yojana</t>
        </is>
      </c>
      <c r="D737" s="8" t="inlineStr">
        <is>
          <t>Details</t>
        </is>
      </c>
      <c r="E737" s="8" t="inlineStr"/>
      <c r="F737" s="8" t="inlineStr">
        <is>
          <t>en.schemeContent.detailedDescription[0].children[0]</t>
        </is>
      </c>
      <c r="G737" s="8" t="inlineStr">
        <is>
          <t>C10@20261028-8176375d</t>
        </is>
      </c>
      <c r="H737" s="8" t="n">
        <v>1</v>
      </c>
      <c r="I737" s="8" t="n">
        <v>1</v>
      </c>
      <c r="J737" s="8" t="inlineStr">
        <is>
          <t>The scheme "Khadi Vikas Yojana" is an umbrella scheme under "Khadi Gramodyog Vikas Yojana" and has been implemented by the Khadi and Village Industries Commission (KVIC), Ministry of Micro, Small and Medium Enterprises (MSME), Governemnt of India. It aims to support Khadi institutions and artisans by providing financial assistance, infrastructure development, interest subsidy, and marketing support. The scheme offers subsidies on Khadi production, reduces the interest burden on bank loans, facilitates the construction of worksheds for artisans, strengthens existing weak Khadi institutions, and enhances marketing infrastructure, including the renovation and modernization of sales outlets. Additionally, the scheme supports quality assurance initiatives, exhibitions, science and technology interventions, and the establishment of Centres of Excellence for Khadi</t>
        </is>
      </c>
      <c r="K737" s="8" t="inlineStr">
        <is>
          <t>MS-C10</t>
        </is>
      </c>
      <c r="L737" s="9" t="n">
        <v>46323</v>
      </c>
      <c r="M737" s="8" t="inlineStr">
        <is>
          <t>Approved</t>
        </is>
      </c>
      <c r="N737" s="8" t="inlineStr">
        <is>
          <t>paragraph</t>
        </is>
      </c>
    </row>
    <row r="738" ht="40" customHeight="1">
      <c r="A738" s="4" t="inlineStr">
        <is>
          <t>C10-P0002</t>
        </is>
      </c>
      <c r="B738" s="4" t="inlineStr">
        <is>
          <t>C10</t>
        </is>
      </c>
      <c r="C738" s="4" t="inlineStr">
        <is>
          <t>Khadi Gramodyog Vikas Yojana: Khadi Vikas Yojana</t>
        </is>
      </c>
      <c r="D738" s="4" t="inlineStr">
        <is>
          <t>Benefits</t>
        </is>
      </c>
      <c r="E738" s="4" t="inlineStr">
        <is>
          <t>Assistance provided under different components of Scheme:</t>
        </is>
      </c>
      <c r="F738" s="4" t="inlineStr">
        <is>
          <t>en.schemeContent.benefits[0]</t>
        </is>
      </c>
      <c r="G738" s="4" t="inlineStr">
        <is>
          <t>C10@20261028-8176375d</t>
        </is>
      </c>
      <c r="H738" s="4" t="n">
        <v>1</v>
      </c>
      <c r="I738" s="4" t="n">
        <v>1</v>
      </c>
      <c r="J738" s="4" t="inlineStr">
        <is>
          <t>Assistance provided under different components of Scheme:</t>
        </is>
      </c>
      <c r="K738" s="4" t="inlineStr">
        <is>
          <t>MS-C10</t>
        </is>
      </c>
      <c r="L738" s="6" t="n">
        <v>46323</v>
      </c>
      <c r="M738" s="4" t="inlineStr">
        <is>
          <t>Approved</t>
        </is>
      </c>
      <c r="N738" s="4" t="inlineStr">
        <is>
          <t>paragraph</t>
        </is>
      </c>
    </row>
    <row r="739" ht="40" customHeight="1">
      <c r="A739" s="8" t="inlineStr">
        <is>
          <t>C10-P0003</t>
        </is>
      </c>
      <c r="B739" s="8" t="inlineStr">
        <is>
          <t>C10</t>
        </is>
      </c>
      <c r="C739" s="8" t="inlineStr">
        <is>
          <t>Khadi Gramodyog Vikas Yojana: Khadi Vikas Yojana</t>
        </is>
      </c>
      <c r="D739" s="8" t="inlineStr">
        <is>
          <t>Benefits</t>
        </is>
      </c>
      <c r="E739" s="8" t="inlineStr">
        <is>
          <t>Modified Market Development Assistance (MMDA):</t>
        </is>
      </c>
      <c r="F739" s="8" t="inlineStr">
        <is>
          <t>en.schemeContent.benefits[1]</t>
        </is>
      </c>
      <c r="G739" s="8" t="inlineStr">
        <is>
          <t>C10@20261028-8176375d</t>
        </is>
      </c>
      <c r="H739" s="8" t="n">
        <v>1</v>
      </c>
      <c r="I739" s="8" t="n">
        <v>1</v>
      </c>
      <c r="J739" s="8" t="inlineStr">
        <is>
          <t>Modified Market Development Assistance (MMDA):</t>
        </is>
      </c>
      <c r="K739" s="8" t="inlineStr">
        <is>
          <t>MS-C10</t>
        </is>
      </c>
      <c r="L739" s="9" t="n">
        <v>46323</v>
      </c>
      <c r="M739" s="8" t="inlineStr">
        <is>
          <t>Approved</t>
        </is>
      </c>
      <c r="N739" s="8" t="inlineStr">
        <is>
          <t>paragraph</t>
        </is>
      </c>
    </row>
    <row r="740" ht="40" customHeight="1">
      <c r="A740" s="4" t="inlineStr">
        <is>
          <t>C10-P0004</t>
        </is>
      </c>
      <c r="B740" s="4" t="inlineStr">
        <is>
          <t>C10</t>
        </is>
      </c>
      <c r="C740" s="4" t="inlineStr">
        <is>
          <t>Khadi Gramodyog Vikas Yojana: Khadi Vikas Yojana</t>
        </is>
      </c>
      <c r="D740" s="4" t="inlineStr">
        <is>
          <t>Benefits</t>
        </is>
      </c>
      <c r="E740" s="4" t="inlineStr">
        <is>
          <t>Modified Market Development Assistance (MMDA):</t>
        </is>
      </c>
      <c r="F740" s="4" t="inlineStr">
        <is>
          <t>en.schemeContent.benefits[2].children[0].children[0]</t>
        </is>
      </c>
      <c r="G740" s="4" t="inlineStr">
        <is>
          <t>C10@20261028-8176375d</t>
        </is>
      </c>
      <c r="H740" s="4" t="n">
        <v>1</v>
      </c>
      <c r="I740" s="4" t="n">
        <v>1</v>
      </c>
      <c r="J740" s="4" t="inlineStr">
        <is>
          <t>Subsidy @ 35% on Prime Cost for Cotton/Muslin, Wool and Polyvastra and @ 20% on Prime Cost for Silk Khadi</t>
        </is>
      </c>
      <c r="K740" s="4" t="inlineStr">
        <is>
          <t>MS-C10</t>
        </is>
      </c>
      <c r="L740" s="6" t="n">
        <v>46323</v>
      </c>
      <c r="M740" s="4" t="inlineStr">
        <is>
          <t>Approved</t>
        </is>
      </c>
      <c r="N740" s="4" t="inlineStr">
        <is>
          <t>list_item</t>
        </is>
      </c>
    </row>
    <row r="741" ht="40" customHeight="1">
      <c r="A741" s="8" t="inlineStr">
        <is>
          <t>C10-P0005</t>
        </is>
      </c>
      <c r="B741" s="8" t="inlineStr">
        <is>
          <t>C10</t>
        </is>
      </c>
      <c r="C741" s="8" t="inlineStr">
        <is>
          <t>Khadi Gramodyog Vikas Yojana: Khadi Vikas Yojana</t>
        </is>
      </c>
      <c r="D741" s="8" t="inlineStr">
        <is>
          <t>Benefits</t>
        </is>
      </c>
      <c r="E741" s="8" t="inlineStr">
        <is>
          <t>Interest Subsidy Eligibility Certificate Scheme (ISEC):</t>
        </is>
      </c>
      <c r="F741" s="8" t="inlineStr">
        <is>
          <t>en.schemeContent.benefits[2].children[1]</t>
        </is>
      </c>
      <c r="G741" s="8" t="inlineStr">
        <is>
          <t>C10@20261028-8176375d</t>
        </is>
      </c>
      <c r="H741" s="8" t="n">
        <v>1</v>
      </c>
      <c r="I741" s="8" t="n">
        <v>1</v>
      </c>
      <c r="J741" s="8" t="inlineStr">
        <is>
          <t>Interest Subsidy Eligibility Certificate Scheme (ISEC):</t>
        </is>
      </c>
      <c r="K741" s="8" t="inlineStr">
        <is>
          <t>MS-C10</t>
        </is>
      </c>
      <c r="L741" s="9" t="n">
        <v>46323</v>
      </c>
      <c r="M741" s="8" t="inlineStr">
        <is>
          <t>Approved</t>
        </is>
      </c>
      <c r="N741" s="8" t="inlineStr">
        <is>
          <t>paragraph</t>
        </is>
      </c>
    </row>
    <row r="742" ht="40" customHeight="1">
      <c r="A742" s="4" t="inlineStr">
        <is>
          <t>C10-P0006</t>
        </is>
      </c>
      <c r="B742" s="4" t="inlineStr">
        <is>
          <t>C10</t>
        </is>
      </c>
      <c r="C742" s="4" t="inlineStr">
        <is>
          <t>Khadi Gramodyog Vikas Yojana: Khadi Vikas Yojana</t>
        </is>
      </c>
      <c r="D742" s="4" t="inlineStr">
        <is>
          <t>Benefits</t>
        </is>
      </c>
      <c r="E742" s="4" t="inlineStr">
        <is>
          <t>Interest Subsidy Eligibility Certificate Scheme (ISEC):</t>
        </is>
      </c>
      <c r="F742" s="4" t="inlineStr">
        <is>
          <t>en.schemeContent.benefits[2].children[2].children[0]</t>
        </is>
      </c>
      <c r="G742" s="4" t="inlineStr">
        <is>
          <t>C10@20261028-8176375d</t>
        </is>
      </c>
      <c r="H742" s="4" t="n">
        <v>1</v>
      </c>
      <c r="I742" s="4" t="n">
        <v>1</v>
      </c>
      <c r="J742" s="4" t="inlineStr">
        <is>
          <t>Khadi Institution is required to pay only 4% interest rate. The difference between the actual Interest charged by the Bank and 4% is borne by the KVIC as “Interest Subsidy”.</t>
        </is>
      </c>
      <c r="K742" s="4" t="inlineStr">
        <is>
          <t>MS-C10</t>
        </is>
      </c>
      <c r="L742" s="6" t="n">
        <v>46323</v>
      </c>
      <c r="M742" s="4" t="inlineStr">
        <is>
          <t>Approved</t>
        </is>
      </c>
      <c r="N742" s="4" t="inlineStr">
        <is>
          <t>list_item</t>
        </is>
      </c>
    </row>
    <row r="743" ht="40" customHeight="1">
      <c r="A743" s="8" t="inlineStr">
        <is>
          <t>C10-P0007</t>
        </is>
      </c>
      <c r="B743" s="8" t="inlineStr">
        <is>
          <t>C10</t>
        </is>
      </c>
      <c r="C743" s="8" t="inlineStr">
        <is>
          <t>Khadi Gramodyog Vikas Yojana: Khadi Vikas Yojana</t>
        </is>
      </c>
      <c r="D743" s="8" t="inlineStr">
        <is>
          <t>Benefits</t>
        </is>
      </c>
      <c r="E743" s="8" t="inlineStr">
        <is>
          <t>Work-shed Scheme for Khadi Artisans:</t>
        </is>
      </c>
      <c r="F743" s="8" t="inlineStr">
        <is>
          <t>en.schemeContent.benefits[3]</t>
        </is>
      </c>
      <c r="G743" s="8" t="inlineStr">
        <is>
          <t>C10@20261028-8176375d</t>
        </is>
      </c>
      <c r="H743" s="8" t="n">
        <v>1</v>
      </c>
      <c r="I743" s="8" t="n">
        <v>1</v>
      </c>
      <c r="J743" s="8" t="inlineStr">
        <is>
          <t>Work-shed Scheme for Khadi Artisans:</t>
        </is>
      </c>
      <c r="K743" s="8" t="inlineStr">
        <is>
          <t>MS-C10</t>
        </is>
      </c>
      <c r="L743" s="9" t="n">
        <v>46323</v>
      </c>
      <c r="M743" s="8" t="inlineStr">
        <is>
          <t>Approved</t>
        </is>
      </c>
      <c r="N743" s="8" t="inlineStr">
        <is>
          <t>paragraph</t>
        </is>
      </c>
    </row>
    <row r="744" ht="40" customHeight="1">
      <c r="A744" s="4" t="inlineStr">
        <is>
          <t>C10-P0008</t>
        </is>
      </c>
      <c r="B744" s="4" t="inlineStr">
        <is>
          <t>C10</t>
        </is>
      </c>
      <c r="C744" s="4" t="inlineStr">
        <is>
          <t>Khadi Gramodyog Vikas Yojana: Khadi Vikas Yojana</t>
        </is>
      </c>
      <c r="D744" s="4" t="inlineStr">
        <is>
          <t>Benefits</t>
        </is>
      </c>
      <c r="E744" s="4" t="inlineStr">
        <is>
          <t>Work-shed Scheme for Khadi Artisans:</t>
        </is>
      </c>
      <c r="F744" s="4" t="inlineStr">
        <is>
          <t>en.schemeContent.benefits[4].children[0].children[0]</t>
        </is>
      </c>
      <c r="G744" s="4" t="inlineStr">
        <is>
          <t>C10@20261028-8176375d</t>
        </is>
      </c>
      <c r="H744" s="4" t="n">
        <v>1</v>
      </c>
      <c r="I744" s="4" t="n">
        <v>1</v>
      </c>
      <c r="J744" s="4" t="inlineStr">
        <is>
          <t>Individual workshed (20 Sq. mtrs): ₹1,20,000/- or 75% of the cost of workshed including toilet (90% for NER), whichever is less.</t>
        </is>
      </c>
      <c r="K744" s="4" t="inlineStr">
        <is>
          <t>MS-C10</t>
        </is>
      </c>
      <c r="L744" s="6" t="n">
        <v>46323</v>
      </c>
      <c r="M744" s="4" t="inlineStr">
        <is>
          <t>Approved</t>
        </is>
      </c>
      <c r="N744" s="4" t="inlineStr">
        <is>
          <t>list_item</t>
        </is>
      </c>
    </row>
    <row r="745" ht="40" customHeight="1">
      <c r="A745" s="8" t="inlineStr">
        <is>
          <t>C10-P0009</t>
        </is>
      </c>
      <c r="B745" s="8" t="inlineStr">
        <is>
          <t>C10</t>
        </is>
      </c>
      <c r="C745" s="8" t="inlineStr">
        <is>
          <t>Khadi Gramodyog Vikas Yojana: Khadi Vikas Yojana</t>
        </is>
      </c>
      <c r="D745" s="8" t="inlineStr">
        <is>
          <t>Benefits</t>
        </is>
      </c>
      <c r="E745" s="8" t="inlineStr">
        <is>
          <t>Work-shed Scheme for Khadi Artisans:</t>
        </is>
      </c>
      <c r="F745" s="8" t="inlineStr">
        <is>
          <t>en.schemeContent.benefits[4].children[0].children[1]</t>
        </is>
      </c>
      <c r="G745" s="8" t="inlineStr">
        <is>
          <t>C10@20261028-8176375d</t>
        </is>
      </c>
      <c r="H745" s="8" t="n">
        <v>1</v>
      </c>
      <c r="I745" s="8" t="n">
        <v>1</v>
      </c>
      <c r="J745" s="8" t="inlineStr">
        <is>
          <t>Group workshed (10 Sq. mtrs per artisans): ₹80,000 or 75% of the cost of the workshed including toilet (90% for NER), whichever is less.</t>
        </is>
      </c>
      <c r="K745" s="8" t="inlineStr">
        <is>
          <t>MS-C10</t>
        </is>
      </c>
      <c r="L745" s="9" t="n">
        <v>46323</v>
      </c>
      <c r="M745" s="8" t="inlineStr">
        <is>
          <t>Approved</t>
        </is>
      </c>
      <c r="N745" s="8" t="inlineStr">
        <is>
          <t>list_item</t>
        </is>
      </c>
    </row>
    <row r="746" ht="40" customHeight="1">
      <c r="A746" s="4" t="inlineStr">
        <is>
          <t>C10-P0010</t>
        </is>
      </c>
      <c r="B746" s="4" t="inlineStr">
        <is>
          <t>C10</t>
        </is>
      </c>
      <c r="C746" s="4" t="inlineStr">
        <is>
          <t>Khadi Gramodyog Vikas Yojana: Khadi Vikas Yojana</t>
        </is>
      </c>
      <c r="D746" s="4" t="inlineStr">
        <is>
          <t>Benefits</t>
        </is>
      </c>
      <c r="E746" s="4" t="inlineStr">
        <is>
          <t>Strengthening Infrastructure of Existing Weak Khadi Institutions and Assistance for Marketing Infrastructure:</t>
        </is>
      </c>
      <c r="F746" s="4" t="inlineStr">
        <is>
          <t>en.schemeContent.benefits[5]</t>
        </is>
      </c>
      <c r="G746" s="4" t="inlineStr">
        <is>
          <t>C10@20261028-8176375d</t>
        </is>
      </c>
      <c r="H746" s="4" t="n">
        <v>1</v>
      </c>
      <c r="I746" s="4" t="n">
        <v>1</v>
      </c>
      <c r="J746" s="4" t="inlineStr">
        <is>
          <t>Strengthening Infrastructure of Existing Weak Khadi Institutions and Assistance for Marketing Infrastructure:</t>
        </is>
      </c>
      <c r="K746" s="4" t="inlineStr">
        <is>
          <t>MS-C10</t>
        </is>
      </c>
      <c r="L746" s="6" t="n">
        <v>46323</v>
      </c>
      <c r="M746" s="4" t="inlineStr">
        <is>
          <t>Approved</t>
        </is>
      </c>
      <c r="N746" s="4" t="inlineStr">
        <is>
          <t>paragraph</t>
        </is>
      </c>
    </row>
    <row r="747" ht="40" customHeight="1">
      <c r="A747" s="8" t="inlineStr">
        <is>
          <t>C10-P0011</t>
        </is>
      </c>
      <c r="B747" s="8" t="inlineStr">
        <is>
          <t>C10</t>
        </is>
      </c>
      <c r="C747" s="8" t="inlineStr">
        <is>
          <t>Khadi Gramodyog Vikas Yojana: Khadi Vikas Yojana</t>
        </is>
      </c>
      <c r="D747" s="8" t="inlineStr">
        <is>
          <t>Benefits</t>
        </is>
      </c>
      <c r="E747" s="8" t="inlineStr">
        <is>
          <t>Strengthening Infrastructure of Existing Weak Khadi Institutions and Assistance for Marketing Infrastructure:</t>
        </is>
      </c>
      <c r="F747" s="8" t="inlineStr">
        <is>
          <t>en.schemeContent.benefits[6].children[0].children[0]</t>
        </is>
      </c>
      <c r="G747" s="8" t="inlineStr">
        <is>
          <t>C10@20261028-8176375d</t>
        </is>
      </c>
      <c r="H747" s="8" t="n">
        <v>1</v>
      </c>
      <c r="I747" s="8" t="n">
        <v>1</v>
      </c>
      <c r="J747" s="8" t="inlineStr">
        <is>
          <t>Financial assistance for revival of khadi institution with ceiling limit of ₹15.00 lakh(Capital Expenditure +working fund).</t>
        </is>
      </c>
      <c r="K747" s="8" t="inlineStr">
        <is>
          <t>MS-C10</t>
        </is>
      </c>
      <c r="L747" s="9" t="n">
        <v>46323</v>
      </c>
      <c r="M747" s="8" t="inlineStr">
        <is>
          <t>Approved</t>
        </is>
      </c>
      <c r="N747" s="8" t="inlineStr">
        <is>
          <t>list_item</t>
        </is>
      </c>
    </row>
    <row r="748" ht="40" customHeight="1">
      <c r="A748" s="4" t="inlineStr">
        <is>
          <t>C10-P0012</t>
        </is>
      </c>
      <c r="B748" s="4" t="inlineStr">
        <is>
          <t>C10</t>
        </is>
      </c>
      <c r="C748" s="4" t="inlineStr">
        <is>
          <t>Khadi Gramodyog Vikas Yojana: Khadi Vikas Yojana</t>
        </is>
      </c>
      <c r="D748" s="4" t="inlineStr">
        <is>
          <t>Benefits</t>
        </is>
      </c>
      <c r="E748" s="4" t="inlineStr">
        <is>
          <t>Strengthening Infrastructure of Existing Weak Khadi Institutions and Assistance for Marketing Infrastructure:</t>
        </is>
      </c>
      <c r="F748" s="4" t="inlineStr">
        <is>
          <t>en.schemeContent.benefits[6].children[0].children[1]</t>
        </is>
      </c>
      <c r="G748" s="4" t="inlineStr">
        <is>
          <t>C10@20261028-8176375d</t>
        </is>
      </c>
      <c r="H748" s="4" t="n">
        <v>1</v>
      </c>
      <c r="I748" s="4" t="n">
        <v>1</v>
      </c>
      <c r="J748" s="4" t="inlineStr">
        <is>
          <t>Financial assistance under Marketing Infrastructure for renovation of departmental sales outlets of KVIC /KVIB and institutional sales with the ceiling limit of ₹25.00 lakh.</t>
        </is>
      </c>
      <c r="K748" s="4" t="inlineStr">
        <is>
          <t>MS-C10</t>
        </is>
      </c>
      <c r="L748" s="6" t="n">
        <v>46323</v>
      </c>
      <c r="M748" s="4" t="inlineStr">
        <is>
          <t>Approved</t>
        </is>
      </c>
      <c r="N748" s="4" t="inlineStr">
        <is>
          <t>list_item</t>
        </is>
      </c>
    </row>
    <row r="749" ht="40" customHeight="1">
      <c r="A749" s="8" t="inlineStr">
        <is>
          <t>C10-P0013</t>
        </is>
      </c>
      <c r="B749" s="8" t="inlineStr">
        <is>
          <t>C10</t>
        </is>
      </c>
      <c r="C749" s="8" t="inlineStr">
        <is>
          <t>Khadi Gramodyog Vikas Yojana: Khadi Vikas Yojana</t>
        </is>
      </c>
      <c r="D749" s="8" t="inlineStr">
        <is>
          <t>Benefits</t>
        </is>
      </c>
      <c r="E749" s="8" t="inlineStr">
        <is>
          <t>Other Components:</t>
        </is>
      </c>
      <c r="F749" s="8" t="inlineStr">
        <is>
          <t>en.schemeContent.benefits[6].children[1]</t>
        </is>
      </c>
      <c r="G749" s="8" t="inlineStr">
        <is>
          <t>C10@20261028-8176375d</t>
        </is>
      </c>
      <c r="H749" s="8" t="n">
        <v>1</v>
      </c>
      <c r="I749" s="8" t="n">
        <v>1</v>
      </c>
      <c r="J749" s="8" t="inlineStr">
        <is>
          <t>Other Components:</t>
        </is>
      </c>
      <c r="K749" s="8" t="inlineStr">
        <is>
          <t>MS-C10</t>
        </is>
      </c>
      <c r="L749" s="9" t="n">
        <v>46323</v>
      </c>
      <c r="M749" s="8" t="inlineStr">
        <is>
          <t>Approved</t>
        </is>
      </c>
      <c r="N749" s="8" t="inlineStr">
        <is>
          <t>paragraph</t>
        </is>
      </c>
    </row>
    <row r="750" ht="40" customHeight="1">
      <c r="A750" s="4" t="inlineStr">
        <is>
          <t>C10-P0014</t>
        </is>
      </c>
      <c r="B750" s="4" t="inlineStr">
        <is>
          <t>C10</t>
        </is>
      </c>
      <c r="C750" s="4" t="inlineStr">
        <is>
          <t>Khadi Gramodyog Vikas Yojana: Khadi Vikas Yojana</t>
        </is>
      </c>
      <c r="D750" s="4" t="inlineStr">
        <is>
          <t>Benefits</t>
        </is>
      </c>
      <c r="E750" s="4" t="inlineStr">
        <is>
          <t>Other Components:</t>
        </is>
      </c>
      <c r="F750" s="4" t="inlineStr">
        <is>
          <t>en.schemeContent.benefits[6].children[2].children[0]</t>
        </is>
      </c>
      <c r="G750" s="4" t="inlineStr">
        <is>
          <t>C10@20261028-8176375d</t>
        </is>
      </c>
      <c r="H750" s="4" t="n">
        <v>1</v>
      </c>
      <c r="I750" s="4" t="n">
        <v>1</v>
      </c>
      <c r="J750" s="4" t="inlineStr">
        <is>
          <t>Centre of Excellence for Khadi</t>
        </is>
      </c>
      <c r="K750" s="4" t="inlineStr">
        <is>
          <t>MS-C10</t>
        </is>
      </c>
      <c r="L750" s="6" t="n">
        <v>46323</v>
      </c>
      <c r="M750" s="4" t="inlineStr">
        <is>
          <t>Approved</t>
        </is>
      </c>
      <c r="N750" s="4" t="inlineStr">
        <is>
          <t>list_item</t>
        </is>
      </c>
    </row>
    <row r="751" ht="40" customHeight="1">
      <c r="A751" s="8" t="inlineStr">
        <is>
          <t>C10-P0015</t>
        </is>
      </c>
      <c r="B751" s="8" t="inlineStr">
        <is>
          <t>C10</t>
        </is>
      </c>
      <c r="C751" s="8" t="inlineStr">
        <is>
          <t>Khadi Gramodyog Vikas Yojana: Khadi Vikas Yojana</t>
        </is>
      </c>
      <c r="D751" s="8" t="inlineStr">
        <is>
          <t>Benefits</t>
        </is>
      </c>
      <c r="E751" s="8" t="inlineStr">
        <is>
          <t>Other Components:</t>
        </is>
      </c>
      <c r="F751" s="8" t="inlineStr">
        <is>
          <t>en.schemeContent.benefits[6].children[2].children[1]</t>
        </is>
      </c>
      <c r="G751" s="8" t="inlineStr">
        <is>
          <t>C10@20261028-8176375d</t>
        </is>
      </c>
      <c r="H751" s="8" t="n">
        <v>1</v>
      </c>
      <c r="I751" s="8" t="n">
        <v>1</v>
      </c>
      <c r="J751" s="8" t="inlineStr">
        <is>
          <t>Khadi Quality Assurance</t>
        </is>
      </c>
      <c r="K751" s="8" t="inlineStr">
        <is>
          <t>MS-C10</t>
        </is>
      </c>
      <c r="L751" s="9" t="n">
        <v>46323</v>
      </c>
      <c r="M751" s="8" t="inlineStr">
        <is>
          <t>Approved</t>
        </is>
      </c>
      <c r="N751" s="8" t="inlineStr">
        <is>
          <t>list_item</t>
        </is>
      </c>
    </row>
    <row r="752" ht="40" customHeight="1">
      <c r="A752" s="4" t="inlineStr">
        <is>
          <t>C10-P0016</t>
        </is>
      </c>
      <c r="B752" s="4" t="inlineStr">
        <is>
          <t>C10</t>
        </is>
      </c>
      <c r="C752" s="4" t="inlineStr">
        <is>
          <t>Khadi Gramodyog Vikas Yojana: Khadi Vikas Yojana</t>
        </is>
      </c>
      <c r="D752" s="4" t="inlineStr">
        <is>
          <t>Benefits</t>
        </is>
      </c>
      <c r="E752" s="4" t="inlineStr">
        <is>
          <t>Other Components:</t>
        </is>
      </c>
      <c r="F752" s="4" t="inlineStr">
        <is>
          <t>en.schemeContent.benefits[6].children[2].children[2]</t>
        </is>
      </c>
      <c r="G752" s="4" t="inlineStr">
        <is>
          <t>C10@20261028-8176375d</t>
        </is>
      </c>
      <c r="H752" s="4" t="n">
        <v>1</v>
      </c>
      <c r="I752" s="4" t="n">
        <v>1</v>
      </c>
      <c r="J752" s="4" t="inlineStr">
        <is>
          <t>Marketing(Exhibition)</t>
        </is>
      </c>
      <c r="K752" s="4" t="inlineStr">
        <is>
          <t>MS-C10</t>
        </is>
      </c>
      <c r="L752" s="6" t="n">
        <v>46323</v>
      </c>
      <c r="M752" s="4" t="inlineStr">
        <is>
          <t>Approved</t>
        </is>
      </c>
      <c r="N752" s="4" t="inlineStr">
        <is>
          <t>list_item</t>
        </is>
      </c>
    </row>
    <row r="753" ht="40" customHeight="1">
      <c r="A753" s="8" t="inlineStr">
        <is>
          <t>C10-P0017</t>
        </is>
      </c>
      <c r="B753" s="8" t="inlineStr">
        <is>
          <t>C10</t>
        </is>
      </c>
      <c r="C753" s="8" t="inlineStr">
        <is>
          <t>Khadi Gramodyog Vikas Yojana: Khadi Vikas Yojana</t>
        </is>
      </c>
      <c r="D753" s="8" t="inlineStr">
        <is>
          <t>Benefits</t>
        </is>
      </c>
      <c r="E753" s="8" t="inlineStr">
        <is>
          <t>Other Components:</t>
        </is>
      </c>
      <c r="F753" s="8" t="inlineStr">
        <is>
          <t>en.schemeContent.benefits[6].children[2].children[3]</t>
        </is>
      </c>
      <c r="G753" s="8" t="inlineStr">
        <is>
          <t>C10@20261028-8176375d</t>
        </is>
      </c>
      <c r="H753" s="8" t="n">
        <v>1</v>
      </c>
      <c r="I753" s="8" t="n">
        <v>1</v>
      </c>
      <c r="J753" s="8" t="inlineStr">
        <is>
          <t>Science &amp; Technology (S&amp;T)</t>
        </is>
      </c>
      <c r="K753" s="8" t="inlineStr">
        <is>
          <t>MS-C10</t>
        </is>
      </c>
      <c r="L753" s="9" t="n">
        <v>46323</v>
      </c>
      <c r="M753" s="8" t="inlineStr">
        <is>
          <t>Approved</t>
        </is>
      </c>
      <c r="N753" s="8" t="inlineStr">
        <is>
          <t>list_item</t>
        </is>
      </c>
    </row>
    <row r="754" ht="40" customHeight="1">
      <c r="A754" s="4" t="inlineStr">
        <is>
          <t>C10-P0018</t>
        </is>
      </c>
      <c r="B754" s="4" t="inlineStr">
        <is>
          <t>C10</t>
        </is>
      </c>
      <c r="C754" s="4" t="inlineStr">
        <is>
          <t>Khadi Gramodyog Vikas Yojana: Khadi Vikas Yojana</t>
        </is>
      </c>
      <c r="D754" s="4" t="inlineStr">
        <is>
          <t>Eligibility</t>
        </is>
      </c>
      <c r="E754" s="4" t="inlineStr"/>
      <c r="F754" s="4" t="inlineStr">
        <is>
          <t>en.eligibilityCriteria.eligibilityDescription[0].children[0]</t>
        </is>
      </c>
      <c r="G754" s="4" t="inlineStr">
        <is>
          <t>C10@20261028-8176375d</t>
        </is>
      </c>
      <c r="H754" s="4" t="n">
        <v>1</v>
      </c>
      <c r="I754" s="4" t="n">
        <v>1</v>
      </c>
      <c r="J754" s="4" t="inlineStr">
        <is>
          <t>The applicant must be a Khadi artisan or Khadi Institution registered with KVIC or KVIB.</t>
        </is>
      </c>
      <c r="K754" s="4" t="inlineStr">
        <is>
          <t>MS-C10</t>
        </is>
      </c>
      <c r="L754" s="6" t="n">
        <v>46323</v>
      </c>
      <c r="M754" s="4" t="inlineStr">
        <is>
          <t>Approved</t>
        </is>
      </c>
      <c r="N754" s="4" t="inlineStr">
        <is>
          <t>list_item</t>
        </is>
      </c>
    </row>
    <row r="755" ht="40" customHeight="1">
      <c r="A755" s="8" t="inlineStr">
        <is>
          <t>C10-P0019</t>
        </is>
      </c>
      <c r="B755" s="8" t="inlineStr">
        <is>
          <t>C10</t>
        </is>
      </c>
      <c r="C755" s="8" t="inlineStr">
        <is>
          <t>Khadi Gramodyog Vikas Yojana: Khadi Vikas Yojana</t>
        </is>
      </c>
      <c r="D755" s="8" t="inlineStr">
        <is>
          <t>Eligibility</t>
        </is>
      </c>
      <c r="E755" s="8" t="inlineStr"/>
      <c r="F755" s="8" t="inlineStr">
        <is>
          <t>en.eligibilityCriteria.eligibilityDescription[0].children[1]</t>
        </is>
      </c>
      <c r="G755" s="8" t="inlineStr">
        <is>
          <t>C10@20261028-8176375d</t>
        </is>
      </c>
      <c r="H755" s="8" t="n">
        <v>1</v>
      </c>
      <c r="I755" s="8" t="n">
        <v>1</v>
      </c>
      <c r="J755" s="8" t="inlineStr">
        <is>
          <t>The applicant must be between 18 to 55 years of age.</t>
        </is>
      </c>
      <c r="K755" s="8" t="inlineStr">
        <is>
          <t>MS-C10</t>
        </is>
      </c>
      <c r="L755" s="9" t="n">
        <v>46323</v>
      </c>
      <c r="M755" s="8" t="inlineStr">
        <is>
          <t>Approved</t>
        </is>
      </c>
      <c r="N755" s="8" t="inlineStr">
        <is>
          <t>list_item</t>
        </is>
      </c>
    </row>
    <row r="756" ht="40" customHeight="1">
      <c r="A756" s="4" t="inlineStr">
        <is>
          <t>C10-P0020</t>
        </is>
      </c>
      <c r="B756" s="4" t="inlineStr">
        <is>
          <t>C10</t>
        </is>
      </c>
      <c r="C756" s="4" t="inlineStr">
        <is>
          <t>Khadi Gramodyog Vikas Yojana: Khadi Vikas Yojana</t>
        </is>
      </c>
      <c r="D756" s="4" t="inlineStr">
        <is>
          <t>Eligibility</t>
        </is>
      </c>
      <c r="E756" s="4" t="inlineStr"/>
      <c r="F756" s="4" t="inlineStr">
        <is>
          <t>en.eligibilityCriteria.eligibilityDescription[0].children[2]</t>
        </is>
      </c>
      <c r="G756" s="4" t="inlineStr">
        <is>
          <t>C10@20261028-8176375d</t>
        </is>
      </c>
      <c r="H756" s="4" t="n">
        <v>1</v>
      </c>
      <c r="I756" s="4" t="n">
        <v>1</v>
      </c>
      <c r="J756" s="4" t="inlineStr">
        <is>
          <t>The applicant must have a valid Aadhaar card or government-issued ID.</t>
        </is>
      </c>
      <c r="K756" s="4" t="inlineStr">
        <is>
          <t>MS-C10</t>
        </is>
      </c>
      <c r="L756" s="6" t="n">
        <v>46323</v>
      </c>
      <c r="M756" s="4" t="inlineStr">
        <is>
          <t>Approved</t>
        </is>
      </c>
      <c r="N756" s="4" t="inlineStr">
        <is>
          <t>list_item</t>
        </is>
      </c>
    </row>
    <row r="757" ht="40" customHeight="1">
      <c r="A757" s="8" t="inlineStr">
        <is>
          <t>C10-P0021</t>
        </is>
      </c>
      <c r="B757" s="8" t="inlineStr">
        <is>
          <t>C10</t>
        </is>
      </c>
      <c r="C757" s="8" t="inlineStr">
        <is>
          <t>Khadi Gramodyog Vikas Yojana: Khadi Vikas Yojana</t>
        </is>
      </c>
      <c r="D757" s="8" t="inlineStr">
        <is>
          <t>Eligibility</t>
        </is>
      </c>
      <c r="E757" s="8" t="inlineStr"/>
      <c r="F757" s="8" t="inlineStr">
        <is>
          <t>en.eligibilityCriteria.eligibilityDescription[0].children[3]</t>
        </is>
      </c>
      <c r="G757" s="8" t="inlineStr">
        <is>
          <t>C10@20261028-8176375d</t>
        </is>
      </c>
      <c r="H757" s="8" t="n">
        <v>1</v>
      </c>
      <c r="I757" s="8" t="n">
        <v>1</v>
      </c>
      <c r="J757" s="8" t="inlineStr">
        <is>
          <t>One person per family is eligible under the scheme.</t>
        </is>
      </c>
      <c r="K757" s="8" t="inlineStr">
        <is>
          <t>MS-C10</t>
        </is>
      </c>
      <c r="L757" s="9" t="n">
        <v>46323</v>
      </c>
      <c r="M757" s="8" t="inlineStr">
        <is>
          <t>Approved</t>
        </is>
      </c>
      <c r="N757" s="8" t="inlineStr">
        <is>
          <t>list_item</t>
        </is>
      </c>
    </row>
    <row r="758" ht="40" customHeight="1">
      <c r="A758" s="4" t="inlineStr">
        <is>
          <t>C10-P0022</t>
        </is>
      </c>
      <c r="B758" s="4" t="inlineStr">
        <is>
          <t>C10</t>
        </is>
      </c>
      <c r="C758" s="4" t="inlineStr">
        <is>
          <t>Khadi Gramodyog Vikas Yojana: Khadi Vikas Yojana</t>
        </is>
      </c>
      <c r="D758" s="4" t="inlineStr">
        <is>
          <t>Eligibility</t>
        </is>
      </c>
      <c r="E758" s="4" t="inlineStr"/>
      <c r="F758" s="4" t="inlineStr">
        <is>
          <t>en.eligibilityCriteria.eligibilityDescription[0].children[4]</t>
        </is>
      </c>
      <c r="G758" s="4" t="inlineStr">
        <is>
          <t>C10@20261028-8176375d</t>
        </is>
      </c>
      <c r="H758" s="4" t="n">
        <v>1</v>
      </c>
      <c r="I758" s="4" t="n">
        <v>1</v>
      </c>
      <c r="J758" s="4" t="inlineStr">
        <is>
          <t>The applicant should not have availed benefits from any other government scheme for the same purpose.</t>
        </is>
      </c>
      <c r="K758" s="4" t="inlineStr">
        <is>
          <t>MS-C10</t>
        </is>
      </c>
      <c r="L758" s="6" t="n">
        <v>46323</v>
      </c>
      <c r="M758" s="4" t="inlineStr">
        <is>
          <t>Approved</t>
        </is>
      </c>
      <c r="N758" s="4" t="inlineStr">
        <is>
          <t>list_item</t>
        </is>
      </c>
    </row>
    <row r="759" ht="40" customHeight="1">
      <c r="A759" s="8" t="inlineStr">
        <is>
          <t>C10-P0023</t>
        </is>
      </c>
      <c r="B759" s="8" t="inlineStr">
        <is>
          <t>C10</t>
        </is>
      </c>
      <c r="C759" s="8" t="inlineStr">
        <is>
          <t>Khadi Gramodyog Vikas Yojana: Khadi Vikas Yojana</t>
        </is>
      </c>
      <c r="D759" s="8" t="inlineStr">
        <is>
          <t>Eligibility</t>
        </is>
      </c>
      <c r="E759" s="8" t="inlineStr"/>
      <c r="F759" s="8" t="inlineStr">
        <is>
          <t>en.eligibilityCriteria.eligibilityDescription[0].children[5]</t>
        </is>
      </c>
      <c r="G759" s="8" t="inlineStr">
        <is>
          <t>C10@20261028-8176375d</t>
        </is>
      </c>
      <c r="H759" s="8" t="n">
        <v>1</v>
      </c>
      <c r="I759" s="8" t="n">
        <v>1</v>
      </c>
      <c r="J759" s="8" t="inlineStr">
        <is>
          <t>Preference is given to SC/ST, women, unemployed youth, and BPL category applicants.</t>
        </is>
      </c>
      <c r="K759" s="8" t="inlineStr">
        <is>
          <t>MS-C10</t>
        </is>
      </c>
      <c r="L759" s="9" t="n">
        <v>46323</v>
      </c>
      <c r="M759" s="8" t="inlineStr">
        <is>
          <t>Approved</t>
        </is>
      </c>
      <c r="N759" s="8" t="inlineStr">
        <is>
          <t>list_item</t>
        </is>
      </c>
    </row>
    <row r="760" ht="40" customHeight="1">
      <c r="A760" s="4" t="inlineStr">
        <is>
          <t>C10-P0024</t>
        </is>
      </c>
      <c r="B760" s="4" t="inlineStr">
        <is>
          <t>C10</t>
        </is>
      </c>
      <c r="C760" s="4" t="inlineStr">
        <is>
          <t>Khadi Gramodyog Vikas Yojana: Khadi Vikas Yojana</t>
        </is>
      </c>
      <c r="D760" s="4" t="inlineStr">
        <is>
          <t>Eligibility</t>
        </is>
      </c>
      <c r="E760" s="4" t="inlineStr"/>
      <c r="F760" s="4" t="inlineStr">
        <is>
          <t>en.eligibilityCriteria.eligibilityDescription[0].children[6]</t>
        </is>
      </c>
      <c r="G760" s="4" t="inlineStr">
        <is>
          <t>C10@20261028-8176375d</t>
        </is>
      </c>
      <c r="H760" s="4" t="n">
        <v>1</v>
      </c>
      <c r="I760" s="4" t="n">
        <v>1</v>
      </c>
      <c r="J760" s="4" t="inlineStr">
        <is>
          <t>The beneficiaries may be identified by KVIC, KVIBs, NGOs, DICs, FPOs, or Khadi Institutions.</t>
        </is>
      </c>
      <c r="K760" s="4" t="inlineStr">
        <is>
          <t>MS-C10</t>
        </is>
      </c>
      <c r="L760" s="6" t="n">
        <v>46323</v>
      </c>
      <c r="M760" s="4" t="inlineStr">
        <is>
          <t>Approved</t>
        </is>
      </c>
      <c r="N760" s="4" t="inlineStr">
        <is>
          <t>list_item</t>
        </is>
      </c>
    </row>
    <row r="761" ht="40" customHeight="1">
      <c r="A761" s="8" t="inlineStr">
        <is>
          <t>C10-P0025</t>
        </is>
      </c>
      <c r="B761" s="8" t="inlineStr">
        <is>
          <t>C10</t>
        </is>
      </c>
      <c r="C761" s="8" t="inlineStr">
        <is>
          <t>Khadi Gramodyog Vikas Yojana: Khadi Vikas Yojana</t>
        </is>
      </c>
      <c r="D761" s="8" t="inlineStr">
        <is>
          <t>Applicant documents</t>
        </is>
      </c>
      <c r="E761" s="8" t="inlineStr"/>
      <c r="F761" s="8" t="inlineStr">
        <is>
          <t>documents.en.documents_required[0].children[0]</t>
        </is>
      </c>
      <c r="G761" s="8" t="inlineStr">
        <is>
          <t>C10@20261028-8176375d</t>
        </is>
      </c>
      <c r="H761" s="8" t="n">
        <v>1</v>
      </c>
      <c r="I761" s="8" t="n">
        <v>1</v>
      </c>
      <c r="J761" s="8" t="inlineStr">
        <is>
          <t>Aadhaar Card or other government-issued identity proof</t>
        </is>
      </c>
      <c r="K761" s="8" t="inlineStr">
        <is>
          <t>MS-C10</t>
        </is>
      </c>
      <c r="L761" s="9" t="n">
        <v>46323</v>
      </c>
      <c r="M761" s="8" t="inlineStr">
        <is>
          <t>Approved</t>
        </is>
      </c>
      <c r="N761" s="8" t="inlineStr">
        <is>
          <t>list_item</t>
        </is>
      </c>
    </row>
    <row r="762" ht="40" customHeight="1">
      <c r="A762" s="4" t="inlineStr">
        <is>
          <t>C10-P0026</t>
        </is>
      </c>
      <c r="B762" s="4" t="inlineStr">
        <is>
          <t>C10</t>
        </is>
      </c>
      <c r="C762" s="4" t="inlineStr">
        <is>
          <t>Khadi Gramodyog Vikas Yojana: Khadi Vikas Yojana</t>
        </is>
      </c>
      <c r="D762" s="4" t="inlineStr">
        <is>
          <t>Applicant documents</t>
        </is>
      </c>
      <c r="E762" s="4" t="inlineStr"/>
      <c r="F762" s="4" t="inlineStr">
        <is>
          <t>documents.en.documents_required[0].children[1]</t>
        </is>
      </c>
      <c r="G762" s="4" t="inlineStr">
        <is>
          <t>C10@20261028-8176375d</t>
        </is>
      </c>
      <c r="H762" s="4" t="n">
        <v>1</v>
      </c>
      <c r="I762" s="4" t="n">
        <v>1</v>
      </c>
      <c r="J762" s="4" t="inlineStr">
        <is>
          <t>Age proof document</t>
        </is>
      </c>
      <c r="K762" s="4" t="inlineStr">
        <is>
          <t>MS-C10</t>
        </is>
      </c>
      <c r="L762" s="6" t="n">
        <v>46323</v>
      </c>
      <c r="M762" s="4" t="inlineStr">
        <is>
          <t>Approved</t>
        </is>
      </c>
      <c r="N762" s="4" t="inlineStr">
        <is>
          <t>list_item</t>
        </is>
      </c>
    </row>
    <row r="763" ht="40" customHeight="1">
      <c r="A763" s="8" t="inlineStr">
        <is>
          <t>C10-P0027</t>
        </is>
      </c>
      <c r="B763" s="8" t="inlineStr">
        <is>
          <t>C10</t>
        </is>
      </c>
      <c r="C763" s="8" t="inlineStr">
        <is>
          <t>Khadi Gramodyog Vikas Yojana: Khadi Vikas Yojana</t>
        </is>
      </c>
      <c r="D763" s="8" t="inlineStr">
        <is>
          <t>Applicant documents</t>
        </is>
      </c>
      <c r="E763" s="8" t="inlineStr"/>
      <c r="F763" s="8" t="inlineStr">
        <is>
          <t>documents.en.documents_required[0].children[2]</t>
        </is>
      </c>
      <c r="G763" s="8" t="inlineStr">
        <is>
          <t>C10@20261028-8176375d</t>
        </is>
      </c>
      <c r="H763" s="8" t="n">
        <v>1</v>
      </c>
      <c r="I763" s="8" t="n">
        <v>1</v>
      </c>
      <c r="J763" s="8" t="inlineStr">
        <is>
          <t>Khadi artisan card or Khadi Institution registration certificate</t>
        </is>
      </c>
      <c r="K763" s="8" t="inlineStr">
        <is>
          <t>MS-C10</t>
        </is>
      </c>
      <c r="L763" s="9" t="n">
        <v>46323</v>
      </c>
      <c r="M763" s="8" t="inlineStr">
        <is>
          <t>Approved</t>
        </is>
      </c>
      <c r="N763" s="8" t="inlineStr">
        <is>
          <t>list_item</t>
        </is>
      </c>
    </row>
    <row r="764" ht="40" customHeight="1">
      <c r="A764" s="4" t="inlineStr">
        <is>
          <t>C10-P0028</t>
        </is>
      </c>
      <c r="B764" s="4" t="inlineStr">
        <is>
          <t>C10</t>
        </is>
      </c>
      <c r="C764" s="4" t="inlineStr">
        <is>
          <t>Khadi Gramodyog Vikas Yojana: Khadi Vikas Yojana</t>
        </is>
      </c>
      <c r="D764" s="4" t="inlineStr">
        <is>
          <t>Applicant documents</t>
        </is>
      </c>
      <c r="E764" s="4" t="inlineStr"/>
      <c r="F764" s="4" t="inlineStr">
        <is>
          <t>documents.en.documents_required[0].children[3]</t>
        </is>
      </c>
      <c r="G764" s="4" t="inlineStr">
        <is>
          <t>C10@20261028-8176375d</t>
        </is>
      </c>
      <c r="H764" s="4" t="n">
        <v>1</v>
      </c>
      <c r="I764" s="4" t="n">
        <v>1</v>
      </c>
      <c r="J764" s="4" t="inlineStr">
        <is>
          <t>Bank account details</t>
        </is>
      </c>
      <c r="K764" s="4" t="inlineStr">
        <is>
          <t>MS-C10</t>
        </is>
      </c>
      <c r="L764" s="6" t="n">
        <v>46323</v>
      </c>
      <c r="M764" s="4" t="inlineStr">
        <is>
          <t>Approved</t>
        </is>
      </c>
      <c r="N764" s="4" t="inlineStr">
        <is>
          <t>list_item</t>
        </is>
      </c>
    </row>
    <row r="765" ht="40" customHeight="1">
      <c r="A765" s="8" t="inlineStr">
        <is>
          <t>C10-P0029</t>
        </is>
      </c>
      <c r="B765" s="8" t="inlineStr">
        <is>
          <t>C10</t>
        </is>
      </c>
      <c r="C765" s="8" t="inlineStr">
        <is>
          <t>Khadi Gramodyog Vikas Yojana: Khadi Vikas Yojana</t>
        </is>
      </c>
      <c r="D765" s="8" t="inlineStr">
        <is>
          <t>Applicant documents</t>
        </is>
      </c>
      <c r="E765" s="8" t="inlineStr"/>
      <c r="F765" s="8" t="inlineStr">
        <is>
          <t>documents.en.documents_required[0].children[4]</t>
        </is>
      </c>
      <c r="G765" s="8" t="inlineStr">
        <is>
          <t>C10@20261028-8176375d</t>
        </is>
      </c>
      <c r="H765" s="8" t="n">
        <v>1</v>
      </c>
      <c r="I765" s="8" t="n">
        <v>1</v>
      </c>
      <c r="J765" s="8" t="inlineStr">
        <is>
          <t>Caste certificate (if applicable)</t>
        </is>
      </c>
      <c r="K765" s="8" t="inlineStr">
        <is>
          <t>MS-C10</t>
        </is>
      </c>
      <c r="L765" s="9" t="n">
        <v>46323</v>
      </c>
      <c r="M765" s="8" t="inlineStr">
        <is>
          <t>Approved</t>
        </is>
      </c>
      <c r="N765" s="8" t="inlineStr">
        <is>
          <t>list_item</t>
        </is>
      </c>
    </row>
    <row r="766" ht="40" customHeight="1">
      <c r="A766" s="4" t="inlineStr">
        <is>
          <t>C10-P0030</t>
        </is>
      </c>
      <c r="B766" s="4" t="inlineStr">
        <is>
          <t>C10</t>
        </is>
      </c>
      <c r="C766" s="4" t="inlineStr">
        <is>
          <t>Khadi Gramodyog Vikas Yojana: Khadi Vikas Yojana</t>
        </is>
      </c>
      <c r="D766" s="4" t="inlineStr">
        <is>
          <t>Applicant documents</t>
        </is>
      </c>
      <c r="E766" s="4" t="inlineStr"/>
      <c r="F766" s="4" t="inlineStr">
        <is>
          <t>documents.en.documents_required[0].children[5]</t>
        </is>
      </c>
      <c r="G766" s="4" t="inlineStr">
        <is>
          <t>C10@20261028-8176375d</t>
        </is>
      </c>
      <c r="H766" s="4" t="n">
        <v>1</v>
      </c>
      <c r="I766" s="4" t="n">
        <v>1</v>
      </c>
      <c r="J766" s="4" t="inlineStr">
        <is>
          <t>BPL certificate (if applicable)</t>
        </is>
      </c>
      <c r="K766" s="4" t="inlineStr">
        <is>
          <t>MS-C10</t>
        </is>
      </c>
      <c r="L766" s="6" t="n">
        <v>46323</v>
      </c>
      <c r="M766" s="4" t="inlineStr">
        <is>
          <t>Approved</t>
        </is>
      </c>
      <c r="N766" s="4" t="inlineStr">
        <is>
          <t>list_item</t>
        </is>
      </c>
    </row>
    <row r="767" ht="40" customHeight="1">
      <c r="A767" s="8" t="inlineStr">
        <is>
          <t>C10-P0031</t>
        </is>
      </c>
      <c r="B767" s="8" t="inlineStr">
        <is>
          <t>C10</t>
        </is>
      </c>
      <c r="C767" s="8" t="inlineStr">
        <is>
          <t>Khadi Gramodyog Vikas Yojana: Khadi Vikas Yojana</t>
        </is>
      </c>
      <c r="D767" s="8" t="inlineStr">
        <is>
          <t>Applicant documents</t>
        </is>
      </c>
      <c r="E767" s="8" t="inlineStr"/>
      <c r="F767" s="8" t="inlineStr">
        <is>
          <t>documents.en.documents_required[0].children[6]</t>
        </is>
      </c>
      <c r="G767" s="8" t="inlineStr">
        <is>
          <t>C10@20261028-8176375d</t>
        </is>
      </c>
      <c r="H767" s="8" t="n">
        <v>1</v>
      </c>
      <c r="I767" s="8" t="n">
        <v>1</v>
      </c>
      <c r="J767" s="8" t="inlineStr">
        <is>
          <t>Project proposal or work-shed details (if required)</t>
        </is>
      </c>
      <c r="K767" s="8" t="inlineStr">
        <is>
          <t>MS-C10</t>
        </is>
      </c>
      <c r="L767" s="9" t="n">
        <v>46323</v>
      </c>
      <c r="M767" s="8" t="inlineStr">
        <is>
          <t>Approved</t>
        </is>
      </c>
      <c r="N767" s="8" t="inlineStr">
        <is>
          <t>list_item</t>
        </is>
      </c>
    </row>
    <row r="768" ht="40" customHeight="1">
      <c r="A768" s="4" t="inlineStr">
        <is>
          <t>C10-P0032</t>
        </is>
      </c>
      <c r="B768" s="4" t="inlineStr">
        <is>
          <t>C10</t>
        </is>
      </c>
      <c r="C768" s="4" t="inlineStr">
        <is>
          <t>Khadi Gramodyog Vikas Yojana: Khadi Vikas Yojana</t>
        </is>
      </c>
      <c r="D768" s="4" t="inlineStr">
        <is>
          <t>Application process</t>
        </is>
      </c>
      <c r="E768" s="4" t="inlineStr"/>
      <c r="F768" s="4" t="inlineStr">
        <is>
          <t>en.applicationProcess[0].process[0].children[0]</t>
        </is>
      </c>
      <c r="G768" s="4" t="inlineStr">
        <is>
          <t>C10@20261028-8176375d</t>
        </is>
      </c>
      <c r="H768" s="4" t="n">
        <v>1</v>
      </c>
      <c r="I768" s="4" t="n">
        <v>1</v>
      </c>
      <c r="J768" s="4" t="inlineStr">
        <is>
          <t>Step 1: Visit official website to apply under the scheme.</t>
        </is>
      </c>
      <c r="K768" s="4" t="inlineStr">
        <is>
          <t>MS-C10</t>
        </is>
      </c>
      <c r="L768" s="6" t="n">
        <v>46323</v>
      </c>
      <c r="M768" s="4" t="inlineStr">
        <is>
          <t>Approved</t>
        </is>
      </c>
      <c r="N768" s="4" t="inlineStr">
        <is>
          <t>paragraph</t>
        </is>
      </c>
    </row>
    <row r="769" ht="40" customHeight="1">
      <c r="A769" s="8" t="inlineStr">
        <is>
          <t>C10-P0033</t>
        </is>
      </c>
      <c r="B769" s="8" t="inlineStr">
        <is>
          <t>C10</t>
        </is>
      </c>
      <c r="C769" s="8" t="inlineStr">
        <is>
          <t>Khadi Gramodyog Vikas Yojana: Khadi Vikas Yojana</t>
        </is>
      </c>
      <c r="D769" s="8" t="inlineStr">
        <is>
          <t>Application process</t>
        </is>
      </c>
      <c r="E769" s="8" t="inlineStr"/>
      <c r="F769" s="8" t="inlineStr">
        <is>
          <t>en.applicationProcess[0].process[0].children[1]</t>
        </is>
      </c>
      <c r="G769" s="8" t="inlineStr">
        <is>
          <t>C10@20261028-8176375d</t>
        </is>
      </c>
      <c r="H769" s="8" t="n">
        <v>1</v>
      </c>
      <c r="I769" s="8" t="n">
        <v>1</v>
      </c>
      <c r="J769" s="8" t="inlineStr">
        <is>
          <t>Step 2: On the KVIC online portal and click on “Online Registration of Khadi Institutions.”</t>
        </is>
      </c>
      <c r="K769" s="8" t="inlineStr">
        <is>
          <t>MS-C10</t>
        </is>
      </c>
      <c r="L769" s="9" t="n">
        <v>46323</v>
      </c>
      <c r="M769" s="8" t="inlineStr">
        <is>
          <t>Approved</t>
        </is>
      </c>
      <c r="N769" s="8" t="inlineStr">
        <is>
          <t>paragraph</t>
        </is>
      </c>
    </row>
    <row r="770" ht="54" customHeight="1">
      <c r="A770" s="4" t="inlineStr">
        <is>
          <t>C10-P0034</t>
        </is>
      </c>
      <c r="B770" s="4" t="inlineStr">
        <is>
          <t>C10</t>
        </is>
      </c>
      <c r="C770" s="4" t="inlineStr">
        <is>
          <t>Khadi Gramodyog Vikas Yojana: Khadi Vikas Yojana</t>
        </is>
      </c>
      <c r="D770" s="4" t="inlineStr">
        <is>
          <t>Application process</t>
        </is>
      </c>
      <c r="E770" s="4" t="inlineStr"/>
      <c r="F770" s="4" t="inlineStr">
        <is>
          <t>en.applicationProcess[0].process[0].children[2]</t>
        </is>
      </c>
      <c r="G770" s="4" t="inlineStr">
        <is>
          <t>C10@20261028-8176375d</t>
        </is>
      </c>
      <c r="H770" s="4" t="n">
        <v>1</v>
      </c>
      <c r="I770" s="4" t="n">
        <v>1</v>
      </c>
      <c r="J770" s="4" t="inlineStr">
        <is>
          <t>Step 3: Fill in all required details of the institution, including name, address, type of registration, authorised person, number of artisans, and infrastructure information, then save the form.</t>
        </is>
      </c>
      <c r="K770" s="4" t="inlineStr">
        <is>
          <t>MS-C10</t>
        </is>
      </c>
      <c r="L770" s="6" t="n">
        <v>46323</v>
      </c>
      <c r="M770" s="4" t="inlineStr">
        <is>
          <t>Approved</t>
        </is>
      </c>
      <c r="N770" s="4" t="inlineStr">
        <is>
          <t>paragraph</t>
        </is>
      </c>
    </row>
    <row r="771" ht="40" customHeight="1">
      <c r="A771" s="8" t="inlineStr">
        <is>
          <t>C10-P0035</t>
        </is>
      </c>
      <c r="B771" s="8" t="inlineStr">
        <is>
          <t>C10</t>
        </is>
      </c>
      <c r="C771" s="8" t="inlineStr">
        <is>
          <t>Khadi Gramodyog Vikas Yojana: Khadi Vikas Yojana</t>
        </is>
      </c>
      <c r="D771" s="8" t="inlineStr">
        <is>
          <t>Application process</t>
        </is>
      </c>
      <c r="E771" s="8" t="inlineStr"/>
      <c r="F771" s="8" t="inlineStr">
        <is>
          <t>en.applicationProcess[0].process[0].children[3]</t>
        </is>
      </c>
      <c r="G771" s="8" t="inlineStr">
        <is>
          <t>C10@20261028-8176375d</t>
        </is>
      </c>
      <c r="H771" s="8" t="n">
        <v>1</v>
      </c>
      <c r="I771" s="8" t="n">
        <v>1</v>
      </c>
      <c r="J771" s="8" t="inlineStr">
        <is>
          <t>Step 4: After submission, receive a Username, Password, and Unique ID on your registered email and mobile, and download the acknowledgement for reference.</t>
        </is>
      </c>
      <c r="K771" s="8" t="inlineStr">
        <is>
          <t>MS-C10</t>
        </is>
      </c>
      <c r="L771" s="9" t="n">
        <v>46323</v>
      </c>
      <c r="M771" s="8" t="inlineStr">
        <is>
          <t>Approved</t>
        </is>
      </c>
      <c r="N771" s="8" t="inlineStr">
        <is>
          <t>paragraph</t>
        </is>
      </c>
    </row>
    <row r="772" ht="40" customHeight="1">
      <c r="A772" s="4" t="inlineStr">
        <is>
          <t>C10-P0036</t>
        </is>
      </c>
      <c r="B772" s="4" t="inlineStr">
        <is>
          <t>C10</t>
        </is>
      </c>
      <c r="C772" s="4" t="inlineStr">
        <is>
          <t>Khadi Gramodyog Vikas Yojana: Khadi Vikas Yojana</t>
        </is>
      </c>
      <c r="D772" s="4" t="inlineStr">
        <is>
          <t>Application process</t>
        </is>
      </c>
      <c r="E772" s="4" t="inlineStr"/>
      <c r="F772" s="4" t="inlineStr">
        <is>
          <t>en.applicationProcess[0].process[0].children[4]</t>
        </is>
      </c>
      <c r="G772" s="4" t="inlineStr">
        <is>
          <t>C10@20261028-8176375d</t>
        </is>
      </c>
      <c r="H772" s="4" t="n">
        <v>1</v>
      </c>
      <c r="I772" s="4" t="n">
        <v>1</v>
      </c>
      <c r="J772" s="4" t="inlineStr">
        <is>
          <t>Step 5: Login using your credentials and upload all required documents such as registration certificate, list of artisans, workshed details, and bylaws.</t>
        </is>
      </c>
      <c r="K772" s="4" t="inlineStr">
        <is>
          <t>MS-C10</t>
        </is>
      </c>
      <c r="L772" s="6" t="n">
        <v>46323</v>
      </c>
      <c r="M772" s="4" t="inlineStr">
        <is>
          <t>Approved</t>
        </is>
      </c>
      <c r="N772" s="4" t="inlineStr">
        <is>
          <t>paragraph</t>
        </is>
      </c>
    </row>
    <row r="773" ht="40" customHeight="1">
      <c r="A773" s="8" t="inlineStr">
        <is>
          <t>C10-P0037</t>
        </is>
      </c>
      <c r="B773" s="8" t="inlineStr">
        <is>
          <t>C10</t>
        </is>
      </c>
      <c r="C773" s="8" t="inlineStr">
        <is>
          <t>Khadi Gramodyog Vikas Yojana: Khadi Vikas Yojana</t>
        </is>
      </c>
      <c r="D773" s="8" t="inlineStr">
        <is>
          <t>Application process</t>
        </is>
      </c>
      <c r="E773" s="8" t="inlineStr"/>
      <c r="F773" s="8" t="inlineStr">
        <is>
          <t>en.applicationProcess[0].process[0].children[5]</t>
        </is>
      </c>
      <c r="G773" s="8" t="inlineStr">
        <is>
          <t>C10@20261028-8176375d</t>
        </is>
      </c>
      <c r="H773" s="8" t="n">
        <v>1</v>
      </c>
      <c r="I773" s="8" t="n">
        <v>1</v>
      </c>
      <c r="J773" s="8" t="inlineStr">
        <is>
          <t>Step 6: The KVIC office verifies the application and documents, and once approved, the Certificate of Registration (CoR) is issued online for download.</t>
        </is>
      </c>
      <c r="K773" s="8" t="inlineStr">
        <is>
          <t>MS-C10</t>
        </is>
      </c>
      <c r="L773" s="9" t="n">
        <v>46323</v>
      </c>
      <c r="M773" s="8" t="inlineStr">
        <is>
          <t>Approved</t>
        </is>
      </c>
      <c r="N773" s="8" t="inlineStr">
        <is>
          <t>paragraph</t>
        </is>
      </c>
    </row>
    <row r="774" ht="68" customHeight="1">
      <c r="A774" s="4" t="inlineStr">
        <is>
          <t>C10-P0038</t>
        </is>
      </c>
      <c r="B774" s="4" t="inlineStr">
        <is>
          <t>C10</t>
        </is>
      </c>
      <c r="C774" s="4" t="inlineStr">
        <is>
          <t>Khadi Gramodyog Vikas Yojana: Khadi Vikas Yojana</t>
        </is>
      </c>
      <c r="D774" s="4" t="inlineStr">
        <is>
          <t>FAQ</t>
        </is>
      </c>
      <c r="E774" s="4" t="inlineStr"/>
      <c r="F774" s="4" t="inlineStr">
        <is>
          <t>faqs.en.faqs[0]</t>
        </is>
      </c>
      <c r="G774" s="4" t="inlineStr">
        <is>
          <t>C10@20261028-8176375d</t>
        </is>
      </c>
      <c r="H774" s="4" t="n">
        <v>1</v>
      </c>
      <c r="I774" s="4" t="n">
        <v>1</v>
      </c>
      <c r="J774" s="4" t="inlineStr">
        <is>
          <t>What is Khadi Vikas Yojana (KGVY)?
Khadi Vikas Yojana is a Government of India scheme implemented by the Khadi and Village Industries Commission (KVIC) to promote Khadi production, improve artisan livelihoods, strengthen Khadi institutions, and expand marketing and exports of Khadi products.</t>
        </is>
      </c>
      <c r="K774" s="4" t="inlineStr">
        <is>
          <t>MS-C10</t>
        </is>
      </c>
      <c r="L774" s="6" t="n">
        <v>46323</v>
      </c>
      <c r="M774" s="4" t="inlineStr">
        <is>
          <t>Approved</t>
        </is>
      </c>
      <c r="N774" s="4" t="inlineStr">
        <is>
          <t>faq</t>
        </is>
      </c>
    </row>
    <row r="775" ht="68" customHeight="1">
      <c r="A775" s="8" t="inlineStr">
        <is>
          <t>C10-P0039</t>
        </is>
      </c>
      <c r="B775" s="8" t="inlineStr">
        <is>
          <t>C10</t>
        </is>
      </c>
      <c r="C775" s="8" t="inlineStr">
        <is>
          <t>Khadi Gramodyog Vikas Yojana: Khadi Vikas Yojana</t>
        </is>
      </c>
      <c r="D775" s="8" t="inlineStr">
        <is>
          <t>FAQ</t>
        </is>
      </c>
      <c r="E775" s="8" t="inlineStr"/>
      <c r="F775" s="8" t="inlineStr">
        <is>
          <t>faqs.en.faqs[1]</t>
        </is>
      </c>
      <c r="G775" s="8" t="inlineStr">
        <is>
          <t>C10@20261028-8176375d</t>
        </is>
      </c>
      <c r="H775" s="8" t="n">
        <v>1</v>
      </c>
      <c r="I775" s="8" t="n">
        <v>1</v>
      </c>
      <c r="J775" s="8" t="inlineStr">
        <is>
          <t>What financial assistance is provided under the scheme?
The scheme provides production subsidy under Modified Market Development Assistance (MMDA), interest subsidy through the Interest Subsidy Eligibility Certificate (ISEC), assistance for worksheds, revival of weak institutions, and support for marketing infrastructure.</t>
        </is>
      </c>
      <c r="K775" s="8" t="inlineStr">
        <is>
          <t>MS-C10</t>
        </is>
      </c>
      <c r="L775" s="9" t="n">
        <v>46323</v>
      </c>
      <c r="M775" s="8" t="inlineStr">
        <is>
          <t>Approved</t>
        </is>
      </c>
      <c r="N775" s="8" t="inlineStr">
        <is>
          <t>faq</t>
        </is>
      </c>
    </row>
    <row r="776" ht="68" customHeight="1">
      <c r="A776" s="4" t="inlineStr">
        <is>
          <t>C10-P0040</t>
        </is>
      </c>
      <c r="B776" s="4" t="inlineStr">
        <is>
          <t>C10</t>
        </is>
      </c>
      <c r="C776" s="4" t="inlineStr">
        <is>
          <t>Khadi Gramodyog Vikas Yojana: Khadi Vikas Yojana</t>
        </is>
      </c>
      <c r="D776" s="4" t="inlineStr">
        <is>
          <t>FAQ</t>
        </is>
      </c>
      <c r="E776" s="4" t="inlineStr"/>
      <c r="F776" s="4" t="inlineStr">
        <is>
          <t>faqs.en.faqs[2]</t>
        </is>
      </c>
      <c r="G776" s="4" t="inlineStr">
        <is>
          <t>C10@20261028-8176375d</t>
        </is>
      </c>
      <c r="H776" s="4" t="n">
        <v>1</v>
      </c>
      <c r="I776" s="4" t="n">
        <v>1</v>
      </c>
      <c r="J776" s="4" t="inlineStr">
        <is>
          <t>What is Modified Market Development Assistance (MMDA)?
MMDA provides subsidy of 35% on the prime cost for Cotton, Muslin, Wool, and Polyvastra Khadi, and 20% for Silk Khadi, helping institutions reduce production costs and increase artisan wages.</t>
        </is>
      </c>
      <c r="K776" s="4" t="inlineStr">
        <is>
          <t>MS-C10</t>
        </is>
      </c>
      <c r="L776" s="6" t="n">
        <v>46323</v>
      </c>
      <c r="M776" s="4" t="inlineStr">
        <is>
          <t>Approved</t>
        </is>
      </c>
      <c r="N776" s="4" t="inlineStr">
        <is>
          <t>faq</t>
        </is>
      </c>
    </row>
    <row r="777" ht="54" customHeight="1">
      <c r="A777" s="8" t="inlineStr">
        <is>
          <t>C10-P0041</t>
        </is>
      </c>
      <c r="B777" s="8" t="inlineStr">
        <is>
          <t>C10</t>
        </is>
      </c>
      <c r="C777" s="8" t="inlineStr">
        <is>
          <t>Khadi Gramodyog Vikas Yojana: Khadi Vikas Yojana</t>
        </is>
      </c>
      <c r="D777" s="8" t="inlineStr">
        <is>
          <t>FAQ</t>
        </is>
      </c>
      <c r="E777" s="8" t="inlineStr"/>
      <c r="F777" s="8" t="inlineStr">
        <is>
          <t>faqs.en.faqs[3]</t>
        </is>
      </c>
      <c r="G777" s="8" t="inlineStr">
        <is>
          <t>C10@20261028-8176375d</t>
        </is>
      </c>
      <c r="H777" s="8" t="n">
        <v>1</v>
      </c>
      <c r="I777" s="8" t="n">
        <v>1</v>
      </c>
      <c r="J777" s="8" t="inlineStr">
        <is>
          <t>What is the ISEC scheme under KGVY?
Under the Interest Subsidy Eligibility Certificate (ISEC) scheme, Khadi institutions pay only 4% interest on bank loans, while the remaining interest is borne by KVIC as a subsidy.</t>
        </is>
      </c>
      <c r="K777" s="8" t="inlineStr">
        <is>
          <t>MS-C10</t>
        </is>
      </c>
      <c r="L777" s="9" t="n">
        <v>46323</v>
      </c>
      <c r="M777" s="8" t="inlineStr">
        <is>
          <t>Approved</t>
        </is>
      </c>
      <c r="N777" s="8" t="inlineStr">
        <is>
          <t>faq</t>
        </is>
      </c>
    </row>
    <row r="778" ht="68" customHeight="1">
      <c r="A778" s="4" t="inlineStr">
        <is>
          <t>C10-P0042</t>
        </is>
      </c>
      <c r="B778" s="4" t="inlineStr">
        <is>
          <t>C10</t>
        </is>
      </c>
      <c r="C778" s="4" t="inlineStr">
        <is>
          <t>Khadi Gramodyog Vikas Yojana: Khadi Vikas Yojana</t>
        </is>
      </c>
      <c r="D778" s="4" t="inlineStr">
        <is>
          <t>FAQ</t>
        </is>
      </c>
      <c r="E778" s="4" t="inlineStr"/>
      <c r="F778" s="4" t="inlineStr">
        <is>
          <t>faqs.en.faqs[4]</t>
        </is>
      </c>
      <c r="G778" s="4" t="inlineStr">
        <is>
          <t>C10@20261028-8176375d</t>
        </is>
      </c>
      <c r="H778" s="4" t="n">
        <v>1</v>
      </c>
      <c r="I778" s="4" t="n">
        <v>1</v>
      </c>
      <c r="J778" s="4" t="inlineStr">
        <is>
          <t>What support is given for worksheds?
The scheme provides financial assistance for individual and group worksheds for Khadi artisans, including toilets, to improve working conditions and productivity, with higher assistance for the North Eastern Region.</t>
        </is>
      </c>
      <c r="K778" s="4" t="inlineStr">
        <is>
          <t>MS-C10</t>
        </is>
      </c>
      <c r="L778" s="6" t="n">
        <v>46323</v>
      </c>
      <c r="M778" s="4" t="inlineStr">
        <is>
          <t>Approved</t>
        </is>
      </c>
      <c r="N778" s="4" t="inlineStr">
        <is>
          <t>faq</t>
        </is>
      </c>
    </row>
    <row r="779" ht="54" customHeight="1">
      <c r="A779" s="8" t="inlineStr">
        <is>
          <t>C10-P0043</t>
        </is>
      </c>
      <c r="B779" s="8" t="inlineStr">
        <is>
          <t>C10</t>
        </is>
      </c>
      <c r="C779" s="8" t="inlineStr">
        <is>
          <t>Khadi Gramodyog Vikas Yojana: Khadi Vikas Yojana</t>
        </is>
      </c>
      <c r="D779" s="8" t="inlineStr">
        <is>
          <t>FAQ</t>
        </is>
      </c>
      <c r="E779" s="8" t="inlineStr"/>
      <c r="F779" s="8" t="inlineStr">
        <is>
          <t>faqs.en.faqs[5]</t>
        </is>
      </c>
      <c r="G779" s="8" t="inlineStr">
        <is>
          <t>C10@20261028-8176375d</t>
        </is>
      </c>
      <c r="H779" s="8" t="n">
        <v>1</v>
      </c>
      <c r="I779" s="8" t="n">
        <v>1</v>
      </c>
      <c r="J779" s="8" t="inlineStr">
        <is>
          <t>Is there support for weak Khadi institutions?
Yes, financial assistance up to ₹15 lakh is provided for the revival of existing weak Khadi institutions, covering capital expenditure and working capital requirements.</t>
        </is>
      </c>
      <c r="K779" s="8" t="inlineStr">
        <is>
          <t>MS-C10</t>
        </is>
      </c>
      <c r="L779" s="9" t="n">
        <v>46323</v>
      </c>
      <c r="M779" s="8" t="inlineStr">
        <is>
          <t>Approved</t>
        </is>
      </c>
      <c r="N779" s="8" t="inlineStr">
        <is>
          <t>faq</t>
        </is>
      </c>
    </row>
    <row r="780" ht="54" customHeight="1">
      <c r="A780" s="4" t="inlineStr">
        <is>
          <t>C10-P0044</t>
        </is>
      </c>
      <c r="B780" s="4" t="inlineStr">
        <is>
          <t>C10</t>
        </is>
      </c>
      <c r="C780" s="4" t="inlineStr">
        <is>
          <t>Khadi Gramodyog Vikas Yojana: Khadi Vikas Yojana</t>
        </is>
      </c>
      <c r="D780" s="4" t="inlineStr">
        <is>
          <t>FAQ</t>
        </is>
      </c>
      <c r="E780" s="4" t="inlineStr"/>
      <c r="F780" s="4" t="inlineStr">
        <is>
          <t>faqs.en.faqs[6]</t>
        </is>
      </c>
      <c r="G780" s="4" t="inlineStr">
        <is>
          <t>C10@20261028-8176375d</t>
        </is>
      </c>
      <c r="H780" s="4" t="n">
        <v>1</v>
      </c>
      <c r="I780" s="4" t="n">
        <v>1</v>
      </c>
      <c r="J780" s="4" t="inlineStr">
        <is>
          <t>Does the scheme support marketing infrastructure?
The scheme supports renovation and modernization of departmental and institutional sales outlets, with financial assistance up to ₹25 lakh, to improve product display and customer outreach.</t>
        </is>
      </c>
      <c r="K780" s="4" t="inlineStr">
        <is>
          <t>MS-C10</t>
        </is>
      </c>
      <c r="L780" s="6" t="n">
        <v>46323</v>
      </c>
      <c r="M780" s="4" t="inlineStr">
        <is>
          <t>Approved</t>
        </is>
      </c>
      <c r="N780" s="4" t="inlineStr">
        <is>
          <t>faq</t>
        </is>
      </c>
    </row>
    <row r="781" ht="54" customHeight="1">
      <c r="A781" s="8" t="inlineStr">
        <is>
          <t>C10-P0045</t>
        </is>
      </c>
      <c r="B781" s="8" t="inlineStr">
        <is>
          <t>C10</t>
        </is>
      </c>
      <c r="C781" s="8" t="inlineStr">
        <is>
          <t>Khadi Gramodyog Vikas Yojana: Khadi Vikas Yojana</t>
        </is>
      </c>
      <c r="D781" s="8" t="inlineStr">
        <is>
          <t>FAQ</t>
        </is>
      </c>
      <c r="E781" s="8" t="inlineStr"/>
      <c r="F781" s="8" t="inlineStr">
        <is>
          <t>faqs.en.faqs[7]</t>
        </is>
      </c>
      <c r="G781" s="8" t="inlineStr">
        <is>
          <t>C10@20261028-8176375d</t>
        </is>
      </c>
      <c r="H781" s="8" t="n">
        <v>1</v>
      </c>
      <c r="I781" s="8" t="n">
        <v>1</v>
      </c>
      <c r="J781" s="8" t="inlineStr">
        <is>
          <t>Are there any additional components under the scheme?
Yes, the scheme includes support for Khadi quality assurance, exhibitions, science and technology initiatives, and the establishment of Centres of Excellence for Khadi.</t>
        </is>
      </c>
      <c r="K781" s="8" t="inlineStr">
        <is>
          <t>MS-C10</t>
        </is>
      </c>
      <c r="L781" s="9" t="n">
        <v>46323</v>
      </c>
      <c r="M781" s="8" t="inlineStr">
        <is>
          <t>Approved</t>
        </is>
      </c>
      <c r="N781" s="8" t="inlineStr">
        <is>
          <t>faq</t>
        </is>
      </c>
    </row>
    <row r="782" ht="54" customHeight="1">
      <c r="A782" s="4" t="inlineStr">
        <is>
          <t>C10-P0046</t>
        </is>
      </c>
      <c r="B782" s="4" t="inlineStr">
        <is>
          <t>C10</t>
        </is>
      </c>
      <c r="C782" s="4" t="inlineStr">
        <is>
          <t>Khadi Gramodyog Vikas Yojana: Khadi Vikas Yojana</t>
        </is>
      </c>
      <c r="D782" s="4" t="inlineStr">
        <is>
          <t>FAQ</t>
        </is>
      </c>
      <c r="E782" s="4" t="inlineStr"/>
      <c r="F782" s="4" t="inlineStr">
        <is>
          <t>faqs.en.faqs[8]</t>
        </is>
      </c>
      <c r="G782" s="4" t="inlineStr">
        <is>
          <t>C10@20261028-8176375d</t>
        </is>
      </c>
      <c r="H782" s="4" t="n">
        <v>1</v>
      </c>
      <c r="I782" s="4" t="n">
        <v>1</v>
      </c>
      <c r="J782" s="4" t="inlineStr">
        <is>
          <t>What is the age limit for applicants?
Applicants must be between 18 and 55 years of age and must possess valid identity proof such as an Aadhaar card or other government-issued ID.</t>
        </is>
      </c>
      <c r="K782" s="4" t="inlineStr">
        <is>
          <t>MS-C10</t>
        </is>
      </c>
      <c r="L782" s="6" t="n">
        <v>46323</v>
      </c>
      <c r="M782" s="4" t="inlineStr">
        <is>
          <t>Approved</t>
        </is>
      </c>
      <c r="N782" s="4" t="inlineStr">
        <is>
          <t>faq</t>
        </is>
      </c>
    </row>
    <row r="783" ht="54" customHeight="1">
      <c r="A783" s="8" t="inlineStr">
        <is>
          <t>C10-P0047</t>
        </is>
      </c>
      <c r="B783" s="8" t="inlineStr">
        <is>
          <t>C10</t>
        </is>
      </c>
      <c r="C783" s="8" t="inlineStr">
        <is>
          <t>Khadi Gramodyog Vikas Yojana: Khadi Vikas Yojana</t>
        </is>
      </c>
      <c r="D783" s="8" t="inlineStr">
        <is>
          <t>FAQ</t>
        </is>
      </c>
      <c r="E783" s="8" t="inlineStr"/>
      <c r="F783" s="8" t="inlineStr">
        <is>
          <t>faqs.en.faqs[9]</t>
        </is>
      </c>
      <c r="G783" s="8" t="inlineStr">
        <is>
          <t>C10@20261028-8176375d</t>
        </is>
      </c>
      <c r="H783" s="8" t="n">
        <v>1</v>
      </c>
      <c r="I783" s="8" t="n">
        <v>1</v>
      </c>
      <c r="J783" s="8" t="inlineStr">
        <is>
          <t>Can more than one person from a family apply?
No, only one person from one family is eligible to receive assistance under Khadi Vikas Yojana.</t>
        </is>
      </c>
      <c r="K783" s="8" t="inlineStr">
        <is>
          <t>MS-C10</t>
        </is>
      </c>
      <c r="L783" s="9" t="n">
        <v>46323</v>
      </c>
      <c r="M783" s="8" t="inlineStr">
        <is>
          <t>Approved</t>
        </is>
      </c>
      <c r="N783" s="8" t="inlineStr">
        <is>
          <t>faq</t>
        </is>
      </c>
    </row>
    <row r="784" ht="110" customHeight="1">
      <c r="A784" s="4" t="inlineStr">
        <is>
          <t>C11-P0001</t>
        </is>
      </c>
      <c r="B784" s="4" t="inlineStr">
        <is>
          <t>C11</t>
        </is>
      </c>
      <c r="C784" s="4" t="inlineStr">
        <is>
          <t>Stand-Up India</t>
        </is>
      </c>
      <c r="D784" s="4" t="inlineStr">
        <is>
          <t>Details</t>
        </is>
      </c>
      <c r="E784" s="4" t="inlineStr"/>
      <c r="F784" s="4" t="inlineStr">
        <is>
          <t>en.schemeContent.detailedDescription[0].children[0]</t>
        </is>
      </c>
      <c r="G784" s="4" t="inlineStr">
        <is>
          <t>C11@20261028-90bd4c3e</t>
        </is>
      </c>
      <c r="H784" s="4" t="n">
        <v>1</v>
      </c>
      <c r="I784" s="4" t="n">
        <v>1</v>
      </c>
      <c r="J784" s="4" t="inlineStr">
        <is>
          <t>A scheme by Ministry of Finance for financing SC/ST and/or Women Entrepreneurs by facilitating bank loans for setting up a greenfield project  enterprise in manufacturing, services, trading sector and activities allied to agriculture. The objective of this scheme is to facilitate bank loans between Rs. 10 lakh and Rs. 1 Crore to at least one Scheduled Caste (SC) or Scheduled Tribe (ST) borrower and at least one woman borrower per bank branch for setting up a greenfield enterprise. In case of non-individual enterprises, at least 51% of the shareholding and controlling stake should be held by either an SC/ST or Woman entrepreneur.</t>
        </is>
      </c>
      <c r="K784" s="4" t="inlineStr">
        <is>
          <t>MS-C11</t>
        </is>
      </c>
      <c r="L784" s="6" t="n">
        <v>46323</v>
      </c>
      <c r="M784" s="4" t="inlineStr">
        <is>
          <t>Approved</t>
        </is>
      </c>
      <c r="N784" s="4" t="inlineStr">
        <is>
          <t>paragraph</t>
        </is>
      </c>
    </row>
    <row r="785" ht="40" customHeight="1">
      <c r="A785" s="8" t="inlineStr">
        <is>
          <t>C11-P0002</t>
        </is>
      </c>
      <c r="B785" s="8" t="inlineStr">
        <is>
          <t>C11</t>
        </is>
      </c>
      <c r="C785" s="8" t="inlineStr">
        <is>
          <t>Stand-Up India</t>
        </is>
      </c>
      <c r="D785" s="8" t="inlineStr">
        <is>
          <t>Benefits</t>
        </is>
      </c>
      <c r="E785" s="8" t="inlineStr"/>
      <c r="F785" s="8" t="inlineStr">
        <is>
          <t>en.schemeContent.benefits[0].children[0]</t>
        </is>
      </c>
      <c r="G785" s="8" t="inlineStr">
        <is>
          <t>C11@20261028-90bd4c3e</t>
        </is>
      </c>
      <c r="H785" s="8" t="n">
        <v>1</v>
      </c>
      <c r="I785" s="8" t="n">
        <v>1</v>
      </c>
      <c r="J785" s="8" t="inlineStr">
        <is>
          <t>Facilitation of composite loan (inclusive of term loan and working capital) between ₹10 Lakhs and ₹100 Lakhs. Rupay debit card to be issued for convenience of the borrower.</t>
        </is>
      </c>
      <c r="K785" s="8" t="inlineStr">
        <is>
          <t>MS-C11</t>
        </is>
      </c>
      <c r="L785" s="9" t="n">
        <v>46323</v>
      </c>
      <c r="M785" s="8" t="inlineStr">
        <is>
          <t>Approved</t>
        </is>
      </c>
      <c r="N785" s="8" t="inlineStr">
        <is>
          <t>list_item</t>
        </is>
      </c>
    </row>
    <row r="786" ht="54" customHeight="1">
      <c r="A786" s="4" t="inlineStr">
        <is>
          <t>C11-P0003</t>
        </is>
      </c>
      <c r="B786" s="4" t="inlineStr">
        <is>
          <t>C11</t>
        </is>
      </c>
      <c r="C786" s="4" t="inlineStr">
        <is>
          <t>Stand-Up India</t>
        </is>
      </c>
      <c r="D786" s="4" t="inlineStr">
        <is>
          <t>Benefits</t>
        </is>
      </c>
      <c r="E786" s="4" t="inlineStr"/>
      <c r="F786" s="4" t="inlineStr">
        <is>
          <t>en.schemeContent.benefits[0].children[1]</t>
        </is>
      </c>
      <c r="G786" s="4" t="inlineStr">
        <is>
          <t>C11@20261028-90bd4c3e</t>
        </is>
      </c>
      <c r="H786" s="4" t="n">
        <v>1</v>
      </c>
      <c r="I786" s="4" t="n">
        <v>1</v>
      </c>
      <c r="J786" s="4" t="inlineStr">
        <is>
          <t>The web portal by SIDBI provides hand-holding support through a network of agencies engaged in training, skill development, mentoring, project report preparation, application filling, work shed / utility support services, subsidy schemes etc.</t>
        </is>
      </c>
      <c r="K786" s="4" t="inlineStr">
        <is>
          <t>MS-C11</t>
        </is>
      </c>
      <c r="L786" s="6" t="n">
        <v>46323</v>
      </c>
      <c r="M786" s="4" t="inlineStr">
        <is>
          <t>Approved</t>
        </is>
      </c>
      <c r="N786" s="4" t="inlineStr">
        <is>
          <t>list_item</t>
        </is>
      </c>
    </row>
    <row r="787" ht="40" customHeight="1">
      <c r="A787" s="8" t="inlineStr">
        <is>
          <t>C11-P0004</t>
        </is>
      </c>
      <c r="B787" s="8" t="inlineStr">
        <is>
          <t>C11</t>
        </is>
      </c>
      <c r="C787" s="8" t="inlineStr">
        <is>
          <t>Stand-Up India</t>
        </is>
      </c>
      <c r="D787" s="8" t="inlineStr">
        <is>
          <t>Eligibility</t>
        </is>
      </c>
      <c r="E787" s="8" t="inlineStr"/>
      <c r="F787" s="8" t="inlineStr">
        <is>
          <t>en.eligibilityCriteria.eligibilityDescription[0].children[0].children[0]</t>
        </is>
      </c>
      <c r="G787" s="8" t="inlineStr">
        <is>
          <t>C11@20261028-90bd4c3e</t>
        </is>
      </c>
      <c r="H787" s="8" t="n">
        <v>1</v>
      </c>
      <c r="I787" s="8" t="n">
        <v>1</v>
      </c>
      <c r="J787" s="8" t="inlineStr">
        <is>
          <t>Finance is  provided for Greenfield Enterprises.</t>
        </is>
      </c>
      <c r="K787" s="8" t="inlineStr">
        <is>
          <t>MS-C11</t>
        </is>
      </c>
      <c r="L787" s="9" t="n">
        <v>46323</v>
      </c>
      <c r="M787" s="8" t="inlineStr">
        <is>
          <t>Approved</t>
        </is>
      </c>
      <c r="N787" s="8" t="inlineStr">
        <is>
          <t>list_item</t>
        </is>
      </c>
    </row>
    <row r="788" ht="40" customHeight="1">
      <c r="A788" s="4" t="inlineStr">
        <is>
          <t>C11-P0005</t>
        </is>
      </c>
      <c r="B788" s="4" t="inlineStr">
        <is>
          <t>C11</t>
        </is>
      </c>
      <c r="C788" s="4" t="inlineStr">
        <is>
          <t>Stand-Up India</t>
        </is>
      </c>
      <c r="D788" s="4" t="inlineStr">
        <is>
          <t>Eligibility</t>
        </is>
      </c>
      <c r="E788" s="4" t="inlineStr"/>
      <c r="F788" s="4" t="inlineStr">
        <is>
          <t>en.eligibilityCriteria.eligibilityDescription[0].children[1].children[0]</t>
        </is>
      </c>
      <c r="G788" s="4" t="inlineStr">
        <is>
          <t>C11@20261028-90bd4c3e</t>
        </is>
      </c>
      <c r="H788" s="4" t="n">
        <v>1</v>
      </c>
      <c r="I788" s="4" t="n">
        <v>1</v>
      </c>
      <c r="J788" s="4" t="inlineStr">
        <is>
          <t>If the applicant is a male, he must be from SC / ST category.</t>
        </is>
      </c>
      <c r="K788" s="4" t="inlineStr">
        <is>
          <t>MS-C11</t>
        </is>
      </c>
      <c r="L788" s="6" t="n">
        <v>46323</v>
      </c>
      <c r="M788" s="4" t="inlineStr">
        <is>
          <t>Approved</t>
        </is>
      </c>
      <c r="N788" s="4" t="inlineStr">
        <is>
          <t>list_item</t>
        </is>
      </c>
    </row>
    <row r="789" ht="40" customHeight="1">
      <c r="A789" s="8" t="inlineStr">
        <is>
          <t>C11-P0006</t>
        </is>
      </c>
      <c r="B789" s="8" t="inlineStr">
        <is>
          <t>C11</t>
        </is>
      </c>
      <c r="C789" s="8" t="inlineStr">
        <is>
          <t>Stand-Up India</t>
        </is>
      </c>
      <c r="D789" s="8" t="inlineStr">
        <is>
          <t>Eligibility</t>
        </is>
      </c>
      <c r="E789" s="8" t="inlineStr"/>
      <c r="F789" s="8" t="inlineStr">
        <is>
          <t>en.eligibilityCriteria.eligibilityDescription[0].children[2].children[0]</t>
        </is>
      </c>
      <c r="G789" s="8" t="inlineStr">
        <is>
          <t>C11@20261028-90bd4c3e</t>
        </is>
      </c>
      <c r="H789" s="8" t="n">
        <v>1</v>
      </c>
      <c r="I789" s="8" t="n">
        <v>1</v>
      </c>
      <c r="J789" s="8" t="inlineStr">
        <is>
          <t>The age of the applicant must be at least 18 years.</t>
        </is>
      </c>
      <c r="K789" s="8" t="inlineStr">
        <is>
          <t>MS-C11</t>
        </is>
      </c>
      <c r="L789" s="9" t="n">
        <v>46323</v>
      </c>
      <c r="M789" s="8" t="inlineStr">
        <is>
          <t>Approved</t>
        </is>
      </c>
      <c r="N789" s="8" t="inlineStr">
        <is>
          <t>list_item</t>
        </is>
      </c>
    </row>
    <row r="790" ht="40" customHeight="1">
      <c r="A790" s="4" t="inlineStr">
        <is>
          <t>C11-P0007</t>
        </is>
      </c>
      <c r="B790" s="4" t="inlineStr">
        <is>
          <t>C11</t>
        </is>
      </c>
      <c r="C790" s="4" t="inlineStr">
        <is>
          <t>Stand-Up India</t>
        </is>
      </c>
      <c r="D790" s="4" t="inlineStr">
        <is>
          <t>Eligibility</t>
        </is>
      </c>
      <c r="E790" s="4" t="inlineStr"/>
      <c r="F790" s="4" t="inlineStr">
        <is>
          <t>en.eligibilityCriteria.eligibilityDescription[0].children[3].children[0]</t>
        </is>
      </c>
      <c r="G790" s="4" t="inlineStr">
        <is>
          <t>C11@20261028-90bd4c3e</t>
        </is>
      </c>
      <c r="H790" s="4" t="n">
        <v>1</v>
      </c>
      <c r="I790" s="4" t="n">
        <v>1</v>
      </c>
      <c r="J790" s="4" t="inlineStr">
        <is>
          <t>The applicant must not be in default to any bank/financial institution.</t>
        </is>
      </c>
      <c r="K790" s="4" t="inlineStr">
        <is>
          <t>MS-C11</t>
        </is>
      </c>
      <c r="L790" s="6" t="n">
        <v>46323</v>
      </c>
      <c r="M790" s="4" t="inlineStr">
        <is>
          <t>Approved</t>
        </is>
      </c>
      <c r="N790" s="4" t="inlineStr">
        <is>
          <t>list_item</t>
        </is>
      </c>
    </row>
    <row r="791" ht="40" customHeight="1">
      <c r="A791" s="8" t="inlineStr">
        <is>
          <t>C11-P0008</t>
        </is>
      </c>
      <c r="B791" s="8" t="inlineStr">
        <is>
          <t>C11</t>
        </is>
      </c>
      <c r="C791" s="8" t="inlineStr">
        <is>
          <t>Stand-Up India</t>
        </is>
      </c>
      <c r="D791" s="8" t="inlineStr">
        <is>
          <t>Applicant documents</t>
        </is>
      </c>
      <c r="E791" s="8" t="inlineStr"/>
      <c r="F791" s="8" t="inlineStr">
        <is>
          <t>documents.en.documents_required[0].children[0]</t>
        </is>
      </c>
      <c r="G791" s="8" t="inlineStr">
        <is>
          <t>C11@20261028-90bd4c3e</t>
        </is>
      </c>
      <c r="H791" s="8" t="n">
        <v>1</v>
      </c>
      <c r="I791" s="8" t="n">
        <v>1</v>
      </c>
      <c r="J791" s="8" t="inlineStr">
        <is>
          <t>Proof of Identity: Voter’s ID Card / Passport / Driving License / PAN Card / Signature identification from present bankers of proprietor, partner of director ( if a company)</t>
        </is>
      </c>
      <c r="K791" s="8" t="inlineStr">
        <is>
          <t>MS-C11</t>
        </is>
      </c>
      <c r="L791" s="9" t="n">
        <v>46323</v>
      </c>
      <c r="M791" s="8" t="inlineStr">
        <is>
          <t>Approved</t>
        </is>
      </c>
      <c r="N791" s="8" t="inlineStr">
        <is>
          <t>list_item</t>
        </is>
      </c>
    </row>
    <row r="792" ht="40" customHeight="1">
      <c r="A792" s="4" t="inlineStr">
        <is>
          <t>C11-P0009</t>
        </is>
      </c>
      <c r="B792" s="4" t="inlineStr">
        <is>
          <t>C11</t>
        </is>
      </c>
      <c r="C792" s="4" t="inlineStr">
        <is>
          <t>Stand-Up India</t>
        </is>
      </c>
      <c r="D792" s="4" t="inlineStr">
        <is>
          <t>Applicant documents</t>
        </is>
      </c>
      <c r="E792" s="4" t="inlineStr"/>
      <c r="F792" s="4" t="inlineStr">
        <is>
          <t>documents.en.documents_required[0].children[1]</t>
        </is>
      </c>
      <c r="G792" s="4" t="inlineStr">
        <is>
          <t>C11@20261028-90bd4c3e</t>
        </is>
      </c>
      <c r="H792" s="4" t="n">
        <v>1</v>
      </c>
      <c r="I792" s="4" t="n">
        <v>1</v>
      </c>
      <c r="J792" s="4" t="inlineStr">
        <is>
          <t>Proof of Residence: Recent telephone bills, electricity bill, property tax receipt /Passport / voter’s ID Card of Proprietor, partner of Director (if a company)</t>
        </is>
      </c>
      <c r="K792" s="4" t="inlineStr">
        <is>
          <t>MS-C11</t>
        </is>
      </c>
      <c r="L792" s="6" t="n">
        <v>46323</v>
      </c>
      <c r="M792" s="4" t="inlineStr">
        <is>
          <t>Approved</t>
        </is>
      </c>
      <c r="N792" s="4" t="inlineStr">
        <is>
          <t>list_item</t>
        </is>
      </c>
    </row>
    <row r="793" ht="40" customHeight="1">
      <c r="A793" s="8" t="inlineStr">
        <is>
          <t>C11-P0010</t>
        </is>
      </c>
      <c r="B793" s="8" t="inlineStr">
        <is>
          <t>C11</t>
        </is>
      </c>
      <c r="C793" s="8" t="inlineStr">
        <is>
          <t>Stand-Up India</t>
        </is>
      </c>
      <c r="D793" s="8" t="inlineStr">
        <is>
          <t>Applicant documents</t>
        </is>
      </c>
      <c r="E793" s="8" t="inlineStr"/>
      <c r="F793" s="8" t="inlineStr">
        <is>
          <t>documents.en.documents_required[0].children[2]</t>
        </is>
      </c>
      <c r="G793" s="8" t="inlineStr">
        <is>
          <t>C11@20261028-90bd4c3e</t>
        </is>
      </c>
      <c r="H793" s="8" t="n">
        <v>1</v>
      </c>
      <c r="I793" s="8" t="n">
        <v>1</v>
      </c>
      <c r="J793" s="8" t="inlineStr">
        <is>
          <t>Proof of Business Address</t>
        </is>
      </c>
      <c r="K793" s="8" t="inlineStr">
        <is>
          <t>MS-C11</t>
        </is>
      </c>
      <c r="L793" s="9" t="n">
        <v>46323</v>
      </c>
      <c r="M793" s="8" t="inlineStr">
        <is>
          <t>Approved</t>
        </is>
      </c>
      <c r="N793" s="8" t="inlineStr">
        <is>
          <t>list_item</t>
        </is>
      </c>
    </row>
    <row r="794" ht="40" customHeight="1">
      <c r="A794" s="4" t="inlineStr">
        <is>
          <t>C11-P0011</t>
        </is>
      </c>
      <c r="B794" s="4" t="inlineStr">
        <is>
          <t>C11</t>
        </is>
      </c>
      <c r="C794" s="4" t="inlineStr">
        <is>
          <t>Stand-Up India</t>
        </is>
      </c>
      <c r="D794" s="4" t="inlineStr">
        <is>
          <t>Applicant documents</t>
        </is>
      </c>
      <c r="E794" s="4" t="inlineStr"/>
      <c r="F794" s="4" t="inlineStr">
        <is>
          <t>documents.en.documents_required[0].children[3]</t>
        </is>
      </c>
      <c r="G794" s="4" t="inlineStr">
        <is>
          <t>C11@20261028-90bd4c3e</t>
        </is>
      </c>
      <c r="H794" s="4" t="n">
        <v>1</v>
      </c>
      <c r="I794" s="4" t="n">
        <v>1</v>
      </c>
      <c r="J794" s="4" t="inlineStr">
        <is>
          <t>Proof that the applicant is not a defaulter in any Bank / Financial Institution</t>
        </is>
      </c>
      <c r="K794" s="4" t="inlineStr">
        <is>
          <t>MS-C11</t>
        </is>
      </c>
      <c r="L794" s="6" t="n">
        <v>46323</v>
      </c>
      <c r="M794" s="4" t="inlineStr">
        <is>
          <t>Approved</t>
        </is>
      </c>
      <c r="N794" s="4" t="inlineStr">
        <is>
          <t>list_item</t>
        </is>
      </c>
    </row>
    <row r="795" ht="40" customHeight="1">
      <c r="A795" s="8" t="inlineStr">
        <is>
          <t>C11-P0012</t>
        </is>
      </c>
      <c r="B795" s="8" t="inlineStr">
        <is>
          <t>C11</t>
        </is>
      </c>
      <c r="C795" s="8" t="inlineStr">
        <is>
          <t>Stand-Up India</t>
        </is>
      </c>
      <c r="D795" s="8" t="inlineStr">
        <is>
          <t>Applicant documents</t>
        </is>
      </c>
      <c r="E795" s="8" t="inlineStr"/>
      <c r="F795" s="8" t="inlineStr">
        <is>
          <t>documents.en.documents_required[0].children[4]</t>
        </is>
      </c>
      <c r="G795" s="8" t="inlineStr">
        <is>
          <t>C11@20261028-90bd4c3e</t>
        </is>
      </c>
      <c r="H795" s="8" t="n">
        <v>1</v>
      </c>
      <c r="I795" s="8" t="n">
        <v>1</v>
      </c>
      <c r="J795" s="8" t="inlineStr">
        <is>
          <t>Memorandum and articles of association of the Company / Partnership Deed of partners etc.</t>
        </is>
      </c>
      <c r="K795" s="8" t="inlineStr">
        <is>
          <t>MS-C11</t>
        </is>
      </c>
      <c r="L795" s="9" t="n">
        <v>46323</v>
      </c>
      <c r="M795" s="8" t="inlineStr">
        <is>
          <t>Approved</t>
        </is>
      </c>
      <c r="N795" s="8" t="inlineStr">
        <is>
          <t>list_item</t>
        </is>
      </c>
    </row>
    <row r="796" ht="40" customHeight="1">
      <c r="A796" s="4" t="inlineStr">
        <is>
          <t>C11-P0013</t>
        </is>
      </c>
      <c r="B796" s="4" t="inlineStr">
        <is>
          <t>C11</t>
        </is>
      </c>
      <c r="C796" s="4" t="inlineStr">
        <is>
          <t>Stand-Up India</t>
        </is>
      </c>
      <c r="D796" s="4" t="inlineStr">
        <is>
          <t>Applicant documents</t>
        </is>
      </c>
      <c r="E796" s="4" t="inlineStr"/>
      <c r="F796" s="4" t="inlineStr">
        <is>
          <t>documents.en.documents_required[0].children[5]</t>
        </is>
      </c>
      <c r="G796" s="4" t="inlineStr">
        <is>
          <t>C11@20261028-90bd4c3e</t>
        </is>
      </c>
      <c r="H796" s="4" t="n">
        <v>1</v>
      </c>
      <c r="I796" s="4" t="n">
        <v>1</v>
      </c>
      <c r="J796" s="4" t="inlineStr">
        <is>
          <t>Assets and liabilities statement of promoters and guarantors along with latest income tax returns.</t>
        </is>
      </c>
      <c r="K796" s="4" t="inlineStr">
        <is>
          <t>MS-C11</t>
        </is>
      </c>
      <c r="L796" s="6" t="n">
        <v>46323</v>
      </c>
      <c r="M796" s="4" t="inlineStr">
        <is>
          <t>Approved</t>
        </is>
      </c>
      <c r="N796" s="4" t="inlineStr">
        <is>
          <t>list_item</t>
        </is>
      </c>
    </row>
    <row r="797" ht="40" customHeight="1">
      <c r="A797" s="8" t="inlineStr">
        <is>
          <t>C11-P0014</t>
        </is>
      </c>
      <c r="B797" s="8" t="inlineStr">
        <is>
          <t>C11</t>
        </is>
      </c>
      <c r="C797" s="8" t="inlineStr">
        <is>
          <t>Stand-Up India</t>
        </is>
      </c>
      <c r="D797" s="8" t="inlineStr">
        <is>
          <t>Applicant documents</t>
        </is>
      </c>
      <c r="E797" s="8" t="inlineStr"/>
      <c r="F797" s="8" t="inlineStr">
        <is>
          <t>documents.en.documents_required[0].children[6]</t>
        </is>
      </c>
      <c r="G797" s="8" t="inlineStr">
        <is>
          <t>C11@20261028-90bd4c3e</t>
        </is>
      </c>
      <c r="H797" s="8" t="n">
        <v>1</v>
      </c>
      <c r="I797" s="8" t="n">
        <v>1</v>
      </c>
      <c r="J797" s="8" t="inlineStr">
        <is>
          <t>Rent Agreement (if business premises on rent) and clearance from pollution control board if applicable.</t>
        </is>
      </c>
      <c r="K797" s="8" t="inlineStr">
        <is>
          <t>MS-C11</t>
        </is>
      </c>
      <c r="L797" s="9" t="n">
        <v>46323</v>
      </c>
      <c r="M797" s="8" t="inlineStr">
        <is>
          <t>Approved</t>
        </is>
      </c>
      <c r="N797" s="8" t="inlineStr">
        <is>
          <t>list_item</t>
        </is>
      </c>
    </row>
    <row r="798" ht="40" customHeight="1">
      <c r="A798" s="4" t="inlineStr">
        <is>
          <t>C11-P0015</t>
        </is>
      </c>
      <c r="B798" s="4" t="inlineStr">
        <is>
          <t>C11</t>
        </is>
      </c>
      <c r="C798" s="4" t="inlineStr">
        <is>
          <t>Stand-Up India</t>
        </is>
      </c>
      <c r="D798" s="4" t="inlineStr">
        <is>
          <t>Applicant documents</t>
        </is>
      </c>
      <c r="E798" s="4" t="inlineStr"/>
      <c r="F798" s="4" t="inlineStr">
        <is>
          <t>documents.en.documents_required[0].children[7]</t>
        </is>
      </c>
      <c r="G798" s="4" t="inlineStr">
        <is>
          <t>C11@20261028-90bd4c3e</t>
        </is>
      </c>
      <c r="H798" s="4" t="n">
        <v>1</v>
      </c>
      <c r="I798" s="4" t="n">
        <v>1</v>
      </c>
      <c r="J798" s="4" t="inlineStr">
        <is>
          <t>SSI / MSME registration (if applicable)</t>
        </is>
      </c>
      <c r="K798" s="4" t="inlineStr">
        <is>
          <t>MS-C11</t>
        </is>
      </c>
      <c r="L798" s="6" t="n">
        <v>46323</v>
      </c>
      <c r="M798" s="4" t="inlineStr">
        <is>
          <t>Approved</t>
        </is>
      </c>
      <c r="N798" s="4" t="inlineStr">
        <is>
          <t>list_item</t>
        </is>
      </c>
    </row>
    <row r="799" ht="40" customHeight="1">
      <c r="A799" s="8" t="inlineStr">
        <is>
          <t>C11-P0016</t>
        </is>
      </c>
      <c r="B799" s="8" t="inlineStr">
        <is>
          <t>C11</t>
        </is>
      </c>
      <c r="C799" s="8" t="inlineStr">
        <is>
          <t>Stand-Up India</t>
        </is>
      </c>
      <c r="D799" s="8" t="inlineStr">
        <is>
          <t>Applicant documents</t>
        </is>
      </c>
      <c r="E799" s="8" t="inlineStr"/>
      <c r="F799" s="8" t="inlineStr">
        <is>
          <t>documents.en.documents_required[0].children[8]</t>
        </is>
      </c>
      <c r="G799" s="8" t="inlineStr">
        <is>
          <t>C11@20261028-90bd4c3e</t>
        </is>
      </c>
      <c r="H799" s="8" t="n">
        <v>1</v>
      </c>
      <c r="I799" s="8" t="n">
        <v>1</v>
      </c>
      <c r="J799" s="8" t="inlineStr">
        <is>
          <t>Projected balance sheets for the next two years in case of working capital limits and for the period of the loan in case of term loan.</t>
        </is>
      </c>
      <c r="K799" s="8" t="inlineStr">
        <is>
          <t>MS-C11</t>
        </is>
      </c>
      <c r="L799" s="9" t="n">
        <v>46323</v>
      </c>
      <c r="M799" s="8" t="inlineStr">
        <is>
          <t>Approved</t>
        </is>
      </c>
      <c r="N799" s="8" t="inlineStr">
        <is>
          <t>list_item</t>
        </is>
      </c>
    </row>
    <row r="800" ht="40" customHeight="1">
      <c r="A800" s="4" t="inlineStr">
        <is>
          <t>C11-P0017</t>
        </is>
      </c>
      <c r="B800" s="4" t="inlineStr">
        <is>
          <t>C11</t>
        </is>
      </c>
      <c r="C800" s="4" t="inlineStr">
        <is>
          <t>Stand-Up India</t>
        </is>
      </c>
      <c r="D800" s="4" t="inlineStr">
        <is>
          <t>Applicant documents</t>
        </is>
      </c>
      <c r="E800" s="4" t="inlineStr"/>
      <c r="F800" s="4" t="inlineStr">
        <is>
          <t>documents.en.documents_required[0].children[9]</t>
        </is>
      </c>
      <c r="G800" s="4" t="inlineStr">
        <is>
          <t>C11@20261028-90bd4c3e</t>
        </is>
      </c>
      <c r="H800" s="4" t="n">
        <v>1</v>
      </c>
      <c r="I800" s="4" t="n">
        <v>1</v>
      </c>
      <c r="J800" s="4" t="inlineStr">
        <is>
          <t>Photocopies of lease deeds/ title deeds of all the properties being offered as primary and collateral securities.</t>
        </is>
      </c>
      <c r="K800" s="4" t="inlineStr">
        <is>
          <t>MS-C11</t>
        </is>
      </c>
      <c r="L800" s="6" t="n">
        <v>46323</v>
      </c>
      <c r="M800" s="4" t="inlineStr">
        <is>
          <t>Approved</t>
        </is>
      </c>
      <c r="N800" s="4" t="inlineStr">
        <is>
          <t>list_item</t>
        </is>
      </c>
    </row>
    <row r="801" ht="40" customHeight="1">
      <c r="A801" s="8" t="inlineStr">
        <is>
          <t>C11-P0018</t>
        </is>
      </c>
      <c r="B801" s="8" t="inlineStr">
        <is>
          <t>C11</t>
        </is>
      </c>
      <c r="C801" s="8" t="inlineStr">
        <is>
          <t>Stand-Up India</t>
        </is>
      </c>
      <c r="D801" s="8" t="inlineStr">
        <is>
          <t>Applicant documents</t>
        </is>
      </c>
      <c r="E801" s="8" t="inlineStr"/>
      <c r="F801" s="8" t="inlineStr">
        <is>
          <t>documents.en.documents_required[0].children[10]</t>
        </is>
      </c>
      <c r="G801" s="8" t="inlineStr">
        <is>
          <t>C11@20261028-90bd4c3e</t>
        </is>
      </c>
      <c r="H801" s="8" t="n">
        <v>1</v>
      </c>
      <c r="I801" s="8" t="n">
        <v>1</v>
      </c>
      <c r="J801" s="8" t="inlineStr">
        <is>
          <t>Documents to establish whether the applicant belongs to SC/ST Category, wherever applicable.</t>
        </is>
      </c>
      <c r="K801" s="8" t="inlineStr">
        <is>
          <t>MS-C11</t>
        </is>
      </c>
      <c r="L801" s="9" t="n">
        <v>46323</v>
      </c>
      <c r="M801" s="8" t="inlineStr">
        <is>
          <t>Approved</t>
        </is>
      </c>
      <c r="N801" s="8" t="inlineStr">
        <is>
          <t>list_item</t>
        </is>
      </c>
    </row>
    <row r="802" ht="40" customHeight="1">
      <c r="A802" s="4" t="inlineStr">
        <is>
          <t>C11-P0019</t>
        </is>
      </c>
      <c r="B802" s="4" t="inlineStr">
        <is>
          <t>C11</t>
        </is>
      </c>
      <c r="C802" s="4" t="inlineStr">
        <is>
          <t>Stand-Up India</t>
        </is>
      </c>
      <c r="D802" s="4" t="inlineStr">
        <is>
          <t>Applicant documents</t>
        </is>
      </c>
      <c r="E802" s="4" t="inlineStr"/>
      <c r="F802" s="4" t="inlineStr">
        <is>
          <t>documents.en.documents_required[0].children[11]</t>
        </is>
      </c>
      <c r="G802" s="4" t="inlineStr">
        <is>
          <t>C11@20261028-90bd4c3e</t>
        </is>
      </c>
      <c r="H802" s="4" t="n">
        <v>1</v>
      </c>
      <c r="I802" s="4" t="n">
        <v>1</v>
      </c>
      <c r="J802" s="4" t="inlineStr">
        <is>
          <t>Certificate of incorporation from ROC to establish whether majority stake holding in the company is in the hands of a person who belongs to SC/ST/Woman category.</t>
        </is>
      </c>
      <c r="K802" s="4" t="inlineStr">
        <is>
          <t>MS-C11</t>
        </is>
      </c>
      <c r="L802" s="6" t="n">
        <v>46323</v>
      </c>
      <c r="M802" s="4" t="inlineStr">
        <is>
          <t>Approved</t>
        </is>
      </c>
      <c r="N802" s="4" t="inlineStr">
        <is>
          <t>list_item</t>
        </is>
      </c>
    </row>
    <row r="803" ht="40" customHeight="1">
      <c r="A803" s="8" t="inlineStr">
        <is>
          <t>C11-P0020</t>
        </is>
      </c>
      <c r="B803" s="8" t="inlineStr">
        <is>
          <t>C11</t>
        </is>
      </c>
      <c r="C803" s="8" t="inlineStr">
        <is>
          <t>Stand-Up India</t>
        </is>
      </c>
      <c r="D803" s="8" t="inlineStr">
        <is>
          <t>Applicant documents</t>
        </is>
      </c>
      <c r="E803" s="8" t="inlineStr">
        <is>
          <t>For cases with exposure above ₹ 25 Lakhs:</t>
        </is>
      </c>
      <c r="F803" s="8" t="inlineStr">
        <is>
          <t>documents.en.documents_required[1]</t>
        </is>
      </c>
      <c r="G803" s="8" t="inlineStr">
        <is>
          <t>C11@20261028-90bd4c3e</t>
        </is>
      </c>
      <c r="H803" s="8" t="n">
        <v>1</v>
      </c>
      <c r="I803" s="8" t="n">
        <v>1</v>
      </c>
      <c r="J803" s="8" t="inlineStr">
        <is>
          <t>For cases with exposure above ₹ 25 Lakhs:</t>
        </is>
      </c>
      <c r="K803" s="8" t="inlineStr">
        <is>
          <t>MS-C11</t>
        </is>
      </c>
      <c r="L803" s="9" t="n">
        <v>46323</v>
      </c>
      <c r="M803" s="8" t="inlineStr">
        <is>
          <t>Approved</t>
        </is>
      </c>
      <c r="N803" s="8" t="inlineStr">
        <is>
          <t>paragraph</t>
        </is>
      </c>
    </row>
    <row r="804" ht="40" customHeight="1">
      <c r="A804" s="4" t="inlineStr">
        <is>
          <t>C11-P0021</t>
        </is>
      </c>
      <c r="B804" s="4" t="inlineStr">
        <is>
          <t>C11</t>
        </is>
      </c>
      <c r="C804" s="4" t="inlineStr">
        <is>
          <t>Stand-Up India</t>
        </is>
      </c>
      <c r="D804" s="4" t="inlineStr">
        <is>
          <t>Applicant documents</t>
        </is>
      </c>
      <c r="E804" s="4" t="inlineStr">
        <is>
          <t>For cases with exposure above ₹ 25 Lakhs:</t>
        </is>
      </c>
      <c r="F804" s="4" t="inlineStr">
        <is>
          <t>documents.en.documents_required[2].children[0]</t>
        </is>
      </c>
      <c r="G804" s="4" t="inlineStr">
        <is>
          <t>C11@20261028-90bd4c3e</t>
        </is>
      </c>
      <c r="H804" s="4" t="n">
        <v>1</v>
      </c>
      <c r="I804" s="4" t="n">
        <v>1</v>
      </c>
      <c r="J804" s="4" t="inlineStr">
        <is>
          <t>Profile of the unit (includes names of promoters, other directors in the company, the activity being undertaken addresses of all offices and plants, shareholding pattern etc.</t>
        </is>
      </c>
      <c r="K804" s="4" t="inlineStr">
        <is>
          <t>MS-C11</t>
        </is>
      </c>
      <c r="L804" s="6" t="n">
        <v>46323</v>
      </c>
      <c r="M804" s="4" t="inlineStr">
        <is>
          <t>Approved</t>
        </is>
      </c>
      <c r="N804" s="4" t="inlineStr">
        <is>
          <t>list_item</t>
        </is>
      </c>
    </row>
    <row r="805" ht="40" customHeight="1">
      <c r="A805" s="8" t="inlineStr">
        <is>
          <t>C11-P0022</t>
        </is>
      </c>
      <c r="B805" s="8" t="inlineStr">
        <is>
          <t>C11</t>
        </is>
      </c>
      <c r="C805" s="8" t="inlineStr">
        <is>
          <t>Stand-Up India</t>
        </is>
      </c>
      <c r="D805" s="8" t="inlineStr">
        <is>
          <t>Applicant documents</t>
        </is>
      </c>
      <c r="E805" s="8" t="inlineStr">
        <is>
          <t>For cases with exposure above ₹ 25 Lakhs:</t>
        </is>
      </c>
      <c r="F805" s="8" t="inlineStr">
        <is>
          <t>documents.en.documents_required[2].children[1]</t>
        </is>
      </c>
      <c r="G805" s="8" t="inlineStr">
        <is>
          <t>C11@20261028-90bd4c3e</t>
        </is>
      </c>
      <c r="H805" s="8" t="n">
        <v>1</v>
      </c>
      <c r="I805" s="8" t="n">
        <v>1</v>
      </c>
      <c r="J805" s="8" t="inlineStr">
        <is>
          <t>Last three years balance sheets of the Associate / Group Companies (if any).</t>
        </is>
      </c>
      <c r="K805" s="8" t="inlineStr">
        <is>
          <t>MS-C11</t>
        </is>
      </c>
      <c r="L805" s="9" t="n">
        <v>46323</v>
      </c>
      <c r="M805" s="8" t="inlineStr">
        <is>
          <t>Approved</t>
        </is>
      </c>
      <c r="N805" s="8" t="inlineStr">
        <is>
          <t>list_item</t>
        </is>
      </c>
    </row>
    <row r="806" ht="82" customHeight="1">
      <c r="A806" s="4" t="inlineStr">
        <is>
          <t>C11-P0023</t>
        </is>
      </c>
      <c r="B806" s="4" t="inlineStr">
        <is>
          <t>C11</t>
        </is>
      </c>
      <c r="C806" s="4" t="inlineStr">
        <is>
          <t>Stand-Up India</t>
        </is>
      </c>
      <c r="D806" s="4" t="inlineStr">
        <is>
          <t>Applicant documents</t>
        </is>
      </c>
      <c r="E806" s="4" t="inlineStr">
        <is>
          <t>For cases with exposure above ₹ 25 Lakhs:</t>
        </is>
      </c>
      <c r="F806" s="4" t="inlineStr">
        <is>
          <t>documents.en.documents_required[2].children[2]</t>
        </is>
      </c>
      <c r="G806" s="4" t="inlineStr">
        <is>
          <t>C11@20261028-90bd4c3e</t>
        </is>
      </c>
      <c r="H806" s="4" t="n">
        <v>1</v>
      </c>
      <c r="I806" s="4" t="n">
        <v>1</v>
      </c>
      <c r="J806" s="4" t="inlineStr">
        <is>
          <t>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t>
        </is>
      </c>
      <c r="K806" s="4" t="inlineStr">
        <is>
          <t>MS-C11</t>
        </is>
      </c>
      <c r="L806" s="6" t="n">
        <v>46323</v>
      </c>
      <c r="M806" s="4" t="inlineStr">
        <is>
          <t>Approved</t>
        </is>
      </c>
      <c r="N806" s="4" t="inlineStr">
        <is>
          <t>list_item</t>
        </is>
      </c>
    </row>
    <row r="807" ht="68" customHeight="1">
      <c r="A807" s="8" t="inlineStr">
        <is>
          <t>C11-P0024</t>
        </is>
      </c>
      <c r="B807" s="8" t="inlineStr">
        <is>
          <t>C11</t>
        </is>
      </c>
      <c r="C807" s="8" t="inlineStr">
        <is>
          <t>Stand-Up India</t>
        </is>
      </c>
      <c r="D807" s="8" t="inlineStr">
        <is>
          <t>Applicant documents</t>
        </is>
      </c>
      <c r="E807" s="8" t="inlineStr">
        <is>
          <t>For cases with exposure above ₹ 25 Lakhs:</t>
        </is>
      </c>
      <c r="F807" s="8" t="inlineStr">
        <is>
          <t>documents.en.documents_required[2].children[3]</t>
        </is>
      </c>
      <c r="G807" s="8" t="inlineStr">
        <is>
          <t>C11@20261028-90bd4c3e</t>
        </is>
      </c>
      <c r="H807" s="8" t="n">
        <v>1</v>
      </c>
      <c r="I807" s="8" t="n">
        <v>1</v>
      </c>
      <c r="J807" s="8" t="inlineStr">
        <is>
          <t>Manufacturing process if applicable, major profile of executives in the company, any tie-ups, details about raw material used and their suppliers, details about the buyers, details about major-competitors and the company’s strength and weaknesses as compared to their competitors etc.</t>
        </is>
      </c>
      <c r="K807" s="8" t="inlineStr">
        <is>
          <t>MS-C11</t>
        </is>
      </c>
      <c r="L807" s="9" t="n">
        <v>46323</v>
      </c>
      <c r="M807" s="8" t="inlineStr">
        <is>
          <t>Approved</t>
        </is>
      </c>
      <c r="N807" s="8" t="inlineStr">
        <is>
          <t>list_item</t>
        </is>
      </c>
    </row>
    <row r="808" ht="54" customHeight="1">
      <c r="A808" s="4" t="inlineStr">
        <is>
          <t>C11-P0025</t>
        </is>
      </c>
      <c r="B808" s="4" t="inlineStr">
        <is>
          <t>C11</t>
        </is>
      </c>
      <c r="C808" s="4" t="inlineStr">
        <is>
          <t>Stand-Up India</t>
        </is>
      </c>
      <c r="D808" s="4" t="inlineStr">
        <is>
          <t>Application process</t>
        </is>
      </c>
      <c r="E808" s="4" t="inlineStr"/>
      <c r="F808" s="4" t="inlineStr">
        <is>
          <t>en.applicationProcess[0].process[0]</t>
        </is>
      </c>
      <c r="G808" s="4" t="inlineStr">
        <is>
          <t>C11@20261028-90bd4c3e</t>
        </is>
      </c>
      <c r="H808" s="4" t="n">
        <v>1</v>
      </c>
      <c r="I808" s="4" t="n">
        <v>1</v>
      </c>
      <c r="J808" s="4" t="inlineStr">
        <is>
          <t>Either approach your nearest bank branch to apply (locate your nearest bank here - https://www.rbi.org.in/Scripts/query.aspx )Or Through the Lead District Manager (LDM) (find the address and the email of the LDM of your district here - https://www.standupmitra.in/LDMS#NoBack)</t>
        </is>
      </c>
      <c r="K808" s="4" t="inlineStr">
        <is>
          <t>MS-C11</t>
        </is>
      </c>
      <c r="L808" s="6" t="n">
        <v>46323</v>
      </c>
      <c r="M808" s="4" t="inlineStr">
        <is>
          <t>Approved</t>
        </is>
      </c>
      <c r="N808" s="4" t="inlineStr">
        <is>
          <t>paragraph</t>
        </is>
      </c>
    </row>
    <row r="809" ht="40" customHeight="1">
      <c r="A809" s="8" t="inlineStr">
        <is>
          <t>C11-P0026</t>
        </is>
      </c>
      <c r="B809" s="8" t="inlineStr">
        <is>
          <t>C11</t>
        </is>
      </c>
      <c r="C809" s="8" t="inlineStr">
        <is>
          <t>Stand-Up India</t>
        </is>
      </c>
      <c r="D809" s="8" t="inlineStr">
        <is>
          <t>Application process</t>
        </is>
      </c>
      <c r="E809" s="8" t="inlineStr"/>
      <c r="F809" s="8" t="inlineStr">
        <is>
          <t>en.applicationProcess[0].process[1]</t>
        </is>
      </c>
      <c r="G809" s="8" t="inlineStr">
        <is>
          <t>C11@20261028-90bd4c3e</t>
        </is>
      </c>
      <c r="H809" s="8" t="n">
        <v>1</v>
      </c>
      <c r="I809" s="8" t="n">
        <v>1</v>
      </c>
      <c r="J809" s="8" t="inlineStr">
        <is>
          <t>Or Apply Through Portal: www.standupmitra.in</t>
        </is>
      </c>
      <c r="K809" s="8" t="inlineStr">
        <is>
          <t>MS-C11</t>
        </is>
      </c>
      <c r="L809" s="9" t="n">
        <v>46323</v>
      </c>
      <c r="M809" s="8" t="inlineStr">
        <is>
          <t>Approved</t>
        </is>
      </c>
      <c r="N809" s="8" t="inlineStr">
        <is>
          <t>paragraph</t>
        </is>
      </c>
    </row>
    <row r="810" ht="40" customHeight="1">
      <c r="A810" s="4" t="inlineStr">
        <is>
          <t>C11-P0027</t>
        </is>
      </c>
      <c r="B810" s="4" t="inlineStr">
        <is>
          <t>C11</t>
        </is>
      </c>
      <c r="C810" s="4" t="inlineStr">
        <is>
          <t>Stand-Up India</t>
        </is>
      </c>
      <c r="D810" s="4" t="inlineStr">
        <is>
          <t>Application process</t>
        </is>
      </c>
      <c r="E810" s="4" t="inlineStr">
        <is>
          <t>Process:</t>
        </is>
      </c>
      <c r="F810" s="4" t="inlineStr">
        <is>
          <t>en.applicationProcess[0].process[2]</t>
        </is>
      </c>
      <c r="G810" s="4" t="inlineStr">
        <is>
          <t>C11@20261028-90bd4c3e</t>
        </is>
      </c>
      <c r="H810" s="4" t="n">
        <v>1</v>
      </c>
      <c r="I810" s="4" t="n">
        <v>1</v>
      </c>
      <c r="J810" s="4" t="inlineStr">
        <is>
          <t>Process:</t>
        </is>
      </c>
      <c r="K810" s="4" t="inlineStr">
        <is>
          <t>MS-C11</t>
        </is>
      </c>
      <c r="L810" s="6" t="n">
        <v>46323</v>
      </c>
      <c r="M810" s="4" t="inlineStr">
        <is>
          <t>Approved</t>
        </is>
      </c>
      <c r="N810" s="4" t="inlineStr">
        <is>
          <t>paragraph</t>
        </is>
      </c>
    </row>
    <row r="811" ht="40" customHeight="1">
      <c r="A811" s="8" t="inlineStr">
        <is>
          <t>C11-P0028</t>
        </is>
      </c>
      <c r="B811" s="8" t="inlineStr">
        <is>
          <t>C11</t>
        </is>
      </c>
      <c r="C811" s="8" t="inlineStr">
        <is>
          <t>Stand-Up India</t>
        </is>
      </c>
      <c r="D811" s="8" t="inlineStr">
        <is>
          <t>Application process</t>
        </is>
      </c>
      <c r="E811" s="8" t="inlineStr">
        <is>
          <t>Process:</t>
        </is>
      </c>
      <c r="F811" s="8" t="inlineStr">
        <is>
          <t>en.applicationProcess[0].process[3].children[0]</t>
        </is>
      </c>
      <c r="G811" s="8" t="inlineStr">
        <is>
          <t>C11@20261028-90bd4c3e</t>
        </is>
      </c>
      <c r="H811" s="8" t="n">
        <v>1</v>
      </c>
      <c r="I811" s="8" t="n">
        <v>1</v>
      </c>
      <c r="J811" s="8" t="inlineStr">
        <is>
          <t>The first step is to visit the official portal of StandUp India at: https://www.standupmitra.in/Login/Register</t>
        </is>
      </c>
      <c r="K811" s="8" t="inlineStr">
        <is>
          <t>MS-C11</t>
        </is>
      </c>
      <c r="L811" s="9" t="n">
        <v>46323</v>
      </c>
      <c r="M811" s="8" t="inlineStr">
        <is>
          <t>Approved</t>
        </is>
      </c>
      <c r="N811" s="8" t="inlineStr">
        <is>
          <t>list_item</t>
        </is>
      </c>
    </row>
    <row r="812" ht="40" customHeight="1">
      <c r="A812" s="4" t="inlineStr">
        <is>
          <t>C11-P0029</t>
        </is>
      </c>
      <c r="B812" s="4" t="inlineStr">
        <is>
          <t>C11</t>
        </is>
      </c>
      <c r="C812" s="4" t="inlineStr">
        <is>
          <t>Stand-Up India</t>
        </is>
      </c>
      <c r="D812" s="4" t="inlineStr">
        <is>
          <t>Application process</t>
        </is>
      </c>
      <c r="E812" s="4" t="inlineStr">
        <is>
          <t>Process:</t>
        </is>
      </c>
      <c r="F812" s="4" t="inlineStr">
        <is>
          <t>en.applicationProcess[0].process[3].children[1]</t>
        </is>
      </c>
      <c r="G812" s="4" t="inlineStr">
        <is>
          <t>C11@20261028-90bd4c3e</t>
        </is>
      </c>
      <c r="H812" s="4" t="n">
        <v>1</v>
      </c>
      <c r="I812" s="4" t="n">
        <v>1</v>
      </c>
      <c r="J812" s="4" t="inlineStr">
        <is>
          <t>Enter the full details of the business location.</t>
        </is>
      </c>
      <c r="K812" s="4" t="inlineStr">
        <is>
          <t>MS-C11</t>
        </is>
      </c>
      <c r="L812" s="6" t="n">
        <v>46323</v>
      </c>
      <c r="M812" s="4" t="inlineStr">
        <is>
          <t>Approved</t>
        </is>
      </c>
      <c r="N812" s="4" t="inlineStr">
        <is>
          <t>list_item</t>
        </is>
      </c>
    </row>
    <row r="813" ht="40" customHeight="1">
      <c r="A813" s="8" t="inlineStr">
        <is>
          <t>C11-P0030</t>
        </is>
      </c>
      <c r="B813" s="8" t="inlineStr">
        <is>
          <t>C11</t>
        </is>
      </c>
      <c r="C813" s="8" t="inlineStr">
        <is>
          <t>Stand-Up India</t>
        </is>
      </c>
      <c r="D813" s="8" t="inlineStr">
        <is>
          <t>Application process</t>
        </is>
      </c>
      <c r="E813" s="8" t="inlineStr">
        <is>
          <t>Process:</t>
        </is>
      </c>
      <c r="F813" s="8" t="inlineStr">
        <is>
          <t>en.applicationProcess[0].process[3].children[2]</t>
        </is>
      </c>
      <c r="G813" s="8" t="inlineStr">
        <is>
          <t>C11@20261028-90bd4c3e</t>
        </is>
      </c>
      <c r="H813" s="8" t="n">
        <v>1</v>
      </c>
      <c r="I813" s="8" t="n">
        <v>1</v>
      </c>
      <c r="J813" s="8" t="inlineStr">
        <is>
          <t>Select the category between SC, ST, Woman, and whether the stake held is 51% or higher.</t>
        </is>
      </c>
      <c r="K813" s="8" t="inlineStr">
        <is>
          <t>MS-C11</t>
        </is>
      </c>
      <c r="L813" s="9" t="n">
        <v>46323</v>
      </c>
      <c r="M813" s="8" t="inlineStr">
        <is>
          <t>Approved</t>
        </is>
      </c>
      <c r="N813" s="8" t="inlineStr">
        <is>
          <t>list_item</t>
        </is>
      </c>
    </row>
    <row r="814" ht="40" customHeight="1">
      <c r="A814" s="4" t="inlineStr">
        <is>
          <t>C11-P0031</t>
        </is>
      </c>
      <c r="B814" s="4" t="inlineStr">
        <is>
          <t>C11</t>
        </is>
      </c>
      <c r="C814" s="4" t="inlineStr">
        <is>
          <t>Stand-Up India</t>
        </is>
      </c>
      <c r="D814" s="4" t="inlineStr">
        <is>
          <t>Application process</t>
        </is>
      </c>
      <c r="E814" s="4" t="inlineStr">
        <is>
          <t>Process:</t>
        </is>
      </c>
      <c r="F814" s="4" t="inlineStr">
        <is>
          <t>en.applicationProcess[0].process[3].children[3]</t>
        </is>
      </c>
      <c r="G814" s="4" t="inlineStr">
        <is>
          <t>C11@20261028-90bd4c3e</t>
        </is>
      </c>
      <c r="H814" s="4" t="n">
        <v>1</v>
      </c>
      <c r="I814" s="4" t="n">
        <v>1</v>
      </c>
      <c r="J814" s="4" t="inlineStr">
        <is>
          <t>Select the nature of the proposed business; the loan amount desired description of the business, the details of the premises, etc.</t>
        </is>
      </c>
      <c r="K814" s="4" t="inlineStr">
        <is>
          <t>MS-C11</t>
        </is>
      </c>
      <c r="L814" s="6" t="n">
        <v>46323</v>
      </c>
      <c r="M814" s="4" t="inlineStr">
        <is>
          <t>Approved</t>
        </is>
      </c>
      <c r="N814" s="4" t="inlineStr">
        <is>
          <t>list_item</t>
        </is>
      </c>
    </row>
    <row r="815" ht="40" customHeight="1">
      <c r="A815" s="8" t="inlineStr">
        <is>
          <t>C11-P0032</t>
        </is>
      </c>
      <c r="B815" s="8" t="inlineStr">
        <is>
          <t>C11</t>
        </is>
      </c>
      <c r="C815" s="8" t="inlineStr">
        <is>
          <t>Stand-Up India</t>
        </is>
      </c>
      <c r="D815" s="8" t="inlineStr">
        <is>
          <t>Application process</t>
        </is>
      </c>
      <c r="E815" s="8" t="inlineStr">
        <is>
          <t>Process:</t>
        </is>
      </c>
      <c r="F815" s="8" t="inlineStr">
        <is>
          <t>en.applicationProcess[0].process[3].children[4]</t>
        </is>
      </c>
      <c r="G815" s="8" t="inlineStr">
        <is>
          <t>C11@20261028-90bd4c3e</t>
        </is>
      </c>
      <c r="H815" s="8" t="n">
        <v>1</v>
      </c>
      <c r="I815" s="8" t="n">
        <v>1</v>
      </c>
      <c r="J815" s="8" t="inlineStr">
        <is>
          <t>Populate the fields with past business experience, including tenure.</t>
        </is>
      </c>
      <c r="K815" s="8" t="inlineStr">
        <is>
          <t>MS-C11</t>
        </is>
      </c>
      <c r="L815" s="9" t="n">
        <v>46323</v>
      </c>
      <c r="M815" s="8" t="inlineStr">
        <is>
          <t>Approved</t>
        </is>
      </c>
      <c r="N815" s="8" t="inlineStr">
        <is>
          <t>list_item</t>
        </is>
      </c>
    </row>
    <row r="816" ht="40" customHeight="1">
      <c r="A816" s="4" t="inlineStr">
        <is>
          <t>C11-P0033</t>
        </is>
      </c>
      <c r="B816" s="4" t="inlineStr">
        <is>
          <t>C11</t>
        </is>
      </c>
      <c r="C816" s="4" t="inlineStr">
        <is>
          <t>Stand-Up India</t>
        </is>
      </c>
      <c r="D816" s="4" t="inlineStr">
        <is>
          <t>Application process</t>
        </is>
      </c>
      <c r="E816" s="4" t="inlineStr">
        <is>
          <t>Process:</t>
        </is>
      </c>
      <c r="F816" s="4" t="inlineStr">
        <is>
          <t>en.applicationProcess[0].process[3].children[5]</t>
        </is>
      </c>
      <c r="G816" s="4" t="inlineStr">
        <is>
          <t>C11@20261028-90bd4c3e</t>
        </is>
      </c>
      <c r="H816" s="4" t="n">
        <v>1</v>
      </c>
      <c r="I816" s="4" t="n">
        <v>1</v>
      </c>
      <c r="J816" s="4" t="inlineStr">
        <is>
          <t>Select the need for hand-holding is required.</t>
        </is>
      </c>
      <c r="K816" s="4" t="inlineStr">
        <is>
          <t>MS-C11</t>
        </is>
      </c>
      <c r="L816" s="6" t="n">
        <v>46323</v>
      </c>
      <c r="M816" s="4" t="inlineStr">
        <is>
          <t>Approved</t>
        </is>
      </c>
      <c r="N816" s="4" t="inlineStr">
        <is>
          <t>list_item</t>
        </is>
      </c>
    </row>
    <row r="817" ht="40" customHeight="1">
      <c r="A817" s="8" t="inlineStr">
        <is>
          <t>C11-P0034</t>
        </is>
      </c>
      <c r="B817" s="8" t="inlineStr">
        <is>
          <t>C11</t>
        </is>
      </c>
      <c r="C817" s="8" t="inlineStr">
        <is>
          <t>Stand-Up India</t>
        </is>
      </c>
      <c r="D817" s="8" t="inlineStr">
        <is>
          <t>Application process</t>
        </is>
      </c>
      <c r="E817" s="8" t="inlineStr">
        <is>
          <t>Process:</t>
        </is>
      </c>
      <c r="F817" s="8" t="inlineStr">
        <is>
          <t>en.applicationProcess[0].process[3].children[6]</t>
        </is>
      </c>
      <c r="G817" s="8" t="inlineStr">
        <is>
          <t>C11@20261028-90bd4c3e</t>
        </is>
      </c>
      <c r="H817" s="8" t="n">
        <v>1</v>
      </c>
      <c r="I817" s="8" t="n">
        <v>1</v>
      </c>
      <c r="J817" s="8" t="inlineStr">
        <is>
          <t>Enter all the personal details sought, which include the name of the enterprise and the constitution.</t>
        </is>
      </c>
      <c r="K817" s="8" t="inlineStr">
        <is>
          <t>MS-C11</t>
        </is>
      </c>
      <c r="L817" s="9" t="n">
        <v>46323</v>
      </c>
      <c r="M817" s="8" t="inlineStr">
        <is>
          <t>Approved</t>
        </is>
      </c>
      <c r="N817" s="8" t="inlineStr">
        <is>
          <t>list_item</t>
        </is>
      </c>
    </row>
    <row r="818" ht="40" customHeight="1">
      <c r="A818" s="4" t="inlineStr">
        <is>
          <t>C11-P0035</t>
        </is>
      </c>
      <c r="B818" s="4" t="inlineStr">
        <is>
          <t>C11</t>
        </is>
      </c>
      <c r="C818" s="4" t="inlineStr">
        <is>
          <t>Stand-Up India</t>
        </is>
      </c>
      <c r="D818" s="4" t="inlineStr">
        <is>
          <t>Application process</t>
        </is>
      </c>
      <c r="E818" s="4" t="inlineStr">
        <is>
          <t>Process:</t>
        </is>
      </c>
      <c r="F818" s="4" t="inlineStr">
        <is>
          <t>en.applicationProcess[0].process[3].children[7]</t>
        </is>
      </c>
      <c r="G818" s="4" t="inlineStr">
        <is>
          <t>C11@20261028-90bd4c3e</t>
        </is>
      </c>
      <c r="H818" s="4" t="n">
        <v>1</v>
      </c>
      <c r="I818" s="4" t="n">
        <v>1</v>
      </c>
      <c r="J818" s="4" t="inlineStr">
        <is>
          <t>The last step is to select the register button to complete the process.</t>
        </is>
      </c>
      <c r="K818" s="4" t="inlineStr">
        <is>
          <t>MS-C11</t>
        </is>
      </c>
      <c r="L818" s="6" t="n">
        <v>46323</v>
      </c>
      <c r="M818" s="4" t="inlineStr">
        <is>
          <t>Approved</t>
        </is>
      </c>
      <c r="N818" s="4" t="inlineStr">
        <is>
          <t>list_item</t>
        </is>
      </c>
    </row>
    <row r="819" ht="54" customHeight="1">
      <c r="A819" s="8" t="inlineStr">
        <is>
          <t>C11-P0036</t>
        </is>
      </c>
      <c r="B819" s="8" t="inlineStr">
        <is>
          <t>C11</t>
        </is>
      </c>
      <c r="C819" s="8" t="inlineStr">
        <is>
          <t>Stand-Up India</t>
        </is>
      </c>
      <c r="D819" s="8" t="inlineStr">
        <is>
          <t>Application process</t>
        </is>
      </c>
      <c r="E819" s="8" t="inlineStr">
        <is>
          <t>Process:</t>
        </is>
      </c>
      <c r="F819" s="8" t="inlineStr">
        <is>
          <t>en.applicationProcess[0].process[4]</t>
        </is>
      </c>
      <c r="G819" s="8" t="inlineStr">
        <is>
          <t>C11@20261028-90bd4c3e</t>
        </is>
      </c>
      <c r="H819" s="8" t="n">
        <v>1</v>
      </c>
      <c r="I819" s="8" t="n">
        <v>1</v>
      </c>
      <c r="J819" s="8" t="inlineStr">
        <is>
          <t>Once you have completed registration, you are eligible to initiate the StandUp India Loan Application process with the respective financial institution for the officials to contact you for completing the StandUp India Loan Process and requisite formalities.</t>
        </is>
      </c>
      <c r="K819" s="8" t="inlineStr">
        <is>
          <t>MS-C11</t>
        </is>
      </c>
      <c r="L819" s="9" t="n">
        <v>46323</v>
      </c>
      <c r="M819" s="8" t="inlineStr">
        <is>
          <t>Approved</t>
        </is>
      </c>
      <c r="N819" s="8" t="inlineStr">
        <is>
          <t>paragraph</t>
        </is>
      </c>
    </row>
    <row r="820" ht="54" customHeight="1">
      <c r="A820" s="4" t="inlineStr">
        <is>
          <t>C11-P0037</t>
        </is>
      </c>
      <c r="B820" s="4" t="inlineStr">
        <is>
          <t>C11</t>
        </is>
      </c>
      <c r="C820" s="4" t="inlineStr">
        <is>
          <t>Stand-Up India</t>
        </is>
      </c>
      <c r="D820" s="4" t="inlineStr">
        <is>
          <t>FAQ</t>
        </is>
      </c>
      <c r="E820" s="4" t="inlineStr"/>
      <c r="F820" s="4" t="inlineStr">
        <is>
          <t>faqs.en.faqs[0]</t>
        </is>
      </c>
      <c r="G820" s="4" t="inlineStr">
        <is>
          <t>C11@20261028-90bd4c3e</t>
        </is>
      </c>
      <c r="H820" s="4" t="n">
        <v>1</v>
      </c>
      <c r="I820" s="4" t="n">
        <v>1</v>
      </c>
      <c r="J820" s="4" t="inlineStr">
        <is>
          <t>What is the nature and size of the loan under the Stand-Up India Scheme?
Composite loan (inclusive of term loan and working capital) between 10 lakh and up to 100 lakh representing up to 85% of the project cost would be eligible.</t>
        </is>
      </c>
      <c r="K820" s="4" t="inlineStr">
        <is>
          <t>MS-C11</t>
        </is>
      </c>
      <c r="L820" s="6" t="n">
        <v>46323</v>
      </c>
      <c r="M820" s="4" t="inlineStr">
        <is>
          <t>Approved</t>
        </is>
      </c>
      <c r="N820" s="4" t="inlineStr">
        <is>
          <t>faq</t>
        </is>
      </c>
    </row>
    <row r="821" ht="54" customHeight="1">
      <c r="A821" s="8" t="inlineStr">
        <is>
          <t>C11-P0038</t>
        </is>
      </c>
      <c r="B821" s="8" t="inlineStr">
        <is>
          <t>C11</t>
        </is>
      </c>
      <c r="C821" s="8" t="inlineStr">
        <is>
          <t>Stand-Up India</t>
        </is>
      </c>
      <c r="D821" s="8" t="inlineStr">
        <is>
          <t>FAQ</t>
        </is>
      </c>
      <c r="E821" s="8" t="inlineStr"/>
      <c r="F821" s="8" t="inlineStr">
        <is>
          <t>faqs.en.faqs[1]</t>
        </is>
      </c>
      <c r="G821" s="8" t="inlineStr">
        <is>
          <t>C11@20261028-90bd4c3e</t>
        </is>
      </c>
      <c r="H821" s="8" t="n">
        <v>1</v>
      </c>
      <c r="I821" s="8" t="n">
        <v>1</v>
      </c>
      <c r="J821" s="8" t="inlineStr">
        <is>
          <t>How much will be the interest rate for the loan?
The rate of interest would be lowest applicable rate of the bank for that category (rating category) not to exceed (base rate (MCLR) + 3%+ tenor premium).</t>
        </is>
      </c>
      <c r="K821" s="8" t="inlineStr">
        <is>
          <t>MS-C11</t>
        </is>
      </c>
      <c r="L821" s="9" t="n">
        <v>46323</v>
      </c>
      <c r="M821" s="8" t="inlineStr">
        <is>
          <t>Approved</t>
        </is>
      </c>
      <c r="N821" s="8" t="inlineStr">
        <is>
          <t>faq</t>
        </is>
      </c>
    </row>
    <row r="822" ht="40" customHeight="1">
      <c r="A822" s="4" t="inlineStr">
        <is>
          <t>C11-P0039</t>
        </is>
      </c>
      <c r="B822" s="4" t="inlineStr">
        <is>
          <t>C11</t>
        </is>
      </c>
      <c r="C822" s="4" t="inlineStr">
        <is>
          <t>Stand-Up India</t>
        </is>
      </c>
      <c r="D822" s="4" t="inlineStr">
        <is>
          <t>FAQ</t>
        </is>
      </c>
      <c r="E822" s="4" t="inlineStr"/>
      <c r="F822" s="4" t="inlineStr">
        <is>
          <t>faqs.en.faqs[2]</t>
        </is>
      </c>
      <c r="G822" s="4" t="inlineStr">
        <is>
          <t>C11@20261028-90bd4c3e</t>
        </is>
      </c>
      <c r="H822" s="4" t="n">
        <v>1</v>
      </c>
      <c r="I822" s="4" t="n">
        <v>1</v>
      </c>
      <c r="J822" s="4" t="inlineStr">
        <is>
          <t>By when am I expected to repay the loan?
The loan is repayable in 7 years with a maximum moratorium period of 18 months.</t>
        </is>
      </c>
      <c r="K822" s="4" t="inlineStr">
        <is>
          <t>MS-C11</t>
        </is>
      </c>
      <c r="L822" s="6" t="n">
        <v>46323</v>
      </c>
      <c r="M822" s="4" t="inlineStr">
        <is>
          <t>Approved</t>
        </is>
      </c>
      <c r="N822" s="4" t="inlineStr">
        <is>
          <t>faq</t>
        </is>
      </c>
    </row>
    <row r="823" ht="40" customHeight="1">
      <c r="A823" s="8" t="inlineStr">
        <is>
          <t>C11-P0040</t>
        </is>
      </c>
      <c r="B823" s="8" t="inlineStr">
        <is>
          <t>C11</t>
        </is>
      </c>
      <c r="C823" s="8" t="inlineStr">
        <is>
          <t>Stand-Up India</t>
        </is>
      </c>
      <c r="D823" s="8" t="inlineStr">
        <is>
          <t>FAQ</t>
        </is>
      </c>
      <c r="E823" s="8" t="inlineStr"/>
      <c r="F823" s="8" t="inlineStr">
        <is>
          <t>faqs.en.faqs[3]</t>
        </is>
      </c>
      <c r="G823" s="8" t="inlineStr">
        <is>
          <t>C11@20261028-90bd4c3e</t>
        </is>
      </c>
      <c r="H823" s="8" t="n">
        <v>1</v>
      </c>
      <c r="I823" s="8" t="n">
        <v>1</v>
      </c>
      <c r="J823" s="8" t="inlineStr">
        <is>
          <t>Who are the eligible lending institutions for extending loans under the Scheme?
All branches of Scheduled Commercial Banks located across the country.</t>
        </is>
      </c>
      <c r="K823" s="8" t="inlineStr">
        <is>
          <t>MS-C11</t>
        </is>
      </c>
      <c r="L823" s="9" t="n">
        <v>46323</v>
      </c>
      <c r="M823" s="8" t="inlineStr">
        <is>
          <t>Approved</t>
        </is>
      </c>
      <c r="N823" s="8" t="inlineStr">
        <is>
          <t>faq</t>
        </is>
      </c>
    </row>
    <row r="824" ht="54" customHeight="1">
      <c r="A824" s="4" t="inlineStr">
        <is>
          <t>C11-P0041</t>
        </is>
      </c>
      <c r="B824" s="4" t="inlineStr">
        <is>
          <t>C11</t>
        </is>
      </c>
      <c r="C824" s="4" t="inlineStr">
        <is>
          <t>Stand-Up India</t>
        </is>
      </c>
      <c r="D824" s="4" t="inlineStr">
        <is>
          <t>FAQ</t>
        </is>
      </c>
      <c r="E824" s="4" t="inlineStr"/>
      <c r="F824" s="4" t="inlineStr">
        <is>
          <t>faqs.en.faqs[4]</t>
        </is>
      </c>
      <c r="G824" s="4" t="inlineStr">
        <is>
          <t>C11@20261028-90bd4c3e</t>
        </is>
      </c>
      <c r="H824" s="4" t="n">
        <v>1</v>
      </c>
      <c r="I824" s="4" t="n">
        <v>1</v>
      </c>
      <c r="J824" s="4" t="inlineStr">
        <is>
          <t>What is Hand-holding Support?
Any new entrepreneur requires guidance in his endeavor to set up his or her business enterprise starting from training to filling up loan applications as per bank requirements.</t>
        </is>
      </c>
      <c r="K824" s="4" t="inlineStr">
        <is>
          <t>MS-C11</t>
        </is>
      </c>
      <c r="L824" s="6" t="n">
        <v>46323</v>
      </c>
      <c r="M824" s="4" t="inlineStr">
        <is>
          <t>Approved</t>
        </is>
      </c>
      <c r="N824" s="4" t="inlineStr">
        <is>
          <t>faq</t>
        </is>
      </c>
    </row>
    <row r="825" ht="54" customHeight="1">
      <c r="A825" s="8" t="inlineStr">
        <is>
          <t>C11-P0042</t>
        </is>
      </c>
      <c r="B825" s="8" t="inlineStr">
        <is>
          <t>C11</t>
        </is>
      </c>
      <c r="C825" s="8" t="inlineStr">
        <is>
          <t>Stand-Up India</t>
        </is>
      </c>
      <c r="D825" s="8" t="inlineStr">
        <is>
          <t>FAQ</t>
        </is>
      </c>
      <c r="E825" s="8" t="inlineStr"/>
      <c r="F825" s="8" t="inlineStr">
        <is>
          <t>faqs.en.faqs[5]</t>
        </is>
      </c>
      <c r="G825" s="8" t="inlineStr">
        <is>
          <t>C11@20261028-90bd4c3e</t>
        </is>
      </c>
      <c r="H825" s="8" t="n">
        <v>1</v>
      </c>
      <c r="I825" s="8" t="n">
        <v>1</v>
      </c>
      <c r="J825" s="8" t="inlineStr">
        <is>
          <t>How do I get hand-holding support?
You may navigate through the portal or seek assistance from the nearest branch of a Scheduled Commercial Bank  to help you identify the nature of hand-holding support required.</t>
        </is>
      </c>
      <c r="K825" s="8" t="inlineStr">
        <is>
          <t>MS-C11</t>
        </is>
      </c>
      <c r="L825" s="9" t="n">
        <v>46323</v>
      </c>
      <c r="M825" s="8" t="inlineStr">
        <is>
          <t>Approved</t>
        </is>
      </c>
      <c r="N825" s="8" t="inlineStr">
        <is>
          <t>faq</t>
        </is>
      </c>
    </row>
    <row r="826" ht="54" customHeight="1">
      <c r="A826" s="4" t="inlineStr">
        <is>
          <t>C11-P0043</t>
        </is>
      </c>
      <c r="B826" s="4" t="inlineStr">
        <is>
          <t>C11</t>
        </is>
      </c>
      <c r="C826" s="4" t="inlineStr">
        <is>
          <t>Stand-Up India</t>
        </is>
      </c>
      <c r="D826" s="4" t="inlineStr">
        <is>
          <t>FAQ</t>
        </is>
      </c>
      <c r="E826" s="4" t="inlineStr"/>
      <c r="F826" s="4" t="inlineStr">
        <is>
          <t>faqs.en.faqs[6]</t>
        </is>
      </c>
      <c r="G826" s="4" t="inlineStr">
        <is>
          <t>C11@20261028-90bd4c3e</t>
        </is>
      </c>
      <c r="H826" s="4" t="n">
        <v>1</v>
      </c>
      <c r="I826" s="4" t="n">
        <v>1</v>
      </c>
      <c r="J826" s="4" t="inlineStr">
        <is>
          <t>What are the activities for which Stand-Up India loan is provided ?
Stand-Up India loan may be provided to entrepreneurs for engaging in manufacturing, trading, services sectors including activities allied to agriculture.</t>
        </is>
      </c>
      <c r="K826" s="4" t="inlineStr">
        <is>
          <t>MS-C11</t>
        </is>
      </c>
      <c r="L826" s="6" t="n">
        <v>46323</v>
      </c>
      <c r="M826" s="4" t="inlineStr">
        <is>
          <t>Approved</t>
        </is>
      </c>
      <c r="N826" s="4" t="inlineStr">
        <is>
          <t>faq</t>
        </is>
      </c>
    </row>
    <row r="827" ht="68" customHeight="1">
      <c r="A827" s="8" t="inlineStr">
        <is>
          <t>C11-P0044</t>
        </is>
      </c>
      <c r="B827" s="8" t="inlineStr">
        <is>
          <t>C11</t>
        </is>
      </c>
      <c r="C827" s="8" t="inlineStr">
        <is>
          <t>Stand-Up India</t>
        </is>
      </c>
      <c r="D827" s="8" t="inlineStr">
        <is>
          <t>FAQ</t>
        </is>
      </c>
      <c r="E827" s="8" t="inlineStr"/>
      <c r="F827" s="8" t="inlineStr">
        <is>
          <t>faqs.en.faqs[7]</t>
        </is>
      </c>
      <c r="G827" s="8" t="inlineStr">
        <is>
          <t>C11@20261028-90bd4c3e</t>
        </is>
      </c>
      <c r="H827" s="8" t="n">
        <v>1</v>
      </c>
      <c r="I827" s="8" t="n">
        <v>1</v>
      </c>
      <c r="J827" s="8" t="inlineStr">
        <is>
          <t>What are the activities allied to agriculture ?
Under the Stand Up India loan, activities allied to agriculture include pisciculture, beekeeping, poultry, livestock, rearing, grading, sorting, aggregation  agro-industries,  dairy, fishery, agri-clinic and agri-business centres, food and agro processing etc.</t>
        </is>
      </c>
      <c r="K827" s="8" t="inlineStr">
        <is>
          <t>MS-C11</t>
        </is>
      </c>
      <c r="L827" s="9" t="n">
        <v>46323</v>
      </c>
      <c r="M827" s="8" t="inlineStr">
        <is>
          <t>Approved</t>
        </is>
      </c>
      <c r="N827" s="8" t="inlineStr">
        <is>
          <t>faq</t>
        </is>
      </c>
    </row>
    <row r="828" ht="54" customHeight="1">
      <c r="A828" s="4" t="inlineStr">
        <is>
          <t>C11-P0045</t>
        </is>
      </c>
      <c r="B828" s="4" t="inlineStr">
        <is>
          <t>C11</t>
        </is>
      </c>
      <c r="C828" s="4" t="inlineStr">
        <is>
          <t>Stand-Up India</t>
        </is>
      </c>
      <c r="D828" s="4" t="inlineStr">
        <is>
          <t>FAQ</t>
        </is>
      </c>
      <c r="E828" s="4" t="inlineStr"/>
      <c r="F828" s="4" t="inlineStr">
        <is>
          <t>faqs.en.faqs[8]</t>
        </is>
      </c>
      <c r="G828" s="4" t="inlineStr">
        <is>
          <t>C11@20261028-90bd4c3e</t>
        </is>
      </c>
      <c r="H828" s="4" t="n">
        <v>1</v>
      </c>
      <c r="I828" s="4" t="n">
        <v>1</v>
      </c>
      <c r="J828" s="4" t="inlineStr">
        <is>
          <t>What is the purpose of the loan under “Stand-Up India” Scheme?
The scheme is for setting up a new enterprise in manufacturing, trading,  services sector or activities allied to agriculture   by SC/ST and Women entrepreneur.</t>
        </is>
      </c>
      <c r="K828" s="4" t="inlineStr">
        <is>
          <t>MS-C11</t>
        </is>
      </c>
      <c r="L828" s="6" t="n">
        <v>46323</v>
      </c>
      <c r="M828" s="4" t="inlineStr">
        <is>
          <t>Approved</t>
        </is>
      </c>
      <c r="N828" s="4" t="inlineStr">
        <is>
          <t>faq</t>
        </is>
      </c>
    </row>
    <row r="829" ht="68" customHeight="1">
      <c r="A829" s="8" t="inlineStr">
        <is>
          <t>C11-P0046</t>
        </is>
      </c>
      <c r="B829" s="8" t="inlineStr">
        <is>
          <t>C11</t>
        </is>
      </c>
      <c r="C829" s="8" t="inlineStr">
        <is>
          <t>Stand-Up India</t>
        </is>
      </c>
      <c r="D829" s="8" t="inlineStr">
        <is>
          <t>FAQ</t>
        </is>
      </c>
      <c r="E829" s="8" t="inlineStr"/>
      <c r="F829" s="8" t="inlineStr">
        <is>
          <t>faqs.en.faqs[9]</t>
        </is>
      </c>
      <c r="G829" s="8" t="inlineStr">
        <is>
          <t>C11@20261028-90bd4c3e</t>
        </is>
      </c>
      <c r="H829" s="8" t="n">
        <v>1</v>
      </c>
      <c r="I829" s="8" t="n">
        <v>1</v>
      </c>
      <c r="J829" s="8" t="inlineStr">
        <is>
          <t xml:space="preserve"> What is the Difference between Stand-Up India Scheme and Start Up India Scheme?
Stand-Up India Scheme is intended to support SC/ST and Women entrepreneurs to set up green field projects through bank branches in India while Start Up India Scheme aims to boost innovative and technology led enterprises for new/existing enterprises.</t>
        </is>
      </c>
      <c r="K829" s="8" t="inlineStr">
        <is>
          <t>MS-C11</t>
        </is>
      </c>
      <c r="L829" s="9" t="n">
        <v>46323</v>
      </c>
      <c r="M829" s="8" t="inlineStr">
        <is>
          <t>Approved</t>
        </is>
      </c>
      <c r="N829" s="8" t="inlineStr">
        <is>
          <t>faq</t>
        </is>
      </c>
    </row>
    <row r="830" ht="166" customHeight="1">
      <c r="A830" s="4" t="inlineStr">
        <is>
          <t>C12-P0001</t>
        </is>
      </c>
      <c r="B830" s="4" t="inlineStr">
        <is>
          <t>C12</t>
        </is>
      </c>
      <c r="C830" s="4" t="inlineStr">
        <is>
          <t>"Marketing Incentive" under the "Handloom Marketing Assistance" Component of the National Handloom Development Programme</t>
        </is>
      </c>
      <c r="D830" s="4" t="inlineStr">
        <is>
          <t>Details</t>
        </is>
      </c>
      <c r="E830" s="4" t="inlineStr"/>
      <c r="F830" s="4" t="inlineStr">
        <is>
          <t>en.schemeContent.detailedDescription[0]</t>
        </is>
      </c>
      <c r="G830" s="4" t="inlineStr">
        <is>
          <t>C12@20261028-55825899</t>
        </is>
      </c>
      <c r="H830" s="4" t="n">
        <v>1</v>
      </c>
      <c r="I830" s="4" t="n">
        <v>1</v>
      </c>
      <c r="J830" s="4" t="inlineStr">
        <is>
          <t>The scheme "Marketing Incentive" under the "Handloom Marketing Assistance" Component of the National Handloom Development Programme by the Ministry of Textiles, Government of India, aims to develop and promote marketing channels in domestic and export markets in a holistic and integrated manner to bring greater visibility to the sector and ensure commensurate remuneration to weavers. The scheme provides Marketing Incentive calculated at 10% on average sales of handloom products of the last 3 years with maximum caps of ₹1,00,00,000/- for state level organizations and ₹15,00,000/- lakh for primary societies, equally shared between State Government and Central Government except for National Level Handloom Organizations where entire assistance is borne by Government of India. The scheme is implemented by the Office of Development Commissioner (Handlooms) under Ministry of Textiles with applications accepted through prescribed proformas and State Government recommendations.</t>
        </is>
      </c>
      <c r="K830" s="4" t="inlineStr">
        <is>
          <t>MS-C12</t>
        </is>
      </c>
      <c r="L830" s="6" t="n">
        <v>46323</v>
      </c>
      <c r="M830" s="4" t="inlineStr">
        <is>
          <t>Approved</t>
        </is>
      </c>
      <c r="N830" s="4" t="inlineStr">
        <is>
          <t>paragraph</t>
        </is>
      </c>
    </row>
    <row r="831" ht="54" customHeight="1">
      <c r="A831" s="8" t="inlineStr">
        <is>
          <t>C12-P0002</t>
        </is>
      </c>
      <c r="B831" s="8" t="inlineStr">
        <is>
          <t>C12</t>
        </is>
      </c>
      <c r="C831" s="8" t="inlineStr">
        <is>
          <t>"Marketing Incentive" under the "Handloom Marketing Assistance" Component of the National Handloom Development Programme</t>
        </is>
      </c>
      <c r="D831" s="8" t="inlineStr">
        <is>
          <t>Benefits</t>
        </is>
      </c>
      <c r="E831" s="8" t="inlineStr"/>
      <c r="F831" s="8" t="inlineStr">
        <is>
          <t>en.schemeContent.benefits[0].children[0]</t>
        </is>
      </c>
      <c r="G831" s="8" t="inlineStr">
        <is>
          <t>C12@20261028-55825899</t>
        </is>
      </c>
      <c r="H831" s="8" t="n">
        <v>1</v>
      </c>
      <c r="I831" s="8" t="n">
        <v>1</v>
      </c>
      <c r="J831" s="8" t="inlineStr">
        <is>
          <t>Financial Assistance Structure</t>
        </is>
      </c>
      <c r="K831" s="8" t="inlineStr">
        <is>
          <t>MS-C12</t>
        </is>
      </c>
      <c r="L831" s="9" t="n">
        <v>46323</v>
      </c>
      <c r="M831" s="8" t="inlineStr">
        <is>
          <t>Approved</t>
        </is>
      </c>
      <c r="N831" s="8" t="inlineStr">
        <is>
          <t>text</t>
        </is>
      </c>
    </row>
    <row r="832" ht="54" customHeight="1">
      <c r="A832" s="4" t="inlineStr">
        <is>
          <t>C12-P0003</t>
        </is>
      </c>
      <c r="B832" s="4" t="inlineStr">
        <is>
          <t>C12</t>
        </is>
      </c>
      <c r="C832" s="4" t="inlineStr">
        <is>
          <t>"Marketing Incentive" under the "Handloom Marketing Assistance" Component of the National Handloom Development Programme</t>
        </is>
      </c>
      <c r="D832" s="4" t="inlineStr">
        <is>
          <t>Benefits</t>
        </is>
      </c>
      <c r="E832" s="4" t="inlineStr"/>
      <c r="F832" s="4" t="inlineStr">
        <is>
          <t>en.schemeContent.benefits[1].children[0]</t>
        </is>
      </c>
      <c r="G832" s="4" t="inlineStr">
        <is>
          <t>C12@20261028-55825899</t>
        </is>
      </c>
      <c r="H832" s="4" t="n">
        <v>1</v>
      </c>
      <c r="I832" s="4" t="n">
        <v>1</v>
      </c>
      <c r="J832" s="4" t="inlineStr">
        <is>
          <t>Marketing Incentive Rate: 10% on average sales of handloom products of the last 3 years.</t>
        </is>
      </c>
      <c r="K832" s="4" t="inlineStr">
        <is>
          <t>MS-C12</t>
        </is>
      </c>
      <c r="L832" s="6" t="n">
        <v>46323</v>
      </c>
      <c r="M832" s="4" t="inlineStr">
        <is>
          <t>Approved</t>
        </is>
      </c>
      <c r="N832" s="4" t="inlineStr">
        <is>
          <t>list_item</t>
        </is>
      </c>
    </row>
    <row r="833" ht="54" customHeight="1">
      <c r="A833" s="8" t="inlineStr">
        <is>
          <t>C12-P0004</t>
        </is>
      </c>
      <c r="B833" s="8" t="inlineStr">
        <is>
          <t>C12</t>
        </is>
      </c>
      <c r="C833" s="8" t="inlineStr">
        <is>
          <t>"Marketing Incentive" under the "Handloom Marketing Assistance" Component of the National Handloom Development Programme</t>
        </is>
      </c>
      <c r="D833" s="8" t="inlineStr">
        <is>
          <t>Benefits</t>
        </is>
      </c>
      <c r="E833" s="8" t="inlineStr"/>
      <c r="F833" s="8" t="inlineStr">
        <is>
          <t>en.schemeContent.benefits[1].children[1]</t>
        </is>
      </c>
      <c r="G833" s="8" t="inlineStr">
        <is>
          <t>C12@20261028-55825899</t>
        </is>
      </c>
      <c r="H833" s="8" t="n">
        <v>1</v>
      </c>
      <c r="I833" s="8" t="n">
        <v>1</v>
      </c>
      <c r="J833" s="8" t="inlineStr">
        <is>
          <t>State Level Organizations: Maximum ₹100.00 lakh (Central Government share).</t>
        </is>
      </c>
      <c r="K833" s="8" t="inlineStr">
        <is>
          <t>MS-C12</t>
        </is>
      </c>
      <c r="L833" s="9" t="n">
        <v>46323</v>
      </c>
      <c r="M833" s="8" t="inlineStr">
        <is>
          <t>Approved</t>
        </is>
      </c>
      <c r="N833" s="8" t="inlineStr">
        <is>
          <t>list_item</t>
        </is>
      </c>
    </row>
    <row r="834" ht="54" customHeight="1">
      <c r="A834" s="4" t="inlineStr">
        <is>
          <t>C12-P0005</t>
        </is>
      </c>
      <c r="B834" s="4" t="inlineStr">
        <is>
          <t>C12</t>
        </is>
      </c>
      <c r="C834" s="4" t="inlineStr">
        <is>
          <t>"Marketing Incentive" under the "Handloom Marketing Assistance" Component of the National Handloom Development Programme</t>
        </is>
      </c>
      <c r="D834" s="4" t="inlineStr">
        <is>
          <t>Benefits</t>
        </is>
      </c>
      <c r="E834" s="4" t="inlineStr"/>
      <c r="F834" s="4" t="inlineStr">
        <is>
          <t>en.schemeContent.benefits[1].children[2]</t>
        </is>
      </c>
      <c r="G834" s="4" t="inlineStr">
        <is>
          <t>C12@20261028-55825899</t>
        </is>
      </c>
      <c r="H834" s="4" t="n">
        <v>1</v>
      </c>
      <c r="I834" s="4" t="n">
        <v>1</v>
      </c>
      <c r="J834" s="4" t="inlineStr">
        <is>
          <t>Primary Level Organizations: Maximum ₹15.00 lakh (Central Government share).</t>
        </is>
      </c>
      <c r="K834" s="4" t="inlineStr">
        <is>
          <t>MS-C12</t>
        </is>
      </c>
      <c r="L834" s="6" t="n">
        <v>46323</v>
      </c>
      <c r="M834" s="4" t="inlineStr">
        <is>
          <t>Approved</t>
        </is>
      </c>
      <c r="N834" s="4" t="inlineStr">
        <is>
          <t>list_item</t>
        </is>
      </c>
    </row>
    <row r="835" ht="54" customHeight="1">
      <c r="A835" s="8" t="inlineStr">
        <is>
          <t>C12-P0006</t>
        </is>
      </c>
      <c r="B835" s="8" t="inlineStr">
        <is>
          <t>C12</t>
        </is>
      </c>
      <c r="C835" s="8" t="inlineStr">
        <is>
          <t>"Marketing Incentive" under the "Handloom Marketing Assistance" Component of the National Handloom Development Programme</t>
        </is>
      </c>
      <c r="D835" s="8" t="inlineStr">
        <is>
          <t>Benefits</t>
        </is>
      </c>
      <c r="E835" s="8" t="inlineStr"/>
      <c r="F835" s="8" t="inlineStr">
        <is>
          <t>en.schemeContent.benefits[2].children[0]</t>
        </is>
      </c>
      <c r="G835" s="8" t="inlineStr">
        <is>
          <t>C12@20261028-55825899</t>
        </is>
      </c>
      <c r="H835" s="8" t="n">
        <v>1</v>
      </c>
      <c r="I835" s="8" t="n">
        <v>1</v>
      </c>
      <c r="J835" s="8" t="inlineStr">
        <is>
          <t>Category-wise Maximum Caps</t>
        </is>
      </c>
      <c r="K835" s="8" t="inlineStr">
        <is>
          <t>MS-C12</t>
        </is>
      </c>
      <c r="L835" s="9" t="n">
        <v>46323</v>
      </c>
      <c r="M835" s="8" t="inlineStr">
        <is>
          <t>Approved</t>
        </is>
      </c>
      <c r="N835" s="8" t="inlineStr">
        <is>
          <t>text</t>
        </is>
      </c>
    </row>
    <row r="836" ht="54" customHeight="1">
      <c r="A836" s="4" t="inlineStr">
        <is>
          <t>C12-P0007</t>
        </is>
      </c>
      <c r="B836" s="4" t="inlineStr">
        <is>
          <t>C12</t>
        </is>
      </c>
      <c r="C836" s="4" t="inlineStr">
        <is>
          <t>"Marketing Incentive" under the "Handloom Marketing Assistance" Component of the National Handloom Development Programme</t>
        </is>
      </c>
      <c r="D836" s="4" t="inlineStr">
        <is>
          <t>Benefits</t>
        </is>
      </c>
      <c r="E836" s="4" t="inlineStr"/>
      <c r="F836" s="4" t="inlineStr">
        <is>
          <t>en.schemeContent.benefits[3].children[0]</t>
        </is>
      </c>
      <c r="G836" s="4" t="inlineStr">
        <is>
          <t>C12@20261028-55825899</t>
        </is>
      </c>
      <c r="H836" s="4" t="n">
        <v>1</v>
      </c>
      <c r="I836" s="4" t="n">
        <v>1</v>
      </c>
      <c r="J836" s="4" t="inlineStr">
        <is>
          <t>State Level Organizations (Handloom Corporations, Apex Cooperative Societies, National Level Handloom Organizations): ₹1,00,00,000/- Central Government share.</t>
        </is>
      </c>
      <c r="K836" s="4" t="inlineStr">
        <is>
          <t>MS-C12</t>
        </is>
      </c>
      <c r="L836" s="6" t="n">
        <v>46323</v>
      </c>
      <c r="M836" s="4" t="inlineStr">
        <is>
          <t>Approved</t>
        </is>
      </c>
      <c r="N836" s="4" t="inlineStr">
        <is>
          <t>list_item</t>
        </is>
      </c>
    </row>
    <row r="837" ht="54" customHeight="1">
      <c r="A837" s="8" t="inlineStr">
        <is>
          <t>C12-P0008</t>
        </is>
      </c>
      <c r="B837" s="8" t="inlineStr">
        <is>
          <t>C12</t>
        </is>
      </c>
      <c r="C837" s="8" t="inlineStr">
        <is>
          <t>"Marketing Incentive" under the "Handloom Marketing Assistance" Component of the National Handloom Development Programme</t>
        </is>
      </c>
      <c r="D837" s="8" t="inlineStr">
        <is>
          <t>Benefits</t>
        </is>
      </c>
      <c r="E837" s="8" t="inlineStr"/>
      <c r="F837" s="8" t="inlineStr">
        <is>
          <t>en.schemeContent.benefits[3].children[1]</t>
        </is>
      </c>
      <c r="G837" s="8" t="inlineStr">
        <is>
          <t>C12@20261028-55825899</t>
        </is>
      </c>
      <c r="H837" s="8" t="n">
        <v>1</v>
      </c>
      <c r="I837" s="8" t="n">
        <v>1</v>
      </c>
      <c r="J837" s="8" t="inlineStr">
        <is>
          <t>Primary Handloom Weavers Cooperative Societies, Producer Companies, Self Help Groups, Joint Liability Groups, Federations and Other Eligible Handloom Entities: ₹15,00,000/- Central Government share.</t>
        </is>
      </c>
      <c r="K837" s="8" t="inlineStr">
        <is>
          <t>MS-C12</t>
        </is>
      </c>
      <c r="L837" s="9" t="n">
        <v>46323</v>
      </c>
      <c r="M837" s="8" t="inlineStr">
        <is>
          <t>Approved</t>
        </is>
      </c>
      <c r="N837" s="8" t="inlineStr">
        <is>
          <t>list_item</t>
        </is>
      </c>
    </row>
    <row r="838" ht="54" customHeight="1">
      <c r="A838" s="4" t="inlineStr">
        <is>
          <t>C12-P0009</t>
        </is>
      </c>
      <c r="B838" s="4" t="inlineStr">
        <is>
          <t>C12</t>
        </is>
      </c>
      <c r="C838" s="4" t="inlineStr">
        <is>
          <t>"Marketing Incentive" under the "Handloom Marketing Assistance" Component of the National Handloom Development Programme</t>
        </is>
      </c>
      <c r="D838" s="4" t="inlineStr">
        <is>
          <t>Benefits</t>
        </is>
      </c>
      <c r="E838" s="4" t="inlineStr"/>
      <c r="F838" s="4" t="inlineStr">
        <is>
          <t>en.schemeContent.benefits[4].children[0]</t>
        </is>
      </c>
      <c r="G838" s="4" t="inlineStr">
        <is>
          <t>C12@20261028-55825899</t>
        </is>
      </c>
      <c r="H838" s="4" t="n">
        <v>1</v>
      </c>
      <c r="I838" s="4" t="n">
        <v>1</v>
      </c>
      <c r="J838" s="4" t="inlineStr">
        <is>
          <t>Financial Assistance Sharing</t>
        </is>
      </c>
      <c r="K838" s="4" t="inlineStr">
        <is>
          <t>MS-C12</t>
        </is>
      </c>
      <c r="L838" s="6" t="n">
        <v>46323</v>
      </c>
      <c r="M838" s="4" t="inlineStr">
        <is>
          <t>Approved</t>
        </is>
      </c>
      <c r="N838" s="4" t="inlineStr">
        <is>
          <t>text</t>
        </is>
      </c>
    </row>
    <row r="839" ht="54" customHeight="1">
      <c r="A839" s="8" t="inlineStr">
        <is>
          <t>C12-P0010</t>
        </is>
      </c>
      <c r="B839" s="8" t="inlineStr">
        <is>
          <t>C12</t>
        </is>
      </c>
      <c r="C839" s="8" t="inlineStr">
        <is>
          <t>"Marketing Incentive" under the "Handloom Marketing Assistance" Component of the National Handloom Development Programme</t>
        </is>
      </c>
      <c r="D839" s="8" t="inlineStr">
        <is>
          <t>Benefits</t>
        </is>
      </c>
      <c r="E839" s="8" t="inlineStr"/>
      <c r="F839" s="8" t="inlineStr">
        <is>
          <t>en.schemeContent.benefits[5].children[0]</t>
        </is>
      </c>
      <c r="G839" s="8" t="inlineStr">
        <is>
          <t>C12@20261028-55825899</t>
        </is>
      </c>
      <c r="H839" s="8" t="n">
        <v>1</v>
      </c>
      <c r="I839" s="8" t="n">
        <v>1</v>
      </c>
      <c r="J839" s="8" t="inlineStr">
        <is>
          <t>General Cases: 50:50 sharing between Government of India and State Government.</t>
        </is>
      </c>
      <c r="K839" s="8" t="inlineStr">
        <is>
          <t>MS-C12</t>
        </is>
      </c>
      <c r="L839" s="9" t="n">
        <v>46323</v>
      </c>
      <c r="M839" s="8" t="inlineStr">
        <is>
          <t>Approved</t>
        </is>
      </c>
      <c r="N839" s="8" t="inlineStr">
        <is>
          <t>list_item</t>
        </is>
      </c>
    </row>
    <row r="840" ht="54" customHeight="1">
      <c r="A840" s="4" t="inlineStr">
        <is>
          <t>C12-P0011</t>
        </is>
      </c>
      <c r="B840" s="4" t="inlineStr">
        <is>
          <t>C12</t>
        </is>
      </c>
      <c r="C840" s="4" t="inlineStr">
        <is>
          <t>"Marketing Incentive" under the "Handloom Marketing Assistance" Component of the National Handloom Development Programme</t>
        </is>
      </c>
      <c r="D840" s="4" t="inlineStr">
        <is>
          <t>Benefits</t>
        </is>
      </c>
      <c r="E840" s="4" t="inlineStr"/>
      <c r="F840" s="4" t="inlineStr">
        <is>
          <t>en.schemeContent.benefits[5].children[1]</t>
        </is>
      </c>
      <c r="G840" s="4" t="inlineStr">
        <is>
          <t>C12@20261028-55825899</t>
        </is>
      </c>
      <c r="H840" s="4" t="n">
        <v>1</v>
      </c>
      <c r="I840" s="4" t="n">
        <v>1</v>
      </c>
      <c r="J840" s="4" t="inlineStr">
        <is>
          <t>National Level Handloom Organizations/Societies: Entire assistance borne by Government of India.</t>
        </is>
      </c>
      <c r="K840" s="4" t="inlineStr">
        <is>
          <t>MS-C12</t>
        </is>
      </c>
      <c r="L840" s="6" t="n">
        <v>46323</v>
      </c>
      <c r="M840" s="4" t="inlineStr">
        <is>
          <t>Approved</t>
        </is>
      </c>
      <c r="N840" s="4" t="inlineStr">
        <is>
          <t>list_item</t>
        </is>
      </c>
    </row>
    <row r="841" ht="54" customHeight="1">
      <c r="A841" s="8" t="inlineStr">
        <is>
          <t>C12-P0012</t>
        </is>
      </c>
      <c r="B841" s="8" t="inlineStr">
        <is>
          <t>C12</t>
        </is>
      </c>
      <c r="C841" s="8" t="inlineStr">
        <is>
          <t>"Marketing Incentive" under the "Handloom Marketing Assistance" Component of the National Handloom Development Programme</t>
        </is>
      </c>
      <c r="D841" s="8" t="inlineStr">
        <is>
          <t>Benefits</t>
        </is>
      </c>
      <c r="E841" s="8" t="inlineStr"/>
      <c r="F841" s="8" t="inlineStr">
        <is>
          <t>en.schemeContent.benefits[5].children[2]</t>
        </is>
      </c>
      <c r="G841" s="8" t="inlineStr">
        <is>
          <t>C12@20261028-55825899</t>
        </is>
      </c>
      <c r="H841" s="8" t="n">
        <v>1</v>
      </c>
      <c r="I841" s="8" t="n">
        <v>1</v>
      </c>
      <c r="J841" s="8" t="inlineStr">
        <is>
          <t>Benefit Distribution: 10% benefits shared equally between Organizations and Member Weavers through Direct Benefit Transfer.</t>
        </is>
      </c>
      <c r="K841" s="8" t="inlineStr">
        <is>
          <t>MS-C12</t>
        </is>
      </c>
      <c r="L841" s="9" t="n">
        <v>46323</v>
      </c>
      <c r="M841" s="8" t="inlineStr">
        <is>
          <t>Approved</t>
        </is>
      </c>
      <c r="N841" s="8" t="inlineStr">
        <is>
          <t>list_item</t>
        </is>
      </c>
    </row>
    <row r="842" ht="54" customHeight="1">
      <c r="A842" s="4" t="inlineStr">
        <is>
          <t>C12-P0013</t>
        </is>
      </c>
      <c r="B842" s="4" t="inlineStr">
        <is>
          <t>C12</t>
        </is>
      </c>
      <c r="C842" s="4" t="inlineStr">
        <is>
          <t>"Marketing Incentive" under the "Handloom Marketing Assistance" Component of the National Handloom Development Programme</t>
        </is>
      </c>
      <c r="D842" s="4" t="inlineStr">
        <is>
          <t>Benefits</t>
        </is>
      </c>
      <c r="E842" s="4" t="inlineStr"/>
      <c r="F842" s="4" t="inlineStr">
        <is>
          <t>en.schemeContent.benefits[7].children[0]</t>
        </is>
      </c>
      <c r="G842" s="4" t="inlineStr">
        <is>
          <t>C12@20261028-55825899</t>
        </is>
      </c>
      <c r="H842" s="4" t="n">
        <v>1</v>
      </c>
      <c r="I842" s="4" t="n">
        <v>1</v>
      </c>
      <c r="J842" s="4" t="inlineStr">
        <is>
          <t>Mode and Frequency of Disbursement</t>
        </is>
      </c>
      <c r="K842" s="4" t="inlineStr">
        <is>
          <t>MS-C12</t>
        </is>
      </c>
      <c r="L842" s="6" t="n">
        <v>46323</v>
      </c>
      <c r="M842" s="4" t="inlineStr">
        <is>
          <t>Approved</t>
        </is>
      </c>
      <c r="N842" s="4" t="inlineStr">
        <is>
          <t>text</t>
        </is>
      </c>
    </row>
    <row r="843" ht="54" customHeight="1">
      <c r="A843" s="8" t="inlineStr">
        <is>
          <t>C12-P0014</t>
        </is>
      </c>
      <c r="B843" s="8" t="inlineStr">
        <is>
          <t>C12</t>
        </is>
      </c>
      <c r="C843" s="8" t="inlineStr">
        <is>
          <t>"Marketing Incentive" under the "Handloom Marketing Assistance" Component of the National Handloom Development Programme</t>
        </is>
      </c>
      <c r="D843" s="8" t="inlineStr">
        <is>
          <t>Benefits</t>
        </is>
      </c>
      <c r="E843" s="8" t="inlineStr"/>
      <c r="F843" s="8" t="inlineStr">
        <is>
          <t>en.schemeContent.benefits[8].children[0]</t>
        </is>
      </c>
      <c r="G843" s="8" t="inlineStr">
        <is>
          <t>C12@20261028-55825899</t>
        </is>
      </c>
      <c r="H843" s="8" t="n">
        <v>1</v>
      </c>
      <c r="I843" s="8" t="n">
        <v>1</v>
      </c>
      <c r="J843" s="8" t="inlineStr">
        <is>
          <t>Marketing Incentive will be given maximum for 3 years during the scheme period of 5 years.</t>
        </is>
      </c>
      <c r="K843" s="8" t="inlineStr">
        <is>
          <t>MS-C12</t>
        </is>
      </c>
      <c r="L843" s="9" t="n">
        <v>46323</v>
      </c>
      <c r="M843" s="8" t="inlineStr">
        <is>
          <t>Approved</t>
        </is>
      </c>
      <c r="N843" s="8" t="inlineStr">
        <is>
          <t>list_item</t>
        </is>
      </c>
    </row>
    <row r="844" ht="54" customHeight="1">
      <c r="A844" s="4" t="inlineStr">
        <is>
          <t>C12-P0015</t>
        </is>
      </c>
      <c r="B844" s="4" t="inlineStr">
        <is>
          <t>C12</t>
        </is>
      </c>
      <c r="C844" s="4" t="inlineStr">
        <is>
          <t>"Marketing Incentive" under the "Handloom Marketing Assistance" Component of the National Handloom Development Programme</t>
        </is>
      </c>
      <c r="D844" s="4" t="inlineStr">
        <is>
          <t>Benefits</t>
        </is>
      </c>
      <c r="E844" s="4" t="inlineStr"/>
      <c r="F844" s="4" t="inlineStr">
        <is>
          <t>en.schemeContent.benefits[8].children[1]</t>
        </is>
      </c>
      <c r="G844" s="4" t="inlineStr">
        <is>
          <t>C12@20261028-55825899</t>
        </is>
      </c>
      <c r="H844" s="4" t="n">
        <v>1</v>
      </c>
      <c r="I844" s="4" t="n">
        <v>1</v>
      </c>
      <c r="J844" s="4" t="inlineStr">
        <is>
          <t>Release through Direct Benefit Transfer mechanism.</t>
        </is>
      </c>
      <c r="K844" s="4" t="inlineStr">
        <is>
          <t>MS-C12</t>
        </is>
      </c>
      <c r="L844" s="6" t="n">
        <v>46323</v>
      </c>
      <c r="M844" s="4" t="inlineStr">
        <is>
          <t>Approved</t>
        </is>
      </c>
      <c r="N844" s="4" t="inlineStr">
        <is>
          <t>list_item</t>
        </is>
      </c>
    </row>
    <row r="845" ht="54" customHeight="1">
      <c r="A845" s="8" t="inlineStr">
        <is>
          <t>C12-P0016</t>
        </is>
      </c>
      <c r="B845" s="8" t="inlineStr">
        <is>
          <t>C12</t>
        </is>
      </c>
      <c r="C845" s="8" t="inlineStr">
        <is>
          <t>"Marketing Incentive" under the "Handloom Marketing Assistance" Component of the National Handloom Development Programme</t>
        </is>
      </c>
      <c r="D845" s="8" t="inlineStr">
        <is>
          <t>Benefits</t>
        </is>
      </c>
      <c r="E845" s="8" t="inlineStr"/>
      <c r="F845" s="8" t="inlineStr">
        <is>
          <t>en.schemeContent.benefits[8].children[2]</t>
        </is>
      </c>
      <c r="G845" s="8" t="inlineStr">
        <is>
          <t>C12@20261028-55825899</t>
        </is>
      </c>
      <c r="H845" s="8" t="n">
        <v>1</v>
      </c>
      <c r="I845" s="8" t="n">
        <v>1</v>
      </c>
      <c r="J845" s="8" t="inlineStr">
        <is>
          <t>Nodal Agency must release amount to eligible handloom agencies and their member weavers within 7 days of receipt.</t>
        </is>
      </c>
      <c r="K845" s="8" t="inlineStr">
        <is>
          <t>MS-C12</t>
        </is>
      </c>
      <c r="L845" s="9" t="n">
        <v>46323</v>
      </c>
      <c r="M845" s="8" t="inlineStr">
        <is>
          <t>Approved</t>
        </is>
      </c>
      <c r="N845" s="8" t="inlineStr">
        <is>
          <t>list_item</t>
        </is>
      </c>
    </row>
    <row r="846" ht="54" customHeight="1">
      <c r="A846" s="4" t="inlineStr">
        <is>
          <t>C12-P0017</t>
        </is>
      </c>
      <c r="B846" s="4" t="inlineStr">
        <is>
          <t>C12</t>
        </is>
      </c>
      <c r="C846" s="4" t="inlineStr">
        <is>
          <t>"Marketing Incentive" under the "Handloom Marketing Assistance" Component of the National Handloom Development Programme</t>
        </is>
      </c>
      <c r="D846" s="4" t="inlineStr">
        <is>
          <t>Benefits</t>
        </is>
      </c>
      <c r="E846" s="4" t="inlineStr"/>
      <c r="F846" s="4" t="inlineStr">
        <is>
          <t>en.schemeContent.benefits[9].children[0]</t>
        </is>
      </c>
      <c r="G846" s="4" t="inlineStr">
        <is>
          <t>C12@20261028-55825899</t>
        </is>
      </c>
      <c r="H846" s="4" t="n">
        <v>1</v>
      </c>
      <c r="I846" s="4" t="n">
        <v>1</v>
      </c>
      <c r="J846" s="4" t="inlineStr">
        <is>
          <t>Conditions for Availment/Continuation</t>
        </is>
      </c>
      <c r="K846" s="4" t="inlineStr">
        <is>
          <t>MS-C12</t>
        </is>
      </c>
      <c r="L846" s="6" t="n">
        <v>46323</v>
      </c>
      <c r="M846" s="4" t="inlineStr">
        <is>
          <t>Approved</t>
        </is>
      </c>
      <c r="N846" s="4" t="inlineStr">
        <is>
          <t>text</t>
        </is>
      </c>
    </row>
    <row r="847" ht="54" customHeight="1">
      <c r="A847" s="8" t="inlineStr">
        <is>
          <t>C12-P0018</t>
        </is>
      </c>
      <c r="B847" s="8" t="inlineStr">
        <is>
          <t>C12</t>
        </is>
      </c>
      <c r="C847" s="8" t="inlineStr">
        <is>
          <t>"Marketing Incentive" under the "Handloom Marketing Assistance" Component of the National Handloom Development Programme</t>
        </is>
      </c>
      <c r="D847" s="8" t="inlineStr">
        <is>
          <t>Benefits</t>
        </is>
      </c>
      <c r="E847" s="8" t="inlineStr"/>
      <c r="F847" s="8" t="inlineStr">
        <is>
          <t>en.schemeContent.benefits[10].children[0]</t>
        </is>
      </c>
      <c r="G847" s="8" t="inlineStr">
        <is>
          <t>C12@20261028-55825899</t>
        </is>
      </c>
      <c r="H847" s="8" t="n">
        <v>1</v>
      </c>
      <c r="I847" s="8" t="n">
        <v>1</v>
      </c>
      <c r="J847" s="8" t="inlineStr">
        <is>
          <t>Amount to be used towards activities that attract consumers to gear up overall sales of handloom goods.</t>
        </is>
      </c>
      <c r="K847" s="8" t="inlineStr">
        <is>
          <t>MS-C12</t>
        </is>
      </c>
      <c r="L847" s="9" t="n">
        <v>46323</v>
      </c>
      <c r="M847" s="8" t="inlineStr">
        <is>
          <t>Approved</t>
        </is>
      </c>
      <c r="N847" s="8" t="inlineStr">
        <is>
          <t>list_item</t>
        </is>
      </c>
    </row>
    <row r="848" ht="54" customHeight="1">
      <c r="A848" s="4" t="inlineStr">
        <is>
          <t>C12-P0019</t>
        </is>
      </c>
      <c r="B848" s="4" t="inlineStr">
        <is>
          <t>C12</t>
        </is>
      </c>
      <c r="C848" s="4" t="inlineStr">
        <is>
          <t>"Marketing Incentive" under the "Handloom Marketing Assistance" Component of the National Handloom Development Programme</t>
        </is>
      </c>
      <c r="D848" s="4" t="inlineStr">
        <is>
          <t>Benefits</t>
        </is>
      </c>
      <c r="E848" s="4" t="inlineStr"/>
      <c r="F848" s="4" t="inlineStr">
        <is>
          <t>en.schemeContent.benefits[10].children[1]</t>
        </is>
      </c>
      <c r="G848" s="4" t="inlineStr">
        <is>
          <t>C12@20261028-55825899</t>
        </is>
      </c>
      <c r="H848" s="4" t="n">
        <v>1</v>
      </c>
      <c r="I848" s="4" t="n">
        <v>1</v>
      </c>
      <c r="J848" s="4" t="inlineStr">
        <is>
          <t>Enable handloom agencies to adjust prices towards increasing cost competitiveness, improve designs, and invest in infrastructure.</t>
        </is>
      </c>
      <c r="K848" s="4" t="inlineStr">
        <is>
          <t>MS-C12</t>
        </is>
      </c>
      <c r="L848" s="6" t="n">
        <v>46323</v>
      </c>
      <c r="M848" s="4" t="inlineStr">
        <is>
          <t>Approved</t>
        </is>
      </c>
      <c r="N848" s="4" t="inlineStr">
        <is>
          <t>list_item</t>
        </is>
      </c>
    </row>
    <row r="849" ht="54" customHeight="1">
      <c r="A849" s="8" t="inlineStr">
        <is>
          <t>C12-P0020</t>
        </is>
      </c>
      <c r="B849" s="8" t="inlineStr">
        <is>
          <t>C12</t>
        </is>
      </c>
      <c r="C849" s="8" t="inlineStr">
        <is>
          <t>"Marketing Incentive" under the "Handloom Marketing Assistance" Component of the National Handloom Development Programme</t>
        </is>
      </c>
      <c r="D849" s="8" t="inlineStr">
        <is>
          <t>Benefits</t>
        </is>
      </c>
      <c r="E849" s="8" t="inlineStr"/>
      <c r="F849" s="8" t="inlineStr">
        <is>
          <t>en.schemeContent.benefits[10].children[2]</t>
        </is>
      </c>
      <c r="G849" s="8" t="inlineStr">
        <is>
          <t>C12@20261028-55825899</t>
        </is>
      </c>
      <c r="H849" s="8" t="n">
        <v>1</v>
      </c>
      <c r="I849" s="8" t="n">
        <v>1</v>
      </c>
      <c r="J849" s="8" t="inlineStr">
        <is>
          <t>State Government recommendation subject to matching contribution by concerned State Government.</t>
        </is>
      </c>
      <c r="K849" s="8" t="inlineStr">
        <is>
          <t>MS-C12</t>
        </is>
      </c>
      <c r="L849" s="9" t="n">
        <v>46323</v>
      </c>
      <c r="M849" s="8" t="inlineStr">
        <is>
          <t>Approved</t>
        </is>
      </c>
      <c r="N849" s="8" t="inlineStr">
        <is>
          <t>list_item</t>
        </is>
      </c>
    </row>
    <row r="850" ht="54" customHeight="1">
      <c r="A850" s="4" t="inlineStr">
        <is>
          <t>C12-P0021</t>
        </is>
      </c>
      <c r="B850" s="4" t="inlineStr">
        <is>
          <t>C12</t>
        </is>
      </c>
      <c r="C850" s="4" t="inlineStr">
        <is>
          <t>"Marketing Incentive" under the "Handloom Marketing Assistance" Component of the National Handloom Development Programme</t>
        </is>
      </c>
      <c r="D850" s="4" t="inlineStr">
        <is>
          <t>Benefits</t>
        </is>
      </c>
      <c r="E850" s="4" t="inlineStr"/>
      <c r="F850" s="4" t="inlineStr">
        <is>
          <t>en.schemeContent.benefits[10].children[3]</t>
        </is>
      </c>
      <c r="G850" s="4" t="inlineStr">
        <is>
          <t>C12@20261028-55825899</t>
        </is>
      </c>
      <c r="H850" s="4" t="n">
        <v>1</v>
      </c>
      <c r="I850" s="4" t="n">
        <v>1</v>
      </c>
      <c r="J850" s="4" t="inlineStr">
        <is>
          <t>Claims must be Goods and Services Tax compliant.</t>
        </is>
      </c>
      <c r="K850" s="4" t="inlineStr">
        <is>
          <t>MS-C12</t>
        </is>
      </c>
      <c r="L850" s="6" t="n">
        <v>46323</v>
      </c>
      <c r="M850" s="4" t="inlineStr">
        <is>
          <t>Approved</t>
        </is>
      </c>
      <c r="N850" s="4" t="inlineStr">
        <is>
          <t>list_item</t>
        </is>
      </c>
    </row>
    <row r="851" ht="54" customHeight="1">
      <c r="A851" s="8" t="inlineStr">
        <is>
          <t>C12-P0022</t>
        </is>
      </c>
      <c r="B851" s="8" t="inlineStr">
        <is>
          <t>C12</t>
        </is>
      </c>
      <c r="C851" s="8" t="inlineStr">
        <is>
          <t>"Marketing Incentive" under the "Handloom Marketing Assistance" Component of the National Handloom Development Programme</t>
        </is>
      </c>
      <c r="D851" s="8" t="inlineStr">
        <is>
          <t>Benefits</t>
        </is>
      </c>
      <c r="E851" s="8" t="inlineStr"/>
      <c r="F851" s="8" t="inlineStr">
        <is>
          <t>en.schemeContent.benefits[10].children[4]</t>
        </is>
      </c>
      <c r="G851" s="8" t="inlineStr">
        <is>
          <t>C12@20261028-55825899</t>
        </is>
      </c>
      <c r="H851" s="8" t="n">
        <v>1</v>
      </c>
      <c r="I851" s="8" t="n">
        <v>1</v>
      </c>
      <c r="J851" s="8" t="inlineStr">
        <is>
          <t>No similar incentive/rebate received under any other Central Government scheme.</t>
        </is>
      </c>
      <c r="K851" s="8" t="inlineStr">
        <is>
          <t>MS-C12</t>
        </is>
      </c>
      <c r="L851" s="9" t="n">
        <v>46323</v>
      </c>
      <c r="M851" s="8" t="inlineStr">
        <is>
          <t>Approved</t>
        </is>
      </c>
      <c r="N851" s="8" t="inlineStr">
        <is>
          <t>list_item</t>
        </is>
      </c>
    </row>
    <row r="852" ht="54" customHeight="1">
      <c r="A852" s="4" t="inlineStr">
        <is>
          <t>C12-P0023</t>
        </is>
      </c>
      <c r="B852" s="4" t="inlineStr">
        <is>
          <t>C12</t>
        </is>
      </c>
      <c r="C852" s="4" t="inlineStr">
        <is>
          <t>"Marketing Incentive" under the "Handloom Marketing Assistance" Component of the National Handloom Development Programme</t>
        </is>
      </c>
      <c r="D852" s="4" t="inlineStr">
        <is>
          <t>Eligibility</t>
        </is>
      </c>
      <c r="E852" s="4" t="inlineStr"/>
      <c r="F852" s="4" t="inlineStr">
        <is>
          <t>en.eligibilityCriteria.eligibilityDescription[0]</t>
        </is>
      </c>
      <c r="G852" s="4" t="inlineStr">
        <is>
          <t>C12@20261028-55825899</t>
        </is>
      </c>
      <c r="H852" s="4" t="n">
        <v>1</v>
      </c>
      <c r="I852" s="4" t="n">
        <v>1</v>
      </c>
      <c r="J852" s="4" t="inlineStr">
        <is>
          <t>The applicant must be one of the following:</t>
        </is>
      </c>
      <c r="K852" s="4" t="inlineStr">
        <is>
          <t>MS-C12</t>
        </is>
      </c>
      <c r="L852" s="6" t="n">
        <v>46323</v>
      </c>
      <c r="M852" s="4" t="inlineStr">
        <is>
          <t>Approved</t>
        </is>
      </c>
      <c r="N852" s="4" t="inlineStr">
        <is>
          <t>paragraph</t>
        </is>
      </c>
    </row>
    <row r="853" ht="68" customHeight="1">
      <c r="A853" s="8" t="inlineStr">
        <is>
          <t>C12-P0024</t>
        </is>
      </c>
      <c r="B853" s="8" t="inlineStr">
        <is>
          <t>C12</t>
        </is>
      </c>
      <c r="C853" s="8" t="inlineStr">
        <is>
          <t>"Marketing Incentive" under the "Handloom Marketing Assistance" Component of the National Handloom Development Programme</t>
        </is>
      </c>
      <c r="D853" s="8" t="inlineStr">
        <is>
          <t>Eligibility</t>
        </is>
      </c>
      <c r="E853" s="8" t="inlineStr"/>
      <c r="F853" s="8" t="inlineStr">
        <is>
          <t>en.eligibilityCriteria.eligibilityDescription[1].children[0]</t>
        </is>
      </c>
      <c r="G853" s="8" t="inlineStr">
        <is>
          <t>C12@20261028-55825899</t>
        </is>
      </c>
      <c r="H853" s="8" t="n">
        <v>1</v>
      </c>
      <c r="I853" s="8" t="n">
        <v>1</v>
      </c>
      <c r="J853" s="8" t="inlineStr">
        <is>
          <t>Handloom agencies including State level organizations such as Handloom Corporations, Apex Cooperative Societies and National Level Handloom Organizations, Primary Handloom Weavers Cooperative Societies, Producer Companies, Self Help Groups, Joint Liability Groups, Federations and Other eligible Handloom entities.</t>
        </is>
      </c>
      <c r="K853" s="8" t="inlineStr">
        <is>
          <t>MS-C12</t>
        </is>
      </c>
      <c r="L853" s="9" t="n">
        <v>46323</v>
      </c>
      <c r="M853" s="8" t="inlineStr">
        <is>
          <t>Approved</t>
        </is>
      </c>
      <c r="N853" s="8" t="inlineStr">
        <is>
          <t>list_item</t>
        </is>
      </c>
    </row>
    <row r="854" ht="54" customHeight="1">
      <c r="A854" s="4" t="inlineStr">
        <is>
          <t>C12-P0025</t>
        </is>
      </c>
      <c r="B854" s="4" t="inlineStr">
        <is>
          <t>C12</t>
        </is>
      </c>
      <c r="C854" s="4" t="inlineStr">
        <is>
          <t>"Marketing Incentive" under the "Handloom Marketing Assistance" Component of the National Handloom Development Programme</t>
        </is>
      </c>
      <c r="D854" s="4" t="inlineStr">
        <is>
          <t>Eligibility</t>
        </is>
      </c>
      <c r="E854" s="4" t="inlineStr"/>
      <c r="F854" s="4" t="inlineStr">
        <is>
          <t>en.eligibilityCriteria.eligibilityDescription[1].children[1]</t>
        </is>
      </c>
      <c r="G854" s="4" t="inlineStr">
        <is>
          <t>C12@20261028-55825899</t>
        </is>
      </c>
      <c r="H854" s="4" t="n">
        <v>1</v>
      </c>
      <c r="I854" s="4" t="n">
        <v>1</v>
      </c>
      <c r="J854" s="4" t="inlineStr">
        <is>
          <t>The applicant must have made the final transaction of product sale to the consumer.</t>
        </is>
      </c>
      <c r="K854" s="4" t="inlineStr">
        <is>
          <t>MS-C12</t>
        </is>
      </c>
      <c r="L854" s="6" t="n">
        <v>46323</v>
      </c>
      <c r="M854" s="4" t="inlineStr">
        <is>
          <t>Approved</t>
        </is>
      </c>
      <c r="N854" s="4" t="inlineStr">
        <is>
          <t>list_item</t>
        </is>
      </c>
    </row>
    <row r="855" ht="54" customHeight="1">
      <c r="A855" s="8" t="inlineStr">
        <is>
          <t>C12-P0026</t>
        </is>
      </c>
      <c r="B855" s="8" t="inlineStr">
        <is>
          <t>C12</t>
        </is>
      </c>
      <c r="C855" s="8" t="inlineStr">
        <is>
          <t>"Marketing Incentive" under the "Handloom Marketing Assistance" Component of the National Handloom Development Programme</t>
        </is>
      </c>
      <c r="D855" s="8" t="inlineStr">
        <is>
          <t>Eligibility</t>
        </is>
      </c>
      <c r="E855" s="8" t="inlineStr"/>
      <c r="F855" s="8" t="inlineStr">
        <is>
          <t>en.eligibilityCriteria.eligibilityDescription[1].children[2]</t>
        </is>
      </c>
      <c r="G855" s="8" t="inlineStr">
        <is>
          <t>C12@20261028-55825899</t>
        </is>
      </c>
      <c r="H855" s="8" t="n">
        <v>1</v>
      </c>
      <c r="I855" s="8" t="n">
        <v>1</v>
      </c>
      <c r="J855" s="8" t="inlineStr">
        <is>
          <t>The applicant must use Handloom Mark or India Handloom Brand for their handloom products.</t>
        </is>
      </c>
      <c r="K855" s="8" t="inlineStr">
        <is>
          <t>MS-C12</t>
        </is>
      </c>
      <c r="L855" s="9" t="n">
        <v>46323</v>
      </c>
      <c r="M855" s="8" t="inlineStr">
        <is>
          <t>Approved</t>
        </is>
      </c>
      <c r="N855" s="8" t="inlineStr">
        <is>
          <t>list_item</t>
        </is>
      </c>
    </row>
    <row r="856" ht="54" customHeight="1">
      <c r="A856" s="4" t="inlineStr">
        <is>
          <t>C12-P0027</t>
        </is>
      </c>
      <c r="B856" s="4" t="inlineStr">
        <is>
          <t>C12</t>
        </is>
      </c>
      <c r="C856" s="4" t="inlineStr">
        <is>
          <t>"Marketing Incentive" under the "Handloom Marketing Assistance" Component of the National Handloom Development Programme</t>
        </is>
      </c>
      <c r="D856" s="4" t="inlineStr">
        <is>
          <t>Eligibility</t>
        </is>
      </c>
      <c r="E856" s="4" t="inlineStr"/>
      <c r="F856" s="4" t="inlineStr">
        <is>
          <t>en.eligibilityCriteria.eligibilityDescription[1].children[3]</t>
        </is>
      </c>
      <c r="G856" s="4" t="inlineStr">
        <is>
          <t>C12@20261028-55825899</t>
        </is>
      </c>
      <c r="H856" s="4" t="n">
        <v>1</v>
      </c>
      <c r="I856" s="4" t="n">
        <v>1</v>
      </c>
      <c r="J856" s="4" t="inlineStr">
        <is>
          <t>The applicant must have average sales turnover of handloom products for the last 3 years for incentive calculation.</t>
        </is>
      </c>
      <c r="K856" s="4" t="inlineStr">
        <is>
          <t>MS-C12</t>
        </is>
      </c>
      <c r="L856" s="6" t="n">
        <v>46323</v>
      </c>
      <c r="M856" s="4" t="inlineStr">
        <is>
          <t>Approved</t>
        </is>
      </c>
      <c r="N856" s="4" t="inlineStr">
        <is>
          <t>list_item</t>
        </is>
      </c>
    </row>
    <row r="857" ht="54" customHeight="1">
      <c r="A857" s="8" t="inlineStr">
        <is>
          <t>C12-P0028</t>
        </is>
      </c>
      <c r="B857" s="8" t="inlineStr">
        <is>
          <t>C12</t>
        </is>
      </c>
      <c r="C857" s="8" t="inlineStr">
        <is>
          <t>"Marketing Incentive" under the "Handloom Marketing Assistance" Component of the National Handloom Development Programme</t>
        </is>
      </c>
      <c r="D857" s="8" t="inlineStr">
        <is>
          <t>Exclusions</t>
        </is>
      </c>
      <c r="E857" s="8" t="inlineStr"/>
      <c r="F857" s="8" t="inlineStr">
        <is>
          <t>en.schemeContent.exclusions[0].children[0]</t>
        </is>
      </c>
      <c r="G857" s="8" t="inlineStr">
        <is>
          <t>C12@20261028-55825899</t>
        </is>
      </c>
      <c r="H857" s="8" t="n">
        <v>1</v>
      </c>
      <c r="I857" s="8" t="n">
        <v>1</v>
      </c>
      <c r="J857" s="8" t="inlineStr">
        <is>
          <t>Sales by one handloom agency to another handloom agency are not eligible.</t>
        </is>
      </c>
      <c r="K857" s="8" t="inlineStr">
        <is>
          <t>MS-C12</t>
        </is>
      </c>
      <c r="L857" s="9" t="n">
        <v>46323</v>
      </c>
      <c r="M857" s="8" t="inlineStr">
        <is>
          <t>Approved</t>
        </is>
      </c>
      <c r="N857" s="8" t="inlineStr">
        <is>
          <t>list_item</t>
        </is>
      </c>
    </row>
    <row r="858" ht="54" customHeight="1">
      <c r="A858" s="4" t="inlineStr">
        <is>
          <t>C12-P0029</t>
        </is>
      </c>
      <c r="B858" s="4" t="inlineStr">
        <is>
          <t>C12</t>
        </is>
      </c>
      <c r="C858" s="4" t="inlineStr">
        <is>
          <t>"Marketing Incentive" under the "Handloom Marketing Assistance" Component of the National Handloom Development Programme</t>
        </is>
      </c>
      <c r="D858" s="4" t="inlineStr">
        <is>
          <t>Exclusions</t>
        </is>
      </c>
      <c r="E858" s="4" t="inlineStr"/>
      <c r="F858" s="4" t="inlineStr">
        <is>
          <t>en.schemeContent.exclusions[0].children[1]</t>
        </is>
      </c>
      <c r="G858" s="4" t="inlineStr">
        <is>
          <t>C12@20261028-55825899</t>
        </is>
      </c>
      <c r="H858" s="4" t="n">
        <v>1</v>
      </c>
      <c r="I858" s="4" t="n">
        <v>1</v>
      </c>
      <c r="J858" s="4" t="inlineStr">
        <is>
          <t>Sales of handloom products by Primary Handloom Weavers Cooperative Societies or any other Handloom Agency to Apex Societies, Federations, Producer Companies, Corporations are excluded.</t>
        </is>
      </c>
      <c r="K858" s="4" t="inlineStr">
        <is>
          <t>MS-C12</t>
        </is>
      </c>
      <c r="L858" s="6" t="n">
        <v>46323</v>
      </c>
      <c r="M858" s="4" t="inlineStr">
        <is>
          <t>Approved</t>
        </is>
      </c>
      <c r="N858" s="4" t="inlineStr">
        <is>
          <t>list_item</t>
        </is>
      </c>
    </row>
    <row r="859" ht="54" customHeight="1">
      <c r="A859" s="8" t="inlineStr">
        <is>
          <t>C12-P0030</t>
        </is>
      </c>
      <c r="B859" s="8" t="inlineStr">
        <is>
          <t>C12</t>
        </is>
      </c>
      <c r="C859" s="8" t="inlineStr">
        <is>
          <t>"Marketing Incentive" under the "Handloom Marketing Assistance" Component of the National Handloom Development Programme</t>
        </is>
      </c>
      <c r="D859" s="8" t="inlineStr">
        <is>
          <t>Exclusions</t>
        </is>
      </c>
      <c r="E859" s="8" t="inlineStr"/>
      <c r="F859" s="8" t="inlineStr">
        <is>
          <t>en.schemeContent.exclusions[0].children[2]</t>
        </is>
      </c>
      <c r="G859" s="8" t="inlineStr">
        <is>
          <t>C12@20261028-55825899</t>
        </is>
      </c>
      <c r="H859" s="8" t="n">
        <v>1</v>
      </c>
      <c r="I859" s="8" t="n">
        <v>1</v>
      </c>
      <c r="J859" s="8" t="inlineStr">
        <is>
          <t>Sales by handloom agencies to Government departments/agencies are excluded.</t>
        </is>
      </c>
      <c r="K859" s="8" t="inlineStr">
        <is>
          <t>MS-C12</t>
        </is>
      </c>
      <c r="L859" s="9" t="n">
        <v>46323</v>
      </c>
      <c r="M859" s="8" t="inlineStr">
        <is>
          <t>Approved</t>
        </is>
      </c>
      <c r="N859" s="8" t="inlineStr">
        <is>
          <t>list_item</t>
        </is>
      </c>
    </row>
    <row r="860" ht="54" customHeight="1">
      <c r="A860" s="4" t="inlineStr">
        <is>
          <t>C12-P0031</t>
        </is>
      </c>
      <c r="B860" s="4" t="inlineStr">
        <is>
          <t>C12</t>
        </is>
      </c>
      <c r="C860" s="4" t="inlineStr">
        <is>
          <t>"Marketing Incentive" under the "Handloom Marketing Assistance" Component of the National Handloom Development Programme</t>
        </is>
      </c>
      <c r="D860" s="4" t="inlineStr">
        <is>
          <t>Exclusions</t>
        </is>
      </c>
      <c r="E860" s="4" t="inlineStr"/>
      <c r="F860" s="4" t="inlineStr">
        <is>
          <t>en.schemeContent.exclusions[0].children[3]</t>
        </is>
      </c>
      <c r="G860" s="4" t="inlineStr">
        <is>
          <t>C12@20261028-55825899</t>
        </is>
      </c>
      <c r="H860" s="4" t="n">
        <v>1</v>
      </c>
      <c r="I860" s="4" t="n">
        <v>1</v>
      </c>
      <c r="J860" s="4" t="inlineStr">
        <is>
          <t>Sales made under barter system by handloom agencies are excluded.</t>
        </is>
      </c>
      <c r="K860" s="4" t="inlineStr">
        <is>
          <t>MS-C12</t>
        </is>
      </c>
      <c r="L860" s="6" t="n">
        <v>46323</v>
      </c>
      <c r="M860" s="4" t="inlineStr">
        <is>
          <t>Approved</t>
        </is>
      </c>
      <c r="N860" s="4" t="inlineStr">
        <is>
          <t>list_item</t>
        </is>
      </c>
    </row>
    <row r="861" ht="54" customHeight="1">
      <c r="A861" s="8" t="inlineStr">
        <is>
          <t>C12-P0032</t>
        </is>
      </c>
      <c r="B861" s="8" t="inlineStr">
        <is>
          <t>C12</t>
        </is>
      </c>
      <c r="C861" s="8" t="inlineStr">
        <is>
          <t>"Marketing Incentive" under the "Handloom Marketing Assistance" Component of the National Handloom Development Programme</t>
        </is>
      </c>
      <c r="D861" s="8" t="inlineStr">
        <is>
          <t>Exclusions</t>
        </is>
      </c>
      <c r="E861" s="8" t="inlineStr"/>
      <c r="F861" s="8" t="inlineStr">
        <is>
          <t>en.schemeContent.exclusions[0].children[4]</t>
        </is>
      </c>
      <c r="G861" s="8" t="inlineStr">
        <is>
          <t>C12@20261028-55825899</t>
        </is>
      </c>
      <c r="H861" s="8" t="n">
        <v>1</v>
      </c>
      <c r="I861" s="8" t="n">
        <v>1</v>
      </c>
      <c r="J861" s="8" t="inlineStr">
        <is>
          <t>Agencies that have received similar kind of incentive/rebate under any other Central Government scheme are not preferred.</t>
        </is>
      </c>
      <c r="K861" s="8" t="inlineStr">
        <is>
          <t>MS-C12</t>
        </is>
      </c>
      <c r="L861" s="9" t="n">
        <v>46323</v>
      </c>
      <c r="M861" s="8" t="inlineStr">
        <is>
          <t>Approved</t>
        </is>
      </c>
      <c r="N861" s="8" t="inlineStr">
        <is>
          <t>list_item</t>
        </is>
      </c>
    </row>
    <row r="862" ht="54" customHeight="1">
      <c r="A862" s="4" t="inlineStr">
        <is>
          <t>C12-P0033</t>
        </is>
      </c>
      <c r="B862" s="4" t="inlineStr">
        <is>
          <t>C12</t>
        </is>
      </c>
      <c r="C862" s="4" t="inlineStr">
        <is>
          <t>"Marketing Incentive" under the "Handloom Marketing Assistance" Component of the National Handloom Development Programme</t>
        </is>
      </c>
      <c r="D862" s="4" t="inlineStr">
        <is>
          <t>Applicant documents</t>
        </is>
      </c>
      <c r="E862" s="4" t="inlineStr">
        <is>
          <t>At Application Stage</t>
        </is>
      </c>
      <c r="F862" s="4" t="inlineStr">
        <is>
          <t>documents.en.documents_required[0]</t>
        </is>
      </c>
      <c r="G862" s="4" t="inlineStr">
        <is>
          <t>C12@20261028-55825899</t>
        </is>
      </c>
      <c r="H862" s="4" t="n">
        <v>1</v>
      </c>
      <c r="I862" s="4" t="n">
        <v>1</v>
      </c>
      <c r="J862" s="4" t="inlineStr">
        <is>
          <t>At Application Stage</t>
        </is>
      </c>
      <c r="K862" s="4" t="inlineStr">
        <is>
          <t>MS-C12</t>
        </is>
      </c>
      <c r="L862" s="6" t="n">
        <v>46323</v>
      </c>
      <c r="M862" s="4" t="inlineStr">
        <is>
          <t>Approved</t>
        </is>
      </c>
      <c r="N862" s="4" t="inlineStr">
        <is>
          <t>paragraph</t>
        </is>
      </c>
    </row>
    <row r="863" ht="54" customHeight="1">
      <c r="A863" s="8" t="inlineStr">
        <is>
          <t>C12-P0034</t>
        </is>
      </c>
      <c r="B863" s="8" t="inlineStr">
        <is>
          <t>C12</t>
        </is>
      </c>
      <c r="C863" s="8" t="inlineStr">
        <is>
          <t>"Marketing Incentive" under the "Handloom Marketing Assistance" Component of the National Handloom Development Programme</t>
        </is>
      </c>
      <c r="D863" s="8" t="inlineStr">
        <is>
          <t>Applicant documents</t>
        </is>
      </c>
      <c r="E863" s="8" t="inlineStr">
        <is>
          <t>At Application Stage</t>
        </is>
      </c>
      <c r="F863" s="8" t="inlineStr">
        <is>
          <t>documents.en.documents_required[1].children[0]</t>
        </is>
      </c>
      <c r="G863" s="8" t="inlineStr">
        <is>
          <t>C12@20261028-55825899</t>
        </is>
      </c>
      <c r="H863" s="8" t="n">
        <v>1</v>
      </c>
      <c r="I863" s="8" t="n">
        <v>1</v>
      </c>
      <c r="J863" s="8" t="inlineStr">
        <is>
          <t>Sales Bills/invoices for Handloom Products (Goods and Services Tax Compliant),</t>
        </is>
      </c>
      <c r="K863" s="8" t="inlineStr">
        <is>
          <t>MS-C12</t>
        </is>
      </c>
      <c r="L863" s="9" t="n">
        <v>46323</v>
      </c>
      <c r="M863" s="8" t="inlineStr">
        <is>
          <t>Approved</t>
        </is>
      </c>
      <c r="N863" s="8" t="inlineStr">
        <is>
          <t>list_item</t>
        </is>
      </c>
    </row>
    <row r="864" ht="54" customHeight="1">
      <c r="A864" s="4" t="inlineStr">
        <is>
          <t>C12-P0035</t>
        </is>
      </c>
      <c r="B864" s="4" t="inlineStr">
        <is>
          <t>C12</t>
        </is>
      </c>
      <c r="C864" s="4" t="inlineStr">
        <is>
          <t>"Marketing Incentive" under the "Handloom Marketing Assistance" Component of the National Handloom Development Programme</t>
        </is>
      </c>
      <c r="D864" s="4" t="inlineStr">
        <is>
          <t>Applicant documents</t>
        </is>
      </c>
      <c r="E864" s="4" t="inlineStr">
        <is>
          <t>At Application Stage</t>
        </is>
      </c>
      <c r="F864" s="4" t="inlineStr">
        <is>
          <t>documents.en.documents_required[1].children[1]</t>
        </is>
      </c>
      <c r="G864" s="4" t="inlineStr">
        <is>
          <t>C12@20261028-55825899</t>
        </is>
      </c>
      <c r="H864" s="4" t="n">
        <v>1</v>
      </c>
      <c r="I864" s="4" t="n">
        <v>1</v>
      </c>
      <c r="J864" s="4" t="inlineStr">
        <is>
          <t>Yarn Purchase Bills (Goods and Services Tax Compliant).</t>
        </is>
      </c>
      <c r="K864" s="4" t="inlineStr">
        <is>
          <t>MS-C12</t>
        </is>
      </c>
      <c r="L864" s="6" t="n">
        <v>46323</v>
      </c>
      <c r="M864" s="4" t="inlineStr">
        <is>
          <t>Approved</t>
        </is>
      </c>
      <c r="N864" s="4" t="inlineStr">
        <is>
          <t>list_item</t>
        </is>
      </c>
    </row>
    <row r="865" ht="54" customHeight="1">
      <c r="A865" s="8" t="inlineStr">
        <is>
          <t>C12-P0036</t>
        </is>
      </c>
      <c r="B865" s="8" t="inlineStr">
        <is>
          <t>C12</t>
        </is>
      </c>
      <c r="C865" s="8" t="inlineStr">
        <is>
          <t>"Marketing Incentive" under the "Handloom Marketing Assistance" Component of the National Handloom Development Programme</t>
        </is>
      </c>
      <c r="D865" s="8" t="inlineStr">
        <is>
          <t>Applicant documents</t>
        </is>
      </c>
      <c r="E865" s="8" t="inlineStr">
        <is>
          <t>At Application Stage</t>
        </is>
      </c>
      <c r="F865" s="8" t="inlineStr">
        <is>
          <t>documents.en.documents_required[1].children[2]</t>
        </is>
      </c>
      <c r="G865" s="8" t="inlineStr">
        <is>
          <t>C12@20261028-55825899</t>
        </is>
      </c>
      <c r="H865" s="8" t="n">
        <v>1</v>
      </c>
      <c r="I865" s="8" t="n">
        <v>1</v>
      </c>
      <c r="J865" s="8" t="inlineStr">
        <is>
          <t>Average Sales Turnover Details of Handloom Products for the Last 3 Years.</t>
        </is>
      </c>
      <c r="K865" s="8" t="inlineStr">
        <is>
          <t>MS-C12</t>
        </is>
      </c>
      <c r="L865" s="9" t="n">
        <v>46323</v>
      </c>
      <c r="M865" s="8" t="inlineStr">
        <is>
          <t>Approved</t>
        </is>
      </c>
      <c r="N865" s="8" t="inlineStr">
        <is>
          <t>list_item</t>
        </is>
      </c>
    </row>
    <row r="866" ht="54" customHeight="1">
      <c r="A866" s="4" t="inlineStr">
        <is>
          <t>C12-P0037</t>
        </is>
      </c>
      <c r="B866" s="4" t="inlineStr">
        <is>
          <t>C12</t>
        </is>
      </c>
      <c r="C866" s="4" t="inlineStr">
        <is>
          <t>"Marketing Incentive" under the "Handloom Marketing Assistance" Component of the National Handloom Development Programme</t>
        </is>
      </c>
      <c r="D866" s="4" t="inlineStr">
        <is>
          <t>Applicant documents</t>
        </is>
      </c>
      <c r="E866" s="4" t="inlineStr">
        <is>
          <t>At Application Stage</t>
        </is>
      </c>
      <c r="F866" s="4" t="inlineStr">
        <is>
          <t>documents.en.documents_required[1].children[3]</t>
        </is>
      </c>
      <c r="G866" s="4" t="inlineStr">
        <is>
          <t>C12@20261028-55825899</t>
        </is>
      </c>
      <c r="H866" s="4" t="n">
        <v>1</v>
      </c>
      <c r="I866" s="4" t="n">
        <v>1</v>
      </c>
      <c r="J866" s="4" t="inlineStr">
        <is>
          <t>Handloom Mark or India Handloom Brand Usage Documentation.</t>
        </is>
      </c>
      <c r="K866" s="4" t="inlineStr">
        <is>
          <t>MS-C12</t>
        </is>
      </c>
      <c r="L866" s="6" t="n">
        <v>46323</v>
      </c>
      <c r="M866" s="4" t="inlineStr">
        <is>
          <t>Approved</t>
        </is>
      </c>
      <c r="N866" s="4" t="inlineStr">
        <is>
          <t>list_item</t>
        </is>
      </c>
    </row>
    <row r="867" ht="54" customHeight="1">
      <c r="A867" s="8" t="inlineStr">
        <is>
          <t>C12-P0038</t>
        </is>
      </c>
      <c r="B867" s="8" t="inlineStr">
        <is>
          <t>C12</t>
        </is>
      </c>
      <c r="C867" s="8" t="inlineStr">
        <is>
          <t>"Marketing Incentive" under the "Handloom Marketing Assistance" Component of the National Handloom Development Programme</t>
        </is>
      </c>
      <c r="D867" s="8" t="inlineStr">
        <is>
          <t>Applicant documents</t>
        </is>
      </c>
      <c r="E867" s="8" t="inlineStr">
        <is>
          <t>At Application Stage</t>
        </is>
      </c>
      <c r="F867" s="8" t="inlineStr">
        <is>
          <t>documents.en.documents_required[1].children[4]</t>
        </is>
      </c>
      <c r="G867" s="8" t="inlineStr">
        <is>
          <t>C12@20261028-55825899</t>
        </is>
      </c>
      <c r="H867" s="8" t="n">
        <v>1</v>
      </c>
      <c r="I867" s="8" t="n">
        <v>1</v>
      </c>
      <c r="J867" s="8" t="inlineStr">
        <is>
          <t>Final Transaction Proof of Product Sale to Consumer.</t>
        </is>
      </c>
      <c r="K867" s="8" t="inlineStr">
        <is>
          <t>MS-C12</t>
        </is>
      </c>
      <c r="L867" s="9" t="n">
        <v>46323</v>
      </c>
      <c r="M867" s="8" t="inlineStr">
        <is>
          <t>Approved</t>
        </is>
      </c>
      <c r="N867" s="8" t="inlineStr">
        <is>
          <t>list_item</t>
        </is>
      </c>
    </row>
    <row r="868" ht="54" customHeight="1">
      <c r="A868" s="4" t="inlineStr">
        <is>
          <t>C12-P0039</t>
        </is>
      </c>
      <c r="B868" s="4" t="inlineStr">
        <is>
          <t>C12</t>
        </is>
      </c>
      <c r="C868" s="4" t="inlineStr">
        <is>
          <t>"Marketing Incentive" under the "Handloom Marketing Assistance" Component of the National Handloom Development Programme</t>
        </is>
      </c>
      <c r="D868" s="4" t="inlineStr">
        <is>
          <t>Applicant documents</t>
        </is>
      </c>
      <c r="E868" s="4" t="inlineStr">
        <is>
          <t>For State Government Processing</t>
        </is>
      </c>
      <c r="F868" s="4" t="inlineStr">
        <is>
          <t>documents.en.documents_required[3]</t>
        </is>
      </c>
      <c r="G868" s="4" t="inlineStr">
        <is>
          <t>C12@20261028-55825899</t>
        </is>
      </c>
      <c r="H868" s="4" t="n">
        <v>1</v>
      </c>
      <c r="I868" s="4" t="n">
        <v>1</v>
      </c>
      <c r="J868" s="4" t="inlineStr">
        <is>
          <t>For State Government Processing</t>
        </is>
      </c>
      <c r="K868" s="4" t="inlineStr">
        <is>
          <t>MS-C12</t>
        </is>
      </c>
      <c r="L868" s="6" t="n">
        <v>46323</v>
      </c>
      <c r="M868" s="4" t="inlineStr">
        <is>
          <t>Approved</t>
        </is>
      </c>
      <c r="N868" s="4" t="inlineStr">
        <is>
          <t>paragraph</t>
        </is>
      </c>
    </row>
    <row r="869" ht="54" customHeight="1">
      <c r="A869" s="8" t="inlineStr">
        <is>
          <t>C12-P0040</t>
        </is>
      </c>
      <c r="B869" s="8" t="inlineStr">
        <is>
          <t>C12</t>
        </is>
      </c>
      <c r="C869" s="8" t="inlineStr">
        <is>
          <t>"Marketing Incentive" under the "Handloom Marketing Assistance" Component of the National Handloom Development Programme</t>
        </is>
      </c>
      <c r="D869" s="8" t="inlineStr">
        <is>
          <t>Applicant documents</t>
        </is>
      </c>
      <c r="E869" s="8" t="inlineStr">
        <is>
          <t>For State Government Processing</t>
        </is>
      </c>
      <c r="F869" s="8" t="inlineStr">
        <is>
          <t>documents.en.documents_required[4].children[0]</t>
        </is>
      </c>
      <c r="G869" s="8" t="inlineStr">
        <is>
          <t>C12@20261028-55825899</t>
        </is>
      </c>
      <c r="H869" s="8" t="n">
        <v>1</v>
      </c>
      <c r="I869" s="8" t="n">
        <v>1</v>
      </c>
      <c r="J869" s="8" t="inlineStr">
        <is>
          <t>Certificate as Per Prescribed Proforma (Annexure - B9) for Each Individual Claim.</t>
        </is>
      </c>
      <c r="K869" s="8" t="inlineStr">
        <is>
          <t>MS-C12</t>
        </is>
      </c>
      <c r="L869" s="9" t="n">
        <v>46323</v>
      </c>
      <c r="M869" s="8" t="inlineStr">
        <is>
          <t>Approved</t>
        </is>
      </c>
      <c r="N869" s="8" t="inlineStr">
        <is>
          <t>list_item</t>
        </is>
      </c>
    </row>
    <row r="870" ht="54" customHeight="1">
      <c r="A870" s="4" t="inlineStr">
        <is>
          <t>C12-P0041</t>
        </is>
      </c>
      <c r="B870" s="4" t="inlineStr">
        <is>
          <t>C12</t>
        </is>
      </c>
      <c r="C870" s="4" t="inlineStr">
        <is>
          <t>"Marketing Incentive" under the "Handloom Marketing Assistance" Component of the National Handloom Development Programme</t>
        </is>
      </c>
      <c r="D870" s="4" t="inlineStr">
        <is>
          <t>Applicant documents</t>
        </is>
      </c>
      <c r="E870" s="4" t="inlineStr">
        <is>
          <t>For State Government Processing</t>
        </is>
      </c>
      <c r="F870" s="4" t="inlineStr">
        <is>
          <t>documents.en.documents_required[4].children[1]</t>
        </is>
      </c>
      <c r="G870" s="4" t="inlineStr">
        <is>
          <t>C12@20261028-55825899</t>
        </is>
      </c>
      <c r="H870" s="4" t="n">
        <v>1</v>
      </c>
      <c r="I870" s="4" t="n">
        <v>1</v>
      </c>
      <c r="J870" s="4" t="inlineStr">
        <is>
          <t>Consolidated Statement of All Claims.</t>
        </is>
      </c>
      <c r="K870" s="4" t="inlineStr">
        <is>
          <t>MS-C12</t>
        </is>
      </c>
      <c r="L870" s="6" t="n">
        <v>46323</v>
      </c>
      <c r="M870" s="4" t="inlineStr">
        <is>
          <t>Approved</t>
        </is>
      </c>
      <c r="N870" s="4" t="inlineStr">
        <is>
          <t>list_item</t>
        </is>
      </c>
    </row>
    <row r="871" ht="54" customHeight="1">
      <c r="A871" s="8" t="inlineStr">
        <is>
          <t>C12-P0042</t>
        </is>
      </c>
      <c r="B871" s="8" t="inlineStr">
        <is>
          <t>C12</t>
        </is>
      </c>
      <c r="C871" s="8" t="inlineStr">
        <is>
          <t>"Marketing Incentive" under the "Handloom Marketing Assistance" Component of the National Handloom Development Programme</t>
        </is>
      </c>
      <c r="D871" s="8" t="inlineStr">
        <is>
          <t>Applicant documents</t>
        </is>
      </c>
      <c r="E871" s="8" t="inlineStr">
        <is>
          <t>For State Government Processing</t>
        </is>
      </c>
      <c r="F871" s="8" t="inlineStr">
        <is>
          <t>documents.en.documents_required[4].children[2]</t>
        </is>
      </c>
      <c r="G871" s="8" t="inlineStr">
        <is>
          <t>C12@20261028-55825899</t>
        </is>
      </c>
      <c r="H871" s="8" t="n">
        <v>1</v>
      </c>
      <c r="I871" s="8" t="n">
        <v>1</v>
      </c>
      <c r="J871" s="8" t="inlineStr">
        <is>
          <t>Recommendations of State Level Project Committee.</t>
        </is>
      </c>
      <c r="K871" s="8" t="inlineStr">
        <is>
          <t>MS-C12</t>
        </is>
      </c>
      <c r="L871" s="9" t="n">
        <v>46323</v>
      </c>
      <c r="M871" s="8" t="inlineStr">
        <is>
          <t>Approved</t>
        </is>
      </c>
      <c r="N871" s="8" t="inlineStr">
        <is>
          <t>list_item</t>
        </is>
      </c>
    </row>
    <row r="872" ht="54" customHeight="1">
      <c r="A872" s="4" t="inlineStr">
        <is>
          <t>C12-P0043</t>
        </is>
      </c>
      <c r="B872" s="4" t="inlineStr">
        <is>
          <t>C12</t>
        </is>
      </c>
      <c r="C872" s="4" t="inlineStr">
        <is>
          <t>"Marketing Incentive" under the "Handloom Marketing Assistance" Component of the National Handloom Development Programme</t>
        </is>
      </c>
      <c r="D872" s="4" t="inlineStr">
        <is>
          <t>Applicant documents</t>
        </is>
      </c>
      <c r="E872" s="4" t="inlineStr">
        <is>
          <t>For State Government Processing</t>
        </is>
      </c>
      <c r="F872" s="4" t="inlineStr">
        <is>
          <t>documents.en.documents_required[4].children[3]</t>
        </is>
      </c>
      <c r="G872" s="4" t="inlineStr">
        <is>
          <t>C12@20261028-55825899</t>
        </is>
      </c>
      <c r="H872" s="4" t="n">
        <v>1</v>
      </c>
      <c r="I872" s="4" t="n">
        <v>1</v>
      </c>
      <c r="J872" s="4" t="inlineStr">
        <is>
          <t>Sanction Order for Release of State Share.</t>
        </is>
      </c>
      <c r="K872" s="4" t="inlineStr">
        <is>
          <t>MS-C12</t>
        </is>
      </c>
      <c r="L872" s="6" t="n">
        <v>46323</v>
      </c>
      <c r="M872" s="4" t="inlineStr">
        <is>
          <t>Approved</t>
        </is>
      </c>
      <c r="N872" s="4" t="inlineStr">
        <is>
          <t>list_item</t>
        </is>
      </c>
    </row>
    <row r="873" ht="54" customHeight="1">
      <c r="A873" s="8" t="inlineStr">
        <is>
          <t>C12-P0044</t>
        </is>
      </c>
      <c r="B873" s="8" t="inlineStr">
        <is>
          <t>C12</t>
        </is>
      </c>
      <c r="C873" s="8" t="inlineStr">
        <is>
          <t>"Marketing Incentive" under the "Handloom Marketing Assistance" Component of the National Handloom Development Programme</t>
        </is>
      </c>
      <c r="D873" s="8" t="inlineStr">
        <is>
          <t>Applicant documents</t>
        </is>
      </c>
      <c r="E873" s="8" t="inlineStr">
        <is>
          <t>For State Government Processing</t>
        </is>
      </c>
      <c r="F873" s="8" t="inlineStr">
        <is>
          <t>documents.en.documents_required[4].children[4]</t>
        </is>
      </c>
      <c r="G873" s="8" t="inlineStr">
        <is>
          <t>C12@20261028-55825899</t>
        </is>
      </c>
      <c r="H873" s="8" t="n">
        <v>1</v>
      </c>
      <c r="I873" s="8" t="n">
        <v>1</v>
      </c>
      <c r="J873" s="8" t="inlineStr">
        <is>
          <t>Documentary Proof of Amount Transferred to Beneficiaries.</t>
        </is>
      </c>
      <c r="K873" s="8" t="inlineStr">
        <is>
          <t>MS-C12</t>
        </is>
      </c>
      <c r="L873" s="9" t="n">
        <v>46323</v>
      </c>
      <c r="M873" s="8" t="inlineStr">
        <is>
          <t>Approved</t>
        </is>
      </c>
      <c r="N873" s="8" t="inlineStr">
        <is>
          <t>list_item</t>
        </is>
      </c>
    </row>
    <row r="874" ht="54" customHeight="1">
      <c r="A874" s="4" t="inlineStr">
        <is>
          <t>C12-P0045</t>
        </is>
      </c>
      <c r="B874" s="4" t="inlineStr">
        <is>
          <t>C12</t>
        </is>
      </c>
      <c r="C874" s="4" t="inlineStr">
        <is>
          <t>"Marketing Incentive" under the "Handloom Marketing Assistance" Component of the National Handloom Development Programme</t>
        </is>
      </c>
      <c r="D874" s="4" t="inlineStr">
        <is>
          <t>Applicant documents</t>
        </is>
      </c>
      <c r="E874" s="4" t="inlineStr">
        <is>
          <t>For State Government Processing</t>
        </is>
      </c>
      <c r="F874" s="4" t="inlineStr">
        <is>
          <t>documents.en.documents_required[4].children[5]</t>
        </is>
      </c>
      <c r="G874" s="4" t="inlineStr">
        <is>
          <t>C12@20261028-55825899</t>
        </is>
      </c>
      <c r="H874" s="4" t="n">
        <v>1</v>
      </c>
      <c r="I874" s="4" t="n">
        <v>1</v>
      </c>
      <c r="J874" s="4" t="inlineStr">
        <is>
          <t>Certificate as Per Prescribed Proforma (Annexure - B10).</t>
        </is>
      </c>
      <c r="K874" s="4" t="inlineStr">
        <is>
          <t>MS-C12</t>
        </is>
      </c>
      <c r="L874" s="6" t="n">
        <v>46323</v>
      </c>
      <c r="M874" s="4" t="inlineStr">
        <is>
          <t>Approved</t>
        </is>
      </c>
      <c r="N874" s="4" t="inlineStr">
        <is>
          <t>list_item</t>
        </is>
      </c>
    </row>
    <row r="875" ht="54" customHeight="1">
      <c r="A875" s="8" t="inlineStr">
        <is>
          <t>C12-P0046</t>
        </is>
      </c>
      <c r="B875" s="8" t="inlineStr">
        <is>
          <t>C12</t>
        </is>
      </c>
      <c r="C875" s="8" t="inlineStr">
        <is>
          <t>"Marketing Incentive" under the "Handloom Marketing Assistance" Component of the National Handloom Development Programme</t>
        </is>
      </c>
      <c r="D875" s="8" t="inlineStr">
        <is>
          <t>Applicant documents</t>
        </is>
      </c>
      <c r="E875" s="8" t="inlineStr">
        <is>
          <t>For State Government Processing</t>
        </is>
      </c>
      <c r="F875" s="8" t="inlineStr">
        <is>
          <t>documents.en.documents_required[4].children[6]</t>
        </is>
      </c>
      <c r="G875" s="8" t="inlineStr">
        <is>
          <t>C12@20261028-55825899</t>
        </is>
      </c>
      <c r="H875" s="8" t="n">
        <v>1</v>
      </c>
      <c r="I875" s="8" t="n">
        <v>1</v>
      </c>
      <c r="J875" s="8" t="inlineStr">
        <is>
          <t>Identification of Suitable Nodal Agency for Fund Aggregation and Release.</t>
        </is>
      </c>
      <c r="K875" s="8" t="inlineStr">
        <is>
          <t>MS-C12</t>
        </is>
      </c>
      <c r="L875" s="9" t="n">
        <v>46323</v>
      </c>
      <c r="M875" s="8" t="inlineStr">
        <is>
          <t>Approved</t>
        </is>
      </c>
      <c r="N875" s="8" t="inlineStr">
        <is>
          <t>list_item</t>
        </is>
      </c>
    </row>
    <row r="876" ht="54" customHeight="1">
      <c r="A876" s="4" t="inlineStr">
        <is>
          <t>C12-P0047</t>
        </is>
      </c>
      <c r="B876" s="4" t="inlineStr">
        <is>
          <t>C12</t>
        </is>
      </c>
      <c r="C876" s="4" t="inlineStr">
        <is>
          <t>"Marketing Incentive" under the "Handloom Marketing Assistance" Component of the National Handloom Development Programme</t>
        </is>
      </c>
      <c r="D876" s="4" t="inlineStr">
        <is>
          <t>Applicant documents</t>
        </is>
      </c>
      <c r="E876" s="4" t="inlineStr">
        <is>
          <t>At Verification Stage</t>
        </is>
      </c>
      <c r="F876" s="4" t="inlineStr">
        <is>
          <t>documents.en.documents_required[6]</t>
        </is>
      </c>
      <c r="G876" s="4" t="inlineStr">
        <is>
          <t>C12@20261028-55825899</t>
        </is>
      </c>
      <c r="H876" s="4" t="n">
        <v>1</v>
      </c>
      <c r="I876" s="4" t="n">
        <v>1</v>
      </c>
      <c r="J876" s="4" t="inlineStr">
        <is>
          <t>At Verification Stage</t>
        </is>
      </c>
      <c r="K876" s="4" t="inlineStr">
        <is>
          <t>MS-C12</t>
        </is>
      </c>
      <c r="L876" s="6" t="n">
        <v>46323</v>
      </c>
      <c r="M876" s="4" t="inlineStr">
        <is>
          <t>Approved</t>
        </is>
      </c>
      <c r="N876" s="4" t="inlineStr">
        <is>
          <t>paragraph</t>
        </is>
      </c>
    </row>
    <row r="877" ht="54" customHeight="1">
      <c r="A877" s="8" t="inlineStr">
        <is>
          <t>C12-P0048</t>
        </is>
      </c>
      <c r="B877" s="8" t="inlineStr">
        <is>
          <t>C12</t>
        </is>
      </c>
      <c r="C877" s="8" t="inlineStr">
        <is>
          <t>"Marketing Incentive" under the "Handloom Marketing Assistance" Component of the National Handloom Development Programme</t>
        </is>
      </c>
      <c r="D877" s="8" t="inlineStr">
        <is>
          <t>Applicant documents</t>
        </is>
      </c>
      <c r="E877" s="8" t="inlineStr">
        <is>
          <t>At Verification Stage</t>
        </is>
      </c>
      <c r="F877" s="8" t="inlineStr">
        <is>
          <t>documents.en.documents_required[7].children[0]</t>
        </is>
      </c>
      <c r="G877" s="8" t="inlineStr">
        <is>
          <t>C12@20261028-55825899</t>
        </is>
      </c>
      <c r="H877" s="8" t="n">
        <v>1</v>
      </c>
      <c r="I877" s="8" t="n">
        <v>1</v>
      </c>
      <c r="J877" s="8" t="inlineStr">
        <is>
          <t>Utilization Certificate From Nodal Agency.</t>
        </is>
      </c>
      <c r="K877" s="8" t="inlineStr">
        <is>
          <t>MS-C12</t>
        </is>
      </c>
      <c r="L877" s="9" t="n">
        <v>46323</v>
      </c>
      <c r="M877" s="8" t="inlineStr">
        <is>
          <t>Approved</t>
        </is>
      </c>
      <c r="N877" s="8" t="inlineStr">
        <is>
          <t>list_item</t>
        </is>
      </c>
    </row>
    <row r="878" ht="54" customHeight="1">
      <c r="A878" s="4" t="inlineStr">
        <is>
          <t>C12-P0049</t>
        </is>
      </c>
      <c r="B878" s="4" t="inlineStr">
        <is>
          <t>C12</t>
        </is>
      </c>
      <c r="C878" s="4" t="inlineStr">
        <is>
          <t>"Marketing Incentive" under the "Handloom Marketing Assistance" Component of the National Handloom Development Programme</t>
        </is>
      </c>
      <c r="D878" s="4" t="inlineStr">
        <is>
          <t>Applicant documents</t>
        </is>
      </c>
      <c r="E878" s="4" t="inlineStr">
        <is>
          <t>At Verification Stage</t>
        </is>
      </c>
      <c r="F878" s="4" t="inlineStr">
        <is>
          <t>documents.en.documents_required[7].children[1]</t>
        </is>
      </c>
      <c r="G878" s="4" t="inlineStr">
        <is>
          <t>C12@20261028-55825899</t>
        </is>
      </c>
      <c r="H878" s="4" t="n">
        <v>1</v>
      </c>
      <c r="I878" s="4" t="n">
        <v>1</v>
      </c>
      <c r="J878" s="4" t="inlineStr">
        <is>
          <t>Certificate Of Direct Benefit Transfer Release Within 7 Days.</t>
        </is>
      </c>
      <c r="K878" s="4" t="inlineStr">
        <is>
          <t>MS-C12</t>
        </is>
      </c>
      <c r="L878" s="6" t="n">
        <v>46323</v>
      </c>
      <c r="M878" s="4" t="inlineStr">
        <is>
          <t>Approved</t>
        </is>
      </c>
      <c r="N878" s="4" t="inlineStr">
        <is>
          <t>list_item</t>
        </is>
      </c>
    </row>
    <row r="879" ht="54" customHeight="1">
      <c r="A879" s="8" t="inlineStr">
        <is>
          <t>C12-P0050</t>
        </is>
      </c>
      <c r="B879" s="8" t="inlineStr">
        <is>
          <t>C12</t>
        </is>
      </c>
      <c r="C879" s="8" t="inlineStr">
        <is>
          <t>"Marketing Incentive" under the "Handloom Marketing Assistance" Component of the National Handloom Development Programme</t>
        </is>
      </c>
      <c r="D879" s="8" t="inlineStr">
        <is>
          <t>Applicant documents</t>
        </is>
      </c>
      <c r="E879" s="8" t="inlineStr">
        <is>
          <t>At Verification Stage</t>
        </is>
      </c>
      <c r="F879" s="8" t="inlineStr">
        <is>
          <t>documents.en.documents_required[7].children[2]</t>
        </is>
      </c>
      <c r="G879" s="8" t="inlineStr">
        <is>
          <t>C12@20261028-55825899</t>
        </is>
      </c>
      <c r="H879" s="8" t="n">
        <v>1</v>
      </c>
      <c r="I879" s="8" t="n">
        <v>1</v>
      </c>
      <c r="J879" s="8" t="inlineStr">
        <is>
          <t>Details Of Beneficiaries (State Share And Government Of India Share) Uploaded In Public Domain.</t>
        </is>
      </c>
      <c r="K879" s="8" t="inlineStr">
        <is>
          <t>MS-C12</t>
        </is>
      </c>
      <c r="L879" s="9" t="n">
        <v>46323</v>
      </c>
      <c r="M879" s="8" t="inlineStr">
        <is>
          <t>Approved</t>
        </is>
      </c>
      <c r="N879" s="8" t="inlineStr">
        <is>
          <t>list_item</t>
        </is>
      </c>
    </row>
    <row r="880" ht="54" customHeight="1">
      <c r="A880" s="4" t="inlineStr">
        <is>
          <t>C12-P0051</t>
        </is>
      </c>
      <c r="B880" s="4" t="inlineStr">
        <is>
          <t>C12</t>
        </is>
      </c>
      <c r="C880" s="4" t="inlineStr">
        <is>
          <t>"Marketing Incentive" under the "Handloom Marketing Assistance" Component of the National Handloom Development Programme</t>
        </is>
      </c>
      <c r="D880" s="4" t="inlineStr">
        <is>
          <t>Applicant documents</t>
        </is>
      </c>
      <c r="E880" s="4" t="inlineStr">
        <is>
          <t>At Verification Stage</t>
        </is>
      </c>
      <c r="F880" s="4" t="inlineStr">
        <is>
          <t>documents.en.documents_required[8]</t>
        </is>
      </c>
      <c r="G880" s="4" t="inlineStr">
        <is>
          <t>C12@20261028-55825899</t>
        </is>
      </c>
      <c r="H880" s="4" t="n">
        <v>1</v>
      </c>
      <c r="I880" s="4" t="n">
        <v>1</v>
      </c>
      <c r="J880" s="4" t="inlineStr">
        <is>
          <t>NOTE: All sales bills/invoices and yarn purchase bills must be Goods and Services Tax compliant for claiming Marketing Incentive.</t>
        </is>
      </c>
      <c r="K880" s="4" t="inlineStr">
        <is>
          <t>MS-C12</t>
        </is>
      </c>
      <c r="L880" s="6" t="n">
        <v>46323</v>
      </c>
      <c r="M880" s="4" t="inlineStr">
        <is>
          <t>Approved</t>
        </is>
      </c>
      <c r="N880" s="4" t="inlineStr">
        <is>
          <t>paragraph</t>
        </is>
      </c>
    </row>
    <row r="881" ht="54" customHeight="1">
      <c r="A881" s="8" t="inlineStr">
        <is>
          <t>C12-P0052</t>
        </is>
      </c>
      <c r="B881" s="8" t="inlineStr">
        <is>
          <t>C12</t>
        </is>
      </c>
      <c r="C881" s="8" t="inlineStr">
        <is>
          <t>"Marketing Incentive" under the "Handloom Marketing Assistance" Component of the National Handloom Development Programme</t>
        </is>
      </c>
      <c r="D881" s="8" t="inlineStr">
        <is>
          <t>Application process</t>
        </is>
      </c>
      <c r="E881" s="8" t="inlineStr"/>
      <c r="F881" s="8" t="inlineStr">
        <is>
          <t>en.applicationProcess[0].process[0].children[0]</t>
        </is>
      </c>
      <c r="G881" s="8" t="inlineStr">
        <is>
          <t>C12@20261028-55825899</t>
        </is>
      </c>
      <c r="H881" s="8" t="n">
        <v>1</v>
      </c>
      <c r="I881" s="8" t="n">
        <v>1</v>
      </c>
      <c r="J881" s="8" t="inlineStr">
        <is>
          <t>For State Level and Primary Level Organizations</t>
        </is>
      </c>
      <c r="K881" s="8" t="inlineStr">
        <is>
          <t>MS-C12</t>
        </is>
      </c>
      <c r="L881" s="9" t="n">
        <v>46323</v>
      </c>
      <c r="M881" s="8" t="inlineStr">
        <is>
          <t>Approved</t>
        </is>
      </c>
      <c r="N881" s="8" t="inlineStr">
        <is>
          <t>text</t>
        </is>
      </c>
    </row>
    <row r="882" ht="54" customHeight="1">
      <c r="A882" s="4" t="inlineStr">
        <is>
          <t>C12-P0053</t>
        </is>
      </c>
      <c r="B882" s="4" t="inlineStr">
        <is>
          <t>C12</t>
        </is>
      </c>
      <c r="C882" s="4" t="inlineStr">
        <is>
          <t>"Marketing Incentive" under the "Handloom Marketing Assistance" Component of the National Handloom Development Programme</t>
        </is>
      </c>
      <c r="D882" s="4" t="inlineStr">
        <is>
          <t>Application process</t>
        </is>
      </c>
      <c r="E882" s="4" t="inlineStr">
        <is>
          <t>Step 1: Prepare Claim Documentation</t>
        </is>
      </c>
      <c r="F882" s="4" t="inlineStr">
        <is>
          <t>en.applicationProcess[0].process[1]</t>
        </is>
      </c>
      <c r="G882" s="4" t="inlineStr">
        <is>
          <t>C12@20261028-55825899</t>
        </is>
      </c>
      <c r="H882" s="4" t="n">
        <v>1</v>
      </c>
      <c r="I882" s="4" t="n">
        <v>1</v>
      </c>
      <c r="J882" s="4" t="inlineStr">
        <is>
          <t>Step 1: Prepare Claim Documentation</t>
        </is>
      </c>
      <c r="K882" s="4" t="inlineStr">
        <is>
          <t>MS-C12</t>
        </is>
      </c>
      <c r="L882" s="6" t="n">
        <v>46323</v>
      </c>
      <c r="M882" s="4" t="inlineStr">
        <is>
          <t>Approved</t>
        </is>
      </c>
      <c r="N882" s="4" t="inlineStr">
        <is>
          <t>paragraph</t>
        </is>
      </c>
    </row>
    <row r="883" ht="54" customHeight="1">
      <c r="A883" s="8" t="inlineStr">
        <is>
          <t>C12-P0054</t>
        </is>
      </c>
      <c r="B883" s="8" t="inlineStr">
        <is>
          <t>C12</t>
        </is>
      </c>
      <c r="C883" s="8" t="inlineStr">
        <is>
          <t>"Marketing Incentive" under the "Handloom Marketing Assistance" Component of the National Handloom Development Programme</t>
        </is>
      </c>
      <c r="D883" s="8" t="inlineStr">
        <is>
          <t>Application process</t>
        </is>
      </c>
      <c r="E883" s="8" t="inlineStr">
        <is>
          <t>Step 1: Prepare Claim Documentation</t>
        </is>
      </c>
      <c r="F883" s="8" t="inlineStr">
        <is>
          <t>en.applicationProcess[0].process[2]</t>
        </is>
      </c>
      <c r="G883" s="8" t="inlineStr">
        <is>
          <t>C12@20261028-55825899</t>
        </is>
      </c>
      <c r="H883" s="8" t="n">
        <v>1</v>
      </c>
      <c r="I883" s="8" t="n">
        <v>1</v>
      </c>
      <c r="J883" s="8" t="inlineStr">
        <is>
          <t>Compile sales bills/invoices, yarn purchase bills, and average sales turnover details for the last 3 years ensuring Goods and Services Tax compliance.</t>
        </is>
      </c>
      <c r="K883" s="8" t="inlineStr">
        <is>
          <t>MS-C12</t>
        </is>
      </c>
      <c r="L883" s="9" t="n">
        <v>46323</v>
      </c>
      <c r="M883" s="8" t="inlineStr">
        <is>
          <t>Approved</t>
        </is>
      </c>
      <c r="N883" s="8" t="inlineStr">
        <is>
          <t>paragraph</t>
        </is>
      </c>
    </row>
    <row r="884" ht="54" customHeight="1">
      <c r="A884" s="4" t="inlineStr">
        <is>
          <t>C12-P0055</t>
        </is>
      </c>
      <c r="B884" s="4" t="inlineStr">
        <is>
          <t>C12</t>
        </is>
      </c>
      <c r="C884" s="4" t="inlineStr">
        <is>
          <t>"Marketing Incentive" under the "Handloom Marketing Assistance" Component of the National Handloom Development Programme</t>
        </is>
      </c>
      <c r="D884" s="4" t="inlineStr">
        <is>
          <t>Application process</t>
        </is>
      </c>
      <c r="E884" s="4" t="inlineStr">
        <is>
          <t>Step 2: Complete Application Form</t>
        </is>
      </c>
      <c r="F884" s="4" t="inlineStr">
        <is>
          <t>en.applicationProcess[0].process[3]</t>
        </is>
      </c>
      <c r="G884" s="4" t="inlineStr">
        <is>
          <t>C12@20261028-55825899</t>
        </is>
      </c>
      <c r="H884" s="4" t="n">
        <v>1</v>
      </c>
      <c r="I884" s="4" t="n">
        <v>1</v>
      </c>
      <c r="J884" s="4" t="inlineStr">
        <is>
          <t>Step 2: Complete Application Form</t>
        </is>
      </c>
      <c r="K884" s="4" t="inlineStr">
        <is>
          <t>MS-C12</t>
        </is>
      </c>
      <c r="L884" s="6" t="n">
        <v>46323</v>
      </c>
      <c r="M884" s="4" t="inlineStr">
        <is>
          <t>Approved</t>
        </is>
      </c>
      <c r="N884" s="4" t="inlineStr">
        <is>
          <t>paragraph</t>
        </is>
      </c>
    </row>
    <row r="885" ht="54" customHeight="1">
      <c r="A885" s="8" t="inlineStr">
        <is>
          <t>C12-P0056</t>
        </is>
      </c>
      <c r="B885" s="8" t="inlineStr">
        <is>
          <t>C12</t>
        </is>
      </c>
      <c r="C885" s="8" t="inlineStr">
        <is>
          <t>"Marketing Incentive" under the "Handloom Marketing Assistance" Component of the National Handloom Development Programme</t>
        </is>
      </c>
      <c r="D885" s="8" t="inlineStr">
        <is>
          <t>Application process</t>
        </is>
      </c>
      <c r="E885" s="8" t="inlineStr">
        <is>
          <t>Step 2: Complete Application Form</t>
        </is>
      </c>
      <c r="F885" s="8" t="inlineStr">
        <is>
          <t>en.applicationProcess[0].process[4]</t>
        </is>
      </c>
      <c r="G885" s="8" t="inlineStr">
        <is>
          <t>C12@20261028-55825899</t>
        </is>
      </c>
      <c r="H885" s="8" t="n">
        <v>1</v>
      </c>
      <c r="I885" s="8" t="n">
        <v>1</v>
      </c>
      <c r="J885" s="8" t="inlineStr">
        <is>
          <t>Fill the prescribed proforma (Annexure - B8) with all required details including sales data and beneficiary information.</t>
        </is>
      </c>
      <c r="K885" s="8" t="inlineStr">
        <is>
          <t>MS-C12</t>
        </is>
      </c>
      <c r="L885" s="9" t="n">
        <v>46323</v>
      </c>
      <c r="M885" s="8" t="inlineStr">
        <is>
          <t>Approved</t>
        </is>
      </c>
      <c r="N885" s="8" t="inlineStr">
        <is>
          <t>paragraph</t>
        </is>
      </c>
    </row>
    <row r="886" ht="54" customHeight="1">
      <c r="A886" s="4" t="inlineStr">
        <is>
          <t>C12-P0057</t>
        </is>
      </c>
      <c r="B886" s="4" t="inlineStr">
        <is>
          <t>C12</t>
        </is>
      </c>
      <c r="C886" s="4" t="inlineStr">
        <is>
          <t>"Marketing Incentive" under the "Handloom Marketing Assistance" Component of the National Handloom Development Programme</t>
        </is>
      </c>
      <c r="D886" s="4" t="inlineStr">
        <is>
          <t>Application process</t>
        </is>
      </c>
      <c r="E886" s="4" t="inlineStr">
        <is>
          <t>Step 3: Submit to State Government</t>
        </is>
      </c>
      <c r="F886" s="4" t="inlineStr">
        <is>
          <t>en.applicationProcess[0].process[5]</t>
        </is>
      </c>
      <c r="G886" s="4" t="inlineStr">
        <is>
          <t>C12@20261028-55825899</t>
        </is>
      </c>
      <c r="H886" s="4" t="n">
        <v>1</v>
      </c>
      <c r="I886" s="4" t="n">
        <v>1</v>
      </c>
      <c r="J886" s="4" t="inlineStr">
        <is>
          <t>Step 3: Submit to State Government</t>
        </is>
      </c>
      <c r="K886" s="4" t="inlineStr">
        <is>
          <t>MS-C12</t>
        </is>
      </c>
      <c r="L886" s="6" t="n">
        <v>46323</v>
      </c>
      <c r="M886" s="4" t="inlineStr">
        <is>
          <t>Approved</t>
        </is>
      </c>
      <c r="N886" s="4" t="inlineStr">
        <is>
          <t>paragraph</t>
        </is>
      </c>
    </row>
    <row r="887" ht="54" customHeight="1">
      <c r="A887" s="8" t="inlineStr">
        <is>
          <t>C12-P0058</t>
        </is>
      </c>
      <c r="B887" s="8" t="inlineStr">
        <is>
          <t>C12</t>
        </is>
      </c>
      <c r="C887" s="8" t="inlineStr">
        <is>
          <t>"Marketing Incentive" under the "Handloom Marketing Assistance" Component of the National Handloom Development Programme</t>
        </is>
      </c>
      <c r="D887" s="8" t="inlineStr">
        <is>
          <t>Application process</t>
        </is>
      </c>
      <c r="E887" s="8" t="inlineStr">
        <is>
          <t>Step 3: Submit to State Government</t>
        </is>
      </c>
      <c r="F887" s="8" t="inlineStr">
        <is>
          <t>en.applicationProcess[0].process[6]</t>
        </is>
      </c>
      <c r="G887" s="8" t="inlineStr">
        <is>
          <t>C12@20261028-55825899</t>
        </is>
      </c>
      <c r="H887" s="8" t="n">
        <v>1</v>
      </c>
      <c r="I887" s="8" t="n">
        <v>1</v>
      </c>
      <c r="J887" s="8" t="inlineStr">
        <is>
          <t>Submit the completed Marketing Incentive claim to the concerned State Government with all supporting documents.</t>
        </is>
      </c>
      <c r="K887" s="8" t="inlineStr">
        <is>
          <t>MS-C12</t>
        </is>
      </c>
      <c r="L887" s="9" t="n">
        <v>46323</v>
      </c>
      <c r="M887" s="8" t="inlineStr">
        <is>
          <t>Approved</t>
        </is>
      </c>
      <c r="N887" s="8" t="inlineStr">
        <is>
          <t>paragraph</t>
        </is>
      </c>
    </row>
    <row r="888" ht="54" customHeight="1">
      <c r="A888" s="4" t="inlineStr">
        <is>
          <t>C12-P0059</t>
        </is>
      </c>
      <c r="B888" s="4" t="inlineStr">
        <is>
          <t>C12</t>
        </is>
      </c>
      <c r="C888" s="4" t="inlineStr">
        <is>
          <t>"Marketing Incentive" under the "Handloom Marketing Assistance" Component of the National Handloom Development Programme</t>
        </is>
      </c>
      <c r="D888" s="4" t="inlineStr">
        <is>
          <t>Application process</t>
        </is>
      </c>
      <c r="E888" s="4" t="inlineStr">
        <is>
          <t>Step 4: State Government Verification</t>
        </is>
      </c>
      <c r="F888" s="4" t="inlineStr">
        <is>
          <t>en.applicationProcess[0].process[7]</t>
        </is>
      </c>
      <c r="G888" s="4" t="inlineStr">
        <is>
          <t>C12@20261028-55825899</t>
        </is>
      </c>
      <c r="H888" s="4" t="n">
        <v>1</v>
      </c>
      <c r="I888" s="4" t="n">
        <v>1</v>
      </c>
      <c r="J888" s="4" t="inlineStr">
        <is>
          <t>Step 4: State Government Verification</t>
        </is>
      </c>
      <c r="K888" s="4" t="inlineStr">
        <is>
          <t>MS-C12</t>
        </is>
      </c>
      <c r="L888" s="6" t="n">
        <v>46323</v>
      </c>
      <c r="M888" s="4" t="inlineStr">
        <is>
          <t>Approved</t>
        </is>
      </c>
      <c r="N888" s="4" t="inlineStr">
        <is>
          <t>paragraph</t>
        </is>
      </c>
    </row>
    <row r="889" ht="54" customHeight="1">
      <c r="A889" s="8" t="inlineStr">
        <is>
          <t>C12-P0060</t>
        </is>
      </c>
      <c r="B889" s="8" t="inlineStr">
        <is>
          <t>C12</t>
        </is>
      </c>
      <c r="C889" s="8" t="inlineStr">
        <is>
          <t>"Marketing Incentive" under the "Handloom Marketing Assistance" Component of the National Handloom Development Programme</t>
        </is>
      </c>
      <c r="D889" s="8" t="inlineStr">
        <is>
          <t>Application process</t>
        </is>
      </c>
      <c r="E889" s="8" t="inlineStr">
        <is>
          <t>Step 4: State Government Verification</t>
        </is>
      </c>
      <c r="F889" s="8" t="inlineStr">
        <is>
          <t>en.applicationProcess[0].process[8]</t>
        </is>
      </c>
      <c r="G889" s="8" t="inlineStr">
        <is>
          <t>C12@20261028-55825899</t>
        </is>
      </c>
      <c r="H889" s="8" t="n">
        <v>1</v>
      </c>
      <c r="I889" s="8" t="n">
        <v>1</v>
      </c>
      <c r="J889" s="8" t="inlineStr">
        <is>
          <t>State Government will verify claims, ensure matching contribution availability, and complete prescribed certificates (Annexure - B9).</t>
        </is>
      </c>
      <c r="K889" s="8" t="inlineStr">
        <is>
          <t>MS-C12</t>
        </is>
      </c>
      <c r="L889" s="9" t="n">
        <v>46323</v>
      </c>
      <c r="M889" s="8" t="inlineStr">
        <is>
          <t>Approved</t>
        </is>
      </c>
      <c r="N889" s="8" t="inlineStr">
        <is>
          <t>paragraph</t>
        </is>
      </c>
    </row>
    <row r="890" ht="54" customHeight="1">
      <c r="A890" s="4" t="inlineStr">
        <is>
          <t>C12-P0061</t>
        </is>
      </c>
      <c r="B890" s="4" t="inlineStr">
        <is>
          <t>C12</t>
        </is>
      </c>
      <c r="C890" s="4" t="inlineStr">
        <is>
          <t>"Marketing Incentive" under the "Handloom Marketing Assistance" Component of the National Handloom Development Programme</t>
        </is>
      </c>
      <c r="D890" s="4" t="inlineStr">
        <is>
          <t>Application process</t>
        </is>
      </c>
      <c r="E890" s="4" t="inlineStr">
        <is>
          <t>Step 5: State Level Project Committee Recommendation</t>
        </is>
      </c>
      <c r="F890" s="4" t="inlineStr">
        <is>
          <t>en.applicationProcess[0].process[9]</t>
        </is>
      </c>
      <c r="G890" s="4" t="inlineStr">
        <is>
          <t>C12@20261028-55825899</t>
        </is>
      </c>
      <c r="H890" s="4" t="n">
        <v>1</v>
      </c>
      <c r="I890" s="4" t="n">
        <v>1</v>
      </c>
      <c r="J890" s="4" t="inlineStr">
        <is>
          <t>Step 5: State Level Project Committee Recommendation</t>
        </is>
      </c>
      <c r="K890" s="4" t="inlineStr">
        <is>
          <t>MS-C12</t>
        </is>
      </c>
      <c r="L890" s="6" t="n">
        <v>46323</v>
      </c>
      <c r="M890" s="4" t="inlineStr">
        <is>
          <t>Approved</t>
        </is>
      </c>
      <c r="N890" s="4" t="inlineStr">
        <is>
          <t>paragraph</t>
        </is>
      </c>
    </row>
    <row r="891" ht="54" customHeight="1">
      <c r="A891" s="8" t="inlineStr">
        <is>
          <t>C12-P0062</t>
        </is>
      </c>
      <c r="B891" s="8" t="inlineStr">
        <is>
          <t>C12</t>
        </is>
      </c>
      <c r="C891" s="8" t="inlineStr">
        <is>
          <t>"Marketing Incentive" under the "Handloom Marketing Assistance" Component of the National Handloom Development Programme</t>
        </is>
      </c>
      <c r="D891" s="8" t="inlineStr">
        <is>
          <t>Application process</t>
        </is>
      </c>
      <c r="E891" s="8" t="inlineStr">
        <is>
          <t>Step 5: State Level Project Committee Recommendation</t>
        </is>
      </c>
      <c r="F891" s="8" t="inlineStr">
        <is>
          <t>en.applicationProcess[0].process[10]</t>
        </is>
      </c>
      <c r="G891" s="8" t="inlineStr">
        <is>
          <t>C12@20261028-55825899</t>
        </is>
      </c>
      <c r="H891" s="8" t="n">
        <v>1</v>
      </c>
      <c r="I891" s="8" t="n">
        <v>1</v>
      </c>
      <c r="J891" s="8" t="inlineStr">
        <is>
          <t>Obtain recommendations from State Level Project Committee for the Marketing Incentive claims.</t>
        </is>
      </c>
      <c r="K891" s="8" t="inlineStr">
        <is>
          <t>MS-C12</t>
        </is>
      </c>
      <c r="L891" s="9" t="n">
        <v>46323</v>
      </c>
      <c r="M891" s="8" t="inlineStr">
        <is>
          <t>Approved</t>
        </is>
      </c>
      <c r="N891" s="8" t="inlineStr">
        <is>
          <t>paragraph</t>
        </is>
      </c>
    </row>
    <row r="892" ht="54" customHeight="1">
      <c r="A892" s="4" t="inlineStr">
        <is>
          <t>C12-P0063</t>
        </is>
      </c>
      <c r="B892" s="4" t="inlineStr">
        <is>
          <t>C12</t>
        </is>
      </c>
      <c r="C892" s="4" t="inlineStr">
        <is>
          <t>"Marketing Incentive" under the "Handloom Marketing Assistance" Component of the National Handloom Development Programme</t>
        </is>
      </c>
      <c r="D892" s="4" t="inlineStr">
        <is>
          <t>Application process</t>
        </is>
      </c>
      <c r="E892" s="4" t="inlineStr">
        <is>
          <t>Step 6: State Government Consolidation</t>
        </is>
      </c>
      <c r="F892" s="4" t="inlineStr">
        <is>
          <t>en.applicationProcess[0].process[11]</t>
        </is>
      </c>
      <c r="G892" s="4" t="inlineStr">
        <is>
          <t>C12@20261028-55825899</t>
        </is>
      </c>
      <c r="H892" s="4" t="n">
        <v>1</v>
      </c>
      <c r="I892" s="4" t="n">
        <v>1</v>
      </c>
      <c r="J892" s="4" t="inlineStr">
        <is>
          <t>Step 6: State Government Consolidation</t>
        </is>
      </c>
      <c r="K892" s="4" t="inlineStr">
        <is>
          <t>MS-C12</t>
        </is>
      </c>
      <c r="L892" s="6" t="n">
        <v>46323</v>
      </c>
      <c r="M892" s="4" t="inlineStr">
        <is>
          <t>Approved</t>
        </is>
      </c>
      <c r="N892" s="4" t="inlineStr">
        <is>
          <t>paragraph</t>
        </is>
      </c>
    </row>
    <row r="893" ht="54" customHeight="1">
      <c r="A893" s="8" t="inlineStr">
        <is>
          <t>C12-P0064</t>
        </is>
      </c>
      <c r="B893" s="8" t="inlineStr">
        <is>
          <t>C12</t>
        </is>
      </c>
      <c r="C893" s="8" t="inlineStr">
        <is>
          <t>"Marketing Incentive" under the "Handloom Marketing Assistance" Component of the National Handloom Development Programme</t>
        </is>
      </c>
      <c r="D893" s="8" t="inlineStr">
        <is>
          <t>Application process</t>
        </is>
      </c>
      <c r="E893" s="8" t="inlineStr">
        <is>
          <t>Step 6: State Government Consolidation</t>
        </is>
      </c>
      <c r="F893" s="8" t="inlineStr">
        <is>
          <t>en.applicationProcess[0].process[12]</t>
        </is>
      </c>
      <c r="G893" s="8" t="inlineStr">
        <is>
          <t>C12@20261028-55825899</t>
        </is>
      </c>
      <c r="H893" s="8" t="n">
        <v>1</v>
      </c>
      <c r="I893" s="8" t="n">
        <v>1</v>
      </c>
      <c r="J893" s="8" t="inlineStr">
        <is>
          <t>State Government prepares consolidated statement, sanction order for state share release, and certificate as per Annexure - B10.</t>
        </is>
      </c>
      <c r="K893" s="8" t="inlineStr">
        <is>
          <t>MS-C12</t>
        </is>
      </c>
      <c r="L893" s="9" t="n">
        <v>46323</v>
      </c>
      <c r="M893" s="8" t="inlineStr">
        <is>
          <t>Approved</t>
        </is>
      </c>
      <c r="N893" s="8" t="inlineStr">
        <is>
          <t>paragraph</t>
        </is>
      </c>
    </row>
    <row r="894" ht="54" customHeight="1">
      <c r="A894" s="4" t="inlineStr">
        <is>
          <t>C12-P0065</t>
        </is>
      </c>
      <c r="B894" s="4" t="inlineStr">
        <is>
          <t>C12</t>
        </is>
      </c>
      <c r="C894" s="4" t="inlineStr">
        <is>
          <t>"Marketing Incentive" under the "Handloom Marketing Assistance" Component of the National Handloom Development Programme</t>
        </is>
      </c>
      <c r="D894" s="4" t="inlineStr">
        <is>
          <t>Application process</t>
        </is>
      </c>
      <c r="E894" s="4" t="inlineStr">
        <is>
          <t>Step 7: Nodal Agency Identification</t>
        </is>
      </c>
      <c r="F894" s="4" t="inlineStr">
        <is>
          <t>en.applicationProcess[0].process[13]</t>
        </is>
      </c>
      <c r="G894" s="4" t="inlineStr">
        <is>
          <t>C12@20261028-55825899</t>
        </is>
      </c>
      <c r="H894" s="4" t="n">
        <v>1</v>
      </c>
      <c r="I894" s="4" t="n">
        <v>1</v>
      </c>
      <c r="J894" s="4" t="inlineStr">
        <is>
          <t>Step 7: Nodal Agency Identification</t>
        </is>
      </c>
      <c r="K894" s="4" t="inlineStr">
        <is>
          <t>MS-C12</t>
        </is>
      </c>
      <c r="L894" s="6" t="n">
        <v>46323</v>
      </c>
      <c r="M894" s="4" t="inlineStr">
        <is>
          <t>Approved</t>
        </is>
      </c>
      <c r="N894" s="4" t="inlineStr">
        <is>
          <t>paragraph</t>
        </is>
      </c>
    </row>
    <row r="895" ht="54" customHeight="1">
      <c r="A895" s="8" t="inlineStr">
        <is>
          <t>C12-P0066</t>
        </is>
      </c>
      <c r="B895" s="8" t="inlineStr">
        <is>
          <t>C12</t>
        </is>
      </c>
      <c r="C895" s="8" t="inlineStr">
        <is>
          <t>"Marketing Incentive" under the "Handloom Marketing Assistance" Component of the National Handloom Development Programme</t>
        </is>
      </c>
      <c r="D895" s="8" t="inlineStr">
        <is>
          <t>Application process</t>
        </is>
      </c>
      <c r="E895" s="8" t="inlineStr">
        <is>
          <t>Step 7: Nodal Agency Identification</t>
        </is>
      </c>
      <c r="F895" s="8" t="inlineStr">
        <is>
          <t>en.applicationProcess[0].process[14]</t>
        </is>
      </c>
      <c r="G895" s="8" t="inlineStr">
        <is>
          <t>C12@20261028-55825899</t>
        </is>
      </c>
      <c r="H895" s="8" t="n">
        <v>1</v>
      </c>
      <c r="I895" s="8" t="n">
        <v>1</v>
      </c>
      <c r="J895" s="8" t="inlineStr">
        <is>
          <t>State Government identifies suitable nodal agency for fund aggregation and onward release to eligible agencies.</t>
        </is>
      </c>
      <c r="K895" s="8" t="inlineStr">
        <is>
          <t>MS-C12</t>
        </is>
      </c>
      <c r="L895" s="9" t="n">
        <v>46323</v>
      </c>
      <c r="M895" s="8" t="inlineStr">
        <is>
          <t>Approved</t>
        </is>
      </c>
      <c r="N895" s="8" t="inlineStr">
        <is>
          <t>paragraph</t>
        </is>
      </c>
    </row>
    <row r="896" ht="54" customHeight="1">
      <c r="A896" s="4" t="inlineStr">
        <is>
          <t>C12-P0067</t>
        </is>
      </c>
      <c r="B896" s="4" t="inlineStr">
        <is>
          <t>C12</t>
        </is>
      </c>
      <c r="C896" s="4" t="inlineStr">
        <is>
          <t>"Marketing Incentive" under the "Handloom Marketing Assistance" Component of the National Handloom Development Programme</t>
        </is>
      </c>
      <c r="D896" s="4" t="inlineStr">
        <is>
          <t>Application process</t>
        </is>
      </c>
      <c r="E896" s="4" t="inlineStr">
        <is>
          <t>Step 7: Nodal Agency Identification</t>
        </is>
      </c>
      <c r="F896" s="4" t="inlineStr">
        <is>
          <t>en.applicationProcess[0].process[15]</t>
        </is>
      </c>
      <c r="G896" s="4" t="inlineStr">
        <is>
          <t>C12@20261028-55825899</t>
        </is>
      </c>
      <c r="H896" s="4" t="n">
        <v>1</v>
      </c>
      <c r="I896" s="4" t="n">
        <v>1</v>
      </c>
      <c r="J896" s="4" t="inlineStr">
        <is>
          <t>Step 8: Forward to Development Commissioner (Handlooms)</t>
        </is>
      </c>
      <c r="K896" s="4" t="inlineStr">
        <is>
          <t>MS-C12</t>
        </is>
      </c>
      <c r="L896" s="6" t="n">
        <v>46323</v>
      </c>
      <c r="M896" s="4" t="inlineStr">
        <is>
          <t>Approved</t>
        </is>
      </c>
      <c r="N896" s="4" t="inlineStr">
        <is>
          <t>paragraph</t>
        </is>
      </c>
    </row>
    <row r="897" ht="54" customHeight="1">
      <c r="A897" s="8" t="inlineStr">
        <is>
          <t>C12-P0068</t>
        </is>
      </c>
      <c r="B897" s="8" t="inlineStr">
        <is>
          <t>C12</t>
        </is>
      </c>
      <c r="C897" s="8" t="inlineStr">
        <is>
          <t>"Marketing Incentive" under the "Handloom Marketing Assistance" Component of the National Handloom Development Programme</t>
        </is>
      </c>
      <c r="D897" s="8" t="inlineStr">
        <is>
          <t>Application process</t>
        </is>
      </c>
      <c r="E897" s="8" t="inlineStr">
        <is>
          <t>Step 7: Nodal Agency Identification</t>
        </is>
      </c>
      <c r="F897" s="8" t="inlineStr">
        <is>
          <t>en.applicationProcess[0].process[16]</t>
        </is>
      </c>
      <c r="G897" s="8" t="inlineStr">
        <is>
          <t>C12@20261028-55825899</t>
        </is>
      </c>
      <c r="H897" s="8" t="n">
        <v>1</v>
      </c>
      <c r="I897" s="8" t="n">
        <v>1</v>
      </c>
      <c r="J897" s="8" t="inlineStr">
        <is>
          <t>State Government forwards verified claims to Office of Development Commissioner (Handlooms) with all required documentation.</t>
        </is>
      </c>
      <c r="K897" s="8" t="inlineStr">
        <is>
          <t>MS-C12</t>
        </is>
      </c>
      <c r="L897" s="9" t="n">
        <v>46323</v>
      </c>
      <c r="M897" s="8" t="inlineStr">
        <is>
          <t>Approved</t>
        </is>
      </c>
      <c r="N897" s="8" t="inlineStr">
        <is>
          <t>paragraph</t>
        </is>
      </c>
    </row>
    <row r="898" ht="54" customHeight="1">
      <c r="A898" s="4" t="inlineStr">
        <is>
          <t>C12-P0069</t>
        </is>
      </c>
      <c r="B898" s="4" t="inlineStr">
        <is>
          <t>C12</t>
        </is>
      </c>
      <c r="C898" s="4" t="inlineStr">
        <is>
          <t>"Marketing Incentive" under the "Handloom Marketing Assistance" Component of the National Handloom Development Programme</t>
        </is>
      </c>
      <c r="D898" s="4" t="inlineStr">
        <is>
          <t>Application process</t>
        </is>
      </c>
      <c r="E898" s="4" t="inlineStr">
        <is>
          <t>Step 9: Central Government Processing</t>
        </is>
      </c>
      <c r="F898" s="4" t="inlineStr">
        <is>
          <t>en.applicationProcess[0].process[17]</t>
        </is>
      </c>
      <c r="G898" s="4" t="inlineStr">
        <is>
          <t>C12@20261028-55825899</t>
        </is>
      </c>
      <c r="H898" s="4" t="n">
        <v>1</v>
      </c>
      <c r="I898" s="4" t="n">
        <v>1</v>
      </c>
      <c r="J898" s="4" t="inlineStr">
        <is>
          <t>Step 9: Central Government Processing</t>
        </is>
      </c>
      <c r="K898" s="4" t="inlineStr">
        <is>
          <t>MS-C12</t>
        </is>
      </c>
      <c r="L898" s="6" t="n">
        <v>46323</v>
      </c>
      <c r="M898" s="4" t="inlineStr">
        <is>
          <t>Approved</t>
        </is>
      </c>
      <c r="N898" s="4" t="inlineStr">
        <is>
          <t>paragraph</t>
        </is>
      </c>
    </row>
    <row r="899" ht="54" customHeight="1">
      <c r="A899" s="8" t="inlineStr">
        <is>
          <t>C12-P0070</t>
        </is>
      </c>
      <c r="B899" s="8" t="inlineStr">
        <is>
          <t>C12</t>
        </is>
      </c>
      <c r="C899" s="8" t="inlineStr">
        <is>
          <t>"Marketing Incentive" under the "Handloom Marketing Assistance" Component of the National Handloom Development Programme</t>
        </is>
      </c>
      <c r="D899" s="8" t="inlineStr">
        <is>
          <t>Application process</t>
        </is>
      </c>
      <c r="E899" s="8" t="inlineStr">
        <is>
          <t>Step 9: Central Government Processing</t>
        </is>
      </c>
      <c r="F899" s="8" t="inlineStr">
        <is>
          <t>en.applicationProcess[0].process[18]</t>
        </is>
      </c>
      <c r="G899" s="8" t="inlineStr">
        <is>
          <t>C12@20261028-55825899</t>
        </is>
      </c>
      <c r="H899" s="8" t="n">
        <v>1</v>
      </c>
      <c r="I899" s="8" t="n">
        <v>1</v>
      </c>
      <c r="J899" s="8" t="inlineStr">
        <is>
          <t>Office of Development Commissioner (Handlooms) processes claims and releases Central Government share to identified Nodal Agency.</t>
        </is>
      </c>
      <c r="K899" s="8" t="inlineStr">
        <is>
          <t>MS-C12</t>
        </is>
      </c>
      <c r="L899" s="9" t="n">
        <v>46323</v>
      </c>
      <c r="M899" s="8" t="inlineStr">
        <is>
          <t>Approved</t>
        </is>
      </c>
      <c r="N899" s="8" t="inlineStr">
        <is>
          <t>paragraph</t>
        </is>
      </c>
    </row>
    <row r="900" ht="54" customHeight="1">
      <c r="A900" s="4" t="inlineStr">
        <is>
          <t>C12-P0071</t>
        </is>
      </c>
      <c r="B900" s="4" t="inlineStr">
        <is>
          <t>C12</t>
        </is>
      </c>
      <c r="C900" s="4" t="inlineStr">
        <is>
          <t>"Marketing Incentive" under the "Handloom Marketing Assistance" Component of the National Handloom Development Programme</t>
        </is>
      </c>
      <c r="D900" s="4" t="inlineStr">
        <is>
          <t>Application process</t>
        </is>
      </c>
      <c r="E900" s="4" t="inlineStr">
        <is>
          <t>Step 10: Fund Distribution</t>
        </is>
      </c>
      <c r="F900" s="4" t="inlineStr">
        <is>
          <t>en.applicationProcess[0].process[19]</t>
        </is>
      </c>
      <c r="G900" s="4" t="inlineStr">
        <is>
          <t>C12@20261028-55825899</t>
        </is>
      </c>
      <c r="H900" s="4" t="n">
        <v>1</v>
      </c>
      <c r="I900" s="4" t="n">
        <v>1</v>
      </c>
      <c r="J900" s="4" t="inlineStr">
        <is>
          <t>Step 10: Fund Distribution</t>
        </is>
      </c>
      <c r="K900" s="4" t="inlineStr">
        <is>
          <t>MS-C12</t>
        </is>
      </c>
      <c r="L900" s="6" t="n">
        <v>46323</v>
      </c>
      <c r="M900" s="4" t="inlineStr">
        <is>
          <t>Approved</t>
        </is>
      </c>
      <c r="N900" s="4" t="inlineStr">
        <is>
          <t>paragraph</t>
        </is>
      </c>
    </row>
    <row r="901" ht="54" customHeight="1">
      <c r="A901" s="8" t="inlineStr">
        <is>
          <t>C12-P0072</t>
        </is>
      </c>
      <c r="B901" s="8" t="inlineStr">
        <is>
          <t>C12</t>
        </is>
      </c>
      <c r="C901" s="8" t="inlineStr">
        <is>
          <t>"Marketing Incentive" under the "Handloom Marketing Assistance" Component of the National Handloom Development Programme</t>
        </is>
      </c>
      <c r="D901" s="8" t="inlineStr">
        <is>
          <t>Application process</t>
        </is>
      </c>
      <c r="E901" s="8" t="inlineStr">
        <is>
          <t>Step 10: Fund Distribution</t>
        </is>
      </c>
      <c r="F901" s="8" t="inlineStr">
        <is>
          <t>en.applicationProcess[0].process[20]</t>
        </is>
      </c>
      <c r="G901" s="8" t="inlineStr">
        <is>
          <t>C12@20261028-55825899</t>
        </is>
      </c>
      <c r="H901" s="8" t="n">
        <v>1</v>
      </c>
      <c r="I901" s="8" t="n">
        <v>1</v>
      </c>
      <c r="J901" s="8" t="inlineStr">
        <is>
          <t>Nodal Agency releases amount to eligible handloom agencies and their member weavers through Direct Benefit Transfer within 7 days of receipt.</t>
        </is>
      </c>
      <c r="K901" s="8" t="inlineStr">
        <is>
          <t>MS-C12</t>
        </is>
      </c>
      <c r="L901" s="9" t="n">
        <v>46323</v>
      </c>
      <c r="M901" s="8" t="inlineStr">
        <is>
          <t>Approved</t>
        </is>
      </c>
      <c r="N901" s="8" t="inlineStr">
        <is>
          <t>paragraph</t>
        </is>
      </c>
    </row>
    <row r="902" ht="54" customHeight="1">
      <c r="A902" s="4" t="inlineStr">
        <is>
          <t>C12-P0073</t>
        </is>
      </c>
      <c r="B902" s="4" t="inlineStr">
        <is>
          <t>C12</t>
        </is>
      </c>
      <c r="C902" s="4" t="inlineStr">
        <is>
          <t>"Marketing Incentive" under the "Handloom Marketing Assistance" Component of the National Handloom Development Programme</t>
        </is>
      </c>
      <c r="D902" s="4" t="inlineStr">
        <is>
          <t>Application process</t>
        </is>
      </c>
      <c r="E902" s="4" t="inlineStr">
        <is>
          <t>Step 10: Fund Distribution</t>
        </is>
      </c>
      <c r="F902" s="4" t="inlineStr">
        <is>
          <t>en.applicationProcess[0].process[22].children[0]</t>
        </is>
      </c>
      <c r="G902" s="4" t="inlineStr">
        <is>
          <t>C12@20261028-55825899</t>
        </is>
      </c>
      <c r="H902" s="4" t="n">
        <v>1</v>
      </c>
      <c r="I902" s="4" t="n">
        <v>1</v>
      </c>
      <c r="J902" s="4" t="inlineStr">
        <is>
          <t>For National Level Handloom Organizations</t>
        </is>
      </c>
      <c r="K902" s="4" t="inlineStr">
        <is>
          <t>MS-C12</t>
        </is>
      </c>
      <c r="L902" s="6" t="n">
        <v>46323</v>
      </c>
      <c r="M902" s="4" t="inlineStr">
        <is>
          <t>Approved</t>
        </is>
      </c>
      <c r="N902" s="4" t="inlineStr">
        <is>
          <t>text</t>
        </is>
      </c>
    </row>
    <row r="903" ht="54" customHeight="1">
      <c r="A903" s="8" t="inlineStr">
        <is>
          <t>C12-P0074</t>
        </is>
      </c>
      <c r="B903" s="8" t="inlineStr">
        <is>
          <t>C12</t>
        </is>
      </c>
      <c r="C903" s="8" t="inlineStr">
        <is>
          <t>"Marketing Incentive" under the "Handloom Marketing Assistance" Component of the National Handloom Development Programme</t>
        </is>
      </c>
      <c r="D903" s="8" t="inlineStr">
        <is>
          <t>Application process</t>
        </is>
      </c>
      <c r="E903" s="8" t="inlineStr">
        <is>
          <t>Step 1: Direct Application Preparation</t>
        </is>
      </c>
      <c r="F903" s="8" t="inlineStr">
        <is>
          <t>en.applicationProcess[0].process[23]</t>
        </is>
      </c>
      <c r="G903" s="8" t="inlineStr">
        <is>
          <t>C12@20261028-55825899</t>
        </is>
      </c>
      <c r="H903" s="8" t="n">
        <v>1</v>
      </c>
      <c r="I903" s="8" t="n">
        <v>1</v>
      </c>
      <c r="J903" s="8" t="inlineStr">
        <is>
          <t>Step 1: Direct Application Preparation</t>
        </is>
      </c>
      <c r="K903" s="8" t="inlineStr">
        <is>
          <t>MS-C12</t>
        </is>
      </c>
      <c r="L903" s="9" t="n">
        <v>46323</v>
      </c>
      <c r="M903" s="8" t="inlineStr">
        <is>
          <t>Approved</t>
        </is>
      </c>
      <c r="N903" s="8" t="inlineStr">
        <is>
          <t>paragraph</t>
        </is>
      </c>
    </row>
    <row r="904" ht="54" customHeight="1">
      <c r="A904" s="4" t="inlineStr">
        <is>
          <t>C12-P0075</t>
        </is>
      </c>
      <c r="B904" s="4" t="inlineStr">
        <is>
          <t>C12</t>
        </is>
      </c>
      <c r="C904" s="4" t="inlineStr">
        <is>
          <t>"Marketing Incentive" under the "Handloom Marketing Assistance" Component of the National Handloom Development Programme</t>
        </is>
      </c>
      <c r="D904" s="4" t="inlineStr">
        <is>
          <t>Application process</t>
        </is>
      </c>
      <c r="E904" s="4" t="inlineStr">
        <is>
          <t>Step 1: Direct Application Preparation</t>
        </is>
      </c>
      <c r="F904" s="4" t="inlineStr">
        <is>
          <t>en.applicationProcess[0].process[24]</t>
        </is>
      </c>
      <c r="G904" s="4" t="inlineStr">
        <is>
          <t>C12@20261028-55825899</t>
        </is>
      </c>
      <c r="H904" s="4" t="n">
        <v>1</v>
      </c>
      <c r="I904" s="4" t="n">
        <v>1</v>
      </c>
      <c r="J904" s="4" t="inlineStr">
        <is>
          <t>Prepare Marketing Incentive claim with all supporting documents and prescribed proforma (Annexure - B8).</t>
        </is>
      </c>
      <c r="K904" s="4" t="inlineStr">
        <is>
          <t>MS-C12</t>
        </is>
      </c>
      <c r="L904" s="6" t="n">
        <v>46323</v>
      </c>
      <c r="M904" s="4" t="inlineStr">
        <is>
          <t>Approved</t>
        </is>
      </c>
      <c r="N904" s="4" t="inlineStr">
        <is>
          <t>paragraph</t>
        </is>
      </c>
    </row>
    <row r="905" ht="54" customHeight="1">
      <c r="A905" s="8" t="inlineStr">
        <is>
          <t>C12-P0076</t>
        </is>
      </c>
      <c r="B905" s="8" t="inlineStr">
        <is>
          <t>C12</t>
        </is>
      </c>
      <c r="C905" s="8" t="inlineStr">
        <is>
          <t>"Marketing Incentive" under the "Handloom Marketing Assistance" Component of the National Handloom Development Programme</t>
        </is>
      </c>
      <c r="D905" s="8" t="inlineStr">
        <is>
          <t>Application process</t>
        </is>
      </c>
      <c r="E905" s="8" t="inlineStr">
        <is>
          <t>Step 2: Submit to Development Commissioner (Handlooms)</t>
        </is>
      </c>
      <c r="F905" s="8" t="inlineStr">
        <is>
          <t>en.applicationProcess[0].process[25]</t>
        </is>
      </c>
      <c r="G905" s="8" t="inlineStr">
        <is>
          <t>C12@20261028-55825899</t>
        </is>
      </c>
      <c r="H905" s="8" t="n">
        <v>1</v>
      </c>
      <c r="I905" s="8" t="n">
        <v>1</v>
      </c>
      <c r="J905" s="8" t="inlineStr">
        <is>
          <t>Step 2: Submit to Development Commissioner (Handlooms)</t>
        </is>
      </c>
      <c r="K905" s="8" t="inlineStr">
        <is>
          <t>MS-C12</t>
        </is>
      </c>
      <c r="L905" s="9" t="n">
        <v>46323</v>
      </c>
      <c r="M905" s="8" t="inlineStr">
        <is>
          <t>Approved</t>
        </is>
      </c>
      <c r="N905" s="8" t="inlineStr">
        <is>
          <t>paragraph</t>
        </is>
      </c>
    </row>
    <row r="906" ht="54" customHeight="1">
      <c r="A906" s="4" t="inlineStr">
        <is>
          <t>C12-P0077</t>
        </is>
      </c>
      <c r="B906" s="4" t="inlineStr">
        <is>
          <t>C12</t>
        </is>
      </c>
      <c r="C906" s="4" t="inlineStr">
        <is>
          <t>"Marketing Incentive" under the "Handloom Marketing Assistance" Component of the National Handloom Development Programme</t>
        </is>
      </c>
      <c r="D906" s="4" t="inlineStr">
        <is>
          <t>Application process</t>
        </is>
      </c>
      <c r="E906" s="4" t="inlineStr">
        <is>
          <t>Step 2: Submit to Development Commissioner (Handlooms)</t>
        </is>
      </c>
      <c r="F906" s="4" t="inlineStr">
        <is>
          <t>en.applicationProcess[0].process[26]</t>
        </is>
      </c>
      <c r="G906" s="4" t="inlineStr">
        <is>
          <t>C12@20261028-55825899</t>
        </is>
      </c>
      <c r="H906" s="4" t="n">
        <v>1</v>
      </c>
      <c r="I906" s="4" t="n">
        <v>1</v>
      </c>
      <c r="J906" s="4" t="inlineStr">
        <is>
          <t>Submit claims directly to Office of Development Commissioner (Handlooms) with complete documentation.</t>
        </is>
      </c>
      <c r="K906" s="4" t="inlineStr">
        <is>
          <t>MS-C12</t>
        </is>
      </c>
      <c r="L906" s="6" t="n">
        <v>46323</v>
      </c>
      <c r="M906" s="4" t="inlineStr">
        <is>
          <t>Approved</t>
        </is>
      </c>
      <c r="N906" s="4" t="inlineStr">
        <is>
          <t>paragraph</t>
        </is>
      </c>
    </row>
    <row r="907" ht="54" customHeight="1">
      <c r="A907" s="8" t="inlineStr">
        <is>
          <t>C12-P0078</t>
        </is>
      </c>
      <c r="B907" s="8" t="inlineStr">
        <is>
          <t>C12</t>
        </is>
      </c>
      <c r="C907" s="8" t="inlineStr">
        <is>
          <t>"Marketing Incentive" under the "Handloom Marketing Assistance" Component of the National Handloom Development Programme</t>
        </is>
      </c>
      <c r="D907" s="8" t="inlineStr">
        <is>
          <t>Application process</t>
        </is>
      </c>
      <c r="E907" s="8" t="inlineStr">
        <is>
          <t>Step 3: Central Government Processing</t>
        </is>
      </c>
      <c r="F907" s="8" t="inlineStr">
        <is>
          <t>en.applicationProcess[0].process[27]</t>
        </is>
      </c>
      <c r="G907" s="8" t="inlineStr">
        <is>
          <t>C12@20261028-55825899</t>
        </is>
      </c>
      <c r="H907" s="8" t="n">
        <v>1</v>
      </c>
      <c r="I907" s="8" t="n">
        <v>1</v>
      </c>
      <c r="J907" s="8" t="inlineStr">
        <is>
          <t>Step 3: Central Government Processing</t>
        </is>
      </c>
      <c r="K907" s="8" t="inlineStr">
        <is>
          <t>MS-C12</t>
        </is>
      </c>
      <c r="L907" s="9" t="n">
        <v>46323</v>
      </c>
      <c r="M907" s="8" t="inlineStr">
        <is>
          <t>Approved</t>
        </is>
      </c>
      <c r="N907" s="8" t="inlineStr">
        <is>
          <t>paragraph</t>
        </is>
      </c>
    </row>
    <row r="908" ht="54" customHeight="1">
      <c r="A908" s="4" t="inlineStr">
        <is>
          <t>C12-P0079</t>
        </is>
      </c>
      <c r="B908" s="4" t="inlineStr">
        <is>
          <t>C12</t>
        </is>
      </c>
      <c r="C908" s="4" t="inlineStr">
        <is>
          <t>"Marketing Incentive" under the "Handloom Marketing Assistance" Component of the National Handloom Development Programme</t>
        </is>
      </c>
      <c r="D908" s="4" t="inlineStr">
        <is>
          <t>Application process</t>
        </is>
      </c>
      <c r="E908" s="4" t="inlineStr">
        <is>
          <t>Step 3: Central Government Processing</t>
        </is>
      </c>
      <c r="F908" s="4" t="inlineStr">
        <is>
          <t>en.applicationProcess[0].process[28]</t>
        </is>
      </c>
      <c r="G908" s="4" t="inlineStr">
        <is>
          <t>C12@20261028-55825899</t>
        </is>
      </c>
      <c r="H908" s="4" t="n">
        <v>1</v>
      </c>
      <c r="I908" s="4" t="n">
        <v>1</v>
      </c>
      <c r="J908" s="4" t="inlineStr">
        <is>
          <t>Office of Development Commissioner (Handlooms) processes and approves claims for National Level Organizations.</t>
        </is>
      </c>
      <c r="K908" s="4" t="inlineStr">
        <is>
          <t>MS-C12</t>
        </is>
      </c>
      <c r="L908" s="6" t="n">
        <v>46323</v>
      </c>
      <c r="M908" s="4" t="inlineStr">
        <is>
          <t>Approved</t>
        </is>
      </c>
      <c r="N908" s="4" t="inlineStr">
        <is>
          <t>paragraph</t>
        </is>
      </c>
    </row>
    <row r="909" ht="54" customHeight="1">
      <c r="A909" s="8" t="inlineStr">
        <is>
          <t>C12-P0080</t>
        </is>
      </c>
      <c r="B909" s="8" t="inlineStr">
        <is>
          <t>C12</t>
        </is>
      </c>
      <c r="C909" s="8" t="inlineStr">
        <is>
          <t>"Marketing Incentive" under the "Handloom Marketing Assistance" Component of the National Handloom Development Programme</t>
        </is>
      </c>
      <c r="D909" s="8" t="inlineStr">
        <is>
          <t>Application process</t>
        </is>
      </c>
      <c r="E909" s="8" t="inlineStr">
        <is>
          <t>Step 4: Direct Release</t>
        </is>
      </c>
      <c r="F909" s="8" t="inlineStr">
        <is>
          <t>en.applicationProcess[0].process[29]</t>
        </is>
      </c>
      <c r="G909" s="8" t="inlineStr">
        <is>
          <t>C12@20261028-55825899</t>
        </is>
      </c>
      <c r="H909" s="8" t="n">
        <v>1</v>
      </c>
      <c r="I909" s="8" t="n">
        <v>1</v>
      </c>
      <c r="J909" s="8" t="inlineStr">
        <is>
          <t>Step 4: Direct Release</t>
        </is>
      </c>
      <c r="K909" s="8" t="inlineStr">
        <is>
          <t>MS-C12</t>
        </is>
      </c>
      <c r="L909" s="9" t="n">
        <v>46323</v>
      </c>
      <c r="M909" s="8" t="inlineStr">
        <is>
          <t>Approved</t>
        </is>
      </c>
      <c r="N909" s="8" t="inlineStr">
        <is>
          <t>paragraph</t>
        </is>
      </c>
    </row>
    <row r="910" ht="54" customHeight="1">
      <c r="A910" s="4" t="inlineStr">
        <is>
          <t>C12-P0081</t>
        </is>
      </c>
      <c r="B910" s="4" t="inlineStr">
        <is>
          <t>C12</t>
        </is>
      </c>
      <c r="C910" s="4" t="inlineStr">
        <is>
          <t>"Marketing Incentive" under the "Handloom Marketing Assistance" Component of the National Handloom Development Programme</t>
        </is>
      </c>
      <c r="D910" s="4" t="inlineStr">
        <is>
          <t>Application process</t>
        </is>
      </c>
      <c r="E910" s="4" t="inlineStr">
        <is>
          <t>Step 4: Direct Release</t>
        </is>
      </c>
      <c r="F910" s="4" t="inlineStr">
        <is>
          <t>en.applicationProcess[0].process[30]</t>
        </is>
      </c>
      <c r="G910" s="4" t="inlineStr">
        <is>
          <t>C12@20261028-55825899</t>
        </is>
      </c>
      <c r="H910" s="4" t="n">
        <v>1</v>
      </c>
      <c r="I910" s="4" t="n">
        <v>1</v>
      </c>
      <c r="J910" s="4" t="inlineStr">
        <is>
          <t>Marketing Incentive assistance released directly to National Level Handloom Organizations by Government of India.</t>
        </is>
      </c>
      <c r="K910" s="4" t="inlineStr">
        <is>
          <t>MS-C12</t>
        </is>
      </c>
      <c r="L910" s="6" t="n">
        <v>46323</v>
      </c>
      <c r="M910" s="4" t="inlineStr">
        <is>
          <t>Approved</t>
        </is>
      </c>
      <c r="N910" s="4" t="inlineStr">
        <is>
          <t>paragraph</t>
        </is>
      </c>
    </row>
    <row r="911" ht="96" customHeight="1">
      <c r="A911" s="8" t="inlineStr">
        <is>
          <t>C12-P0082</t>
        </is>
      </c>
      <c r="B911" s="8" t="inlineStr">
        <is>
          <t>C12</t>
        </is>
      </c>
      <c r="C911" s="8" t="inlineStr">
        <is>
          <t>"Marketing Incentive" under the "Handloom Marketing Assistance" Component of the National Handloom Development Programme</t>
        </is>
      </c>
      <c r="D911" s="8" t="inlineStr">
        <is>
          <t>FAQ</t>
        </is>
      </c>
      <c r="E911" s="8" t="inlineStr"/>
      <c r="F911" s="8" t="inlineStr">
        <is>
          <t>faqs.en.faqs[0]</t>
        </is>
      </c>
      <c r="G911" s="8" t="inlineStr">
        <is>
          <t>C12@20261028-55825899</t>
        </is>
      </c>
      <c r="H911" s="8" t="n">
        <v>1</v>
      </c>
      <c r="I911" s="8" t="n">
        <v>1</v>
      </c>
      <c r="J911" s="8" t="inlineStr">
        <is>
          <t>What specific types of handloom organizations are eligible to apply for marketing incentive assistance under this national development programme?
You can apply if you are a state level organization like Handloom Corporations, Apex Cooperative Societies, or National Level Handloom Organizations, or primary level entities such as Primary Handloom Weavers Cooperative Societies, Producer Companies, Self Help Groups, Joint Liability Groups, Federations, and other eligible handloom entities.</t>
        </is>
      </c>
      <c r="K911" s="8" t="inlineStr">
        <is>
          <t>MS-C12</t>
        </is>
      </c>
      <c r="L911" s="9" t="n">
        <v>46323</v>
      </c>
      <c r="M911" s="8" t="inlineStr">
        <is>
          <t>Approved</t>
        </is>
      </c>
      <c r="N911" s="8" t="inlineStr">
        <is>
          <t>faq</t>
        </is>
      </c>
    </row>
    <row r="912" ht="82" customHeight="1">
      <c r="A912" s="4" t="inlineStr">
        <is>
          <t>C12-P0083</t>
        </is>
      </c>
      <c r="B912" s="4" t="inlineStr">
        <is>
          <t>C12</t>
        </is>
      </c>
      <c r="C912" s="4" t="inlineStr">
        <is>
          <t>"Marketing Incentive" under the "Handloom Marketing Assistance" Component of the National Handloom Development Programme</t>
        </is>
      </c>
      <c r="D912" s="4" t="inlineStr">
        <is>
          <t>FAQ</t>
        </is>
      </c>
      <c r="E912" s="4" t="inlineStr"/>
      <c r="F912" s="4" t="inlineStr">
        <is>
          <t>faqs.en.faqs[1]</t>
        </is>
      </c>
      <c r="G912" s="4" t="inlineStr">
        <is>
          <t>C12@20261028-55825899</t>
        </is>
      </c>
      <c r="H912" s="4" t="n">
        <v>1</v>
      </c>
      <c r="I912" s="4" t="n">
        <v>1</v>
      </c>
      <c r="J912" s="4" t="inlineStr">
        <is>
          <t>What is the calculation method and rate for determining the marketing incentive amount I can receive under this assistance scheme?
The marketing incentive is calculated at 10% of your average sales of handloom products over the last 3 years. This percentage forms the basis for determining your eligible incentive amount.</t>
        </is>
      </c>
      <c r="K912" s="4" t="inlineStr">
        <is>
          <t>MS-C12</t>
        </is>
      </c>
      <c r="L912" s="6" t="n">
        <v>46323</v>
      </c>
      <c r="M912" s="4" t="inlineStr">
        <is>
          <t>Approved</t>
        </is>
      </c>
      <c r="N912" s="4" t="inlineStr">
        <is>
          <t>faq</t>
        </is>
      </c>
    </row>
    <row r="913" ht="68" customHeight="1">
      <c r="A913" s="8" t="inlineStr">
        <is>
          <t>C12-P0084</t>
        </is>
      </c>
      <c r="B913" s="8" t="inlineStr">
        <is>
          <t>C12</t>
        </is>
      </c>
      <c r="C913" s="8" t="inlineStr">
        <is>
          <t>"Marketing Incentive" under the "Handloom Marketing Assistance" Component of the National Handloom Development Programme</t>
        </is>
      </c>
      <c r="D913" s="8" t="inlineStr">
        <is>
          <t>FAQ</t>
        </is>
      </c>
      <c r="E913" s="8" t="inlineStr"/>
      <c r="F913" s="8" t="inlineStr">
        <is>
          <t>faqs.en.faqs[2]</t>
        </is>
      </c>
      <c r="G913" s="8" t="inlineStr">
        <is>
          <t>C12@20261028-55825899</t>
        </is>
      </c>
      <c r="H913" s="8" t="n">
        <v>1</v>
      </c>
      <c r="I913" s="8" t="n">
        <v>1</v>
      </c>
      <c r="J913" s="8" t="inlineStr">
        <is>
          <t>What are the maximum financial caps for marketing incentive assistance based on different categories of handloom organizations under this programme?
State level organizations can receive a maximum of ₹1,00,00,000/- as Central Government share, while primary level organizations are capped at ₹15,00,000/- as Central Government share.</t>
        </is>
      </c>
      <c r="K913" s="8" t="inlineStr">
        <is>
          <t>MS-C12</t>
        </is>
      </c>
      <c r="L913" s="9" t="n">
        <v>46323</v>
      </c>
      <c r="M913" s="8" t="inlineStr">
        <is>
          <t>Approved</t>
        </is>
      </c>
      <c r="N913" s="8" t="inlineStr">
        <is>
          <t>faq</t>
        </is>
      </c>
    </row>
    <row r="914" ht="82" customHeight="1">
      <c r="A914" s="4" t="inlineStr">
        <is>
          <t>C12-P0085</t>
        </is>
      </c>
      <c r="B914" s="4" t="inlineStr">
        <is>
          <t>C12</t>
        </is>
      </c>
      <c r="C914" s="4" t="inlineStr">
        <is>
          <t>"Marketing Incentive" under the "Handloom Marketing Assistance" Component of the National Handloom Development Programme</t>
        </is>
      </c>
      <c r="D914" s="4" t="inlineStr">
        <is>
          <t>FAQ</t>
        </is>
      </c>
      <c r="E914" s="4" t="inlineStr"/>
      <c r="F914" s="4" t="inlineStr">
        <is>
          <t>faqs.en.faqs[3]</t>
        </is>
      </c>
      <c r="G914" s="4" t="inlineStr">
        <is>
          <t>C12@20261028-55825899</t>
        </is>
      </c>
      <c r="H914" s="4" t="n">
        <v>1</v>
      </c>
      <c r="I914" s="4" t="n">
        <v>1</v>
      </c>
      <c r="J914" s="4" t="inlineStr">
        <is>
          <t>How is the financial assistance shared between Central Government and State Government for different categories of handloom organizations?
For general cases, there is 50:50 sharing between Government of India and State Government, while for National Level Handloom Organizations, the entire assistance is borne by Government of India without state contribution.</t>
        </is>
      </c>
      <c r="K914" s="4" t="inlineStr">
        <is>
          <t>MS-C12</t>
        </is>
      </c>
      <c r="L914" s="6" t="n">
        <v>46323</v>
      </c>
      <c r="M914" s="4" t="inlineStr">
        <is>
          <t>Approved</t>
        </is>
      </c>
      <c r="N914" s="4" t="inlineStr">
        <is>
          <t>faq</t>
        </is>
      </c>
    </row>
    <row r="915" ht="68" customHeight="1">
      <c r="A915" s="8" t="inlineStr">
        <is>
          <t>C12-P0086</t>
        </is>
      </c>
      <c r="B915" s="8" t="inlineStr">
        <is>
          <t>C12</t>
        </is>
      </c>
      <c r="C915" s="8" t="inlineStr">
        <is>
          <t>"Marketing Incentive" under the "Handloom Marketing Assistance" Component of the National Handloom Development Programme</t>
        </is>
      </c>
      <c r="D915" s="8" t="inlineStr">
        <is>
          <t>FAQ</t>
        </is>
      </c>
      <c r="E915" s="8" t="inlineStr"/>
      <c r="F915" s="8" t="inlineStr">
        <is>
          <t>faqs.en.faqs[4]</t>
        </is>
      </c>
      <c r="G915" s="8" t="inlineStr">
        <is>
          <t>C12@20261028-55825899</t>
        </is>
      </c>
      <c r="H915" s="8" t="n">
        <v>1</v>
      </c>
      <c r="I915" s="8" t="n">
        <v>1</v>
      </c>
      <c r="J915" s="8" t="inlineStr">
        <is>
          <t>What is the maximum duration for which I can receive marketing incentive assistance and how many times can I apply?
Marketing Incentive will be provided for a maximum of 3 years during the overall scheme period of 5 years, allowing limited-time support for eligible organizations.</t>
        </is>
      </c>
      <c r="K915" s="8" t="inlineStr">
        <is>
          <t>MS-C12</t>
        </is>
      </c>
      <c r="L915" s="9" t="n">
        <v>46323</v>
      </c>
      <c r="M915" s="8" t="inlineStr">
        <is>
          <t>Approved</t>
        </is>
      </c>
      <c r="N915" s="8" t="inlineStr">
        <is>
          <t>faq</t>
        </is>
      </c>
    </row>
    <row r="916" ht="68" customHeight="1">
      <c r="A916" s="4" t="inlineStr">
        <is>
          <t>C12-P0087</t>
        </is>
      </c>
      <c r="B916" s="4" t="inlineStr">
        <is>
          <t>C12</t>
        </is>
      </c>
      <c r="C916" s="4" t="inlineStr">
        <is>
          <t>"Marketing Incentive" under the "Handloom Marketing Assistance" Component of the National Handloom Development Programme</t>
        </is>
      </c>
      <c r="D916" s="4" t="inlineStr">
        <is>
          <t>FAQ</t>
        </is>
      </c>
      <c r="E916" s="4" t="inlineStr"/>
      <c r="F916" s="4" t="inlineStr">
        <is>
          <t>faqs.en.faqs[5]</t>
        </is>
      </c>
      <c r="G916" s="4" t="inlineStr">
        <is>
          <t>C12@20261028-55825899</t>
        </is>
      </c>
      <c r="H916" s="4" t="n">
        <v>1</v>
      </c>
      <c r="I916" s="4" t="n">
        <v>1</v>
      </c>
      <c r="J916" s="4" t="inlineStr">
        <is>
          <t>What essential product marking requirement must I fulfill to be eligible for marketing incentive assistance under this handloom development programme?
You must use either the Handloom Mark or India Handloom Brand for your handloom products to demonstrate authenticity and compliance with national handloom standards.</t>
        </is>
      </c>
      <c r="K916" s="4" t="inlineStr">
        <is>
          <t>MS-C12</t>
        </is>
      </c>
      <c r="L916" s="6" t="n">
        <v>46323</v>
      </c>
      <c r="M916" s="4" t="inlineStr">
        <is>
          <t>Approved</t>
        </is>
      </c>
      <c r="N916" s="4" t="inlineStr">
        <is>
          <t>faq</t>
        </is>
      </c>
    </row>
    <row r="917" ht="82" customHeight="1">
      <c r="A917" s="8" t="inlineStr">
        <is>
          <t>C12-P0088</t>
        </is>
      </c>
      <c r="B917" s="8" t="inlineStr">
        <is>
          <t>C12</t>
        </is>
      </c>
      <c r="C917" s="8" t="inlineStr">
        <is>
          <t>"Marketing Incentive" under the "Handloom Marketing Assistance" Component of the National Handloom Development Programme</t>
        </is>
      </c>
      <c r="D917" s="8" t="inlineStr">
        <is>
          <t>FAQ</t>
        </is>
      </c>
      <c r="E917" s="8" t="inlineStr"/>
      <c r="F917" s="8" t="inlineStr">
        <is>
          <t>faqs.en.faqs[6]</t>
        </is>
      </c>
      <c r="G917" s="8" t="inlineStr">
        <is>
          <t>C12@20261028-55825899</t>
        </is>
      </c>
      <c r="H917" s="8" t="n">
        <v>1</v>
      </c>
      <c r="I917" s="8" t="n">
        <v>1</v>
      </c>
      <c r="J917" s="8" t="inlineStr">
        <is>
          <t>What type of sales transactions are specifically excluded from consideration when calculating my eligible marketing incentive under this scheme?
Sales between handloom agencies, sales to government departments, sales under barter system, and sales by primary societies to apex societies or corporations are excluded from incentive calculation.</t>
        </is>
      </c>
      <c r="K917" s="8" t="inlineStr">
        <is>
          <t>MS-C12</t>
        </is>
      </c>
      <c r="L917" s="9" t="n">
        <v>46323</v>
      </c>
      <c r="M917" s="8" t="inlineStr">
        <is>
          <t>Approved</t>
        </is>
      </c>
      <c r="N917" s="8" t="inlineStr">
        <is>
          <t>faq</t>
        </is>
      </c>
    </row>
    <row r="918" ht="68" customHeight="1">
      <c r="A918" s="4" t="inlineStr">
        <is>
          <t>C12-P0089</t>
        </is>
      </c>
      <c r="B918" s="4" t="inlineStr">
        <is>
          <t>C12</t>
        </is>
      </c>
      <c r="C918" s="4" t="inlineStr">
        <is>
          <t>"Marketing Incentive" under the "Handloom Marketing Assistance" Component of the National Handloom Development Programme</t>
        </is>
      </c>
      <c r="D918" s="4" t="inlineStr">
        <is>
          <t>FAQ</t>
        </is>
      </c>
      <c r="E918" s="4" t="inlineStr"/>
      <c r="F918" s="4" t="inlineStr">
        <is>
          <t>faqs.en.faqs[7]</t>
        </is>
      </c>
      <c r="G918" s="4" t="inlineStr">
        <is>
          <t>C12@20261028-55825899</t>
        </is>
      </c>
      <c r="H918" s="4" t="n">
        <v>1</v>
      </c>
      <c r="I918" s="4" t="n">
        <v>1</v>
      </c>
      <c r="J918" s="4" t="inlineStr">
        <is>
          <t>What documentation must I provide regarding my sales turnover to support my marketing incentive claim application?
You must provide average sales turnover details of handloom products for the last 3 years along with Goods and Services Tax compliant sales bills and invoices.</t>
        </is>
      </c>
      <c r="K918" s="4" t="inlineStr">
        <is>
          <t>MS-C12</t>
        </is>
      </c>
      <c r="L918" s="6" t="n">
        <v>46323</v>
      </c>
      <c r="M918" s="4" t="inlineStr">
        <is>
          <t>Approved</t>
        </is>
      </c>
      <c r="N918" s="4" t="inlineStr">
        <is>
          <t>faq</t>
        </is>
      </c>
    </row>
    <row r="919" ht="68" customHeight="1">
      <c r="A919" s="8" t="inlineStr">
        <is>
          <t>C12-P0090</t>
        </is>
      </c>
      <c r="B919" s="8" t="inlineStr">
        <is>
          <t>C12</t>
        </is>
      </c>
      <c r="C919" s="8" t="inlineStr">
        <is>
          <t>"Marketing Incentive" under the "Handloom Marketing Assistance" Component of the National Handloom Development Programme</t>
        </is>
      </c>
      <c r="D919" s="8" t="inlineStr">
        <is>
          <t>FAQ</t>
        </is>
      </c>
      <c r="E919" s="8" t="inlineStr"/>
      <c r="F919" s="8" t="inlineStr">
        <is>
          <t>faqs.en.faqs[8]</t>
        </is>
      </c>
      <c r="G919" s="8" t="inlineStr">
        <is>
          <t>C12@20261028-55825899</t>
        </is>
      </c>
      <c r="H919" s="8" t="n">
        <v>1</v>
      </c>
      <c r="I919" s="8" t="n">
        <v>1</v>
      </c>
      <c r="J919" s="8" t="inlineStr">
        <is>
          <t>How is the marketing incentive amount distributed between the handloom organization and individual member weavers under this assistance programme?
The 10% marketing incentive benefits are shared equally between the handloom organizations and their member weavers through Direct Benefit Transfer mechanism for equitable distribution.</t>
        </is>
      </c>
      <c r="K919" s="8" t="inlineStr">
        <is>
          <t>MS-C12</t>
        </is>
      </c>
      <c r="L919" s="9" t="n">
        <v>46323</v>
      </c>
      <c r="M919" s="8" t="inlineStr">
        <is>
          <t>Approved</t>
        </is>
      </c>
      <c r="N919" s="8" t="inlineStr">
        <is>
          <t>faq</t>
        </is>
      </c>
    </row>
    <row r="920" ht="68" customHeight="1">
      <c r="A920" s="4" t="inlineStr">
        <is>
          <t>C12-P0091</t>
        </is>
      </c>
      <c r="B920" s="4" t="inlineStr">
        <is>
          <t>C12</t>
        </is>
      </c>
      <c r="C920" s="4" t="inlineStr">
        <is>
          <t>"Marketing Incentive" under the "Handloom Marketing Assistance" Component of the National Handloom Development Programme</t>
        </is>
      </c>
      <c r="D920" s="4" t="inlineStr">
        <is>
          <t>FAQ</t>
        </is>
      </c>
      <c r="E920" s="4" t="inlineStr"/>
      <c r="F920" s="4" t="inlineStr">
        <is>
          <t>faqs.en.faqs[9]</t>
        </is>
      </c>
      <c r="G920" s="4" t="inlineStr">
        <is>
          <t>C12@20261028-55825899</t>
        </is>
      </c>
      <c r="H920" s="4" t="n">
        <v>1</v>
      </c>
      <c r="I920" s="4" t="n">
        <v>1</v>
      </c>
      <c r="J920" s="4" t="inlineStr">
        <is>
          <t>What is the mandatory timeline for fund release that nodal agencies must follow after receiving marketing incentive assistance from the government?
The Nodal Agency must release the marketing incentive amount to eligible handloom agencies and their member weavers within 7 days of receiving funds from the government.</t>
        </is>
      </c>
      <c r="K920" s="4" t="inlineStr">
        <is>
          <t>MS-C12</t>
        </is>
      </c>
      <c r="L920" s="6" t="n">
        <v>46323</v>
      </c>
      <c r="M920" s="4" t="inlineStr">
        <is>
          <t>Approved</t>
        </is>
      </c>
      <c r="N920" s="4" t="inlineStr">
        <is>
          <t>faq</t>
        </is>
      </c>
    </row>
    <row r="921" ht="68" customHeight="1">
      <c r="A921" s="8" t="inlineStr">
        <is>
          <t>C12-P0092</t>
        </is>
      </c>
      <c r="B921" s="8" t="inlineStr">
        <is>
          <t>C12</t>
        </is>
      </c>
      <c r="C921" s="8" t="inlineStr">
        <is>
          <t>"Marketing Incentive" under the "Handloom Marketing Assistance" Component of the National Handloom Development Programme</t>
        </is>
      </c>
      <c r="D921" s="8" t="inlineStr">
        <is>
          <t>FAQ</t>
        </is>
      </c>
      <c r="E921" s="8" t="inlineStr"/>
      <c r="F921" s="8" t="inlineStr">
        <is>
          <t>faqs.en.faqs[10]</t>
        </is>
      </c>
      <c r="G921" s="8" t="inlineStr">
        <is>
          <t>C12@20261028-55825899</t>
        </is>
      </c>
      <c r="H921" s="8" t="n">
        <v>1</v>
      </c>
      <c r="I921" s="8" t="n">
        <v>1</v>
      </c>
      <c r="J921" s="8" t="inlineStr">
        <is>
          <t>What specific compliance requirement regarding taxation must all my sales documentation meet to qualify for marketing incentive assistance?
All your sales bills, invoices, and yarn purchase bills must be Goods and Services Tax compliant to ensure your marketing incentive claim meets the scheme requirements.</t>
        </is>
      </c>
      <c r="K921" s="8" t="inlineStr">
        <is>
          <t>MS-C12</t>
        </is>
      </c>
      <c r="L921" s="9" t="n">
        <v>46323</v>
      </c>
      <c r="M921" s="8" t="inlineStr">
        <is>
          <t>Approved</t>
        </is>
      </c>
      <c r="N921" s="8" t="inlineStr">
        <is>
          <t>faq</t>
        </is>
      </c>
    </row>
    <row r="922" ht="82" customHeight="1">
      <c r="A922" s="4" t="inlineStr">
        <is>
          <t>C12-P0093</t>
        </is>
      </c>
      <c r="B922" s="4" t="inlineStr">
        <is>
          <t>C12</t>
        </is>
      </c>
      <c r="C922" s="4" t="inlineStr">
        <is>
          <t>"Marketing Incentive" under the "Handloom Marketing Assistance" Component of the National Handloom Development Programme</t>
        </is>
      </c>
      <c r="D922" s="4" t="inlineStr">
        <is>
          <t>FAQ</t>
        </is>
      </c>
      <c r="E922" s="4" t="inlineStr"/>
      <c r="F922" s="4" t="inlineStr">
        <is>
          <t>faqs.en.faqs[11]</t>
        </is>
      </c>
      <c r="G922" s="4" t="inlineStr">
        <is>
          <t>C12@20261028-55825899</t>
        </is>
      </c>
      <c r="H922" s="4" t="n">
        <v>1</v>
      </c>
      <c r="I922" s="4" t="n">
        <v>1</v>
      </c>
      <c r="J922" s="4" t="inlineStr">
        <is>
          <t>What restriction applies regarding receiving similar financial benefits from other government schemes while applying for this marketing incentive assistance?
You cannot receive similar incentive or rebate under any other Central Government scheme, and State Government will prefer claims from agencies who have not received such duplicate benefits.</t>
        </is>
      </c>
      <c r="K922" s="4" t="inlineStr">
        <is>
          <t>MS-C12</t>
        </is>
      </c>
      <c r="L922" s="6" t="n">
        <v>46323</v>
      </c>
      <c r="M922" s="4" t="inlineStr">
        <is>
          <t>Approved</t>
        </is>
      </c>
      <c r="N922" s="4" t="inlineStr">
        <is>
          <t>faq</t>
        </is>
      </c>
    </row>
    <row r="923" ht="82" customHeight="1">
      <c r="A923" s="8" t="inlineStr">
        <is>
          <t>C12-P0094</t>
        </is>
      </c>
      <c r="B923" s="8" t="inlineStr">
        <is>
          <t>C12</t>
        </is>
      </c>
      <c r="C923" s="8" t="inlineStr">
        <is>
          <t>"Marketing Incentive" under the "Handloom Marketing Assistance" Component of the National Handloom Development Programme</t>
        </is>
      </c>
      <c r="D923" s="8" t="inlineStr">
        <is>
          <t>FAQ</t>
        </is>
      </c>
      <c r="E923" s="8" t="inlineStr"/>
      <c r="F923" s="8" t="inlineStr">
        <is>
          <t>faqs.en.faqs[12]</t>
        </is>
      </c>
      <c r="G923" s="8" t="inlineStr">
        <is>
          <t>C12@20261028-55825899</t>
        </is>
      </c>
      <c r="H923" s="8" t="n">
        <v>1</v>
      </c>
      <c r="I923" s="8" t="n">
        <v>1</v>
      </c>
      <c r="J923" s="8" t="inlineStr">
        <is>
          <t>How should National Level Handloom Organizations approach the application process differently compared to state and primary level handloom organizations?
National Level Handloom Organizations can submit their marketing incentive claims directly to the Office of Development Commissioner (Handlooms) without requiring State Government recommendations or matching contributions.</t>
        </is>
      </c>
      <c r="K923" s="8" t="inlineStr">
        <is>
          <t>MS-C12</t>
        </is>
      </c>
      <c r="L923" s="9" t="n">
        <v>46323</v>
      </c>
      <c r="M923" s="8" t="inlineStr">
        <is>
          <t>Approved</t>
        </is>
      </c>
      <c r="N923" s="8" t="inlineStr">
        <is>
          <t>faq</t>
        </is>
      </c>
    </row>
    <row r="924" ht="82" customHeight="1">
      <c r="A924" s="4" t="inlineStr">
        <is>
          <t>C12-P0095</t>
        </is>
      </c>
      <c r="B924" s="4" t="inlineStr">
        <is>
          <t>C12</t>
        </is>
      </c>
      <c r="C924" s="4" t="inlineStr">
        <is>
          <t>"Marketing Incentive" under the "Handloom Marketing Assistance" Component of the National Handloom Development Programme</t>
        </is>
      </c>
      <c r="D924" s="4" t="inlineStr">
        <is>
          <t>FAQ</t>
        </is>
      </c>
      <c r="E924" s="4" t="inlineStr"/>
      <c r="F924" s="4" t="inlineStr">
        <is>
          <t>faqs.en.faqs[13]</t>
        </is>
      </c>
      <c r="G924" s="4" t="inlineStr">
        <is>
          <t>C12@20261028-55825899</t>
        </is>
      </c>
      <c r="H924" s="4" t="n">
        <v>1</v>
      </c>
      <c r="I924" s="4" t="n">
        <v>1</v>
      </c>
      <c r="J924" s="4" t="inlineStr">
        <is>
          <t>What evidence must I provide to demonstrate that my sales represent final transactions with actual consumers rather than intermediary handloom agencies?
You must provide final transaction proof of product sale to consumers, ensuring that your sales represent genuine end-consumer purchases rather than inter-agency transactions that are excluded from incentive eligibility.RetryClaude can make mistakes. Please double-check responses.</t>
        </is>
      </c>
      <c r="K924" s="4" t="inlineStr">
        <is>
          <t>MS-C12</t>
        </is>
      </c>
      <c r="L924" s="6" t="n">
        <v>46323</v>
      </c>
      <c r="M924" s="4" t="inlineStr">
        <is>
          <t>Approved</t>
        </is>
      </c>
      <c r="N924" s="4" t="inlineStr">
        <is>
          <t>faq</t>
        </is>
      </c>
    </row>
    <row r="925" ht="68" customHeight="1">
      <c r="A925" s="8" t="inlineStr">
        <is>
          <t>C13-P0001</t>
        </is>
      </c>
      <c r="B925" s="8" t="inlineStr">
        <is>
          <t>C13</t>
        </is>
      </c>
      <c r="C925" s="8" t="inlineStr">
        <is>
          <t>Kisan Credit Card</t>
        </is>
      </c>
      <c r="D925" s="8" t="inlineStr">
        <is>
          <t>Details</t>
        </is>
      </c>
      <c r="E925" s="8" t="inlineStr"/>
      <c r="F925" s="8" t="inlineStr">
        <is>
          <t>en.schemeContent.detailedDescription[0]</t>
        </is>
      </c>
      <c r="G925" s="8" t="inlineStr">
        <is>
          <t>C13@20261028-241c8bb1</t>
        </is>
      </c>
      <c r="H925" s="8" t="n">
        <v>1</v>
      </c>
      <c r="I925" s="8" t="n">
        <v>1</v>
      </c>
      <c r="J925" s="8" t="inlineStr">
        <is>
          <t>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t>
        </is>
      </c>
      <c r="K925" s="8" t="inlineStr">
        <is>
          <t>MS-C13</t>
        </is>
      </c>
      <c r="L925" s="9" t="n">
        <v>46323</v>
      </c>
      <c r="M925" s="8" t="inlineStr">
        <is>
          <t>Approved</t>
        </is>
      </c>
      <c r="N925" s="8" t="inlineStr">
        <is>
          <t>paragraph</t>
        </is>
      </c>
    </row>
    <row r="926" ht="96" customHeight="1">
      <c r="A926" s="4" t="inlineStr">
        <is>
          <t>C13-P0002</t>
        </is>
      </c>
      <c r="B926" s="4" t="inlineStr">
        <is>
          <t>C13</t>
        </is>
      </c>
      <c r="C926" s="4" t="inlineStr">
        <is>
          <t>Kisan Credit Card</t>
        </is>
      </c>
      <c r="D926" s="4" t="inlineStr">
        <is>
          <t>Details</t>
        </is>
      </c>
      <c r="E926" s="4" t="inlineStr"/>
      <c r="F926" s="4" t="inlineStr">
        <is>
          <t>en.schemeContent.detailedDescription[1]</t>
        </is>
      </c>
      <c r="G926" s="4" t="inlineStr">
        <is>
          <t>C13@20261028-241c8bb1</t>
        </is>
      </c>
      <c r="H926" s="4" t="n">
        <v>1</v>
      </c>
      <c r="I926" s="4" t="n">
        <v>1</v>
      </c>
      <c r="J926" s="4" t="inlineStr">
        <is>
          <t>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t>
        </is>
      </c>
      <c r="K926" s="4" t="inlineStr">
        <is>
          <t>MS-C13</t>
        </is>
      </c>
      <c r="L926" s="6" t="n">
        <v>46323</v>
      </c>
      <c r="M926" s="4" t="inlineStr">
        <is>
          <t>Approved</t>
        </is>
      </c>
      <c r="N926" s="4" t="inlineStr">
        <is>
          <t>paragraph</t>
        </is>
      </c>
    </row>
    <row r="927" ht="40" customHeight="1">
      <c r="A927" s="8" t="inlineStr">
        <is>
          <t>C13-P0003</t>
        </is>
      </c>
      <c r="B927" s="8" t="inlineStr">
        <is>
          <t>C13</t>
        </is>
      </c>
      <c r="C927" s="8" t="inlineStr">
        <is>
          <t>Kisan Credit Card</t>
        </is>
      </c>
      <c r="D927" s="8" t="inlineStr">
        <is>
          <t>Details</t>
        </is>
      </c>
      <c r="E927" s="8" t="inlineStr">
        <is>
          <t>Objective / Purpose</t>
        </is>
      </c>
      <c r="F927" s="8" t="inlineStr">
        <is>
          <t>en.schemeContent.detailedDescription[3]</t>
        </is>
      </c>
      <c r="G927" s="8" t="inlineStr">
        <is>
          <t>C13@20261028-241c8bb1</t>
        </is>
      </c>
      <c r="H927" s="8" t="n">
        <v>1</v>
      </c>
      <c r="I927" s="8" t="n">
        <v>1</v>
      </c>
      <c r="J927" s="8" t="inlineStr">
        <is>
          <t>Objective / Purpose</t>
        </is>
      </c>
      <c r="K927" s="8" t="inlineStr">
        <is>
          <t>MS-C13</t>
        </is>
      </c>
      <c r="L927" s="9" t="n">
        <v>46323</v>
      </c>
      <c r="M927" s="8" t="inlineStr">
        <is>
          <t>Approved</t>
        </is>
      </c>
      <c r="N927" s="8" t="inlineStr">
        <is>
          <t>paragraph</t>
        </is>
      </c>
    </row>
    <row r="928" ht="54" customHeight="1">
      <c r="A928" s="4" t="inlineStr">
        <is>
          <t>C13-P0004</t>
        </is>
      </c>
      <c r="B928" s="4" t="inlineStr">
        <is>
          <t>C13</t>
        </is>
      </c>
      <c r="C928" s="4" t="inlineStr">
        <is>
          <t>Kisan Credit Card</t>
        </is>
      </c>
      <c r="D928" s="4" t="inlineStr">
        <is>
          <t>Details</t>
        </is>
      </c>
      <c r="E928" s="4" t="inlineStr">
        <is>
          <t>Objective / Purpose</t>
        </is>
      </c>
      <c r="F928" s="4" t="inlineStr">
        <is>
          <t>en.schemeContent.detailedDescription[4]</t>
        </is>
      </c>
      <c r="G928" s="4" t="inlineStr">
        <is>
          <t>C13@20261028-241c8bb1</t>
        </is>
      </c>
      <c r="H928" s="4" t="n">
        <v>1</v>
      </c>
      <c r="I928" s="4" t="n">
        <v>1</v>
      </c>
      <c r="J928" s="4" t="inlineStr">
        <is>
          <t>The Kisan Credit Card scheme aims at providing adequate and timely credit support from the banking system under a single window with the flexible and simplified procedures to the farmers for their cultivation and other needs as indicated below :</t>
        </is>
      </c>
      <c r="K928" s="4" t="inlineStr">
        <is>
          <t>MS-C13</t>
        </is>
      </c>
      <c r="L928" s="6" t="n">
        <v>46323</v>
      </c>
      <c r="M928" s="4" t="inlineStr">
        <is>
          <t>Approved</t>
        </is>
      </c>
      <c r="N928" s="4" t="inlineStr">
        <is>
          <t>paragraph</t>
        </is>
      </c>
    </row>
    <row r="929" ht="40" customHeight="1">
      <c r="A929" s="8" t="inlineStr">
        <is>
          <t>C13-P0005</t>
        </is>
      </c>
      <c r="B929" s="8" t="inlineStr">
        <is>
          <t>C13</t>
        </is>
      </c>
      <c r="C929" s="8" t="inlineStr">
        <is>
          <t>Kisan Credit Card</t>
        </is>
      </c>
      <c r="D929" s="8" t="inlineStr">
        <is>
          <t>Details</t>
        </is>
      </c>
      <c r="E929" s="8" t="inlineStr">
        <is>
          <t>Objective / Purpose</t>
        </is>
      </c>
      <c r="F929" s="8" t="inlineStr">
        <is>
          <t>en.schemeContent.detailedDescription[5].children[0]</t>
        </is>
      </c>
      <c r="G929" s="8" t="inlineStr">
        <is>
          <t>C13@20261028-241c8bb1</t>
        </is>
      </c>
      <c r="H929" s="8" t="n">
        <v>1</v>
      </c>
      <c r="I929" s="8" t="n">
        <v>1</v>
      </c>
      <c r="J929" s="8" t="inlineStr">
        <is>
          <t>To meet the short term credit requirements for the cultivation of crops;</t>
        </is>
      </c>
      <c r="K929" s="8" t="inlineStr">
        <is>
          <t>MS-C13</t>
        </is>
      </c>
      <c r="L929" s="9" t="n">
        <v>46323</v>
      </c>
      <c r="M929" s="8" t="inlineStr">
        <is>
          <t>Approved</t>
        </is>
      </c>
      <c r="N929" s="8" t="inlineStr">
        <is>
          <t>list_item</t>
        </is>
      </c>
    </row>
    <row r="930" ht="40" customHeight="1">
      <c r="A930" s="4" t="inlineStr">
        <is>
          <t>C13-P0006</t>
        </is>
      </c>
      <c r="B930" s="4" t="inlineStr">
        <is>
          <t>C13</t>
        </is>
      </c>
      <c r="C930" s="4" t="inlineStr">
        <is>
          <t>Kisan Credit Card</t>
        </is>
      </c>
      <c r="D930" s="4" t="inlineStr">
        <is>
          <t>Details</t>
        </is>
      </c>
      <c r="E930" s="4" t="inlineStr">
        <is>
          <t>Objective / Purpose</t>
        </is>
      </c>
      <c r="F930" s="4" t="inlineStr">
        <is>
          <t>en.schemeContent.detailedDescription[5].children[1]</t>
        </is>
      </c>
      <c r="G930" s="4" t="inlineStr">
        <is>
          <t>C13@20261028-241c8bb1</t>
        </is>
      </c>
      <c r="H930" s="4" t="n">
        <v>1</v>
      </c>
      <c r="I930" s="4" t="n">
        <v>1</v>
      </c>
      <c r="J930" s="4" t="inlineStr">
        <is>
          <t>Post-harvest expenses;</t>
        </is>
      </c>
      <c r="K930" s="4" t="inlineStr">
        <is>
          <t>MS-C13</t>
        </is>
      </c>
      <c r="L930" s="6" t="n">
        <v>46323</v>
      </c>
      <c r="M930" s="4" t="inlineStr">
        <is>
          <t>Approved</t>
        </is>
      </c>
      <c r="N930" s="4" t="inlineStr">
        <is>
          <t>list_item</t>
        </is>
      </c>
    </row>
    <row r="931" ht="40" customHeight="1">
      <c r="A931" s="8" t="inlineStr">
        <is>
          <t>C13-P0007</t>
        </is>
      </c>
      <c r="B931" s="8" t="inlineStr">
        <is>
          <t>C13</t>
        </is>
      </c>
      <c r="C931" s="8" t="inlineStr">
        <is>
          <t>Kisan Credit Card</t>
        </is>
      </c>
      <c r="D931" s="8" t="inlineStr">
        <is>
          <t>Details</t>
        </is>
      </c>
      <c r="E931" s="8" t="inlineStr">
        <is>
          <t>Objective / Purpose</t>
        </is>
      </c>
      <c r="F931" s="8" t="inlineStr">
        <is>
          <t>en.schemeContent.detailedDescription[5].children[2]</t>
        </is>
      </c>
      <c r="G931" s="8" t="inlineStr">
        <is>
          <t>C13@20261028-241c8bb1</t>
        </is>
      </c>
      <c r="H931" s="8" t="n">
        <v>1</v>
      </c>
      <c r="I931" s="8" t="n">
        <v>1</v>
      </c>
      <c r="J931" s="8" t="inlineStr">
        <is>
          <t>Produce marketing loan;</t>
        </is>
      </c>
      <c r="K931" s="8" t="inlineStr">
        <is>
          <t>MS-C13</t>
        </is>
      </c>
      <c r="L931" s="9" t="n">
        <v>46323</v>
      </c>
      <c r="M931" s="8" t="inlineStr">
        <is>
          <t>Approved</t>
        </is>
      </c>
      <c r="N931" s="8" t="inlineStr">
        <is>
          <t>list_item</t>
        </is>
      </c>
    </row>
    <row r="932" ht="40" customHeight="1">
      <c r="A932" s="4" t="inlineStr">
        <is>
          <t>C13-P0008</t>
        </is>
      </c>
      <c r="B932" s="4" t="inlineStr">
        <is>
          <t>C13</t>
        </is>
      </c>
      <c r="C932" s="4" t="inlineStr">
        <is>
          <t>Kisan Credit Card</t>
        </is>
      </c>
      <c r="D932" s="4" t="inlineStr">
        <is>
          <t>Details</t>
        </is>
      </c>
      <c r="E932" s="4" t="inlineStr">
        <is>
          <t>Objective / Purpose</t>
        </is>
      </c>
      <c r="F932" s="4" t="inlineStr">
        <is>
          <t>en.schemeContent.detailedDescription[5].children[3]</t>
        </is>
      </c>
      <c r="G932" s="4" t="inlineStr">
        <is>
          <t>C13@20261028-241c8bb1</t>
        </is>
      </c>
      <c r="H932" s="4" t="n">
        <v>1</v>
      </c>
      <c r="I932" s="4" t="n">
        <v>1</v>
      </c>
      <c r="J932" s="4" t="inlineStr">
        <is>
          <t>Consumption requirements of farmer household;</t>
        </is>
      </c>
      <c r="K932" s="4" t="inlineStr">
        <is>
          <t>MS-C13</t>
        </is>
      </c>
      <c r="L932" s="6" t="n">
        <v>46323</v>
      </c>
      <c r="M932" s="4" t="inlineStr">
        <is>
          <t>Approved</t>
        </is>
      </c>
      <c r="N932" s="4" t="inlineStr">
        <is>
          <t>list_item</t>
        </is>
      </c>
    </row>
    <row r="933" ht="40" customHeight="1">
      <c r="A933" s="8" t="inlineStr">
        <is>
          <t>C13-P0009</t>
        </is>
      </c>
      <c r="B933" s="8" t="inlineStr">
        <is>
          <t>C13</t>
        </is>
      </c>
      <c r="C933" s="8" t="inlineStr">
        <is>
          <t>Kisan Credit Card</t>
        </is>
      </c>
      <c r="D933" s="8" t="inlineStr">
        <is>
          <t>Details</t>
        </is>
      </c>
      <c r="E933" s="8" t="inlineStr">
        <is>
          <t>Objective / Purpose</t>
        </is>
      </c>
      <c r="F933" s="8" t="inlineStr">
        <is>
          <t>en.schemeContent.detailedDescription[5].children[4]</t>
        </is>
      </c>
      <c r="G933" s="8" t="inlineStr">
        <is>
          <t>C13@20261028-241c8bb1</t>
        </is>
      </c>
      <c r="H933" s="8" t="n">
        <v>1</v>
      </c>
      <c r="I933" s="8" t="n">
        <v>1</v>
      </c>
      <c r="J933" s="8" t="inlineStr">
        <is>
          <t>Working capital for maintenance of farm assets and activities allied to agriculture;</t>
        </is>
      </c>
      <c r="K933" s="8" t="inlineStr">
        <is>
          <t>MS-C13</t>
        </is>
      </c>
      <c r="L933" s="9" t="n">
        <v>46323</v>
      </c>
      <c r="M933" s="8" t="inlineStr">
        <is>
          <t>Approved</t>
        </is>
      </c>
      <c r="N933" s="8" t="inlineStr">
        <is>
          <t>list_item</t>
        </is>
      </c>
    </row>
    <row r="934" ht="40" customHeight="1">
      <c r="A934" s="4" t="inlineStr">
        <is>
          <t>C13-P0010</t>
        </is>
      </c>
      <c r="B934" s="4" t="inlineStr">
        <is>
          <t>C13</t>
        </is>
      </c>
      <c r="C934" s="4" t="inlineStr">
        <is>
          <t>Kisan Credit Card</t>
        </is>
      </c>
      <c r="D934" s="4" t="inlineStr">
        <is>
          <t>Details</t>
        </is>
      </c>
      <c r="E934" s="4" t="inlineStr">
        <is>
          <t>Objective / Purpose</t>
        </is>
      </c>
      <c r="F934" s="4" t="inlineStr">
        <is>
          <t>en.schemeContent.detailedDescription[5].children[5]</t>
        </is>
      </c>
      <c r="G934" s="4" t="inlineStr">
        <is>
          <t>C13@20261028-241c8bb1</t>
        </is>
      </c>
      <c r="H934" s="4" t="n">
        <v>1</v>
      </c>
      <c r="I934" s="4" t="n">
        <v>1</v>
      </c>
      <c r="J934" s="4" t="inlineStr">
        <is>
          <t>Investment credit requirement for agriculture and allied activities</t>
        </is>
      </c>
      <c r="K934" s="4" t="inlineStr">
        <is>
          <t>MS-C13</t>
        </is>
      </c>
      <c r="L934" s="6" t="n">
        <v>46323</v>
      </c>
      <c r="M934" s="4" t="inlineStr">
        <is>
          <t>Approved</t>
        </is>
      </c>
      <c r="N934" s="4" t="inlineStr">
        <is>
          <t>list_item</t>
        </is>
      </c>
    </row>
    <row r="935" ht="40" customHeight="1">
      <c r="A935" s="8" t="inlineStr">
        <is>
          <t>C13-P0011</t>
        </is>
      </c>
      <c r="B935" s="8" t="inlineStr">
        <is>
          <t>C13</t>
        </is>
      </c>
      <c r="C935" s="8" t="inlineStr">
        <is>
          <t>Kisan Credit Card</t>
        </is>
      </c>
      <c r="D935" s="8" t="inlineStr">
        <is>
          <t>Details</t>
        </is>
      </c>
      <c r="E935" s="8" t="inlineStr">
        <is>
          <t>Type of Card</t>
        </is>
      </c>
      <c r="F935" s="8" t="inlineStr">
        <is>
          <t>en.schemeContent.detailedDescription[7]</t>
        </is>
      </c>
      <c r="G935" s="8" t="inlineStr">
        <is>
          <t>C13@20261028-241c8bb1</t>
        </is>
      </c>
      <c r="H935" s="8" t="n">
        <v>1</v>
      </c>
      <c r="I935" s="8" t="n">
        <v>1</v>
      </c>
      <c r="J935" s="8" t="inlineStr">
        <is>
          <t>Type of Card</t>
        </is>
      </c>
      <c r="K935" s="8" t="inlineStr">
        <is>
          <t>MS-C13</t>
        </is>
      </c>
      <c r="L935" s="9" t="n">
        <v>46323</v>
      </c>
      <c r="M935" s="8" t="inlineStr">
        <is>
          <t>Approved</t>
        </is>
      </c>
      <c r="N935" s="8" t="inlineStr">
        <is>
          <t>paragraph</t>
        </is>
      </c>
    </row>
    <row r="936" ht="54" customHeight="1">
      <c r="A936" s="4" t="inlineStr">
        <is>
          <t>C13-P0012</t>
        </is>
      </c>
      <c r="B936" s="4" t="inlineStr">
        <is>
          <t>C13</t>
        </is>
      </c>
      <c r="C936" s="4" t="inlineStr">
        <is>
          <t>Kisan Credit Card</t>
        </is>
      </c>
      <c r="D936" s="4" t="inlineStr">
        <is>
          <t>Details</t>
        </is>
      </c>
      <c r="E936" s="4" t="inlineStr">
        <is>
          <t>Type of Card</t>
        </is>
      </c>
      <c r="F936" s="4" t="inlineStr">
        <is>
          <t>en.schemeContent.detailedDescription[8].children[0]</t>
        </is>
      </c>
      <c r="G936" s="4" t="inlineStr">
        <is>
          <t>C13@20261028-241c8bb1</t>
        </is>
      </c>
      <c r="H936" s="4" t="n">
        <v>1</v>
      </c>
      <c r="I936" s="4" t="n">
        <v>1</v>
      </c>
      <c r="J936" s="4" t="inlineStr">
        <is>
          <t>A magnetic stripe card with PIN (Personal Identification Number) with an ISO IIN (International Standards Organization International Identification Number) to enable access to all banks ATMs and micro ATMs</t>
        </is>
      </c>
      <c r="K936" s="4" t="inlineStr">
        <is>
          <t>MS-C13</t>
        </is>
      </c>
      <c r="L936" s="6" t="n">
        <v>46323</v>
      </c>
      <c r="M936" s="4" t="inlineStr">
        <is>
          <t>Approved</t>
        </is>
      </c>
      <c r="N936" s="4" t="inlineStr">
        <is>
          <t>list_item</t>
        </is>
      </c>
    </row>
    <row r="937" ht="54" customHeight="1">
      <c r="A937" s="8" t="inlineStr">
        <is>
          <t>C13-P0013</t>
        </is>
      </c>
      <c r="B937" s="8" t="inlineStr">
        <is>
          <t>C13</t>
        </is>
      </c>
      <c r="C937" s="8" t="inlineStr">
        <is>
          <t>Kisan Credit Card</t>
        </is>
      </c>
      <c r="D937" s="8" t="inlineStr">
        <is>
          <t>Details</t>
        </is>
      </c>
      <c r="E937" s="8" t="inlineStr">
        <is>
          <t>Type of Card</t>
        </is>
      </c>
      <c r="F937" s="8" t="inlineStr">
        <is>
          <t>en.schemeContent.detailedDescription[8].children[1]</t>
        </is>
      </c>
      <c r="G937" s="8" t="inlineStr">
        <is>
          <t>C13@20261028-241c8bb1</t>
        </is>
      </c>
      <c r="H937" s="8" t="n">
        <v>1</v>
      </c>
      <c r="I937" s="8" t="n">
        <v>1</v>
      </c>
      <c r="J937" s="8" t="inlineStr">
        <is>
          <t>In cases where the Banks would want to utilize the centralized biometric authentication infrastructure of the UIDAI (Aadhaar authentication), debit cards with magnetic stripe and PIN with ISO IIN with biometric authentication of UIDAI can be provided.</t>
        </is>
      </c>
      <c r="K937" s="8" t="inlineStr">
        <is>
          <t>MS-C13</t>
        </is>
      </c>
      <c r="L937" s="9" t="n">
        <v>46323</v>
      </c>
      <c r="M937" s="8" t="inlineStr">
        <is>
          <t>Approved</t>
        </is>
      </c>
      <c r="N937" s="8" t="inlineStr">
        <is>
          <t>list_item</t>
        </is>
      </c>
    </row>
    <row r="938" ht="68" customHeight="1">
      <c r="A938" s="4" t="inlineStr">
        <is>
          <t>C13-P0014</t>
        </is>
      </c>
      <c r="B938" s="4" t="inlineStr">
        <is>
          <t>C13</t>
        </is>
      </c>
      <c r="C938" s="4" t="inlineStr">
        <is>
          <t>Kisan Credit Card</t>
        </is>
      </c>
      <c r="D938" s="4" t="inlineStr">
        <is>
          <t>Details</t>
        </is>
      </c>
      <c r="E938" s="4" t="inlineStr">
        <is>
          <t>Type of Card</t>
        </is>
      </c>
      <c r="F938" s="4" t="inlineStr">
        <is>
          <t>en.schemeContent.detailedDescription[8].children[2]</t>
        </is>
      </c>
      <c r="G938" s="4" t="inlineStr">
        <is>
          <t>C13@20261028-241c8bb1</t>
        </is>
      </c>
      <c r="H938" s="4" t="n">
        <v>1</v>
      </c>
      <c r="I938" s="4" t="n">
        <v>1</v>
      </c>
      <c r="J938" s="4" t="inlineStr">
        <is>
          <t>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t>
        </is>
      </c>
      <c r="K938" s="4" t="inlineStr">
        <is>
          <t>MS-C13</t>
        </is>
      </c>
      <c r="L938" s="6" t="n">
        <v>46323</v>
      </c>
      <c r="M938" s="4" t="inlineStr">
        <is>
          <t>Approved</t>
        </is>
      </c>
      <c r="N938" s="4" t="inlineStr">
        <is>
          <t>list_item</t>
        </is>
      </c>
    </row>
    <row r="939" ht="54" customHeight="1">
      <c r="A939" s="8" t="inlineStr">
        <is>
          <t>C13-P0015</t>
        </is>
      </c>
      <c r="B939" s="8" t="inlineStr">
        <is>
          <t>C13</t>
        </is>
      </c>
      <c r="C939" s="8" t="inlineStr">
        <is>
          <t>Kisan Credit Card</t>
        </is>
      </c>
      <c r="D939" s="8" t="inlineStr">
        <is>
          <t>Details</t>
        </is>
      </c>
      <c r="E939" s="8" t="inlineStr">
        <is>
          <t>Type of Card</t>
        </is>
      </c>
      <c r="F939" s="8" t="inlineStr">
        <is>
          <t>en.schemeContent.detailedDescription[8].children[3]</t>
        </is>
      </c>
      <c r="G939" s="8" t="inlineStr">
        <is>
          <t>C13@20261028-241c8bb1</t>
        </is>
      </c>
      <c r="H939" s="8" t="n">
        <v>1</v>
      </c>
      <c r="I939" s="8" t="n">
        <v>1</v>
      </c>
      <c r="J939" s="8" t="inlineStr">
        <is>
          <t>Banks may choose to issue EMV (Europay, MasterCard and VISA, a global standard for the interoperation of integrated circuit cards) and RUPAY compliant chip cards with magnetic stripe and pin with ISO IIN.</t>
        </is>
      </c>
      <c r="K939" s="8" t="inlineStr">
        <is>
          <t>MS-C13</t>
        </is>
      </c>
      <c r="L939" s="9" t="n">
        <v>46323</v>
      </c>
      <c r="M939" s="8" t="inlineStr">
        <is>
          <t>Approved</t>
        </is>
      </c>
      <c r="N939" s="8" t="inlineStr">
        <is>
          <t>list_item</t>
        </is>
      </c>
    </row>
    <row r="940" ht="68" customHeight="1">
      <c r="A940" s="4" t="inlineStr">
        <is>
          <t>C13-P0016</t>
        </is>
      </c>
      <c r="B940" s="4" t="inlineStr">
        <is>
          <t>C13</t>
        </is>
      </c>
      <c r="C940" s="4" t="inlineStr">
        <is>
          <t>Kisan Credit Card</t>
        </is>
      </c>
      <c r="D940" s="4" t="inlineStr">
        <is>
          <t>Details</t>
        </is>
      </c>
      <c r="E940" s="4" t="inlineStr">
        <is>
          <t>Type of Card</t>
        </is>
      </c>
      <c r="F940" s="4" t="inlineStr">
        <is>
          <t>en.schemeContent.detailedDescription[8].children[4]</t>
        </is>
      </c>
      <c r="G940" s="4" t="inlineStr">
        <is>
          <t>C13@20261028-241c8bb1</t>
        </is>
      </c>
      <c r="H940" s="4" t="n">
        <v>1</v>
      </c>
      <c r="I940" s="4" t="n">
        <v>1</v>
      </c>
      <c r="J940" s="4" t="inlineStr">
        <is>
          <t>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t>
        </is>
      </c>
      <c r="K940" s="4" t="inlineStr">
        <is>
          <t>MS-C13</t>
        </is>
      </c>
      <c r="L940" s="6" t="n">
        <v>46323</v>
      </c>
      <c r="M940" s="4" t="inlineStr">
        <is>
          <t>Approved</t>
        </is>
      </c>
      <c r="N940" s="4" t="inlineStr">
        <is>
          <t>list_item</t>
        </is>
      </c>
    </row>
    <row r="941" ht="40" customHeight="1">
      <c r="A941" s="8" t="inlineStr">
        <is>
          <t>C13-P0017</t>
        </is>
      </c>
      <c r="B941" s="8" t="inlineStr">
        <is>
          <t>C13</t>
        </is>
      </c>
      <c r="C941" s="8" t="inlineStr">
        <is>
          <t>Kisan Credit Card</t>
        </is>
      </c>
      <c r="D941" s="8" t="inlineStr">
        <is>
          <t>Details</t>
        </is>
      </c>
      <c r="E941" s="8" t="inlineStr">
        <is>
          <t>Delivery Channels :</t>
        </is>
      </c>
      <c r="F941" s="8" t="inlineStr">
        <is>
          <t>en.schemeContent.detailedDescription[10]</t>
        </is>
      </c>
      <c r="G941" s="8" t="inlineStr">
        <is>
          <t>C13@20261028-241c8bb1</t>
        </is>
      </c>
      <c r="H941" s="8" t="n">
        <v>1</v>
      </c>
      <c r="I941" s="8" t="n">
        <v>1</v>
      </c>
      <c r="J941" s="8" t="inlineStr">
        <is>
          <t>Delivery Channels :</t>
        </is>
      </c>
      <c r="K941" s="8" t="inlineStr">
        <is>
          <t>MS-C13</t>
        </is>
      </c>
      <c r="L941" s="9" t="n">
        <v>46323</v>
      </c>
      <c r="M941" s="8" t="inlineStr">
        <is>
          <t>Approved</t>
        </is>
      </c>
      <c r="N941" s="8" t="inlineStr">
        <is>
          <t>paragraph</t>
        </is>
      </c>
    </row>
    <row r="942" ht="40" customHeight="1">
      <c r="A942" s="4" t="inlineStr">
        <is>
          <t>C13-P0018</t>
        </is>
      </c>
      <c r="B942" s="4" t="inlineStr">
        <is>
          <t>C13</t>
        </is>
      </c>
      <c r="C942" s="4" t="inlineStr">
        <is>
          <t>Kisan Credit Card</t>
        </is>
      </c>
      <c r="D942" s="4" t="inlineStr">
        <is>
          <t>Details</t>
        </is>
      </c>
      <c r="E942" s="4" t="inlineStr">
        <is>
          <t>Delivery Channels :</t>
        </is>
      </c>
      <c r="F942" s="4" t="inlineStr">
        <is>
          <t>en.schemeContent.detailedDescription[11]</t>
        </is>
      </c>
      <c r="G942" s="4" t="inlineStr">
        <is>
          <t>C13@20261028-241c8bb1</t>
        </is>
      </c>
      <c r="H942" s="4" t="n">
        <v>1</v>
      </c>
      <c r="I942" s="4" t="n">
        <v>1</v>
      </c>
      <c r="J942" s="4" t="inlineStr">
        <is>
          <t>The following delivery channels shall be put in place to start with so that the Kisan Credit Card is used by the farmers to effectively transact their operations in their KCC account.</t>
        </is>
      </c>
      <c r="K942" s="4" t="inlineStr">
        <is>
          <t>MS-C13</t>
        </is>
      </c>
      <c r="L942" s="6" t="n">
        <v>46323</v>
      </c>
      <c r="M942" s="4" t="inlineStr">
        <is>
          <t>Approved</t>
        </is>
      </c>
      <c r="N942" s="4" t="inlineStr">
        <is>
          <t>paragraph</t>
        </is>
      </c>
    </row>
    <row r="943" ht="40" customHeight="1">
      <c r="A943" s="8" t="inlineStr">
        <is>
          <t>C13-P0019</t>
        </is>
      </c>
      <c r="B943" s="8" t="inlineStr">
        <is>
          <t>C13</t>
        </is>
      </c>
      <c r="C943" s="8" t="inlineStr">
        <is>
          <t>Kisan Credit Card</t>
        </is>
      </c>
      <c r="D943" s="8" t="inlineStr">
        <is>
          <t>Details</t>
        </is>
      </c>
      <c r="E943" s="8" t="inlineStr">
        <is>
          <t>Delivery Channels :</t>
        </is>
      </c>
      <c r="F943" s="8" t="inlineStr">
        <is>
          <t>en.schemeContent.detailedDescription[12].children[0]</t>
        </is>
      </c>
      <c r="G943" s="8" t="inlineStr">
        <is>
          <t>C13@20261028-241c8bb1</t>
        </is>
      </c>
      <c r="H943" s="8" t="n">
        <v>1</v>
      </c>
      <c r="I943" s="8" t="n">
        <v>1</v>
      </c>
      <c r="J943" s="8" t="inlineStr">
        <is>
          <t>Withdrawal through ATMs / Micro ATM</t>
        </is>
      </c>
      <c r="K943" s="8" t="inlineStr">
        <is>
          <t>MS-C13</t>
        </is>
      </c>
      <c r="L943" s="9" t="n">
        <v>46323</v>
      </c>
      <c r="M943" s="8" t="inlineStr">
        <is>
          <t>Approved</t>
        </is>
      </c>
      <c r="N943" s="8" t="inlineStr">
        <is>
          <t>list_item</t>
        </is>
      </c>
    </row>
    <row r="944" ht="40" customHeight="1">
      <c r="A944" s="4" t="inlineStr">
        <is>
          <t>C13-P0020</t>
        </is>
      </c>
      <c r="B944" s="4" t="inlineStr">
        <is>
          <t>C13</t>
        </is>
      </c>
      <c r="C944" s="4" t="inlineStr">
        <is>
          <t>Kisan Credit Card</t>
        </is>
      </c>
      <c r="D944" s="4" t="inlineStr">
        <is>
          <t>Details</t>
        </is>
      </c>
      <c r="E944" s="4" t="inlineStr">
        <is>
          <t>Delivery Channels :</t>
        </is>
      </c>
      <c r="F944" s="4" t="inlineStr">
        <is>
          <t>en.schemeContent.detailedDescription[12].children[1]</t>
        </is>
      </c>
      <c r="G944" s="4" t="inlineStr">
        <is>
          <t>C13@20261028-241c8bb1</t>
        </is>
      </c>
      <c r="H944" s="4" t="n">
        <v>1</v>
      </c>
      <c r="I944" s="4" t="n">
        <v>1</v>
      </c>
      <c r="J944" s="4" t="inlineStr">
        <is>
          <t>Withdrawal through BCs using smart cards.</t>
        </is>
      </c>
      <c r="K944" s="4" t="inlineStr">
        <is>
          <t>MS-C13</t>
        </is>
      </c>
      <c r="L944" s="6" t="n">
        <v>46323</v>
      </c>
      <c r="M944" s="4" t="inlineStr">
        <is>
          <t>Approved</t>
        </is>
      </c>
      <c r="N944" s="4" t="inlineStr">
        <is>
          <t>list_item</t>
        </is>
      </c>
    </row>
    <row r="945" ht="40" customHeight="1">
      <c r="A945" s="8" t="inlineStr">
        <is>
          <t>C13-P0021</t>
        </is>
      </c>
      <c r="B945" s="8" t="inlineStr">
        <is>
          <t>C13</t>
        </is>
      </c>
      <c r="C945" s="8" t="inlineStr">
        <is>
          <t>Kisan Credit Card</t>
        </is>
      </c>
      <c r="D945" s="8" t="inlineStr">
        <is>
          <t>Details</t>
        </is>
      </c>
      <c r="E945" s="8" t="inlineStr">
        <is>
          <t>Delivery Channels :</t>
        </is>
      </c>
      <c r="F945" s="8" t="inlineStr">
        <is>
          <t>en.schemeContent.detailedDescription[12].children[2]</t>
        </is>
      </c>
      <c r="G945" s="8" t="inlineStr">
        <is>
          <t>C13@20261028-241c8bb1</t>
        </is>
      </c>
      <c r="H945" s="8" t="n">
        <v>1</v>
      </c>
      <c r="I945" s="8" t="n">
        <v>1</v>
      </c>
      <c r="J945" s="8" t="inlineStr">
        <is>
          <t>PoS machine through input dealers</t>
        </is>
      </c>
      <c r="K945" s="8" t="inlineStr">
        <is>
          <t>MS-C13</t>
        </is>
      </c>
      <c r="L945" s="9" t="n">
        <v>46323</v>
      </c>
      <c r="M945" s="8" t="inlineStr">
        <is>
          <t>Approved</t>
        </is>
      </c>
      <c r="N945" s="8" t="inlineStr">
        <is>
          <t>list_item</t>
        </is>
      </c>
    </row>
    <row r="946" ht="40" customHeight="1">
      <c r="A946" s="4" t="inlineStr">
        <is>
          <t>C13-P0022</t>
        </is>
      </c>
      <c r="B946" s="4" t="inlineStr">
        <is>
          <t>C13</t>
        </is>
      </c>
      <c r="C946" s="4" t="inlineStr">
        <is>
          <t>Kisan Credit Card</t>
        </is>
      </c>
      <c r="D946" s="4" t="inlineStr">
        <is>
          <t>Details</t>
        </is>
      </c>
      <c r="E946" s="4" t="inlineStr">
        <is>
          <t>Delivery Channels :</t>
        </is>
      </c>
      <c r="F946" s="4" t="inlineStr">
        <is>
          <t>en.schemeContent.detailedDescription[12].children[3]</t>
        </is>
      </c>
      <c r="G946" s="4" t="inlineStr">
        <is>
          <t>C13@20261028-241c8bb1</t>
        </is>
      </c>
      <c r="H946" s="4" t="n">
        <v>1</v>
      </c>
      <c r="I946" s="4" t="n">
        <v>1</v>
      </c>
      <c r="J946" s="4" t="inlineStr">
        <is>
          <t>Mobile Banking with IMPS capabilities / IVR</t>
        </is>
      </c>
      <c r="K946" s="4" t="inlineStr">
        <is>
          <t>MS-C13</t>
        </is>
      </c>
      <c r="L946" s="6" t="n">
        <v>46323</v>
      </c>
      <c r="M946" s="4" t="inlineStr">
        <is>
          <t>Approved</t>
        </is>
      </c>
      <c r="N946" s="4" t="inlineStr">
        <is>
          <t>list_item</t>
        </is>
      </c>
    </row>
    <row r="947" ht="40" customHeight="1">
      <c r="A947" s="8" t="inlineStr">
        <is>
          <t>C13-P0023</t>
        </is>
      </c>
      <c r="B947" s="8" t="inlineStr">
        <is>
          <t>C13</t>
        </is>
      </c>
      <c r="C947" s="8" t="inlineStr">
        <is>
          <t>Kisan Credit Card</t>
        </is>
      </c>
      <c r="D947" s="8" t="inlineStr">
        <is>
          <t>Details</t>
        </is>
      </c>
      <c r="E947" s="8" t="inlineStr">
        <is>
          <t>Delivery Channels :</t>
        </is>
      </c>
      <c r="F947" s="8" t="inlineStr">
        <is>
          <t>en.schemeContent.detailedDescription[12].children[4]</t>
        </is>
      </c>
      <c r="G947" s="8" t="inlineStr">
        <is>
          <t>C13@20261028-241c8bb1</t>
        </is>
      </c>
      <c r="H947" s="8" t="n">
        <v>1</v>
      </c>
      <c r="I947" s="8" t="n">
        <v>1</v>
      </c>
      <c r="J947" s="8" t="inlineStr">
        <is>
          <t>Aadhaar enabled Cards</t>
        </is>
      </c>
      <c r="K947" s="8" t="inlineStr">
        <is>
          <t>MS-C13</t>
        </is>
      </c>
      <c r="L947" s="9" t="n">
        <v>46323</v>
      </c>
      <c r="M947" s="8" t="inlineStr">
        <is>
          <t>Approved</t>
        </is>
      </c>
      <c r="N947" s="8" t="inlineStr">
        <is>
          <t>list_item</t>
        </is>
      </c>
    </row>
    <row r="948" ht="40" customHeight="1">
      <c r="A948" s="4" t="inlineStr">
        <is>
          <t>C13-P0024</t>
        </is>
      </c>
      <c r="B948" s="4" t="inlineStr">
        <is>
          <t>C13</t>
        </is>
      </c>
      <c r="C948" s="4" t="inlineStr">
        <is>
          <t>Kisan Credit Card</t>
        </is>
      </c>
      <c r="D948" s="4" t="inlineStr">
        <is>
          <t>Benefits</t>
        </is>
      </c>
      <c r="E948" s="4" t="inlineStr">
        <is>
          <t>Fixation of credit limit/Loan amount</t>
        </is>
      </c>
      <c r="F948" s="4" t="inlineStr">
        <is>
          <t>en.schemeContent.benefits[0]</t>
        </is>
      </c>
      <c r="G948" s="4" t="inlineStr">
        <is>
          <t>C13@20261028-241c8bb1</t>
        </is>
      </c>
      <c r="H948" s="4" t="n">
        <v>1</v>
      </c>
      <c r="I948" s="4" t="n">
        <v>1</v>
      </c>
      <c r="J948" s="4" t="inlineStr">
        <is>
          <t>Fixation of credit limit/Loan amount</t>
        </is>
      </c>
      <c r="K948" s="4" t="inlineStr">
        <is>
          <t>MS-C13</t>
        </is>
      </c>
      <c r="L948" s="6" t="n">
        <v>46323</v>
      </c>
      <c r="M948" s="4" t="inlineStr">
        <is>
          <t>Approved</t>
        </is>
      </c>
      <c r="N948" s="4" t="inlineStr">
        <is>
          <t>paragraph</t>
        </is>
      </c>
    </row>
    <row r="949" ht="82" customHeight="1">
      <c r="A949" s="8" t="inlineStr">
        <is>
          <t>C13-P0025</t>
        </is>
      </c>
      <c r="B949" s="8" t="inlineStr">
        <is>
          <t>C13</t>
        </is>
      </c>
      <c r="C949" s="8" t="inlineStr">
        <is>
          <t>Kisan Credit Card</t>
        </is>
      </c>
      <c r="D949" s="8" t="inlineStr">
        <is>
          <t>Benefits</t>
        </is>
      </c>
      <c r="E949" s="8" t="inlineStr">
        <is>
          <t>Fixation of credit limit/Loan amount</t>
        </is>
      </c>
      <c r="F949" s="8" t="inlineStr">
        <is>
          <t>en.schemeContent.benefits[1].children[0]</t>
        </is>
      </c>
      <c r="G949" s="8" t="inlineStr">
        <is>
          <t>C13@20261028-241c8bb1</t>
        </is>
      </c>
      <c r="H949" s="8" t="n">
        <v>1</v>
      </c>
      <c r="I949" s="8" t="n">
        <v>1</v>
      </c>
      <c r="J949" s="8" t="inlineStr">
        <is>
          <t>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t>
        </is>
      </c>
      <c r="K949" s="8" t="inlineStr">
        <is>
          <t>MS-C13</t>
        </is>
      </c>
      <c r="L949" s="9" t="n">
        <v>46323</v>
      </c>
      <c r="M949" s="8" t="inlineStr">
        <is>
          <t>Approved</t>
        </is>
      </c>
      <c r="N949" s="8" t="inlineStr">
        <is>
          <t>list_item</t>
        </is>
      </c>
    </row>
    <row r="950" ht="68" customHeight="1">
      <c r="A950" s="4" t="inlineStr">
        <is>
          <t>C13-P0026</t>
        </is>
      </c>
      <c r="B950" s="4" t="inlineStr">
        <is>
          <t>C13</t>
        </is>
      </c>
      <c r="C950" s="4" t="inlineStr">
        <is>
          <t>Kisan Credit Card</t>
        </is>
      </c>
      <c r="D950" s="4" t="inlineStr">
        <is>
          <t>Benefits</t>
        </is>
      </c>
      <c r="E950" s="4" t="inlineStr">
        <is>
          <t>Fixation of credit limit/Loan amount</t>
        </is>
      </c>
      <c r="F950" s="4" t="inlineStr">
        <is>
          <t>en.schemeContent.benefits[1].children[1]</t>
        </is>
      </c>
      <c r="G950" s="4" t="inlineStr">
        <is>
          <t>C13@20261028-241c8bb1</t>
        </is>
      </c>
      <c r="H950" s="4" t="n">
        <v>1</v>
      </c>
      <c r="I950" s="4" t="n">
        <v>1</v>
      </c>
      <c r="J950" s="4" t="inlineStr">
        <is>
          <t>Limit for second &amp; subsequent year: First-year limit for crop cultivation purposes arrived at as above plus 10% of the limit towards cost escalation/increase in the scale of finance for every successive year ( 2nd, 3rd, 4th and 5th year) and estimated Term loan component for the tenure of Kisan Credit Card, i.e., five years.</t>
        </is>
      </c>
      <c r="K950" s="4" t="inlineStr">
        <is>
          <t>MS-C13</t>
        </is>
      </c>
      <c r="L950" s="6" t="n">
        <v>46323</v>
      </c>
      <c r="M950" s="4" t="inlineStr">
        <is>
          <t>Approved</t>
        </is>
      </c>
      <c r="N950" s="4" t="inlineStr">
        <is>
          <t>list_item</t>
        </is>
      </c>
    </row>
    <row r="951" ht="96" customHeight="1">
      <c r="A951" s="8" t="inlineStr">
        <is>
          <t>C13-P0027</t>
        </is>
      </c>
      <c r="B951" s="8" t="inlineStr">
        <is>
          <t>C13</t>
        </is>
      </c>
      <c r="C951" s="8" t="inlineStr">
        <is>
          <t>Kisan Credit Card</t>
        </is>
      </c>
      <c r="D951" s="8" t="inlineStr">
        <is>
          <t>Benefits</t>
        </is>
      </c>
      <c r="E951" s="8" t="inlineStr">
        <is>
          <t>Fixation of credit limit/Loan amount</t>
        </is>
      </c>
      <c r="F951" s="8" t="inlineStr">
        <is>
          <t>en.schemeContent.benefits[1].children[2]</t>
        </is>
      </c>
      <c r="G951" s="8" t="inlineStr">
        <is>
          <t>C13@20261028-241c8bb1</t>
        </is>
      </c>
      <c r="H951" s="8" t="n">
        <v>1</v>
      </c>
      <c r="I951" s="8" t="n">
        <v>1</v>
      </c>
      <c r="J951" s="8" t="inlineStr">
        <is>
          <t>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t>
        </is>
      </c>
      <c r="K951" s="8" t="inlineStr">
        <is>
          <t>MS-C13</t>
        </is>
      </c>
      <c r="L951" s="9" t="n">
        <v>46323</v>
      </c>
      <c r="M951" s="8" t="inlineStr">
        <is>
          <t>Approved</t>
        </is>
      </c>
      <c r="N951" s="8" t="inlineStr">
        <is>
          <t>list_item</t>
        </is>
      </c>
    </row>
    <row r="952" ht="96" customHeight="1">
      <c r="A952" s="4" t="inlineStr">
        <is>
          <t>C13-P0028</t>
        </is>
      </c>
      <c r="B952" s="4" t="inlineStr">
        <is>
          <t>C13</t>
        </is>
      </c>
      <c r="C952" s="4" t="inlineStr">
        <is>
          <t>Kisan Credit Card</t>
        </is>
      </c>
      <c r="D952" s="4" t="inlineStr">
        <is>
          <t>Benefits</t>
        </is>
      </c>
      <c r="E952" s="4" t="inlineStr">
        <is>
          <t>Fixation of credit limit/Loan amount</t>
        </is>
      </c>
      <c r="F952" s="4" t="inlineStr">
        <is>
          <t>en.schemeContent.benefits[1].children[3]</t>
        </is>
      </c>
      <c r="G952" s="4" t="inlineStr">
        <is>
          <t>C13@20261028-241c8bb1</t>
        </is>
      </c>
      <c r="H952" s="4" t="n">
        <v>1</v>
      </c>
      <c r="I952" s="4" t="n">
        <v>1</v>
      </c>
      <c r="J952" s="4" t="inlineStr">
        <is>
          <t>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t>
        </is>
      </c>
      <c r="K952" s="4" t="inlineStr">
        <is>
          <t>MS-C13</t>
        </is>
      </c>
      <c r="L952" s="6" t="n">
        <v>46323</v>
      </c>
      <c r="M952" s="4" t="inlineStr">
        <is>
          <t>Approved</t>
        </is>
      </c>
      <c r="N952" s="4" t="inlineStr">
        <is>
          <t>list_item</t>
        </is>
      </c>
    </row>
    <row r="953" ht="40" customHeight="1">
      <c r="A953" s="8" t="inlineStr">
        <is>
          <t>C13-P0029</t>
        </is>
      </c>
      <c r="B953" s="8" t="inlineStr">
        <is>
          <t>C13</t>
        </is>
      </c>
      <c r="C953" s="8" t="inlineStr">
        <is>
          <t>Kisan Credit Card</t>
        </is>
      </c>
      <c r="D953" s="8" t="inlineStr">
        <is>
          <t>Benefits</t>
        </is>
      </c>
      <c r="E953" s="8" t="inlineStr">
        <is>
          <t>Fixation of credit limit/Loan amount</t>
        </is>
      </c>
      <c r="F953" s="8" t="inlineStr">
        <is>
          <t>en.schemeContent.benefits[1].children[4]</t>
        </is>
      </c>
      <c r="G953" s="8" t="inlineStr">
        <is>
          <t>C13@20261028-241c8bb1</t>
        </is>
      </c>
      <c r="H953" s="8" t="n">
        <v>1</v>
      </c>
      <c r="I953" s="8" t="n">
        <v>1</v>
      </c>
      <c r="J953" s="8" t="inlineStr">
        <is>
          <t>The long-term loan limit is based on the proposed investments during the five-year period and the bank’s perception of the repaying capacity of the farmer</t>
        </is>
      </c>
      <c r="K953" s="8" t="inlineStr">
        <is>
          <t>MS-C13</t>
        </is>
      </c>
      <c r="L953" s="9" t="n">
        <v>46323</v>
      </c>
      <c r="M953" s="8" t="inlineStr">
        <is>
          <t>Approved</t>
        </is>
      </c>
      <c r="N953" s="8" t="inlineStr">
        <is>
          <t>list_item</t>
        </is>
      </c>
    </row>
    <row r="954" ht="54" customHeight="1">
      <c r="A954" s="4" t="inlineStr">
        <is>
          <t>C13-P0030</t>
        </is>
      </c>
      <c r="B954" s="4" t="inlineStr">
        <is>
          <t>C13</t>
        </is>
      </c>
      <c r="C954" s="4" t="inlineStr">
        <is>
          <t>Kisan Credit Card</t>
        </is>
      </c>
      <c r="D954" s="4" t="inlineStr">
        <is>
          <t>Benefits</t>
        </is>
      </c>
      <c r="E954" s="4" t="inlineStr">
        <is>
          <t>Fixation of credit limit/Loan amount</t>
        </is>
      </c>
      <c r="F954" s="4" t="inlineStr">
        <is>
          <t>en.schemeContent.benefits[1].children[5]</t>
        </is>
      </c>
      <c r="G954" s="4" t="inlineStr">
        <is>
          <t>C13@20261028-241c8bb1</t>
        </is>
      </c>
      <c r="H954" s="4" t="n">
        <v>1</v>
      </c>
      <c r="I954" s="4" t="n">
        <v>1</v>
      </c>
      <c r="J954" s="4" t="inlineStr">
        <is>
          <t>Maximum Permissible Limit: The short-term loan limit arrived for the 5th year plus the estimated long-term loan requirement will be the Maximum Permissible Limit (MPL) and treated as the Kisan Credit Card Limit.</t>
        </is>
      </c>
      <c r="K954" s="4" t="inlineStr">
        <is>
          <t>MS-C13</t>
        </is>
      </c>
      <c r="L954" s="6" t="n">
        <v>46323</v>
      </c>
      <c r="M954" s="4" t="inlineStr">
        <is>
          <t>Approved</t>
        </is>
      </c>
      <c r="N954" s="4" t="inlineStr">
        <is>
          <t>list_item</t>
        </is>
      </c>
    </row>
    <row r="955" ht="40" customHeight="1">
      <c r="A955" s="8" t="inlineStr">
        <is>
          <t>C13-P0031</t>
        </is>
      </c>
      <c r="B955" s="8" t="inlineStr">
        <is>
          <t>C13</t>
        </is>
      </c>
      <c r="C955" s="8" t="inlineStr">
        <is>
          <t>Kisan Credit Card</t>
        </is>
      </c>
      <c r="D955" s="8" t="inlineStr">
        <is>
          <t>Benefits</t>
        </is>
      </c>
      <c r="E955" s="8" t="inlineStr">
        <is>
          <t>Fixation of Sub-limits for other than Marginal Farmers:</t>
        </is>
      </c>
      <c r="F955" s="8" t="inlineStr">
        <is>
          <t>en.schemeContent.benefits[1].children[6]</t>
        </is>
      </c>
      <c r="G955" s="8" t="inlineStr">
        <is>
          <t>C13@20261028-241c8bb1</t>
        </is>
      </c>
      <c r="H955" s="8" t="n">
        <v>1</v>
      </c>
      <c r="I955" s="8" t="n">
        <v>1</v>
      </c>
      <c r="J955" s="8" t="inlineStr">
        <is>
          <t>Fixation of Sub-limits for other than Marginal Farmers:</t>
        </is>
      </c>
      <c r="K955" s="8" t="inlineStr">
        <is>
          <t>MS-C13</t>
        </is>
      </c>
      <c r="L955" s="9" t="n">
        <v>46323</v>
      </c>
      <c r="M955" s="8" t="inlineStr">
        <is>
          <t>Approved</t>
        </is>
      </c>
      <c r="N955" s="8" t="inlineStr">
        <is>
          <t>list_item</t>
        </is>
      </c>
    </row>
    <row r="956" ht="96" customHeight="1">
      <c r="A956" s="4" t="inlineStr">
        <is>
          <t>C13-P0032</t>
        </is>
      </c>
      <c r="B956" s="4" t="inlineStr">
        <is>
          <t>C13</t>
        </is>
      </c>
      <c r="C956" s="4" t="inlineStr">
        <is>
          <t>Kisan Credit Card</t>
        </is>
      </c>
      <c r="D956" s="4" t="inlineStr">
        <is>
          <t>Benefits</t>
        </is>
      </c>
      <c r="E956" s="4" t="inlineStr">
        <is>
          <t>Fixation of Sub-limits for other than Marginal Farmers:</t>
        </is>
      </c>
      <c r="F956" s="4" t="inlineStr">
        <is>
          <t>en.schemeContent.benefits[2].children[0]</t>
        </is>
      </c>
      <c r="G956" s="4" t="inlineStr">
        <is>
          <t>C13@20261028-241c8bb1</t>
        </is>
      </c>
      <c r="H956" s="4" t="n">
        <v>1</v>
      </c>
      <c r="I956" s="4" t="n">
        <v>1</v>
      </c>
      <c r="J956" s="4" t="inlineStr">
        <is>
          <t>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t>
        </is>
      </c>
      <c r="K956" s="4" t="inlineStr">
        <is>
          <t>MS-C13</t>
        </is>
      </c>
      <c r="L956" s="6" t="n">
        <v>46323</v>
      </c>
      <c r="M956" s="4" t="inlineStr">
        <is>
          <t>Approved</t>
        </is>
      </c>
      <c r="N956" s="4" t="inlineStr">
        <is>
          <t>list_item</t>
        </is>
      </c>
    </row>
    <row r="957" ht="152" customHeight="1">
      <c r="A957" s="8" t="inlineStr">
        <is>
          <t>C13-P0033</t>
        </is>
      </c>
      <c r="B957" s="8" t="inlineStr">
        <is>
          <t>C13</t>
        </is>
      </c>
      <c r="C957" s="8" t="inlineStr">
        <is>
          <t>Kisan Credit Card</t>
        </is>
      </c>
      <c r="D957" s="8" t="inlineStr">
        <is>
          <t>Benefits</t>
        </is>
      </c>
      <c r="E957" s="8" t="inlineStr">
        <is>
          <t>Fixation of Sub-limits for other than Marginal Farmers:</t>
        </is>
      </c>
      <c r="F957" s="8" t="inlineStr">
        <is>
          <t>en.schemeContent.benefits[2].children[1]</t>
        </is>
      </c>
      <c r="G957" s="8" t="inlineStr">
        <is>
          <t>C13@20261028-241c8bb1</t>
        </is>
      </c>
      <c r="H957" s="8" t="n">
        <v>1</v>
      </c>
      <c r="I957" s="8" t="n">
        <v>1</v>
      </c>
      <c r="J957" s="8" t="inlineStr">
        <is>
          <t>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t>
        </is>
      </c>
      <c r="K957" s="8" t="inlineStr">
        <is>
          <t>MS-C13</t>
        </is>
      </c>
      <c r="L957" s="9" t="n">
        <v>46323</v>
      </c>
      <c r="M957" s="8" t="inlineStr">
        <is>
          <t>Approved</t>
        </is>
      </c>
      <c r="N957" s="8" t="inlineStr">
        <is>
          <t>list_item</t>
        </is>
      </c>
    </row>
    <row r="958" ht="40" customHeight="1">
      <c r="A958" s="4" t="inlineStr">
        <is>
          <t>C13-P0034</t>
        </is>
      </c>
      <c r="B958" s="4" t="inlineStr">
        <is>
          <t>C13</t>
        </is>
      </c>
      <c r="C958" s="4" t="inlineStr">
        <is>
          <t>Kisan Credit Card</t>
        </is>
      </c>
      <c r="D958" s="4" t="inlineStr">
        <is>
          <t>Benefits</t>
        </is>
      </c>
      <c r="E958" s="4" t="inlineStr">
        <is>
          <t>Fixation of Sub-limits for other than Marginal Farmers:</t>
        </is>
      </c>
      <c r="F958" s="4" t="inlineStr">
        <is>
          <t>en.schemeContent.benefits[2].children[2]</t>
        </is>
      </c>
      <c r="G958" s="4" t="inlineStr">
        <is>
          <t>C13@20261028-241c8bb1</t>
        </is>
      </c>
      <c r="H958" s="4" t="n">
        <v>1</v>
      </c>
      <c r="I958" s="4" t="n">
        <v>1</v>
      </c>
      <c r="J958" s="4" t="inlineStr">
        <is>
          <t>Wherever the card limit/liability so arrived warrants additional security, the banks may take suitable collateral as per their policy.</t>
        </is>
      </c>
      <c r="K958" s="4" t="inlineStr">
        <is>
          <t>MS-C13</t>
        </is>
      </c>
      <c r="L958" s="6" t="n">
        <v>46323</v>
      </c>
      <c r="M958" s="4" t="inlineStr">
        <is>
          <t>Approved</t>
        </is>
      </c>
      <c r="N958" s="4" t="inlineStr">
        <is>
          <t>list_item</t>
        </is>
      </c>
    </row>
    <row r="959" ht="40" customHeight="1">
      <c r="A959" s="8" t="inlineStr">
        <is>
          <t>C13-P0035</t>
        </is>
      </c>
      <c r="B959" s="8" t="inlineStr">
        <is>
          <t>C13</t>
        </is>
      </c>
      <c r="C959" s="8" t="inlineStr">
        <is>
          <t>Kisan Credit Card</t>
        </is>
      </c>
      <c r="D959" s="8" t="inlineStr">
        <is>
          <t>Eligibility</t>
        </is>
      </c>
      <c r="E959" s="8" t="inlineStr">
        <is>
          <t>Eligibility</t>
        </is>
      </c>
      <c r="F959" s="8" t="inlineStr">
        <is>
          <t>en.eligibilityCriteria.eligibilityDescription[0]</t>
        </is>
      </c>
      <c r="G959" s="8" t="inlineStr">
        <is>
          <t>C13@20261028-241c8bb1</t>
        </is>
      </c>
      <c r="H959" s="8" t="n">
        <v>1</v>
      </c>
      <c r="I959" s="8" t="n">
        <v>1</v>
      </c>
      <c r="J959" s="8" t="inlineStr">
        <is>
          <t>Eligibility</t>
        </is>
      </c>
      <c r="K959" s="8" t="inlineStr">
        <is>
          <t>MS-C13</t>
        </is>
      </c>
      <c r="L959" s="9" t="n">
        <v>46323</v>
      </c>
      <c r="M959" s="8" t="inlineStr">
        <is>
          <t>Approved</t>
        </is>
      </c>
      <c r="N959" s="8" t="inlineStr">
        <is>
          <t>paragraph</t>
        </is>
      </c>
    </row>
    <row r="960" ht="40" customHeight="1">
      <c r="A960" s="4" t="inlineStr">
        <is>
          <t>C13-P0036</t>
        </is>
      </c>
      <c r="B960" s="4" t="inlineStr">
        <is>
          <t>C13</t>
        </is>
      </c>
      <c r="C960" s="4" t="inlineStr">
        <is>
          <t>Kisan Credit Card</t>
        </is>
      </c>
      <c r="D960" s="4" t="inlineStr">
        <is>
          <t>Eligibility</t>
        </is>
      </c>
      <c r="E960" s="4" t="inlineStr">
        <is>
          <t>Eligibility</t>
        </is>
      </c>
      <c r="F960" s="4" t="inlineStr">
        <is>
          <t>en.eligibilityCriteria.eligibilityDescription[1].children[0]</t>
        </is>
      </c>
      <c r="G960" s="4" t="inlineStr">
        <is>
          <t>C13@20261028-241c8bb1</t>
        </is>
      </c>
      <c r="H960" s="4" t="n">
        <v>1</v>
      </c>
      <c r="I960" s="4" t="n">
        <v>1</v>
      </c>
      <c r="J960" s="4" t="inlineStr">
        <is>
          <t>Farmers - individual/joint borrowers who are owner cultivators;</t>
        </is>
      </c>
      <c r="K960" s="4" t="inlineStr">
        <is>
          <t>MS-C13</t>
        </is>
      </c>
      <c r="L960" s="6" t="n">
        <v>46323</v>
      </c>
      <c r="M960" s="4" t="inlineStr">
        <is>
          <t>Approved</t>
        </is>
      </c>
      <c r="N960" s="4" t="inlineStr">
        <is>
          <t>list_item</t>
        </is>
      </c>
    </row>
    <row r="961" ht="40" customHeight="1">
      <c r="A961" s="8" t="inlineStr">
        <is>
          <t>C13-P0037</t>
        </is>
      </c>
      <c r="B961" s="8" t="inlineStr">
        <is>
          <t>C13</t>
        </is>
      </c>
      <c r="C961" s="8" t="inlineStr">
        <is>
          <t>Kisan Credit Card</t>
        </is>
      </c>
      <c r="D961" s="8" t="inlineStr">
        <is>
          <t>Eligibility</t>
        </is>
      </c>
      <c r="E961" s="8" t="inlineStr">
        <is>
          <t>Eligibility</t>
        </is>
      </c>
      <c r="F961" s="8" t="inlineStr">
        <is>
          <t>en.eligibilityCriteria.eligibilityDescription[1].children[1]</t>
        </is>
      </c>
      <c r="G961" s="8" t="inlineStr">
        <is>
          <t>C13@20261028-241c8bb1</t>
        </is>
      </c>
      <c r="H961" s="8" t="n">
        <v>1</v>
      </c>
      <c r="I961" s="8" t="n">
        <v>1</v>
      </c>
      <c r="J961" s="8" t="inlineStr">
        <is>
          <t>Tenant farmers, oral lessees &amp; share croppers;</t>
        </is>
      </c>
      <c r="K961" s="8" t="inlineStr">
        <is>
          <t>MS-C13</t>
        </is>
      </c>
      <c r="L961" s="9" t="n">
        <v>46323</v>
      </c>
      <c r="M961" s="8" t="inlineStr">
        <is>
          <t>Approved</t>
        </is>
      </c>
      <c r="N961" s="8" t="inlineStr">
        <is>
          <t>list_item</t>
        </is>
      </c>
    </row>
    <row r="962" ht="40" customHeight="1">
      <c r="A962" s="4" t="inlineStr">
        <is>
          <t>C13-P0038</t>
        </is>
      </c>
      <c r="B962" s="4" t="inlineStr">
        <is>
          <t>C13</t>
        </is>
      </c>
      <c r="C962" s="4" t="inlineStr">
        <is>
          <t>Kisan Credit Card</t>
        </is>
      </c>
      <c r="D962" s="4" t="inlineStr">
        <is>
          <t>Eligibility</t>
        </is>
      </c>
      <c r="E962" s="4" t="inlineStr">
        <is>
          <t>Eligibility</t>
        </is>
      </c>
      <c r="F962" s="4" t="inlineStr">
        <is>
          <t>en.eligibilityCriteria.eligibilityDescription[1].children[2]</t>
        </is>
      </c>
      <c r="G962" s="4" t="inlineStr">
        <is>
          <t>C13@20261028-241c8bb1</t>
        </is>
      </c>
      <c r="H962" s="4" t="n">
        <v>1</v>
      </c>
      <c r="I962" s="4" t="n">
        <v>1</v>
      </c>
      <c r="J962" s="4" t="inlineStr">
        <is>
          <t>Self Help Groups (SHGs) or Joint Liability Groups (JLGs) of farmers including tenant farmers, share croppers etc</t>
        </is>
      </c>
      <c r="K962" s="4" t="inlineStr">
        <is>
          <t>MS-C13</t>
        </is>
      </c>
      <c r="L962" s="6" t="n">
        <v>46323</v>
      </c>
      <c r="M962" s="4" t="inlineStr">
        <is>
          <t>Approved</t>
        </is>
      </c>
      <c r="N962" s="4" t="inlineStr">
        <is>
          <t>list_item</t>
        </is>
      </c>
    </row>
    <row r="963" ht="40" customHeight="1">
      <c r="A963" s="8" t="inlineStr">
        <is>
          <t>C13-P0039</t>
        </is>
      </c>
      <c r="B963" s="8" t="inlineStr">
        <is>
          <t>C13</t>
        </is>
      </c>
      <c r="C963" s="8" t="inlineStr">
        <is>
          <t>Kisan Credit Card</t>
        </is>
      </c>
      <c r="D963" s="8" t="inlineStr">
        <is>
          <t>Applicant documents</t>
        </is>
      </c>
      <c r="E963" s="8" t="inlineStr"/>
      <c r="F963" s="8" t="inlineStr">
        <is>
          <t>documents.en.documents_required[0].children[0]</t>
        </is>
      </c>
      <c r="G963" s="8" t="inlineStr">
        <is>
          <t>C13@20261028-241c8bb1</t>
        </is>
      </c>
      <c r="H963" s="8" t="n">
        <v>1</v>
      </c>
      <c r="I963" s="8" t="n">
        <v>1</v>
      </c>
      <c r="J963" s="8" t="inlineStr">
        <is>
          <t>Application Form.</t>
        </is>
      </c>
      <c r="K963" s="8" t="inlineStr">
        <is>
          <t>MS-C13</t>
        </is>
      </c>
      <c r="L963" s="9" t="n">
        <v>46323</v>
      </c>
      <c r="M963" s="8" t="inlineStr">
        <is>
          <t>Approved</t>
        </is>
      </c>
      <c r="N963" s="8" t="inlineStr">
        <is>
          <t>list_item</t>
        </is>
      </c>
    </row>
    <row r="964" ht="40" customHeight="1">
      <c r="A964" s="4" t="inlineStr">
        <is>
          <t>C13-P0040</t>
        </is>
      </c>
      <c r="B964" s="4" t="inlineStr">
        <is>
          <t>C13</t>
        </is>
      </c>
      <c r="C964" s="4" t="inlineStr">
        <is>
          <t>Kisan Credit Card</t>
        </is>
      </c>
      <c r="D964" s="4" t="inlineStr">
        <is>
          <t>Applicant documents</t>
        </is>
      </c>
      <c r="E964" s="4" t="inlineStr"/>
      <c r="F964" s="4" t="inlineStr">
        <is>
          <t>documents.en.documents_required[0].children[1]</t>
        </is>
      </c>
      <c r="G964" s="4" t="inlineStr">
        <is>
          <t>C13@20261028-241c8bb1</t>
        </is>
      </c>
      <c r="H964" s="4" t="n">
        <v>1</v>
      </c>
      <c r="I964" s="4" t="n">
        <v>1</v>
      </c>
      <c r="J964" s="4" t="inlineStr">
        <is>
          <t>Two Passport Size Photographs.</t>
        </is>
      </c>
      <c r="K964" s="4" t="inlineStr">
        <is>
          <t>MS-C13</t>
        </is>
      </c>
      <c r="L964" s="6" t="n">
        <v>46323</v>
      </c>
      <c r="M964" s="4" t="inlineStr">
        <is>
          <t>Approved</t>
        </is>
      </c>
      <c r="N964" s="4" t="inlineStr">
        <is>
          <t>list_item</t>
        </is>
      </c>
    </row>
    <row r="965" ht="40" customHeight="1">
      <c r="A965" s="8" t="inlineStr">
        <is>
          <t>C13-P0041</t>
        </is>
      </c>
      <c r="B965" s="8" t="inlineStr">
        <is>
          <t>C13</t>
        </is>
      </c>
      <c r="C965" s="8" t="inlineStr">
        <is>
          <t>Kisan Credit Card</t>
        </is>
      </c>
      <c r="D965" s="8" t="inlineStr">
        <is>
          <t>Applicant documents</t>
        </is>
      </c>
      <c r="E965" s="8" t="inlineStr"/>
      <c r="F965" s="8" t="inlineStr">
        <is>
          <t>documents.en.documents_required[0].children[2]</t>
        </is>
      </c>
      <c r="G965" s="8" t="inlineStr">
        <is>
          <t>C13@20261028-241c8bb1</t>
        </is>
      </c>
      <c r="H965" s="8" t="n">
        <v>1</v>
      </c>
      <c r="I965" s="8" t="n">
        <v>1</v>
      </c>
      <c r="J965" s="8" t="inlineStr">
        <is>
          <t>ID proof such as Driving License / Aadhar Card / Voter Identity Card / Passport.</t>
        </is>
      </c>
      <c r="K965" s="8" t="inlineStr">
        <is>
          <t>MS-C13</t>
        </is>
      </c>
      <c r="L965" s="9" t="n">
        <v>46323</v>
      </c>
      <c r="M965" s="8" t="inlineStr">
        <is>
          <t>Approved</t>
        </is>
      </c>
      <c r="N965" s="8" t="inlineStr">
        <is>
          <t>list_item</t>
        </is>
      </c>
    </row>
    <row r="966" ht="40" customHeight="1">
      <c r="A966" s="4" t="inlineStr">
        <is>
          <t>C13-P0042</t>
        </is>
      </c>
      <c r="B966" s="4" t="inlineStr">
        <is>
          <t>C13</t>
        </is>
      </c>
      <c r="C966" s="4" t="inlineStr">
        <is>
          <t>Kisan Credit Card</t>
        </is>
      </c>
      <c r="D966" s="4" t="inlineStr">
        <is>
          <t>Applicant documents</t>
        </is>
      </c>
      <c r="E966" s="4" t="inlineStr"/>
      <c r="F966" s="4" t="inlineStr">
        <is>
          <t>documents.en.documents_required[0].children[3]</t>
        </is>
      </c>
      <c r="G966" s="4" t="inlineStr">
        <is>
          <t>C13@20261028-241c8bb1</t>
        </is>
      </c>
      <c r="H966" s="4" t="n">
        <v>1</v>
      </c>
      <c r="I966" s="4" t="n">
        <v>1</v>
      </c>
      <c r="J966" s="4" t="inlineStr">
        <is>
          <t>Address Proof such as Driving License, Aadhar Card.</t>
        </is>
      </c>
      <c r="K966" s="4" t="inlineStr">
        <is>
          <t>MS-C13</t>
        </is>
      </c>
      <c r="L966" s="6" t="n">
        <v>46323</v>
      </c>
      <c r="M966" s="4" t="inlineStr">
        <is>
          <t>Approved</t>
        </is>
      </c>
      <c r="N966" s="4" t="inlineStr">
        <is>
          <t>list_item</t>
        </is>
      </c>
    </row>
    <row r="967" ht="40" customHeight="1">
      <c r="A967" s="8" t="inlineStr">
        <is>
          <t>C13-P0043</t>
        </is>
      </c>
      <c r="B967" s="8" t="inlineStr">
        <is>
          <t>C13</t>
        </is>
      </c>
      <c r="C967" s="8" t="inlineStr">
        <is>
          <t>Kisan Credit Card</t>
        </is>
      </c>
      <c r="D967" s="8" t="inlineStr">
        <is>
          <t>Applicant documents</t>
        </is>
      </c>
      <c r="E967" s="8" t="inlineStr"/>
      <c r="F967" s="8" t="inlineStr">
        <is>
          <t>documents.en.documents_required[0].children[4]</t>
        </is>
      </c>
      <c r="G967" s="8" t="inlineStr">
        <is>
          <t>C13@20261028-241c8bb1</t>
        </is>
      </c>
      <c r="H967" s="8" t="n">
        <v>1</v>
      </c>
      <c r="I967" s="8" t="n">
        <v>1</v>
      </c>
      <c r="J967" s="8" t="inlineStr">
        <is>
          <t>Proof of landholding duly certified by the revenue authorities.</t>
        </is>
      </c>
      <c r="K967" s="8" t="inlineStr">
        <is>
          <t>MS-C13</t>
        </is>
      </c>
      <c r="L967" s="9" t="n">
        <v>46323</v>
      </c>
      <c r="M967" s="8" t="inlineStr">
        <is>
          <t>Approved</t>
        </is>
      </c>
      <c r="N967" s="8" t="inlineStr">
        <is>
          <t>list_item</t>
        </is>
      </c>
    </row>
    <row r="968" ht="40" customHeight="1">
      <c r="A968" s="4" t="inlineStr">
        <is>
          <t>C13-P0044</t>
        </is>
      </c>
      <c r="B968" s="4" t="inlineStr">
        <is>
          <t>C13</t>
        </is>
      </c>
      <c r="C968" s="4" t="inlineStr">
        <is>
          <t>Kisan Credit Card</t>
        </is>
      </c>
      <c r="D968" s="4" t="inlineStr">
        <is>
          <t>Applicant documents</t>
        </is>
      </c>
      <c r="E968" s="4" t="inlineStr"/>
      <c r="F968" s="4" t="inlineStr">
        <is>
          <t>documents.en.documents_required[0].children[5]</t>
        </is>
      </c>
      <c r="G968" s="4" t="inlineStr">
        <is>
          <t>C13@20261028-241c8bb1</t>
        </is>
      </c>
      <c r="H968" s="4" t="n">
        <v>1</v>
      </c>
      <c r="I968" s="4" t="n">
        <v>1</v>
      </c>
      <c r="J968" s="4" t="inlineStr">
        <is>
          <t>Cropping pattern (Crops grown) with acreage.</t>
        </is>
      </c>
      <c r="K968" s="4" t="inlineStr">
        <is>
          <t>MS-C13</t>
        </is>
      </c>
      <c r="L968" s="6" t="n">
        <v>46323</v>
      </c>
      <c r="M968" s="4" t="inlineStr">
        <is>
          <t>Approved</t>
        </is>
      </c>
      <c r="N968" s="4" t="inlineStr">
        <is>
          <t>list_item</t>
        </is>
      </c>
    </row>
    <row r="969" ht="40" customHeight="1">
      <c r="A969" s="8" t="inlineStr">
        <is>
          <t>C13-P0045</t>
        </is>
      </c>
      <c r="B969" s="8" t="inlineStr">
        <is>
          <t>C13</t>
        </is>
      </c>
      <c r="C969" s="8" t="inlineStr">
        <is>
          <t>Kisan Credit Card</t>
        </is>
      </c>
      <c r="D969" s="8" t="inlineStr">
        <is>
          <t>Applicant documents</t>
        </is>
      </c>
      <c r="E969" s="8" t="inlineStr"/>
      <c r="F969" s="8" t="inlineStr">
        <is>
          <t>documents.en.documents_required[0].children[6]</t>
        </is>
      </c>
      <c r="G969" s="8" t="inlineStr">
        <is>
          <t>C13@20261028-241c8bb1</t>
        </is>
      </c>
      <c r="H969" s="8" t="n">
        <v>1</v>
      </c>
      <c r="I969" s="8" t="n">
        <v>1</v>
      </c>
      <c r="J969" s="8" t="inlineStr">
        <is>
          <t>Security documents for loan limit above Rs.1.60 lakhs / Rs.3.00 lakhs, as applicable.</t>
        </is>
      </c>
      <c r="K969" s="8" t="inlineStr">
        <is>
          <t>MS-C13</t>
        </is>
      </c>
      <c r="L969" s="9" t="n">
        <v>46323</v>
      </c>
      <c r="M969" s="8" t="inlineStr">
        <is>
          <t>Approved</t>
        </is>
      </c>
      <c r="N969" s="8" t="inlineStr">
        <is>
          <t>list_item</t>
        </is>
      </c>
    </row>
    <row r="970" ht="40" customHeight="1">
      <c r="A970" s="4" t="inlineStr">
        <is>
          <t>C13-P0046</t>
        </is>
      </c>
      <c r="B970" s="4" t="inlineStr">
        <is>
          <t>C13</t>
        </is>
      </c>
      <c r="C970" s="4" t="inlineStr">
        <is>
          <t>Kisan Credit Card</t>
        </is>
      </c>
      <c r="D970" s="4" t="inlineStr">
        <is>
          <t>Applicant documents</t>
        </is>
      </c>
      <c r="E970" s="4" t="inlineStr"/>
      <c r="F970" s="4" t="inlineStr">
        <is>
          <t>documents.en.documents_required[0].children[7]</t>
        </is>
      </c>
      <c r="G970" s="4" t="inlineStr">
        <is>
          <t>C13@20261028-241c8bb1</t>
        </is>
      </c>
      <c r="H970" s="4" t="n">
        <v>1</v>
      </c>
      <c r="I970" s="4" t="n">
        <v>1</v>
      </c>
      <c r="J970" s="4" t="inlineStr">
        <is>
          <t>Any other document as per sanction.</t>
        </is>
      </c>
      <c r="K970" s="4" t="inlineStr">
        <is>
          <t>MS-C13</t>
        </is>
      </c>
      <c r="L970" s="6" t="n">
        <v>46323</v>
      </c>
      <c r="M970" s="4" t="inlineStr">
        <is>
          <t>Approved</t>
        </is>
      </c>
      <c r="N970" s="4" t="inlineStr">
        <is>
          <t>list_item</t>
        </is>
      </c>
    </row>
    <row r="971" ht="40" customHeight="1">
      <c r="A971" s="8" t="inlineStr">
        <is>
          <t>C13-P0047</t>
        </is>
      </c>
      <c r="B971" s="8" t="inlineStr">
        <is>
          <t>C13</t>
        </is>
      </c>
      <c r="C971" s="8" t="inlineStr">
        <is>
          <t>Kisan Credit Card</t>
        </is>
      </c>
      <c r="D971" s="8" t="inlineStr">
        <is>
          <t>Application process</t>
        </is>
      </c>
      <c r="E971" s="8" t="inlineStr"/>
      <c r="F971" s="8" t="inlineStr">
        <is>
          <t>en.applicationProcess[0].process[0].children[0]</t>
        </is>
      </c>
      <c r="G971" s="8" t="inlineStr">
        <is>
          <t>C13@20261028-241c8bb1</t>
        </is>
      </c>
      <c r="H971" s="8" t="n">
        <v>1</v>
      </c>
      <c r="I971" s="8" t="n">
        <v>1</v>
      </c>
      <c r="J971" s="8" t="inlineStr">
        <is>
          <t>Visit the website of the bank you wish to apply for the kisan credit card scheme.</t>
        </is>
      </c>
      <c r="K971" s="8" t="inlineStr">
        <is>
          <t>MS-C13</t>
        </is>
      </c>
      <c r="L971" s="9" t="n">
        <v>46323</v>
      </c>
      <c r="M971" s="8" t="inlineStr">
        <is>
          <t>Approved</t>
        </is>
      </c>
      <c r="N971" s="8" t="inlineStr">
        <is>
          <t>list_item</t>
        </is>
      </c>
    </row>
    <row r="972" ht="40" customHeight="1">
      <c r="A972" s="4" t="inlineStr">
        <is>
          <t>C13-P0048</t>
        </is>
      </c>
      <c r="B972" s="4" t="inlineStr">
        <is>
          <t>C13</t>
        </is>
      </c>
      <c r="C972" s="4" t="inlineStr">
        <is>
          <t>Kisan Credit Card</t>
        </is>
      </c>
      <c r="D972" s="4" t="inlineStr">
        <is>
          <t>Application process</t>
        </is>
      </c>
      <c r="E972" s="4" t="inlineStr"/>
      <c r="F972" s="4" t="inlineStr">
        <is>
          <t>en.applicationProcess[0].process[0].children[1]</t>
        </is>
      </c>
      <c r="G972" s="4" t="inlineStr">
        <is>
          <t>C13@20261028-241c8bb1</t>
        </is>
      </c>
      <c r="H972" s="4" t="n">
        <v>1</v>
      </c>
      <c r="I972" s="4" t="n">
        <v>1</v>
      </c>
      <c r="J972" s="4" t="inlineStr">
        <is>
          <t>From the list of options, choose the Kisan Credit Card.</t>
        </is>
      </c>
      <c r="K972" s="4" t="inlineStr">
        <is>
          <t>MS-C13</t>
        </is>
      </c>
      <c r="L972" s="6" t="n">
        <v>46323</v>
      </c>
      <c r="M972" s="4" t="inlineStr">
        <is>
          <t>Approved</t>
        </is>
      </c>
      <c r="N972" s="4" t="inlineStr">
        <is>
          <t>list_item</t>
        </is>
      </c>
    </row>
    <row r="973" ht="40" customHeight="1">
      <c r="A973" s="8" t="inlineStr">
        <is>
          <t>C13-P0049</t>
        </is>
      </c>
      <c r="B973" s="8" t="inlineStr">
        <is>
          <t>C13</t>
        </is>
      </c>
      <c r="C973" s="8" t="inlineStr">
        <is>
          <t>Kisan Credit Card</t>
        </is>
      </c>
      <c r="D973" s="8" t="inlineStr">
        <is>
          <t>Application process</t>
        </is>
      </c>
      <c r="E973" s="8" t="inlineStr"/>
      <c r="F973" s="8" t="inlineStr">
        <is>
          <t>en.applicationProcess[0].process[0].children[2]</t>
        </is>
      </c>
      <c r="G973" s="8" t="inlineStr">
        <is>
          <t>C13@20261028-241c8bb1</t>
        </is>
      </c>
      <c r="H973" s="8" t="n">
        <v>1</v>
      </c>
      <c r="I973" s="8" t="n">
        <v>1</v>
      </c>
      <c r="J973" s="8" t="inlineStr">
        <is>
          <t>On clicking the option of ‘Apply’, the website will redirect you to the application page.</t>
        </is>
      </c>
      <c r="K973" s="8" t="inlineStr">
        <is>
          <t>MS-C13</t>
        </is>
      </c>
      <c r="L973" s="9" t="n">
        <v>46323</v>
      </c>
      <c r="M973" s="8" t="inlineStr">
        <is>
          <t>Approved</t>
        </is>
      </c>
      <c r="N973" s="8" t="inlineStr">
        <is>
          <t>list_item</t>
        </is>
      </c>
    </row>
    <row r="974" ht="40" customHeight="1">
      <c r="A974" s="4" t="inlineStr">
        <is>
          <t>C13-P0050</t>
        </is>
      </c>
      <c r="B974" s="4" t="inlineStr">
        <is>
          <t>C13</t>
        </is>
      </c>
      <c r="C974" s="4" t="inlineStr">
        <is>
          <t>Kisan Credit Card</t>
        </is>
      </c>
      <c r="D974" s="4" t="inlineStr">
        <is>
          <t>Application process</t>
        </is>
      </c>
      <c r="E974" s="4" t="inlineStr"/>
      <c r="F974" s="4" t="inlineStr">
        <is>
          <t>en.applicationProcess[0].process[0].children[3]</t>
        </is>
      </c>
      <c r="G974" s="4" t="inlineStr">
        <is>
          <t>C13@20261028-241c8bb1</t>
        </is>
      </c>
      <c r="H974" s="4" t="n">
        <v>1</v>
      </c>
      <c r="I974" s="4" t="n">
        <v>1</v>
      </c>
      <c r="J974" s="4" t="inlineStr">
        <is>
          <t>Fill the form with the required details and click on ‘Submit’.</t>
        </is>
      </c>
      <c r="K974" s="4" t="inlineStr">
        <is>
          <t>MS-C13</t>
        </is>
      </c>
      <c r="L974" s="6" t="n">
        <v>46323</v>
      </c>
      <c r="M974" s="4" t="inlineStr">
        <is>
          <t>Approved</t>
        </is>
      </c>
      <c r="N974" s="4" t="inlineStr">
        <is>
          <t>list_item</t>
        </is>
      </c>
    </row>
    <row r="975" ht="40" customHeight="1">
      <c r="A975" s="8" t="inlineStr">
        <is>
          <t>C13-P0051</t>
        </is>
      </c>
      <c r="B975" s="8" t="inlineStr">
        <is>
          <t>C13</t>
        </is>
      </c>
      <c r="C975" s="8" t="inlineStr">
        <is>
          <t>Kisan Credit Card</t>
        </is>
      </c>
      <c r="D975" s="8" t="inlineStr">
        <is>
          <t>Application process</t>
        </is>
      </c>
      <c r="E975" s="8" t="inlineStr"/>
      <c r="F975" s="8" t="inlineStr">
        <is>
          <t>en.applicationProcess[0].process[0].children[4]</t>
        </is>
      </c>
      <c r="G975" s="8" t="inlineStr">
        <is>
          <t>C13@20261028-241c8bb1</t>
        </is>
      </c>
      <c r="H975" s="8" t="n">
        <v>1</v>
      </c>
      <c r="I975" s="8" t="n">
        <v>1</v>
      </c>
      <c r="J975" s="8" t="inlineStr">
        <is>
          <t>On doing so, an application reference number will be sent. If you are eligible, the bank will get back to you for the further process within 3-4 working days.</t>
        </is>
      </c>
      <c r="K975" s="8" t="inlineStr">
        <is>
          <t>MS-C13</t>
        </is>
      </c>
      <c r="L975" s="9" t="n">
        <v>46323</v>
      </c>
      <c r="M975" s="8" t="inlineStr">
        <is>
          <t>Approved</t>
        </is>
      </c>
      <c r="N975" s="8" t="inlineStr">
        <is>
          <t>list_item</t>
        </is>
      </c>
    </row>
    <row r="976" ht="40" customHeight="1">
      <c r="A976" s="4" t="inlineStr">
        <is>
          <t>C13-P0052</t>
        </is>
      </c>
      <c r="B976" s="4" t="inlineStr">
        <is>
          <t>C13</t>
        </is>
      </c>
      <c r="C976" s="4" t="inlineStr">
        <is>
          <t>Kisan Credit Card</t>
        </is>
      </c>
      <c r="D976" s="4" t="inlineStr">
        <is>
          <t>Application process</t>
        </is>
      </c>
      <c r="E976" s="4" t="inlineStr"/>
      <c r="F976" s="4" t="inlineStr">
        <is>
          <t>en.applicationProcess[1].process[0].children[0]</t>
        </is>
      </c>
      <c r="G976" s="4" t="inlineStr">
        <is>
          <t>C13@20261028-241c8bb1</t>
        </is>
      </c>
      <c r="H976" s="4" t="n">
        <v>1</v>
      </c>
      <c r="I976" s="4" t="n">
        <v>1</v>
      </c>
      <c r="J976" s="4" t="inlineStr">
        <is>
          <t>Offline applications can be done by visiting the branch of the bank of your choice or by downloading the application form from the website of the bank as well.</t>
        </is>
      </c>
      <c r="K976" s="4" t="inlineStr">
        <is>
          <t>MS-C13</t>
        </is>
      </c>
      <c r="L976" s="6" t="n">
        <v>46323</v>
      </c>
      <c r="M976" s="4" t="inlineStr">
        <is>
          <t>Approved</t>
        </is>
      </c>
      <c r="N976" s="4" t="inlineStr">
        <is>
          <t>list_item</t>
        </is>
      </c>
    </row>
    <row r="977" ht="40" customHeight="1">
      <c r="A977" s="8" t="inlineStr">
        <is>
          <t>C13-P0053</t>
        </is>
      </c>
      <c r="B977" s="8" t="inlineStr">
        <is>
          <t>C13</t>
        </is>
      </c>
      <c r="C977" s="8" t="inlineStr">
        <is>
          <t>Kisan Credit Card</t>
        </is>
      </c>
      <c r="D977" s="8" t="inlineStr">
        <is>
          <t>Application process</t>
        </is>
      </c>
      <c r="E977" s="8" t="inlineStr"/>
      <c r="F977" s="8" t="inlineStr">
        <is>
          <t>en.applicationProcess[1].process[0].children[1]</t>
        </is>
      </c>
      <c r="G977" s="8" t="inlineStr">
        <is>
          <t>C13@20261028-241c8bb1</t>
        </is>
      </c>
      <c r="H977" s="8" t="n">
        <v>1</v>
      </c>
      <c r="I977" s="8" t="n">
        <v>1</v>
      </c>
      <c r="J977" s="8" t="inlineStr">
        <is>
          <t>The applicant can visit the branch and begin the application process with the help of the bank representative.</t>
        </is>
      </c>
      <c r="K977" s="8" t="inlineStr">
        <is>
          <t>MS-C13</t>
        </is>
      </c>
      <c r="L977" s="9" t="n">
        <v>46323</v>
      </c>
      <c r="M977" s="8" t="inlineStr">
        <is>
          <t>Approved</t>
        </is>
      </c>
      <c r="N977" s="8" t="inlineStr">
        <is>
          <t>list_item</t>
        </is>
      </c>
    </row>
    <row r="978" ht="54" customHeight="1">
      <c r="A978" s="4" t="inlineStr">
        <is>
          <t>C13-P0054</t>
        </is>
      </c>
      <c r="B978" s="4" t="inlineStr">
        <is>
          <t>C13</t>
        </is>
      </c>
      <c r="C978" s="4" t="inlineStr">
        <is>
          <t>Kisan Credit Card</t>
        </is>
      </c>
      <c r="D978" s="4" t="inlineStr">
        <is>
          <t>FAQ</t>
        </is>
      </c>
      <c r="E978" s="4" t="inlineStr"/>
      <c r="F978" s="4" t="inlineStr">
        <is>
          <t>faqs.en.faqs[0]</t>
        </is>
      </c>
      <c r="G978" s="4" t="inlineStr">
        <is>
          <t>C13@20261028-241c8bb1</t>
        </is>
      </c>
      <c r="H978" s="4" t="n">
        <v>1</v>
      </c>
      <c r="I978" s="4" t="n">
        <v>1</v>
      </c>
      <c r="J978" s="4" t="inlineStr">
        <is>
          <t>What is the validity period of the Kisan Credit Card? 
This validity period is 5 years. The tenure you do get depends on the type of activity you plan to use the money for</t>
        </is>
      </c>
      <c r="K978" s="4" t="inlineStr">
        <is>
          <t>MS-C13</t>
        </is>
      </c>
      <c r="L978" s="6" t="n">
        <v>46323</v>
      </c>
      <c r="M978" s="4" t="inlineStr">
        <is>
          <t>Approved</t>
        </is>
      </c>
      <c r="N978" s="4" t="inlineStr">
        <is>
          <t>faq</t>
        </is>
      </c>
    </row>
    <row r="979" ht="54" customHeight="1">
      <c r="A979" s="8" t="inlineStr">
        <is>
          <t>C13-P0055</t>
        </is>
      </c>
      <c r="B979" s="8" t="inlineStr">
        <is>
          <t>C13</t>
        </is>
      </c>
      <c r="C979" s="8" t="inlineStr">
        <is>
          <t>Kisan Credit Card</t>
        </is>
      </c>
      <c r="D979" s="8" t="inlineStr">
        <is>
          <t>FAQ</t>
        </is>
      </c>
      <c r="E979" s="8" t="inlineStr"/>
      <c r="F979" s="8" t="inlineStr">
        <is>
          <t>faqs.en.faqs[1]</t>
        </is>
      </c>
      <c r="G979" s="8" t="inlineStr">
        <is>
          <t>C13@20261028-241c8bb1</t>
        </is>
      </c>
      <c r="H979" s="8" t="n">
        <v>1</v>
      </c>
      <c r="I979" s="8" t="n">
        <v>1</v>
      </c>
      <c r="J979" s="8" t="inlineStr">
        <is>
          <t>What is the age requirement in order to apply for a Kisan Credit Card ?
You should me a minimum of 18 years of age and be a maximum age of 75 years. If you are a senior citizen, then it is mandatory to have a co-borrower who is a legal heir.</t>
        </is>
      </c>
      <c r="K979" s="8" t="inlineStr">
        <is>
          <t>MS-C13</t>
        </is>
      </c>
      <c r="L979" s="9" t="n">
        <v>46323</v>
      </c>
      <c r="M979" s="8" t="inlineStr">
        <is>
          <t>Approved</t>
        </is>
      </c>
      <c r="N979" s="8" t="inlineStr">
        <is>
          <t>faq</t>
        </is>
      </c>
    </row>
    <row r="980" ht="68" customHeight="1">
      <c r="A980" s="4" t="inlineStr">
        <is>
          <t>C13-P0056</t>
        </is>
      </c>
      <c r="B980" s="4" t="inlineStr">
        <is>
          <t>C13</t>
        </is>
      </c>
      <c r="C980" s="4" t="inlineStr">
        <is>
          <t>Kisan Credit Card</t>
        </is>
      </c>
      <c r="D980" s="4" t="inlineStr">
        <is>
          <t>FAQ</t>
        </is>
      </c>
      <c r="E980" s="4" t="inlineStr"/>
      <c r="F980" s="4" t="inlineStr">
        <is>
          <t>faqs.en.faqs[2]</t>
        </is>
      </c>
      <c r="G980" s="4" t="inlineStr">
        <is>
          <t>C13@20261028-241c8bb1</t>
        </is>
      </c>
      <c r="H980" s="4" t="n">
        <v>1</v>
      </c>
      <c r="I980" s="4" t="n">
        <v>1</v>
      </c>
      <c r="J980" s="4" t="inlineStr">
        <is>
          <t>What is the interest rate applicable on the KCC ?
The interest rate will be left to the discretion of the bank. However, according to the KCC circular dated 20 April 2012, the interest rate is 7% p.a. on short-term credit with a Rs.3 lakh upper limit on the principal amount.</t>
        </is>
      </c>
      <c r="K980" s="4" t="inlineStr">
        <is>
          <t>MS-C13</t>
        </is>
      </c>
      <c r="L980" s="6" t="n">
        <v>46323</v>
      </c>
      <c r="M980" s="4" t="inlineStr">
        <is>
          <t>Approved</t>
        </is>
      </c>
      <c r="N980" s="4" t="inlineStr">
        <is>
          <t>faq</t>
        </is>
      </c>
    </row>
    <row r="981" ht="40" customHeight="1">
      <c r="A981" s="8" t="inlineStr">
        <is>
          <t>C13-P0057</t>
        </is>
      </c>
      <c r="B981" s="8" t="inlineStr">
        <is>
          <t>C13</t>
        </is>
      </c>
      <c r="C981" s="8" t="inlineStr">
        <is>
          <t>Kisan Credit Card</t>
        </is>
      </c>
      <c r="D981" s="8" t="inlineStr">
        <is>
          <t>FAQ</t>
        </is>
      </c>
      <c r="E981" s="8" t="inlineStr"/>
      <c r="F981" s="8" t="inlineStr">
        <is>
          <t>faqs.en.faqs[3]</t>
        </is>
      </c>
      <c r="G981" s="8" t="inlineStr">
        <is>
          <t>C13@20261028-241c8bb1</t>
        </is>
      </c>
      <c r="H981" s="8" t="n">
        <v>1</v>
      </c>
      <c r="I981" s="8" t="n">
        <v>1</v>
      </c>
      <c r="J981" s="8" t="inlineStr">
        <is>
          <t>What are the type of facilities available for finance under the scheme
Kisan Credit Card &amp; Term loan</t>
        </is>
      </c>
      <c r="K981" s="8" t="inlineStr">
        <is>
          <t>MS-C13</t>
        </is>
      </c>
      <c r="L981" s="9" t="n">
        <v>46323</v>
      </c>
      <c r="M981" s="8" t="inlineStr">
        <is>
          <t>Approved</t>
        </is>
      </c>
      <c r="N981" s="8" t="inlineStr">
        <is>
          <t>faq</t>
        </is>
      </c>
    </row>
    <row r="982" ht="68" customHeight="1">
      <c r="A982" s="4" t="inlineStr">
        <is>
          <t>C13-P0058</t>
        </is>
      </c>
      <c r="B982" s="4" t="inlineStr">
        <is>
          <t>C13</t>
        </is>
      </c>
      <c r="C982" s="4" t="inlineStr">
        <is>
          <t>Kisan Credit Card</t>
        </is>
      </c>
      <c r="D982" s="4" t="inlineStr">
        <is>
          <t>FAQ</t>
        </is>
      </c>
      <c r="E982" s="4" t="inlineStr"/>
      <c r="F982" s="4" t="inlineStr">
        <is>
          <t>faqs.en.faqs[4]</t>
        </is>
      </c>
      <c r="G982" s="4" t="inlineStr">
        <is>
          <t>C13@20261028-241c8bb1</t>
        </is>
      </c>
      <c r="H982" s="4" t="n">
        <v>1</v>
      </c>
      <c r="I982" s="4" t="n">
        <v>1</v>
      </c>
      <c r="J982" s="4" t="inlineStr">
        <is>
          <t>What are the Security norms for financing under Kisan credit card
For limits upto Rs.1.60 lakh &amp; limts up to Rs.3 lakh (in case of tie up), security is the hypothecation of crops. For limits above the specified norms, mortgage of land/ or third party guarantee in addition to hypothecated crops / asset</t>
        </is>
      </c>
      <c r="K982" s="4" t="inlineStr">
        <is>
          <t>MS-C13</t>
        </is>
      </c>
      <c r="L982" s="6" t="n">
        <v>46323</v>
      </c>
      <c r="M982" s="4" t="inlineStr">
        <is>
          <t>Approved</t>
        </is>
      </c>
      <c r="N982" s="4" t="inlineStr">
        <is>
          <t>faq</t>
        </is>
      </c>
    </row>
    <row r="983" ht="82" customHeight="1">
      <c r="A983" s="8" t="inlineStr">
        <is>
          <t>C13-P0059</t>
        </is>
      </c>
      <c r="B983" s="8" t="inlineStr">
        <is>
          <t>C13</t>
        </is>
      </c>
      <c r="C983" s="8" t="inlineStr">
        <is>
          <t>Kisan Credit Card</t>
        </is>
      </c>
      <c r="D983" s="8" t="inlineStr">
        <is>
          <t>FAQ</t>
        </is>
      </c>
      <c r="E983" s="8" t="inlineStr"/>
      <c r="F983" s="8" t="inlineStr">
        <is>
          <t>faqs.en.faqs[5]</t>
        </is>
      </c>
      <c r="G983" s="8" t="inlineStr">
        <is>
          <t>C13@20261028-241c8bb1</t>
        </is>
      </c>
      <c r="H983" s="8" t="n">
        <v>1</v>
      </c>
      <c r="I983" s="8" t="n">
        <v>1</v>
      </c>
      <c r="J983" s="8" t="inlineStr">
        <is>
          <t>What are benefits provided by Govt of India to improve finance under KCC
The interest subvention @2% and prompt repayment incentive benefit @3% on KCC
loan (i.e. crop loan+ working capital loan for animal husbandry and fisheries) will be available on an overall limit of Rs. 3 lakh per annum and subject to a maximum limit of Rs. 2 lakh per farmer involved in activities only related to animal husbandry and / or fisheries.</t>
        </is>
      </c>
      <c r="K983" s="8" t="inlineStr">
        <is>
          <t>MS-C13</t>
        </is>
      </c>
      <c r="L983" s="9" t="n">
        <v>46323</v>
      </c>
      <c r="M983" s="8" t="inlineStr">
        <is>
          <t>Approved</t>
        </is>
      </c>
      <c r="N983" s="8" t="inlineStr">
        <is>
          <t>faq</t>
        </is>
      </c>
    </row>
    <row r="984" ht="110" customHeight="1">
      <c r="A984" s="4" t="inlineStr">
        <is>
          <t>C14-P0001</t>
        </is>
      </c>
      <c r="B984" s="4" t="inlineStr">
        <is>
          <t>C14</t>
        </is>
      </c>
      <c r="C984" s="4" t="inlineStr">
        <is>
          <t>Pradhan Mantri Fasal Bima Yojna (PMFBY)</t>
        </is>
      </c>
      <c r="D984" s="4" t="inlineStr">
        <is>
          <t>Details</t>
        </is>
      </c>
      <c r="E984" s="4" t="inlineStr"/>
      <c r="F984" s="4" t="inlineStr">
        <is>
          <t>en.schemeContent.detailedDescription[0].children[0]</t>
        </is>
      </c>
      <c r="G984" s="4" t="inlineStr">
        <is>
          <t>C14@20261028-9029f2b7</t>
        </is>
      </c>
      <c r="H984" s="4" t="n">
        <v>1</v>
      </c>
      <c r="I984" s="4" t="n">
        <v>1</v>
      </c>
      <c r="J984" s="4" t="inlineStr">
        <is>
          <t>Launched on 18th February 2016, "Pradhan Mantri Fasal Bima Yojana"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t>
        </is>
      </c>
      <c r="K984" s="4" t="inlineStr">
        <is>
          <t>MS-C14</t>
        </is>
      </c>
      <c r="L984" s="6" t="n">
        <v>46323</v>
      </c>
      <c r="M984" s="4" t="inlineStr">
        <is>
          <t>Approved</t>
        </is>
      </c>
      <c r="N984" s="4" t="inlineStr">
        <is>
          <t>paragraph</t>
        </is>
      </c>
    </row>
    <row r="985" ht="40" customHeight="1">
      <c r="A985" s="8" t="inlineStr">
        <is>
          <t>C14-P0002</t>
        </is>
      </c>
      <c r="B985" s="8" t="inlineStr">
        <is>
          <t>C14</t>
        </is>
      </c>
      <c r="C985" s="8" t="inlineStr">
        <is>
          <t>Pradhan Mantri Fasal Bima Yojna (PMFBY)</t>
        </is>
      </c>
      <c r="D985" s="8" t="inlineStr">
        <is>
          <t>Details</t>
        </is>
      </c>
      <c r="E985" s="8" t="inlineStr">
        <is>
          <t>Objectives</t>
        </is>
      </c>
      <c r="F985" s="8" t="inlineStr">
        <is>
          <t>en.schemeContent.detailedDescription[0].children[1]</t>
        </is>
      </c>
      <c r="G985" s="8" t="inlineStr">
        <is>
          <t>C14@20261028-9029f2b7</t>
        </is>
      </c>
      <c r="H985" s="8" t="n">
        <v>1</v>
      </c>
      <c r="I985" s="8" t="n">
        <v>1</v>
      </c>
      <c r="J985" s="8" t="inlineStr">
        <is>
          <t>Objectives</t>
        </is>
      </c>
      <c r="K985" s="8" t="inlineStr">
        <is>
          <t>MS-C14</t>
        </is>
      </c>
      <c r="L985" s="9" t="n">
        <v>46323</v>
      </c>
      <c r="M985" s="8" t="inlineStr">
        <is>
          <t>Approved</t>
        </is>
      </c>
      <c r="N985" s="8" t="inlineStr">
        <is>
          <t>paragraph</t>
        </is>
      </c>
    </row>
    <row r="986" ht="40" customHeight="1">
      <c r="A986" s="4" t="inlineStr">
        <is>
          <t>C14-P0003</t>
        </is>
      </c>
      <c r="B986" s="4" t="inlineStr">
        <is>
          <t>C14</t>
        </is>
      </c>
      <c r="C986" s="4" t="inlineStr">
        <is>
          <t>Pradhan Mantri Fasal Bima Yojna (PMFBY)</t>
        </is>
      </c>
      <c r="D986" s="4" t="inlineStr">
        <is>
          <t>Details</t>
        </is>
      </c>
      <c r="E986" s="4" t="inlineStr">
        <is>
          <t>Objectives</t>
        </is>
      </c>
      <c r="F986" s="4" t="inlineStr">
        <is>
          <t>en.schemeContent.detailedDescription[0].children[2].children[0]</t>
        </is>
      </c>
      <c r="G986" s="4" t="inlineStr">
        <is>
          <t>C14@20261028-9029f2b7</t>
        </is>
      </c>
      <c r="H986" s="4" t="n">
        <v>1</v>
      </c>
      <c r="I986" s="4" t="n">
        <v>1</v>
      </c>
      <c r="J986" s="4" t="inlineStr">
        <is>
          <t>To provide financial assistance and support to farmers suffering from crop damage or loss arising out of unforeseen events.</t>
        </is>
      </c>
      <c r="K986" s="4" t="inlineStr">
        <is>
          <t>MS-C14</t>
        </is>
      </c>
      <c r="L986" s="6" t="n">
        <v>46323</v>
      </c>
      <c r="M986" s="4" t="inlineStr">
        <is>
          <t>Approved</t>
        </is>
      </c>
      <c r="N986" s="4" t="inlineStr">
        <is>
          <t>list_item</t>
        </is>
      </c>
    </row>
    <row r="987" ht="40" customHeight="1">
      <c r="A987" s="8" t="inlineStr">
        <is>
          <t>C14-P0004</t>
        </is>
      </c>
      <c r="B987" s="8" t="inlineStr">
        <is>
          <t>C14</t>
        </is>
      </c>
      <c r="C987" s="8" t="inlineStr">
        <is>
          <t>Pradhan Mantri Fasal Bima Yojna (PMFBY)</t>
        </is>
      </c>
      <c r="D987" s="8" t="inlineStr">
        <is>
          <t>Details</t>
        </is>
      </c>
      <c r="E987" s="8" t="inlineStr">
        <is>
          <t>Objectives</t>
        </is>
      </c>
      <c r="F987" s="8" t="inlineStr">
        <is>
          <t>en.schemeContent.detailedDescription[0].children[2].children[1]</t>
        </is>
      </c>
      <c r="G987" s="8" t="inlineStr">
        <is>
          <t>C14@20261028-9029f2b7</t>
        </is>
      </c>
      <c r="H987" s="8" t="n">
        <v>1</v>
      </c>
      <c r="I987" s="8" t="n">
        <v>1</v>
      </c>
      <c r="J987" s="8" t="inlineStr">
        <is>
          <t>To stabilise the income of farmers and ensure continuance in farming.</t>
        </is>
      </c>
      <c r="K987" s="8" t="inlineStr">
        <is>
          <t>MS-C14</t>
        </is>
      </c>
      <c r="L987" s="9" t="n">
        <v>46323</v>
      </c>
      <c r="M987" s="8" t="inlineStr">
        <is>
          <t>Approved</t>
        </is>
      </c>
      <c r="N987" s="8" t="inlineStr">
        <is>
          <t>list_item</t>
        </is>
      </c>
    </row>
    <row r="988" ht="40" customHeight="1">
      <c r="A988" s="4" t="inlineStr">
        <is>
          <t>C14-P0005</t>
        </is>
      </c>
      <c r="B988" s="4" t="inlineStr">
        <is>
          <t>C14</t>
        </is>
      </c>
      <c r="C988" s="4" t="inlineStr">
        <is>
          <t>Pradhan Mantri Fasal Bima Yojna (PMFBY)</t>
        </is>
      </c>
      <c r="D988" s="4" t="inlineStr">
        <is>
          <t>Details</t>
        </is>
      </c>
      <c r="E988" s="4" t="inlineStr">
        <is>
          <t>Objectives</t>
        </is>
      </c>
      <c r="F988" s="4" t="inlineStr">
        <is>
          <t>en.schemeContent.detailedDescription[0].children[2].children[2]</t>
        </is>
      </c>
      <c r="G988" s="4" t="inlineStr">
        <is>
          <t>C14@20261028-9029f2b7</t>
        </is>
      </c>
      <c r="H988" s="4" t="n">
        <v>1</v>
      </c>
      <c r="I988" s="4" t="n">
        <v>1</v>
      </c>
      <c r="J988" s="4" t="inlineStr">
        <is>
          <t>To encourage the farmers to adopt modern and innovative agricultural practices.</t>
        </is>
      </c>
      <c r="K988" s="4" t="inlineStr">
        <is>
          <t>MS-C14</t>
        </is>
      </c>
      <c r="L988" s="6" t="n">
        <v>46323</v>
      </c>
      <c r="M988" s="4" t="inlineStr">
        <is>
          <t>Approved</t>
        </is>
      </c>
      <c r="N988" s="4" t="inlineStr">
        <is>
          <t>list_item</t>
        </is>
      </c>
    </row>
    <row r="989" ht="40" customHeight="1">
      <c r="A989" s="8" t="inlineStr">
        <is>
          <t>C14-P0006</t>
        </is>
      </c>
      <c r="B989" s="8" t="inlineStr">
        <is>
          <t>C14</t>
        </is>
      </c>
      <c r="C989" s="8" t="inlineStr">
        <is>
          <t>Pradhan Mantri Fasal Bima Yojna (PMFBY)</t>
        </is>
      </c>
      <c r="D989" s="8" t="inlineStr">
        <is>
          <t>Details</t>
        </is>
      </c>
      <c r="E989" s="8" t="inlineStr">
        <is>
          <t>Objectives</t>
        </is>
      </c>
      <c r="F989" s="8" t="inlineStr">
        <is>
          <t>en.schemeContent.detailedDescription[0].children[2].children[3]</t>
        </is>
      </c>
      <c r="G989" s="8" t="inlineStr">
        <is>
          <t>C14@20261028-9029f2b7</t>
        </is>
      </c>
      <c r="H989" s="8" t="n">
        <v>1</v>
      </c>
      <c r="I989" s="8" t="n">
        <v>1</v>
      </c>
      <c r="J989" s="8" t="inlineStr">
        <is>
          <t>To ensure crop diversification, and credit-worthiness of the farmers, enhance growth and competitiveness of the agriculture sector and protect the farmers from production risks.</t>
        </is>
      </c>
      <c r="K989" s="8" t="inlineStr">
        <is>
          <t>MS-C14</t>
        </is>
      </c>
      <c r="L989" s="9" t="n">
        <v>46323</v>
      </c>
      <c r="M989" s="8" t="inlineStr">
        <is>
          <t>Approved</t>
        </is>
      </c>
      <c r="N989" s="8" t="inlineStr">
        <is>
          <t>list_item</t>
        </is>
      </c>
    </row>
    <row r="990" ht="54" customHeight="1">
      <c r="A990" s="4" t="inlineStr">
        <is>
          <t>C14-P0007</t>
        </is>
      </c>
      <c r="B990" s="4" t="inlineStr">
        <is>
          <t>C14</t>
        </is>
      </c>
      <c r="C990" s="4" t="inlineStr">
        <is>
          <t>Pradhan Mantri Fasal Bima Yojna (PMFBY)</t>
        </is>
      </c>
      <c r="D990" s="4" t="inlineStr">
        <is>
          <t>Benefits</t>
        </is>
      </c>
      <c r="E990" s="4" t="inlineStr"/>
      <c r="F990" s="4" t="inlineStr">
        <is>
          <t>en.schemeContent.benefits[0].children[0]</t>
        </is>
      </c>
      <c r="G990" s="4" t="inlineStr">
        <is>
          <t>C14@20261028-9029f2b7</t>
        </is>
      </c>
      <c r="H990" s="4" t="n">
        <v>1</v>
      </c>
      <c r="I990" s="4" t="n">
        <v>1</v>
      </c>
      <c r="J990" s="4" t="inlineStr">
        <is>
          <t>Affordable Premiums: The maximum premium payable by the farmer will be 2% for the Kharif food and oilseed crops. For rabi food and oilseeds crop, it is 1.5% and for yearly commercial or horticultural crops it will be 5%. The remaining premium is subsidized by the government.</t>
        </is>
      </c>
      <c r="K990" s="4" t="inlineStr">
        <is>
          <t>MS-C14</t>
        </is>
      </c>
      <c r="L990" s="6" t="n">
        <v>46323</v>
      </c>
      <c r="M990" s="4" t="inlineStr">
        <is>
          <t>Approved</t>
        </is>
      </c>
      <c r="N990" s="4" t="inlineStr">
        <is>
          <t>list_item</t>
        </is>
      </c>
    </row>
    <row r="991" ht="40" customHeight="1">
      <c r="A991" s="8" t="inlineStr">
        <is>
          <t>C14-P0008</t>
        </is>
      </c>
      <c r="B991" s="8" t="inlineStr">
        <is>
          <t>C14</t>
        </is>
      </c>
      <c r="C991" s="8" t="inlineStr">
        <is>
          <t>Pradhan Mantri Fasal Bima Yojna (PMFBY)</t>
        </is>
      </c>
      <c r="D991" s="8" t="inlineStr">
        <is>
          <t>Benefits</t>
        </is>
      </c>
      <c r="E991" s="8" t="inlineStr"/>
      <c r="F991" s="8" t="inlineStr">
        <is>
          <t>en.schemeContent.benefits[1].children[0]</t>
        </is>
      </c>
      <c r="G991" s="8" t="inlineStr">
        <is>
          <t>C14@20261028-9029f2b7</t>
        </is>
      </c>
      <c r="H991" s="8" t="n">
        <v>1</v>
      </c>
      <c r="I991" s="8" t="n">
        <v>1</v>
      </c>
      <c r="J991" s="8" t="inlineStr">
        <is>
          <t>* For the farmers in North-Eastern States, Jammu, Kashmir, and Himachal Pradesh, the government also pays the entire premium.</t>
        </is>
      </c>
      <c r="K991" s="8" t="inlineStr">
        <is>
          <t>MS-C14</t>
        </is>
      </c>
      <c r="L991" s="9" t="n">
        <v>46323</v>
      </c>
      <c r="M991" s="8" t="inlineStr">
        <is>
          <t>Approved</t>
        </is>
      </c>
      <c r="N991" s="8" t="inlineStr">
        <is>
          <t>list_item</t>
        </is>
      </c>
    </row>
    <row r="992" ht="40" customHeight="1">
      <c r="A992" s="4" t="inlineStr">
        <is>
          <t>C14-P0009</t>
        </is>
      </c>
      <c r="B992" s="4" t="inlineStr">
        <is>
          <t>C14</t>
        </is>
      </c>
      <c r="C992" s="4" t="inlineStr">
        <is>
          <t>Pradhan Mantri Fasal Bima Yojna (PMFBY)</t>
        </is>
      </c>
      <c r="D992" s="4" t="inlineStr">
        <is>
          <t>Benefits</t>
        </is>
      </c>
      <c r="E992" s="4" t="inlineStr"/>
      <c r="F992" s="4" t="inlineStr">
        <is>
          <t>en.schemeContent.benefits[1].children[1]</t>
        </is>
      </c>
      <c r="G992" s="4" t="inlineStr">
        <is>
          <t>C14@20261028-9029f2b7</t>
        </is>
      </c>
      <c r="H992" s="4" t="n">
        <v>1</v>
      </c>
      <c r="I992" s="4" t="n">
        <v>1</v>
      </c>
      <c r="J992" s="4" t="inlineStr">
        <is>
          <t>Comprehensive Coverage: The scheme covers natural disasters (droughts, floods), pests, and diseases. Post-harvest losses due to local risks like hailstorms and landslides are also included.</t>
        </is>
      </c>
      <c r="K992" s="4" t="inlineStr">
        <is>
          <t>MS-C14</t>
        </is>
      </c>
      <c r="L992" s="6" t="n">
        <v>46323</v>
      </c>
      <c r="M992" s="4" t="inlineStr">
        <is>
          <t>Approved</t>
        </is>
      </c>
      <c r="N992" s="4" t="inlineStr">
        <is>
          <t>list_item</t>
        </is>
      </c>
    </row>
    <row r="993" ht="40" customHeight="1">
      <c r="A993" s="8" t="inlineStr">
        <is>
          <t>C14-P0010</t>
        </is>
      </c>
      <c r="B993" s="8" t="inlineStr">
        <is>
          <t>C14</t>
        </is>
      </c>
      <c r="C993" s="8" t="inlineStr">
        <is>
          <t>Pradhan Mantri Fasal Bima Yojna (PMFBY)</t>
        </is>
      </c>
      <c r="D993" s="8" t="inlineStr">
        <is>
          <t>Benefits</t>
        </is>
      </c>
      <c r="E993" s="8" t="inlineStr"/>
      <c r="F993" s="8" t="inlineStr">
        <is>
          <t>en.schemeContent.benefits[1].children[2]</t>
        </is>
      </c>
      <c r="G993" s="8" t="inlineStr">
        <is>
          <t>C14@20261028-9029f2b7</t>
        </is>
      </c>
      <c r="H993" s="8" t="n">
        <v>1</v>
      </c>
      <c r="I993" s="8" t="n">
        <v>1</v>
      </c>
      <c r="J993" s="8" t="inlineStr">
        <is>
          <t>Timely Compensation: PMFBY aims to process claims within two months of the harvest to ensure that farmers get the compensation quickly, preventing them from falling into debt traps.</t>
        </is>
      </c>
      <c r="K993" s="8" t="inlineStr">
        <is>
          <t>MS-C14</t>
        </is>
      </c>
      <c r="L993" s="9" t="n">
        <v>46323</v>
      </c>
      <c r="M993" s="8" t="inlineStr">
        <is>
          <t>Approved</t>
        </is>
      </c>
      <c r="N993" s="8" t="inlineStr">
        <is>
          <t>list_item</t>
        </is>
      </c>
    </row>
    <row r="994" ht="54" customHeight="1">
      <c r="A994" s="4" t="inlineStr">
        <is>
          <t>C14-P0011</t>
        </is>
      </c>
      <c r="B994" s="4" t="inlineStr">
        <is>
          <t>C14</t>
        </is>
      </c>
      <c r="C994" s="4" t="inlineStr">
        <is>
          <t>Pradhan Mantri Fasal Bima Yojna (PMFBY)</t>
        </is>
      </c>
      <c r="D994" s="4" t="inlineStr">
        <is>
          <t>Benefits</t>
        </is>
      </c>
      <c r="E994" s="4" t="inlineStr"/>
      <c r="F994" s="4" t="inlineStr">
        <is>
          <t>en.schemeContent.benefits[1].children[3]</t>
        </is>
      </c>
      <c r="G994" s="4" t="inlineStr">
        <is>
          <t>C14@20261028-9029f2b7</t>
        </is>
      </c>
      <c r="H994" s="4" t="n">
        <v>1</v>
      </c>
      <c r="I994" s="4" t="n">
        <v>1</v>
      </c>
      <c r="J994" s="4" t="inlineStr">
        <is>
          <t>Technology-Driven Implementation: PMFBY integrates advanced technologies like satellite imaging, drones, and mobile apps for precise estimation of crop loss, ensuring accurate claim settlements.</t>
        </is>
      </c>
      <c r="K994" s="4" t="inlineStr">
        <is>
          <t>MS-C14</t>
        </is>
      </c>
      <c r="L994" s="6" t="n">
        <v>46323</v>
      </c>
      <c r="M994" s="4" t="inlineStr">
        <is>
          <t>Approved</t>
        </is>
      </c>
      <c r="N994" s="4" t="inlineStr">
        <is>
          <t>list_item</t>
        </is>
      </c>
    </row>
    <row r="995" ht="40" customHeight="1">
      <c r="A995" s="8" t="inlineStr">
        <is>
          <t>C14-P0012</t>
        </is>
      </c>
      <c r="B995" s="8" t="inlineStr">
        <is>
          <t>C14</t>
        </is>
      </c>
      <c r="C995" s="8" t="inlineStr">
        <is>
          <t>Pradhan Mantri Fasal Bima Yojna (PMFBY)</t>
        </is>
      </c>
      <c r="D995" s="8" t="inlineStr">
        <is>
          <t>Benefits</t>
        </is>
      </c>
      <c r="E995" s="8" t="inlineStr"/>
      <c r="F995" s="8" t="inlineStr">
        <is>
          <t>en.schemeContent.benefits[3].children[0]</t>
        </is>
      </c>
      <c r="G995" s="8" t="inlineStr">
        <is>
          <t>C14@20261028-9029f2b7</t>
        </is>
      </c>
      <c r="H995" s="8" t="n">
        <v>1</v>
      </c>
      <c r="I995" s="8" t="n">
        <v>1</v>
      </c>
      <c r="J995" s="8" t="inlineStr">
        <is>
          <t>RISKS COVERED</t>
        </is>
      </c>
      <c r="K995" s="8" t="inlineStr">
        <is>
          <t>MS-C14</t>
        </is>
      </c>
      <c r="L995" s="9" t="n">
        <v>46323</v>
      </c>
      <c r="M995" s="8" t="inlineStr">
        <is>
          <t>Approved</t>
        </is>
      </c>
      <c r="N995" s="8" t="inlineStr">
        <is>
          <t>text</t>
        </is>
      </c>
    </row>
    <row r="996" ht="54" customHeight="1">
      <c r="A996" s="4" t="inlineStr">
        <is>
          <t>C14-P0013</t>
        </is>
      </c>
      <c r="B996" s="4" t="inlineStr">
        <is>
          <t>C14</t>
        </is>
      </c>
      <c r="C996" s="4" t="inlineStr">
        <is>
          <t>Pradhan Mantri Fasal Bima Yojna (PMFBY)</t>
        </is>
      </c>
      <c r="D996" s="4" t="inlineStr">
        <is>
          <t>Benefits</t>
        </is>
      </c>
      <c r="E996" s="4" t="inlineStr"/>
      <c r="F996" s="4" t="inlineStr">
        <is>
          <t>en.schemeContent.benefits[4].children[0]</t>
        </is>
      </c>
      <c r="G996" s="4" t="inlineStr">
        <is>
          <t>C14@20261028-9029f2b7</t>
        </is>
      </c>
      <c r="H996" s="4" t="n">
        <v>1</v>
      </c>
      <c r="I996" s="4" t="n">
        <v>1</v>
      </c>
      <c r="J996" s="4" t="inlineStr">
        <is>
          <t>Yield Losses (Standing Crops): The Government provides this insurance coverage for yield losses that fall under the non-preventable risks, such as Natural Fire and Lightning: Storm, Hailstorm, Tornado etc.:  Flood, Inundation and Landslide;  Pests/ Diseases, etc.; Drought etc.</t>
        </is>
      </c>
      <c r="K996" s="4" t="inlineStr">
        <is>
          <t>MS-C14</t>
        </is>
      </c>
      <c r="L996" s="6" t="n">
        <v>46323</v>
      </c>
      <c r="M996" s="4" t="inlineStr">
        <is>
          <t>Approved</t>
        </is>
      </c>
      <c r="N996" s="4" t="inlineStr">
        <is>
          <t>list_item</t>
        </is>
      </c>
    </row>
    <row r="997" ht="82" customHeight="1">
      <c r="A997" s="8" t="inlineStr">
        <is>
          <t>C14-P0014</t>
        </is>
      </c>
      <c r="B997" s="8" t="inlineStr">
        <is>
          <t>C14</t>
        </is>
      </c>
      <c r="C997" s="8" t="inlineStr">
        <is>
          <t>Pradhan Mantri Fasal Bima Yojna (PMFBY)</t>
        </is>
      </c>
      <c r="D997" s="8" t="inlineStr">
        <is>
          <t>Benefits</t>
        </is>
      </c>
      <c r="E997" s="8" t="inlineStr"/>
      <c r="F997" s="8" t="inlineStr">
        <is>
          <t>en.schemeContent.benefits[4].children[1]</t>
        </is>
      </c>
      <c r="G997" s="8" t="inlineStr">
        <is>
          <t>C14@20261028-9029f2b7</t>
        </is>
      </c>
      <c r="H997" s="8" t="n">
        <v>1</v>
      </c>
      <c r="I997" s="8" t="n">
        <v>1</v>
      </c>
      <c r="J997" s="8" t="inlineStr">
        <is>
          <t>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t>
        </is>
      </c>
      <c r="K997" s="8" t="inlineStr">
        <is>
          <t>MS-C14</t>
        </is>
      </c>
      <c r="L997" s="9" t="n">
        <v>46323</v>
      </c>
      <c r="M997" s="8" t="inlineStr">
        <is>
          <t>Approved</t>
        </is>
      </c>
      <c r="N997" s="8" t="inlineStr">
        <is>
          <t>list_item</t>
        </is>
      </c>
    </row>
    <row r="998" ht="82" customHeight="1">
      <c r="A998" s="4" t="inlineStr">
        <is>
          <t>C14-P0015</t>
        </is>
      </c>
      <c r="B998" s="4" t="inlineStr">
        <is>
          <t>C14</t>
        </is>
      </c>
      <c r="C998" s="4" t="inlineStr">
        <is>
          <t>Pradhan Mantri Fasal Bima Yojna (PMFBY)</t>
        </is>
      </c>
      <c r="D998" s="4" t="inlineStr">
        <is>
          <t>Benefits</t>
        </is>
      </c>
      <c r="E998" s="4" t="inlineStr"/>
      <c r="F998" s="4" t="inlineStr">
        <is>
          <t>en.schemeContent.benefits[4].children[2]</t>
        </is>
      </c>
      <c r="G998" s="4" t="inlineStr">
        <is>
          <t>C14@20261028-9029f2b7</t>
        </is>
      </c>
      <c r="H998" s="4" t="n">
        <v>1</v>
      </c>
      <c r="I998" s="4" t="n">
        <v>1</v>
      </c>
      <c r="J998" s="4" t="inlineStr">
        <is>
          <t>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t>
        </is>
      </c>
      <c r="K998" s="4" t="inlineStr">
        <is>
          <t>MS-C14</t>
        </is>
      </c>
      <c r="L998" s="6" t="n">
        <v>46323</v>
      </c>
      <c r="M998" s="4" t="inlineStr">
        <is>
          <t>Approved</t>
        </is>
      </c>
      <c r="N998" s="4" t="inlineStr">
        <is>
          <t>list_item</t>
        </is>
      </c>
    </row>
    <row r="999" ht="68" customHeight="1">
      <c r="A999" s="8" t="inlineStr">
        <is>
          <t>C14-P0016</t>
        </is>
      </c>
      <c r="B999" s="8" t="inlineStr">
        <is>
          <t>C14</t>
        </is>
      </c>
      <c r="C999" s="8" t="inlineStr">
        <is>
          <t>Pradhan Mantri Fasal Bima Yojna (PMFBY)</t>
        </is>
      </c>
      <c r="D999" s="8" t="inlineStr">
        <is>
          <t>Benefits</t>
        </is>
      </c>
      <c r="E999" s="8" t="inlineStr"/>
      <c r="F999" s="8" t="inlineStr">
        <is>
          <t>en.schemeContent.benefits[4].children[3]</t>
        </is>
      </c>
      <c r="G999" s="8" t="inlineStr">
        <is>
          <t>C14@20261028-9029f2b7</t>
        </is>
      </c>
      <c r="H999" s="8" t="n">
        <v>1</v>
      </c>
      <c r="I999" s="8" t="n">
        <v>1</v>
      </c>
      <c r="J999" s="8" t="inlineStr">
        <is>
          <t>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is>
      </c>
      <c r="K999" s="8" t="inlineStr">
        <is>
          <t>MS-C14</t>
        </is>
      </c>
      <c r="L999" s="9" t="n">
        <v>46323</v>
      </c>
      <c r="M999" s="8" t="inlineStr">
        <is>
          <t>Approved</t>
        </is>
      </c>
      <c r="N999" s="8" t="inlineStr">
        <is>
          <t>list_item</t>
        </is>
      </c>
    </row>
    <row r="1000" ht="40" customHeight="1">
      <c r="A1000" s="4" t="inlineStr">
        <is>
          <t>C14-P0017</t>
        </is>
      </c>
      <c r="B1000" s="4" t="inlineStr">
        <is>
          <t>C14</t>
        </is>
      </c>
      <c r="C1000" s="4" t="inlineStr">
        <is>
          <t>Pradhan Mantri Fasal Bima Yojna (PMFBY)</t>
        </is>
      </c>
      <c r="D1000" s="4" t="inlineStr">
        <is>
          <t>Eligibility</t>
        </is>
      </c>
      <c r="E1000" s="4" t="inlineStr"/>
      <c r="F1000" s="4" t="inlineStr">
        <is>
          <t>en.eligibilityCriteria.eligibilityDescription[0].children[0]</t>
        </is>
      </c>
      <c r="G1000" s="4" t="inlineStr">
        <is>
          <t>C14@20261028-9029f2b7</t>
        </is>
      </c>
      <c r="H1000" s="4" t="n">
        <v>1</v>
      </c>
      <c r="I1000" s="4" t="n">
        <v>1</v>
      </c>
      <c r="J1000" s="4" t="inlineStr">
        <is>
          <t>All farmers, including tenant farmers and sharecroppers growing notified crops in notified areas.</t>
        </is>
      </c>
      <c r="K1000" s="4" t="inlineStr">
        <is>
          <t>MS-C14</t>
        </is>
      </c>
      <c r="L1000" s="6" t="n">
        <v>46323</v>
      </c>
      <c r="M1000" s="4" t="inlineStr">
        <is>
          <t>Approved</t>
        </is>
      </c>
      <c r="N1000" s="4" t="inlineStr">
        <is>
          <t>list_item</t>
        </is>
      </c>
    </row>
    <row r="1001" ht="40" customHeight="1">
      <c r="A1001" s="8" t="inlineStr">
        <is>
          <t>C14-P0018</t>
        </is>
      </c>
      <c r="B1001" s="8" t="inlineStr">
        <is>
          <t>C14</t>
        </is>
      </c>
      <c r="C1001" s="8" t="inlineStr">
        <is>
          <t>Pradhan Mantri Fasal Bima Yojna (PMFBY)</t>
        </is>
      </c>
      <c r="D1001" s="8" t="inlineStr">
        <is>
          <t>Eligibility</t>
        </is>
      </c>
      <c r="E1001" s="8" t="inlineStr"/>
      <c r="F1001" s="8" t="inlineStr">
        <is>
          <t>en.eligibilityCriteria.eligibilityDescription[0].children[1]</t>
        </is>
      </c>
      <c r="G1001" s="8" t="inlineStr">
        <is>
          <t>C14@20261028-9029f2b7</t>
        </is>
      </c>
      <c r="H1001" s="8" t="n">
        <v>1</v>
      </c>
      <c r="I1001" s="8" t="n">
        <v>1</v>
      </c>
      <c r="J1001" s="8" t="inlineStr">
        <is>
          <t>Farmers must have an insurable interest in the insured crops.</t>
        </is>
      </c>
      <c r="K1001" s="8" t="inlineStr">
        <is>
          <t>MS-C14</t>
        </is>
      </c>
      <c r="L1001" s="9" t="n">
        <v>46323</v>
      </c>
      <c r="M1001" s="8" t="inlineStr">
        <is>
          <t>Approved</t>
        </is>
      </c>
      <c r="N1001" s="8" t="inlineStr">
        <is>
          <t>list_item</t>
        </is>
      </c>
    </row>
    <row r="1002" ht="40" customHeight="1">
      <c r="A1002" s="4" t="inlineStr">
        <is>
          <t>C14-P0019</t>
        </is>
      </c>
      <c r="B1002" s="4" t="inlineStr">
        <is>
          <t>C14</t>
        </is>
      </c>
      <c r="C1002" s="4" t="inlineStr">
        <is>
          <t>Pradhan Mantri Fasal Bima Yojna (PMFBY)</t>
        </is>
      </c>
      <c r="D1002" s="4" t="inlineStr">
        <is>
          <t>Eligibility</t>
        </is>
      </c>
      <c r="E1002" s="4" t="inlineStr"/>
      <c r="F1002" s="4" t="inlineStr">
        <is>
          <t>en.eligibilityCriteria.eligibilityDescription[0].children[2]</t>
        </is>
      </c>
      <c r="G1002" s="4" t="inlineStr">
        <is>
          <t>C14@20261028-9029f2b7</t>
        </is>
      </c>
      <c r="H1002" s="4" t="n">
        <v>1</v>
      </c>
      <c r="I1002" s="4" t="n">
        <v>1</v>
      </c>
      <c r="J1002" s="4" t="inlineStr">
        <is>
          <t>Farmers must possess a valid and authenticated land ownership certificate or a valid land tenure agreement.</t>
        </is>
      </c>
      <c r="K1002" s="4" t="inlineStr">
        <is>
          <t>MS-C14</t>
        </is>
      </c>
      <c r="L1002" s="6" t="n">
        <v>46323</v>
      </c>
      <c r="M1002" s="4" t="inlineStr">
        <is>
          <t>Approved</t>
        </is>
      </c>
      <c r="N1002" s="4" t="inlineStr">
        <is>
          <t>list_item</t>
        </is>
      </c>
    </row>
    <row r="1003" ht="40" customHeight="1">
      <c r="A1003" s="8" t="inlineStr">
        <is>
          <t>C14-P0020</t>
        </is>
      </c>
      <c r="B1003" s="8" t="inlineStr">
        <is>
          <t>C14</t>
        </is>
      </c>
      <c r="C1003" s="8" t="inlineStr">
        <is>
          <t>Pradhan Mantri Fasal Bima Yojna (PMFBY)</t>
        </is>
      </c>
      <c r="D1003" s="8" t="inlineStr">
        <is>
          <t>Eligibility</t>
        </is>
      </c>
      <c r="E1003" s="8" t="inlineStr"/>
      <c r="F1003" s="8" t="inlineStr">
        <is>
          <t>en.eligibilityCriteria.eligibilityDescription[0].children[3]</t>
        </is>
      </c>
      <c r="G1003" s="8" t="inlineStr">
        <is>
          <t>C14@20261028-9029f2b7</t>
        </is>
      </c>
      <c r="H1003" s="8" t="n">
        <v>1</v>
      </c>
      <c r="I1003" s="8" t="n">
        <v>1</v>
      </c>
      <c r="J1003" s="8" t="inlineStr">
        <is>
          <t>The farmer must be a cultivator or sharecropper on the insured land.</t>
        </is>
      </c>
      <c r="K1003" s="8" t="inlineStr">
        <is>
          <t>MS-C14</t>
        </is>
      </c>
      <c r="L1003" s="9" t="n">
        <v>46323</v>
      </c>
      <c r="M1003" s="8" t="inlineStr">
        <is>
          <t>Approved</t>
        </is>
      </c>
      <c r="N1003" s="8" t="inlineStr">
        <is>
          <t>list_item</t>
        </is>
      </c>
    </row>
    <row r="1004" ht="40" customHeight="1">
      <c r="A1004" s="4" t="inlineStr">
        <is>
          <t>C14-P0021</t>
        </is>
      </c>
      <c r="B1004" s="4" t="inlineStr">
        <is>
          <t>C14</t>
        </is>
      </c>
      <c r="C1004" s="4" t="inlineStr">
        <is>
          <t>Pradhan Mantri Fasal Bima Yojna (PMFBY)</t>
        </is>
      </c>
      <c r="D1004" s="4" t="inlineStr">
        <is>
          <t>Eligibility</t>
        </is>
      </c>
      <c r="E1004" s="4" t="inlineStr"/>
      <c r="F1004" s="4" t="inlineStr">
        <is>
          <t>en.eligibilityCriteria.eligibilityDescription[0].children[4]</t>
        </is>
      </c>
      <c r="G1004" s="4" t="inlineStr">
        <is>
          <t>C14@20261028-9029f2b7</t>
        </is>
      </c>
      <c r="H1004" s="4" t="n">
        <v>1</v>
      </c>
      <c r="I1004" s="4" t="n">
        <v>1</v>
      </c>
      <c r="J1004" s="4" t="inlineStr">
        <is>
          <t>The farmer must apply for insurance coverage within the prescribed time frame, usually within 2 weeks of the start of the sowing season.</t>
        </is>
      </c>
      <c r="K1004" s="4" t="inlineStr">
        <is>
          <t>MS-C14</t>
        </is>
      </c>
      <c r="L1004" s="6" t="n">
        <v>46323</v>
      </c>
      <c r="M1004" s="4" t="inlineStr">
        <is>
          <t>Approved</t>
        </is>
      </c>
      <c r="N1004" s="4" t="inlineStr">
        <is>
          <t>list_item</t>
        </is>
      </c>
    </row>
    <row r="1005" ht="40" customHeight="1">
      <c r="A1005" s="8" t="inlineStr">
        <is>
          <t>C14-P0022</t>
        </is>
      </c>
      <c r="B1005" s="8" t="inlineStr">
        <is>
          <t>C14</t>
        </is>
      </c>
      <c r="C1005" s="8" t="inlineStr">
        <is>
          <t>Pradhan Mantri Fasal Bima Yojna (PMFBY)</t>
        </is>
      </c>
      <c r="D1005" s="8" t="inlineStr">
        <is>
          <t>Eligibility</t>
        </is>
      </c>
      <c r="E1005" s="8" t="inlineStr"/>
      <c r="F1005" s="8" t="inlineStr">
        <is>
          <t>en.eligibilityCriteria.eligibilityDescription[0].children[5]</t>
        </is>
      </c>
      <c r="G1005" s="8" t="inlineStr">
        <is>
          <t>C14@20261028-9029f2b7</t>
        </is>
      </c>
      <c r="H1005" s="8" t="n">
        <v>1</v>
      </c>
      <c r="I1005" s="8" t="n">
        <v>1</v>
      </c>
      <c r="J1005" s="8" t="inlineStr">
        <is>
          <t>Farmers must not have received compensation for the same crop loss from any other medium or source.</t>
        </is>
      </c>
      <c r="K1005" s="8" t="inlineStr">
        <is>
          <t>MS-C14</t>
        </is>
      </c>
      <c r="L1005" s="9" t="n">
        <v>46323</v>
      </c>
      <c r="M1005" s="8" t="inlineStr">
        <is>
          <t>Approved</t>
        </is>
      </c>
      <c r="N1005" s="8" t="inlineStr">
        <is>
          <t>list_item</t>
        </is>
      </c>
    </row>
    <row r="1006" ht="40" customHeight="1">
      <c r="A1006" s="4" t="inlineStr">
        <is>
          <t>C14-P0023</t>
        </is>
      </c>
      <c r="B1006" s="4" t="inlineStr">
        <is>
          <t>C14</t>
        </is>
      </c>
      <c r="C1006" s="4" t="inlineStr">
        <is>
          <t>Pradhan Mantri Fasal Bima Yojna (PMFBY)</t>
        </is>
      </c>
      <c r="D1006" s="4" t="inlineStr">
        <is>
          <t>Exclusions</t>
        </is>
      </c>
      <c r="E1006" s="4" t="inlineStr"/>
      <c r="F1006" s="4" t="inlineStr">
        <is>
          <t>en.schemeContent.exclusions[0].children[0]</t>
        </is>
      </c>
      <c r="G1006" s="4" t="inlineStr">
        <is>
          <t>C14@20261028-9029f2b7</t>
        </is>
      </c>
      <c r="H1006" s="4" t="n">
        <v>1</v>
      </c>
      <c r="I1006" s="4" t="n">
        <v>1</v>
      </c>
      <c r="J1006" s="4" t="inlineStr">
        <is>
          <t>Non-Notified Areas</t>
        </is>
      </c>
      <c r="K1006" s="4" t="inlineStr">
        <is>
          <t>MS-C14</t>
        </is>
      </c>
      <c r="L1006" s="6" t="n">
        <v>46323</v>
      </c>
      <c r="M1006" s="4" t="inlineStr">
        <is>
          <t>Approved</t>
        </is>
      </c>
      <c r="N1006" s="4" t="inlineStr">
        <is>
          <t>text</t>
        </is>
      </c>
    </row>
    <row r="1007" ht="40" customHeight="1">
      <c r="A1007" s="8" t="inlineStr">
        <is>
          <t>C14-P0024</t>
        </is>
      </c>
      <c r="B1007" s="8" t="inlineStr">
        <is>
          <t>C14</t>
        </is>
      </c>
      <c r="C1007" s="8" t="inlineStr">
        <is>
          <t>Pradhan Mantri Fasal Bima Yojna (PMFBY)</t>
        </is>
      </c>
      <c r="D1007" s="8" t="inlineStr">
        <is>
          <t>Exclusions</t>
        </is>
      </c>
      <c r="E1007" s="8" t="inlineStr"/>
      <c r="F1007" s="8" t="inlineStr">
        <is>
          <t>en.schemeContent.exclusions[1]</t>
        </is>
      </c>
      <c r="G1007" s="8" t="inlineStr">
        <is>
          <t>C14@20261028-9029f2b7</t>
        </is>
      </c>
      <c r="H1007" s="8" t="n">
        <v>1</v>
      </c>
      <c r="I1007" s="8" t="n">
        <v>1</v>
      </c>
      <c r="J1007" s="8" t="inlineStr">
        <is>
          <t>PMFBY applies to notified areas, and crop losses in non-notified areas are generally not covered. Farmers in areas not designated under the scheme may not receive compensation.</t>
        </is>
      </c>
      <c r="K1007" s="8" t="inlineStr">
        <is>
          <t>MS-C14</t>
        </is>
      </c>
      <c r="L1007" s="9" t="n">
        <v>46323</v>
      </c>
      <c r="M1007" s="8" t="inlineStr">
        <is>
          <t>Approved</t>
        </is>
      </c>
      <c r="N1007" s="8" t="inlineStr">
        <is>
          <t>paragraph</t>
        </is>
      </c>
    </row>
    <row r="1008" ht="40" customHeight="1">
      <c r="A1008" s="4" t="inlineStr">
        <is>
          <t>C14-P0025</t>
        </is>
      </c>
      <c r="B1008" s="4" t="inlineStr">
        <is>
          <t>C14</t>
        </is>
      </c>
      <c r="C1008" s="4" t="inlineStr">
        <is>
          <t>Pradhan Mantri Fasal Bima Yojna (PMFBY)</t>
        </is>
      </c>
      <c r="D1008" s="4" t="inlineStr">
        <is>
          <t>Exclusions</t>
        </is>
      </c>
      <c r="E1008" s="4" t="inlineStr"/>
      <c r="F1008" s="4" t="inlineStr">
        <is>
          <t>en.schemeContent.exclusions[2].children[0]</t>
        </is>
      </c>
      <c r="G1008" s="4" t="inlineStr">
        <is>
          <t>C14@20261028-9029f2b7</t>
        </is>
      </c>
      <c r="H1008" s="4" t="n">
        <v>1</v>
      </c>
      <c r="I1008" s="4" t="n">
        <v>1</v>
      </c>
      <c r="J1008" s="4" t="inlineStr">
        <is>
          <t>Losses Outside the Crop Cycle</t>
        </is>
      </c>
      <c r="K1008" s="4" t="inlineStr">
        <is>
          <t>MS-C14</t>
        </is>
      </c>
      <c r="L1008" s="6" t="n">
        <v>46323</v>
      </c>
      <c r="M1008" s="4" t="inlineStr">
        <is>
          <t>Approved</t>
        </is>
      </c>
      <c r="N1008" s="4" t="inlineStr">
        <is>
          <t>text</t>
        </is>
      </c>
    </row>
    <row r="1009" ht="40" customHeight="1">
      <c r="A1009" s="8" t="inlineStr">
        <is>
          <t>C14-P0026</t>
        </is>
      </c>
      <c r="B1009" s="8" t="inlineStr">
        <is>
          <t>C14</t>
        </is>
      </c>
      <c r="C1009" s="8" t="inlineStr">
        <is>
          <t>Pradhan Mantri Fasal Bima Yojna (PMFBY)</t>
        </is>
      </c>
      <c r="D1009" s="8" t="inlineStr">
        <is>
          <t>Exclusions</t>
        </is>
      </c>
      <c r="E1009" s="8" t="inlineStr"/>
      <c r="F1009" s="8" t="inlineStr">
        <is>
          <t>en.schemeContent.exclusions[3]</t>
        </is>
      </c>
      <c r="G1009" s="8" t="inlineStr">
        <is>
          <t>C14@20261028-9029f2b7</t>
        </is>
      </c>
      <c r="H1009" s="8" t="n">
        <v>1</v>
      </c>
      <c r="I1009" s="8" t="n">
        <v>1</v>
      </c>
      <c r="J1009" s="8" t="inlineStr">
        <is>
          <t>Crop losses occurring outside the specified crop cycle are often excluded from coverage. If a loss is not directly related to the growing season, it may not be eligible for compensation.</t>
        </is>
      </c>
      <c r="K1009" s="8" t="inlineStr">
        <is>
          <t>MS-C14</t>
        </is>
      </c>
      <c r="L1009" s="9" t="n">
        <v>46323</v>
      </c>
      <c r="M1009" s="8" t="inlineStr">
        <is>
          <t>Approved</t>
        </is>
      </c>
      <c r="N1009" s="8" t="inlineStr">
        <is>
          <t>paragraph</t>
        </is>
      </c>
    </row>
    <row r="1010" ht="40" customHeight="1">
      <c r="A1010" s="4" t="inlineStr">
        <is>
          <t>C14-P0027</t>
        </is>
      </c>
      <c r="B1010" s="4" t="inlineStr">
        <is>
          <t>C14</t>
        </is>
      </c>
      <c r="C1010" s="4" t="inlineStr">
        <is>
          <t>Pradhan Mantri Fasal Bima Yojna (PMFBY)</t>
        </is>
      </c>
      <c r="D1010" s="4" t="inlineStr">
        <is>
          <t>Exclusions</t>
        </is>
      </c>
      <c r="E1010" s="4" t="inlineStr"/>
      <c r="F1010" s="4" t="inlineStr">
        <is>
          <t>en.schemeContent.exclusions[4].children[0]</t>
        </is>
      </c>
      <c r="G1010" s="4" t="inlineStr">
        <is>
          <t>C14@20261028-9029f2b7</t>
        </is>
      </c>
      <c r="H1010" s="4" t="n">
        <v>1</v>
      </c>
      <c r="I1010" s="4" t="n">
        <v>1</v>
      </c>
      <c r="J1010" s="4" t="inlineStr">
        <is>
          <t>Negligence and Non-Compliance</t>
        </is>
      </c>
      <c r="K1010" s="4" t="inlineStr">
        <is>
          <t>MS-C14</t>
        </is>
      </c>
      <c r="L1010" s="6" t="n">
        <v>46323</v>
      </c>
      <c r="M1010" s="4" t="inlineStr">
        <is>
          <t>Approved</t>
        </is>
      </c>
      <c r="N1010" s="4" t="inlineStr">
        <is>
          <t>text</t>
        </is>
      </c>
    </row>
    <row r="1011" ht="40" customHeight="1">
      <c r="A1011" s="8" t="inlineStr">
        <is>
          <t>C14-P0028</t>
        </is>
      </c>
      <c r="B1011" s="8" t="inlineStr">
        <is>
          <t>C14</t>
        </is>
      </c>
      <c r="C1011" s="8" t="inlineStr">
        <is>
          <t>Pradhan Mantri Fasal Bima Yojna (PMFBY)</t>
        </is>
      </c>
      <c r="D1011" s="8" t="inlineStr">
        <is>
          <t>Exclusions</t>
        </is>
      </c>
      <c r="E1011" s="8" t="inlineStr"/>
      <c r="F1011" s="8" t="inlineStr">
        <is>
          <t>en.schemeContent.exclusions[5]</t>
        </is>
      </c>
      <c r="G1011" s="8" t="inlineStr">
        <is>
          <t>C14@20261028-9029f2b7</t>
        </is>
      </c>
      <c r="H1011" s="8" t="n">
        <v>1</v>
      </c>
      <c r="I1011" s="8" t="n">
        <v>1</v>
      </c>
      <c r="J1011" s="8" t="inlineStr">
        <is>
          <t>Losses resulting from farmer negligence, non-compliance with recommended agricultural practices, or failure to protect the crop adequately may be excluded.</t>
        </is>
      </c>
      <c r="K1011" s="8" t="inlineStr">
        <is>
          <t>MS-C14</t>
        </is>
      </c>
      <c r="L1011" s="9" t="n">
        <v>46323</v>
      </c>
      <c r="M1011" s="8" t="inlineStr">
        <is>
          <t>Approved</t>
        </is>
      </c>
      <c r="N1011" s="8" t="inlineStr">
        <is>
          <t>paragraph</t>
        </is>
      </c>
    </row>
    <row r="1012" ht="40" customHeight="1">
      <c r="A1012" s="4" t="inlineStr">
        <is>
          <t>C14-P0029</t>
        </is>
      </c>
      <c r="B1012" s="4" t="inlineStr">
        <is>
          <t>C14</t>
        </is>
      </c>
      <c r="C1012" s="4" t="inlineStr">
        <is>
          <t>Pradhan Mantri Fasal Bima Yojna (PMFBY)</t>
        </is>
      </c>
      <c r="D1012" s="4" t="inlineStr">
        <is>
          <t>Exclusions</t>
        </is>
      </c>
      <c r="E1012" s="4" t="inlineStr"/>
      <c r="F1012" s="4" t="inlineStr">
        <is>
          <t>en.schemeContent.exclusions[6].children[0]</t>
        </is>
      </c>
      <c r="G1012" s="4" t="inlineStr">
        <is>
          <t>C14@20261028-9029f2b7</t>
        </is>
      </c>
      <c r="H1012" s="4" t="n">
        <v>1</v>
      </c>
      <c r="I1012" s="4" t="n">
        <v>1</v>
      </c>
      <c r="J1012" s="4" t="inlineStr">
        <is>
          <t>Losses Beyond Specified Limits</t>
        </is>
      </c>
      <c r="K1012" s="4" t="inlineStr">
        <is>
          <t>MS-C14</t>
        </is>
      </c>
      <c r="L1012" s="6" t="n">
        <v>46323</v>
      </c>
      <c r="M1012" s="4" t="inlineStr">
        <is>
          <t>Approved</t>
        </is>
      </c>
      <c r="N1012" s="4" t="inlineStr">
        <is>
          <t>text</t>
        </is>
      </c>
    </row>
    <row r="1013" ht="40" customHeight="1">
      <c r="A1013" s="8" t="inlineStr">
        <is>
          <t>C14-P0030</t>
        </is>
      </c>
      <c r="B1013" s="8" t="inlineStr">
        <is>
          <t>C14</t>
        </is>
      </c>
      <c r="C1013" s="8" t="inlineStr">
        <is>
          <t>Pradhan Mantri Fasal Bima Yojna (PMFBY)</t>
        </is>
      </c>
      <c r="D1013" s="8" t="inlineStr">
        <is>
          <t>Exclusions</t>
        </is>
      </c>
      <c r="E1013" s="8" t="inlineStr"/>
      <c r="F1013" s="8" t="inlineStr">
        <is>
          <t>en.schemeContent.exclusions[7]</t>
        </is>
      </c>
      <c r="G1013" s="8" t="inlineStr">
        <is>
          <t>C14@20261028-9029f2b7</t>
        </is>
      </c>
      <c r="H1013" s="8" t="n">
        <v>1</v>
      </c>
      <c r="I1013" s="8" t="n">
        <v>1</v>
      </c>
      <c r="J1013" s="8" t="inlineStr">
        <is>
          <t>Some losses beyond specified limits or thresholds may not be covered. The scheme may have predefined criteria for determining the extent of loss that qualifies for compensation.</t>
        </is>
      </c>
      <c r="K1013" s="8" t="inlineStr">
        <is>
          <t>MS-C14</t>
        </is>
      </c>
      <c r="L1013" s="9" t="n">
        <v>46323</v>
      </c>
      <c r="M1013" s="8" t="inlineStr">
        <is>
          <t>Approved</t>
        </is>
      </c>
      <c r="N1013" s="8" t="inlineStr">
        <is>
          <t>paragraph</t>
        </is>
      </c>
    </row>
    <row r="1014" ht="40" customHeight="1">
      <c r="A1014" s="4" t="inlineStr">
        <is>
          <t>C14-P0031</t>
        </is>
      </c>
      <c r="B1014" s="4" t="inlineStr">
        <is>
          <t>C14</t>
        </is>
      </c>
      <c r="C1014" s="4" t="inlineStr">
        <is>
          <t>Pradhan Mantri Fasal Bima Yojna (PMFBY)</t>
        </is>
      </c>
      <c r="D1014" s="4" t="inlineStr">
        <is>
          <t>Exclusions</t>
        </is>
      </c>
      <c r="E1014" s="4" t="inlineStr"/>
      <c r="F1014" s="4" t="inlineStr">
        <is>
          <t>en.schemeContent.exclusions[8].children[0]</t>
        </is>
      </c>
      <c r="G1014" s="4" t="inlineStr">
        <is>
          <t>C14@20261028-9029f2b7</t>
        </is>
      </c>
      <c r="H1014" s="4" t="n">
        <v>1</v>
      </c>
      <c r="I1014" s="4" t="n">
        <v>1</v>
      </c>
      <c r="J1014" s="4" t="inlineStr">
        <is>
          <t>Non-Premium Payment</t>
        </is>
      </c>
      <c r="K1014" s="4" t="inlineStr">
        <is>
          <t>MS-C14</t>
        </is>
      </c>
      <c r="L1014" s="6" t="n">
        <v>46323</v>
      </c>
      <c r="M1014" s="4" t="inlineStr">
        <is>
          <t>Approved</t>
        </is>
      </c>
      <c r="N1014" s="4" t="inlineStr">
        <is>
          <t>text</t>
        </is>
      </c>
    </row>
    <row r="1015" ht="40" customHeight="1">
      <c r="A1015" s="8" t="inlineStr">
        <is>
          <t>C14-P0032</t>
        </is>
      </c>
      <c r="B1015" s="8" t="inlineStr">
        <is>
          <t>C14</t>
        </is>
      </c>
      <c r="C1015" s="8" t="inlineStr">
        <is>
          <t>Pradhan Mantri Fasal Bima Yojna (PMFBY)</t>
        </is>
      </c>
      <c r="D1015" s="8" t="inlineStr">
        <is>
          <t>Exclusions</t>
        </is>
      </c>
      <c r="E1015" s="8" t="inlineStr"/>
      <c r="F1015" s="8" t="inlineStr">
        <is>
          <t>en.schemeContent.exclusions[9]</t>
        </is>
      </c>
      <c r="G1015" s="8" t="inlineStr">
        <is>
          <t>C14@20261028-9029f2b7</t>
        </is>
      </c>
      <c r="H1015" s="8" t="n">
        <v>1</v>
      </c>
      <c r="I1015" s="8" t="n">
        <v>1</v>
      </c>
      <c r="J1015" s="8" t="inlineStr">
        <is>
          <t>Farmers who fail to pay their premium contributions as required may not be eligible for coverage. Non-payment of premiums can result in the cancellation of insurance.</t>
        </is>
      </c>
      <c r="K1015" s="8" t="inlineStr">
        <is>
          <t>MS-C14</t>
        </is>
      </c>
      <c r="L1015" s="9" t="n">
        <v>46323</v>
      </c>
      <c r="M1015" s="8" t="inlineStr">
        <is>
          <t>Approved</t>
        </is>
      </c>
      <c r="N1015" s="8" t="inlineStr">
        <is>
          <t>paragraph</t>
        </is>
      </c>
    </row>
    <row r="1016" ht="40" customHeight="1">
      <c r="A1016" s="4" t="inlineStr">
        <is>
          <t>C14-P0033</t>
        </is>
      </c>
      <c r="B1016" s="4" t="inlineStr">
        <is>
          <t>C14</t>
        </is>
      </c>
      <c r="C1016" s="4" t="inlineStr">
        <is>
          <t>Pradhan Mantri Fasal Bima Yojna (PMFBY)</t>
        </is>
      </c>
      <c r="D1016" s="4" t="inlineStr">
        <is>
          <t>Applicant documents</t>
        </is>
      </c>
      <c r="E1016" s="4" t="inlineStr"/>
      <c r="F1016" s="4" t="inlineStr">
        <is>
          <t>documents.en.documents_required[0].children[0]</t>
        </is>
      </c>
      <c r="G1016" s="4" t="inlineStr">
        <is>
          <t>C14@20261028-9029f2b7</t>
        </is>
      </c>
      <c r="H1016" s="4" t="n">
        <v>1</v>
      </c>
      <c r="I1016" s="4" t="n">
        <v>1</v>
      </c>
      <c r="J1016" s="4" t="inlineStr">
        <is>
          <t>Passport–sized Photograph</t>
        </is>
      </c>
      <c r="K1016" s="4" t="inlineStr">
        <is>
          <t>MS-C14</t>
        </is>
      </c>
      <c r="L1016" s="6" t="n">
        <v>46323</v>
      </c>
      <c r="M1016" s="4" t="inlineStr">
        <is>
          <t>Approved</t>
        </is>
      </c>
      <c r="N1016" s="4" t="inlineStr">
        <is>
          <t>list_item</t>
        </is>
      </c>
    </row>
    <row r="1017" ht="40" customHeight="1">
      <c r="A1017" s="8" t="inlineStr">
        <is>
          <t>C14-P0034</t>
        </is>
      </c>
      <c r="B1017" s="8" t="inlineStr">
        <is>
          <t>C14</t>
        </is>
      </c>
      <c r="C1017" s="8" t="inlineStr">
        <is>
          <t>Pradhan Mantri Fasal Bima Yojna (PMFBY)</t>
        </is>
      </c>
      <c r="D1017" s="8" t="inlineStr">
        <is>
          <t>Applicant documents</t>
        </is>
      </c>
      <c r="E1017" s="8" t="inlineStr"/>
      <c r="F1017" s="8" t="inlineStr">
        <is>
          <t>documents.en.documents_required[0].children[1]</t>
        </is>
      </c>
      <c r="G1017" s="8" t="inlineStr">
        <is>
          <t>C14@20261028-9029f2b7</t>
        </is>
      </c>
      <c r="H1017" s="8" t="n">
        <v>1</v>
      </c>
      <c r="I1017" s="8" t="n">
        <v>1</v>
      </c>
      <c r="J1017" s="8" t="inlineStr">
        <is>
          <t>Passbook</t>
        </is>
      </c>
      <c r="K1017" s="8" t="inlineStr">
        <is>
          <t>MS-C14</t>
        </is>
      </c>
      <c r="L1017" s="9" t="n">
        <v>46323</v>
      </c>
      <c r="M1017" s="8" t="inlineStr">
        <is>
          <t>Approved</t>
        </is>
      </c>
      <c r="N1017" s="8" t="inlineStr">
        <is>
          <t>list_item</t>
        </is>
      </c>
    </row>
    <row r="1018" ht="40" customHeight="1">
      <c r="A1018" s="4" t="inlineStr">
        <is>
          <t>C14-P0035</t>
        </is>
      </c>
      <c r="B1018" s="4" t="inlineStr">
        <is>
          <t>C14</t>
        </is>
      </c>
      <c r="C1018" s="4" t="inlineStr">
        <is>
          <t>Pradhan Mantri Fasal Bima Yojna (PMFBY)</t>
        </is>
      </c>
      <c r="D1018" s="4" t="inlineStr">
        <is>
          <t>Applicant documents</t>
        </is>
      </c>
      <c r="E1018" s="4" t="inlineStr"/>
      <c r="F1018" s="4" t="inlineStr">
        <is>
          <t>documents.en.documents_required[0].children[2]</t>
        </is>
      </c>
      <c r="G1018" s="4" t="inlineStr">
        <is>
          <t>C14@20261028-9029f2b7</t>
        </is>
      </c>
      <c r="H1018" s="4" t="n">
        <v>1</v>
      </c>
      <c r="I1018" s="4" t="n">
        <v>1</v>
      </c>
      <c r="J1018" s="4" t="inlineStr">
        <is>
          <t>Identity Proof (Aadhaar Card/PAN Card/Voter ID/Bank Passbook with Photo, Kisan Photo Book/NREGA Job Card)</t>
        </is>
      </c>
      <c r="K1018" s="4" t="inlineStr">
        <is>
          <t>MS-C14</t>
        </is>
      </c>
      <c r="L1018" s="6" t="n">
        <v>46323</v>
      </c>
      <c r="M1018" s="4" t="inlineStr">
        <is>
          <t>Approved</t>
        </is>
      </c>
      <c r="N1018" s="4" t="inlineStr">
        <is>
          <t>list_item</t>
        </is>
      </c>
    </row>
    <row r="1019" ht="40" customHeight="1">
      <c r="A1019" s="8" t="inlineStr">
        <is>
          <t>C14-P0036</t>
        </is>
      </c>
      <c r="B1019" s="8" t="inlineStr">
        <is>
          <t>C14</t>
        </is>
      </c>
      <c r="C1019" s="8" t="inlineStr">
        <is>
          <t>Pradhan Mantri Fasal Bima Yojna (PMFBY)</t>
        </is>
      </c>
      <c r="D1019" s="8" t="inlineStr">
        <is>
          <t>Applicant documents</t>
        </is>
      </c>
      <c r="E1019" s="8" t="inlineStr"/>
      <c r="F1019" s="8" t="inlineStr">
        <is>
          <t>documents.en.documents_required[0].children[3]</t>
        </is>
      </c>
      <c r="G1019" s="8" t="inlineStr">
        <is>
          <t>C14@20261028-9029f2b7</t>
        </is>
      </c>
      <c r="H1019" s="8" t="n">
        <v>1</v>
      </c>
      <c r="I1019" s="8" t="n">
        <v>1</v>
      </c>
      <c r="J1019" s="8" t="inlineStr">
        <is>
          <t>Address Proof (Aadhaar Card/PAN Card/Voter ID/Electricity Bill/Bank Passbook with Photo).</t>
        </is>
      </c>
      <c r="K1019" s="8" t="inlineStr">
        <is>
          <t>MS-C14</t>
        </is>
      </c>
      <c r="L1019" s="9" t="n">
        <v>46323</v>
      </c>
      <c r="M1019" s="8" t="inlineStr">
        <is>
          <t>Approved</t>
        </is>
      </c>
      <c r="N1019" s="8" t="inlineStr">
        <is>
          <t>list_item</t>
        </is>
      </c>
    </row>
    <row r="1020" ht="40" customHeight="1">
      <c r="A1020" s="4" t="inlineStr">
        <is>
          <t>C14-P0037</t>
        </is>
      </c>
      <c r="B1020" s="4" t="inlineStr">
        <is>
          <t>C14</t>
        </is>
      </c>
      <c r="C1020" s="4" t="inlineStr">
        <is>
          <t>Pradhan Mantri Fasal Bima Yojna (PMFBY)</t>
        </is>
      </c>
      <c r="D1020" s="4" t="inlineStr">
        <is>
          <t>Applicant documents</t>
        </is>
      </c>
      <c r="E1020" s="4" t="inlineStr"/>
      <c r="F1020" s="4" t="inlineStr">
        <is>
          <t>documents.en.documents_required[0].children[4]</t>
        </is>
      </c>
      <c r="G1020" s="4" t="inlineStr">
        <is>
          <t>C14@20261028-9029f2b7</t>
        </is>
      </c>
      <c r="H1020" s="4" t="n">
        <v>1</v>
      </c>
      <c r="I1020" s="4" t="n">
        <v>1</v>
      </c>
      <c r="J1020" s="4" t="inlineStr">
        <is>
          <t>Evidence of Land records, as per the State Records of Right (RoR), Land Possession Certificate (LPC), and other applicable agreements, contracts notified or permitted by the state.</t>
        </is>
      </c>
      <c r="K1020" s="4" t="inlineStr">
        <is>
          <t>MS-C14</t>
        </is>
      </c>
      <c r="L1020" s="6" t="n">
        <v>46323</v>
      </c>
      <c r="M1020" s="4" t="inlineStr">
        <is>
          <t>Approved</t>
        </is>
      </c>
      <c r="N1020" s="4" t="inlineStr">
        <is>
          <t>list_item</t>
        </is>
      </c>
    </row>
    <row r="1021" ht="40" customHeight="1">
      <c r="A1021" s="8" t="inlineStr">
        <is>
          <t>C14-P0038</t>
        </is>
      </c>
      <c r="B1021" s="8" t="inlineStr">
        <is>
          <t>C14</t>
        </is>
      </c>
      <c r="C1021" s="8" t="inlineStr">
        <is>
          <t>Pradhan Mantri Fasal Bima Yojna (PMFBY)</t>
        </is>
      </c>
      <c r="D1021" s="8" t="inlineStr">
        <is>
          <t>Applicant documents</t>
        </is>
      </c>
      <c r="E1021" s="8" t="inlineStr"/>
      <c r="F1021" s="8" t="inlineStr">
        <is>
          <t>documents.en.documents_required[0].children[5]</t>
        </is>
      </c>
      <c r="G1021" s="8" t="inlineStr">
        <is>
          <t>C14@20261028-9029f2b7</t>
        </is>
      </c>
      <c r="H1021" s="8" t="n">
        <v>1</v>
      </c>
      <c r="I1021" s="8" t="n">
        <v>1</v>
      </c>
      <c r="J1021" s="8" t="inlineStr">
        <is>
          <t>Declaration about the crop sown/intended to be sown.</t>
        </is>
      </c>
      <c r="K1021" s="8" t="inlineStr">
        <is>
          <t>MS-C14</t>
        </is>
      </c>
      <c r="L1021" s="9" t="n">
        <v>46323</v>
      </c>
      <c r="M1021" s="8" t="inlineStr">
        <is>
          <t>Approved</t>
        </is>
      </c>
      <c r="N1021" s="8" t="inlineStr">
        <is>
          <t>list_item</t>
        </is>
      </c>
    </row>
    <row r="1022" ht="40" customHeight="1">
      <c r="A1022" s="4" t="inlineStr">
        <is>
          <t>C14-P0039</t>
        </is>
      </c>
      <c r="B1022" s="4" t="inlineStr">
        <is>
          <t>C14</t>
        </is>
      </c>
      <c r="C1022" s="4" t="inlineStr">
        <is>
          <t>Pradhan Mantri Fasal Bima Yojna (PMFBY)</t>
        </is>
      </c>
      <c r="D1022" s="4" t="inlineStr">
        <is>
          <t>Application process</t>
        </is>
      </c>
      <c r="E1022" s="4" t="inlineStr"/>
      <c r="F1022" s="4" t="inlineStr">
        <is>
          <t>en.applicationProcess[0].process[0]</t>
        </is>
      </c>
      <c r="G1022" s="4" t="inlineStr">
        <is>
          <t>C14@20261028-9029f2b7</t>
        </is>
      </c>
      <c r="H1022" s="4" t="n">
        <v>1</v>
      </c>
      <c r="I1022" s="4" t="n">
        <v>1</v>
      </c>
      <c r="J1022" s="4" t="inlineStr">
        <is>
          <t>Step 1: Visit the Official Website of "Pradhan Mantri Fasal Bima Yojana".</t>
        </is>
      </c>
      <c r="K1022" s="4" t="inlineStr">
        <is>
          <t>MS-C14</t>
        </is>
      </c>
      <c r="L1022" s="6" t="n">
        <v>46323</v>
      </c>
      <c r="M1022" s="4" t="inlineStr">
        <is>
          <t>Approved</t>
        </is>
      </c>
      <c r="N1022" s="4" t="inlineStr">
        <is>
          <t>paragraph</t>
        </is>
      </c>
    </row>
    <row r="1023" ht="40" customHeight="1">
      <c r="A1023" s="8" t="inlineStr">
        <is>
          <t>C14-P0040</t>
        </is>
      </c>
      <c r="B1023" s="8" t="inlineStr">
        <is>
          <t>C14</t>
        </is>
      </c>
      <c r="C1023" s="8" t="inlineStr">
        <is>
          <t>Pradhan Mantri Fasal Bima Yojna (PMFBY)</t>
        </is>
      </c>
      <c r="D1023" s="8" t="inlineStr">
        <is>
          <t>Application process</t>
        </is>
      </c>
      <c r="E1023" s="8" t="inlineStr"/>
      <c r="F1023" s="8" t="inlineStr">
        <is>
          <t>en.applicationProcess[0].process[1]</t>
        </is>
      </c>
      <c r="G1023" s="8" t="inlineStr">
        <is>
          <t>C14@20261028-9029f2b7</t>
        </is>
      </c>
      <c r="H1023" s="8" t="n">
        <v>1</v>
      </c>
      <c r="I1023" s="8" t="n">
        <v>1</v>
      </c>
      <c r="J1023" s="8" t="inlineStr">
        <is>
          <t>Step 2: At the top right corner of the homepage, click "Farmer Corner".</t>
        </is>
      </c>
      <c r="K1023" s="8" t="inlineStr">
        <is>
          <t>MS-C14</t>
        </is>
      </c>
      <c r="L1023" s="9" t="n">
        <v>46323</v>
      </c>
      <c r="M1023" s="8" t="inlineStr">
        <is>
          <t>Approved</t>
        </is>
      </c>
      <c r="N1023" s="8" t="inlineStr">
        <is>
          <t>paragraph</t>
        </is>
      </c>
    </row>
    <row r="1024" ht="40" customHeight="1">
      <c r="A1024" s="4" t="inlineStr">
        <is>
          <t>C14-P0041</t>
        </is>
      </c>
      <c r="B1024" s="4" t="inlineStr">
        <is>
          <t>C14</t>
        </is>
      </c>
      <c r="C1024" s="4" t="inlineStr">
        <is>
          <t>Pradhan Mantri Fasal Bima Yojna (PMFBY)</t>
        </is>
      </c>
      <c r="D1024" s="4" t="inlineStr">
        <is>
          <t>Application process</t>
        </is>
      </c>
      <c r="E1024" s="4" t="inlineStr"/>
      <c r="F1024" s="4" t="inlineStr">
        <is>
          <t>en.applicationProcess[0].process[2]</t>
        </is>
      </c>
      <c r="G1024" s="4" t="inlineStr">
        <is>
          <t>C14@20261028-9029f2b7</t>
        </is>
      </c>
      <c r="H1024" s="4" t="n">
        <v>1</v>
      </c>
      <c r="I1024" s="4" t="n">
        <v>1</v>
      </c>
      <c r="J1024" s="4" t="inlineStr">
        <is>
          <t>In the popup window, click "Guest Farmer". You will be taken to the Online Registration Form.</t>
        </is>
      </c>
      <c r="K1024" s="4" t="inlineStr">
        <is>
          <t>MS-C14</t>
        </is>
      </c>
      <c r="L1024" s="6" t="n">
        <v>46323</v>
      </c>
      <c r="M1024" s="4" t="inlineStr">
        <is>
          <t>Approved</t>
        </is>
      </c>
      <c r="N1024" s="4" t="inlineStr">
        <is>
          <t>paragraph</t>
        </is>
      </c>
    </row>
    <row r="1025" ht="40" customHeight="1">
      <c r="A1025" s="8" t="inlineStr">
        <is>
          <t>C14-P0042</t>
        </is>
      </c>
      <c r="B1025" s="8" t="inlineStr">
        <is>
          <t>C14</t>
        </is>
      </c>
      <c r="C1025" s="8" t="inlineStr">
        <is>
          <t>Pradhan Mantri Fasal Bima Yojna (PMFBY)</t>
        </is>
      </c>
      <c r="D1025" s="8" t="inlineStr">
        <is>
          <t>Application process</t>
        </is>
      </c>
      <c r="E1025" s="8" t="inlineStr"/>
      <c r="F1025" s="8" t="inlineStr">
        <is>
          <t>en.applicationProcess[0].process[3]</t>
        </is>
      </c>
      <c r="G1025" s="8" t="inlineStr">
        <is>
          <t>C14@20261028-9029f2b7</t>
        </is>
      </c>
      <c r="H1025" s="8" t="n">
        <v>1</v>
      </c>
      <c r="I1025" s="8" t="n">
        <v>1</v>
      </c>
      <c r="J1025" s="8" t="inlineStr">
        <is>
          <t>*If already registered, skip to Step: 4.</t>
        </is>
      </c>
      <c r="K1025" s="8" t="inlineStr">
        <is>
          <t>MS-C14</t>
        </is>
      </c>
      <c r="L1025" s="9" t="n">
        <v>46323</v>
      </c>
      <c r="M1025" s="8" t="inlineStr">
        <is>
          <t>Approved</t>
        </is>
      </c>
      <c r="N1025" s="8" t="inlineStr">
        <is>
          <t>paragraph</t>
        </is>
      </c>
    </row>
    <row r="1026" ht="40" customHeight="1">
      <c r="A1026" s="4" t="inlineStr">
        <is>
          <t>C14-P0043</t>
        </is>
      </c>
      <c r="B1026" s="4" t="inlineStr">
        <is>
          <t>C14</t>
        </is>
      </c>
      <c r="C1026" s="4" t="inlineStr">
        <is>
          <t>Pradhan Mantri Fasal Bima Yojna (PMFBY)</t>
        </is>
      </c>
      <c r="D1026" s="4" t="inlineStr">
        <is>
          <t>Application process</t>
        </is>
      </c>
      <c r="E1026" s="4" t="inlineStr"/>
      <c r="F1026" s="4" t="inlineStr">
        <is>
          <t>en.applicationProcess[0].process[4]</t>
        </is>
      </c>
      <c r="G1026" s="4" t="inlineStr">
        <is>
          <t>C14@20261028-9029f2b7</t>
        </is>
      </c>
      <c r="H1026" s="4" t="n">
        <v>1</v>
      </c>
      <c r="I1026" s="4" t="n">
        <v>1</v>
      </c>
      <c r="J1026" s="4" t="inlineStr">
        <is>
          <t>Step 3: In the Registration Form, fill in the following mandatory fields (marked with a red asterisk):</t>
        </is>
      </c>
      <c r="K1026" s="4" t="inlineStr">
        <is>
          <t>MS-C14</t>
        </is>
      </c>
      <c r="L1026" s="6" t="n">
        <v>46323</v>
      </c>
      <c r="M1026" s="4" t="inlineStr">
        <is>
          <t>Approved</t>
        </is>
      </c>
      <c r="N1026" s="4" t="inlineStr">
        <is>
          <t>paragraph</t>
        </is>
      </c>
    </row>
    <row r="1027" ht="40" customHeight="1">
      <c r="A1027" s="8" t="inlineStr">
        <is>
          <t>C14-P0044</t>
        </is>
      </c>
      <c r="B1027" s="8" t="inlineStr">
        <is>
          <t>C14</t>
        </is>
      </c>
      <c r="C1027" s="8" t="inlineStr">
        <is>
          <t>Pradhan Mantri Fasal Bima Yojna (PMFBY)</t>
        </is>
      </c>
      <c r="D1027" s="8" t="inlineStr">
        <is>
          <t>Application process</t>
        </is>
      </c>
      <c r="E1027" s="8" t="inlineStr"/>
      <c r="F1027" s="8" t="inlineStr">
        <is>
          <t>en.applicationProcess[0].process[5]</t>
        </is>
      </c>
      <c r="G1027" s="8" t="inlineStr">
        <is>
          <t>C14@20261028-9029f2b7</t>
        </is>
      </c>
      <c r="H1027" s="8" t="n">
        <v>1</v>
      </c>
      <c r="I1027" s="8" t="n">
        <v>1</v>
      </c>
      <c r="J1027" s="8" t="inlineStr">
        <is>
          <t>"FARMER DETAILS" Section: Full Name, Passbook Name, Relationship, Relative Name, Mobile No., Age, Caste Category, Gender, Farmer Type, Farmer Category,</t>
        </is>
      </c>
      <c r="K1027" s="8" t="inlineStr">
        <is>
          <t>MS-C14</t>
        </is>
      </c>
      <c r="L1027" s="9" t="n">
        <v>46323</v>
      </c>
      <c r="M1027" s="8" t="inlineStr">
        <is>
          <t>Approved</t>
        </is>
      </c>
      <c r="N1027" s="8" t="inlineStr">
        <is>
          <t>paragraph</t>
        </is>
      </c>
    </row>
    <row r="1028" ht="40" customHeight="1">
      <c r="A1028" s="4" t="inlineStr">
        <is>
          <t>C14-P0045</t>
        </is>
      </c>
      <c r="B1028" s="4" t="inlineStr">
        <is>
          <t>C14</t>
        </is>
      </c>
      <c r="C1028" s="4" t="inlineStr">
        <is>
          <t>Pradhan Mantri Fasal Bima Yojna (PMFBY)</t>
        </is>
      </c>
      <c r="D1028" s="4" t="inlineStr">
        <is>
          <t>Application process</t>
        </is>
      </c>
      <c r="E1028" s="4" t="inlineStr"/>
      <c r="F1028" s="4" t="inlineStr">
        <is>
          <t>en.applicationProcess[0].process[6]</t>
        </is>
      </c>
      <c r="G1028" s="4" t="inlineStr">
        <is>
          <t>C14@20261028-9029f2b7</t>
        </is>
      </c>
      <c r="H1028" s="4" t="n">
        <v>1</v>
      </c>
      <c r="I1028" s="4" t="n">
        <v>1</v>
      </c>
      <c r="J1028" s="4" t="inlineStr">
        <is>
          <t>"RESIDENTIAL DETAILS" Section: State, District, Sub District, Residential Village/ Town, Address, PIN Code</t>
        </is>
      </c>
      <c r="K1028" s="4" t="inlineStr">
        <is>
          <t>MS-C14</t>
        </is>
      </c>
      <c r="L1028" s="6" t="n">
        <v>46323</v>
      </c>
      <c r="M1028" s="4" t="inlineStr">
        <is>
          <t>Approved</t>
        </is>
      </c>
      <c r="N1028" s="4" t="inlineStr">
        <is>
          <t>paragraph</t>
        </is>
      </c>
    </row>
    <row r="1029" ht="40" customHeight="1">
      <c r="A1029" s="8" t="inlineStr">
        <is>
          <t>C14-P0046</t>
        </is>
      </c>
      <c r="B1029" s="8" t="inlineStr">
        <is>
          <t>C14</t>
        </is>
      </c>
      <c r="C1029" s="8" t="inlineStr">
        <is>
          <t>Pradhan Mantri Fasal Bima Yojna (PMFBY)</t>
        </is>
      </c>
      <c r="D1029" s="8" t="inlineStr">
        <is>
          <t>Application process</t>
        </is>
      </c>
      <c r="E1029" s="8" t="inlineStr"/>
      <c r="F1029" s="8" t="inlineStr">
        <is>
          <t>en.applicationProcess[0].process[7]</t>
        </is>
      </c>
      <c r="G1029" s="8" t="inlineStr">
        <is>
          <t>C14@20261028-9029f2b7</t>
        </is>
      </c>
      <c r="H1029" s="8" t="n">
        <v>1</v>
      </c>
      <c r="I1029" s="8" t="n">
        <v>1</v>
      </c>
      <c r="J1029" s="8" t="inlineStr">
        <is>
          <t>"FARMER ID" Section: ID Type, ID No,</t>
        </is>
      </c>
      <c r="K1029" s="8" t="inlineStr">
        <is>
          <t>MS-C14</t>
        </is>
      </c>
      <c r="L1029" s="9" t="n">
        <v>46323</v>
      </c>
      <c r="M1029" s="8" t="inlineStr">
        <is>
          <t>Approved</t>
        </is>
      </c>
      <c r="N1029" s="8" t="inlineStr">
        <is>
          <t>paragraph</t>
        </is>
      </c>
    </row>
    <row r="1030" ht="40" customHeight="1">
      <c r="A1030" s="4" t="inlineStr">
        <is>
          <t>C14-P0047</t>
        </is>
      </c>
      <c r="B1030" s="4" t="inlineStr">
        <is>
          <t>C14</t>
        </is>
      </c>
      <c r="C1030" s="4" t="inlineStr">
        <is>
          <t>Pradhan Mantri Fasal Bima Yojna (PMFBY)</t>
        </is>
      </c>
      <c r="D1030" s="4" t="inlineStr">
        <is>
          <t>Application process</t>
        </is>
      </c>
      <c r="E1030" s="4" t="inlineStr"/>
      <c r="F1030" s="4" t="inlineStr">
        <is>
          <t>en.applicationProcess[0].process[8]</t>
        </is>
      </c>
      <c r="G1030" s="4" t="inlineStr">
        <is>
          <t>C14@20261028-9029f2b7</t>
        </is>
      </c>
      <c r="H1030" s="4" t="n">
        <v>1</v>
      </c>
      <c r="I1030" s="4" t="n">
        <v>1</v>
      </c>
      <c r="J1030" s="4" t="inlineStr">
        <is>
          <t>"ACCOUNT DETAILS" Section: IFSC, Bank Name, Branch Name, Savings Bank A/C No., Confirm Savings Bank A/C No..</t>
        </is>
      </c>
      <c r="K1030" s="4" t="inlineStr">
        <is>
          <t>MS-C14</t>
        </is>
      </c>
      <c r="L1030" s="6" t="n">
        <v>46323</v>
      </c>
      <c r="M1030" s="4" t="inlineStr">
        <is>
          <t>Approved</t>
        </is>
      </c>
      <c r="N1030" s="4" t="inlineStr">
        <is>
          <t>paragraph</t>
        </is>
      </c>
    </row>
    <row r="1031" ht="40" customHeight="1">
      <c r="A1031" s="8" t="inlineStr">
        <is>
          <t>C14-P0048</t>
        </is>
      </c>
      <c r="B1031" s="8" t="inlineStr">
        <is>
          <t>C14</t>
        </is>
      </c>
      <c r="C1031" s="8" t="inlineStr">
        <is>
          <t>Pradhan Mantri Fasal Bima Yojna (PMFBY)</t>
        </is>
      </c>
      <c r="D1031" s="8" t="inlineStr">
        <is>
          <t>Application process</t>
        </is>
      </c>
      <c r="E1031" s="8" t="inlineStr"/>
      <c r="F1031" s="8" t="inlineStr">
        <is>
          <t>en.applicationProcess[0].process[9]</t>
        </is>
      </c>
      <c r="G1031" s="8" t="inlineStr">
        <is>
          <t>C14@20261028-9029f2b7</t>
        </is>
      </c>
      <c r="H1031" s="8" t="n">
        <v>1</v>
      </c>
      <c r="I1031" s="8" t="n">
        <v>1</v>
      </c>
      <c r="J1031" s="8" t="inlineStr">
        <is>
          <t>At the bottom of the registration form, fill in the Captcha Code and click "Create User".</t>
        </is>
      </c>
      <c r="K1031" s="8" t="inlineStr">
        <is>
          <t>MS-C14</t>
        </is>
      </c>
      <c r="L1031" s="9" t="n">
        <v>46323</v>
      </c>
      <c r="M1031" s="8" t="inlineStr">
        <is>
          <t>Approved</t>
        </is>
      </c>
      <c r="N1031" s="8" t="inlineStr">
        <is>
          <t>paragraph</t>
        </is>
      </c>
    </row>
    <row r="1032" ht="40" customHeight="1">
      <c r="A1032" s="4" t="inlineStr">
        <is>
          <t>C14-P0049</t>
        </is>
      </c>
      <c r="B1032" s="4" t="inlineStr">
        <is>
          <t>C14</t>
        </is>
      </c>
      <c r="C1032" s="4" t="inlineStr">
        <is>
          <t>Pradhan Mantri Fasal Bima Yojna (PMFBY)</t>
        </is>
      </c>
      <c r="D1032" s="4" t="inlineStr">
        <is>
          <t>Application process</t>
        </is>
      </c>
      <c r="E1032" s="4" t="inlineStr"/>
      <c r="F1032" s="4" t="inlineStr">
        <is>
          <t>en.applicationProcess[0].process[10]</t>
        </is>
      </c>
      <c r="G1032" s="4" t="inlineStr">
        <is>
          <t>C14@20261028-9029f2b7</t>
        </is>
      </c>
      <c r="H1032" s="4" t="n">
        <v>1</v>
      </c>
      <c r="I1032" s="4" t="n">
        <v>1</v>
      </c>
      <c r="J1032" s="4" t="inlineStr">
        <is>
          <t>Step 4: Upon successful registration, click "Farmer Corner (Apply for Crop Insurance Yourself)".</t>
        </is>
      </c>
      <c r="K1032" s="4" t="inlineStr">
        <is>
          <t>MS-C14</t>
        </is>
      </c>
      <c r="L1032" s="6" t="n">
        <v>46323</v>
      </c>
      <c r="M1032" s="4" t="inlineStr">
        <is>
          <t>Approved</t>
        </is>
      </c>
      <c r="N1032" s="4" t="inlineStr">
        <is>
          <t>paragraph</t>
        </is>
      </c>
    </row>
    <row r="1033" ht="40" customHeight="1">
      <c r="A1033" s="8" t="inlineStr">
        <is>
          <t>C14-P0050</t>
        </is>
      </c>
      <c r="B1033" s="8" t="inlineStr">
        <is>
          <t>C14</t>
        </is>
      </c>
      <c r="C1033" s="8" t="inlineStr">
        <is>
          <t>Pradhan Mantri Fasal Bima Yojna (PMFBY)</t>
        </is>
      </c>
      <c r="D1033" s="8" t="inlineStr">
        <is>
          <t>Application process</t>
        </is>
      </c>
      <c r="E1033" s="8" t="inlineStr"/>
      <c r="F1033" s="8" t="inlineStr">
        <is>
          <t>en.applicationProcess[0].process[11]</t>
        </is>
      </c>
      <c r="G1033" s="8" t="inlineStr">
        <is>
          <t>C14@20261028-9029f2b7</t>
        </is>
      </c>
      <c r="H1033" s="8" t="n">
        <v>1</v>
      </c>
      <c r="I1033" s="8" t="n">
        <v>1</v>
      </c>
      <c r="J1033" s="8" t="inlineStr">
        <is>
          <t>In the popup window, click "Login for Farmer". You will be taken to the Login Page.</t>
        </is>
      </c>
      <c r="K1033" s="8" t="inlineStr">
        <is>
          <t>MS-C14</t>
        </is>
      </c>
      <c r="L1033" s="9" t="n">
        <v>46323</v>
      </c>
      <c r="M1033" s="8" t="inlineStr">
        <is>
          <t>Approved</t>
        </is>
      </c>
      <c r="N1033" s="8" t="inlineStr">
        <is>
          <t>paragraph</t>
        </is>
      </c>
    </row>
    <row r="1034" ht="40" customHeight="1">
      <c r="A1034" s="4" t="inlineStr">
        <is>
          <t>C14-P0051</t>
        </is>
      </c>
      <c r="B1034" s="4" t="inlineStr">
        <is>
          <t>C14</t>
        </is>
      </c>
      <c r="C1034" s="4" t="inlineStr">
        <is>
          <t>Pradhan Mantri Fasal Bima Yojna (PMFBY)</t>
        </is>
      </c>
      <c r="D1034" s="4" t="inlineStr">
        <is>
          <t>Application process</t>
        </is>
      </c>
      <c r="E1034" s="4" t="inlineStr"/>
      <c r="F1034" s="4" t="inlineStr">
        <is>
          <t>en.applicationProcess[0].process[12]</t>
        </is>
      </c>
      <c r="G1034" s="4" t="inlineStr">
        <is>
          <t>C14@20261028-9029f2b7</t>
        </is>
      </c>
      <c r="H1034" s="4" t="n">
        <v>1</v>
      </c>
      <c r="I1034" s="4" t="n">
        <v>1</v>
      </c>
      <c r="J1034" s="4" t="inlineStr">
        <is>
          <t>https://pmfby.gov.in/farmerLogin</t>
        </is>
      </c>
      <c r="K1034" s="4" t="inlineStr">
        <is>
          <t>MS-C14</t>
        </is>
      </c>
      <c r="L1034" s="6" t="n">
        <v>46323</v>
      </c>
      <c r="M1034" s="4" t="inlineStr">
        <is>
          <t>Approved</t>
        </is>
      </c>
      <c r="N1034" s="4" t="inlineStr">
        <is>
          <t>paragraph</t>
        </is>
      </c>
    </row>
    <row r="1035" ht="54" customHeight="1">
      <c r="A1035" s="8" t="inlineStr">
        <is>
          <t>C14-P0052</t>
        </is>
      </c>
      <c r="B1035" s="8" t="inlineStr">
        <is>
          <t>C14</t>
        </is>
      </c>
      <c r="C1035" s="8" t="inlineStr">
        <is>
          <t>Pradhan Mantri Fasal Bima Yojna (PMFBY)</t>
        </is>
      </c>
      <c r="D1035" s="8" t="inlineStr">
        <is>
          <t>Application process</t>
        </is>
      </c>
      <c r="E1035" s="8" t="inlineStr"/>
      <c r="F1035" s="8" t="inlineStr">
        <is>
          <t>en.applicationProcess[0].process[13]</t>
        </is>
      </c>
      <c r="G1035" s="8" t="inlineStr">
        <is>
          <t>C14@20261028-9029f2b7</t>
        </is>
      </c>
      <c r="H1035" s="8" t="n">
        <v>1</v>
      </c>
      <c r="I1035" s="8" t="n">
        <v>1</v>
      </c>
      <c r="J1035" s="8" t="inlineStr">
        <is>
          <t>Step 5: On the Login Page, provide your Mobile Number, fill the Captcha Code, then click "Request for OTP". Enter the OTP received on your registered Mobile Number, and click "Submit". You will be taken to the "Farmer Application Form".</t>
        </is>
      </c>
      <c r="K1035" s="8" t="inlineStr">
        <is>
          <t>MS-C14</t>
        </is>
      </c>
      <c r="L1035" s="9" t="n">
        <v>46323</v>
      </c>
      <c r="M1035" s="8" t="inlineStr">
        <is>
          <t>Approved</t>
        </is>
      </c>
      <c r="N1035" s="8" t="inlineStr">
        <is>
          <t>paragraph</t>
        </is>
      </c>
    </row>
    <row r="1036" ht="40" customHeight="1">
      <c r="A1036" s="4" t="inlineStr">
        <is>
          <t>C14-P0053</t>
        </is>
      </c>
      <c r="B1036" s="4" t="inlineStr">
        <is>
          <t>C14</t>
        </is>
      </c>
      <c r="C1036" s="4" t="inlineStr">
        <is>
          <t>Pradhan Mantri Fasal Bima Yojna (PMFBY)</t>
        </is>
      </c>
      <c r="D1036" s="4" t="inlineStr">
        <is>
          <t>Application process</t>
        </is>
      </c>
      <c r="E1036" s="4" t="inlineStr"/>
      <c r="F1036" s="4" t="inlineStr">
        <is>
          <t>en.applicationProcess[0].process[14]</t>
        </is>
      </c>
      <c r="G1036" s="4" t="inlineStr">
        <is>
          <t>C14@20261028-9029f2b7</t>
        </is>
      </c>
      <c r="H1036" s="4" t="n">
        <v>1</v>
      </c>
      <c r="I1036" s="4" t="n">
        <v>1</v>
      </c>
      <c r="J1036" s="4" t="inlineStr">
        <is>
          <t>Step 6: Fill in all the mandatory fields of the Application Form and upload all the mandatory documents in the specified format and size.</t>
        </is>
      </c>
      <c r="K1036" s="4" t="inlineStr">
        <is>
          <t>MS-C14</t>
        </is>
      </c>
      <c r="L1036" s="6" t="n">
        <v>46323</v>
      </c>
      <c r="M1036" s="4" t="inlineStr">
        <is>
          <t>Approved</t>
        </is>
      </c>
      <c r="N1036" s="4" t="inlineStr">
        <is>
          <t>paragraph</t>
        </is>
      </c>
    </row>
    <row r="1037" ht="40" customHeight="1">
      <c r="A1037" s="8" t="inlineStr">
        <is>
          <t>C14-P0054</t>
        </is>
      </c>
      <c r="B1037" s="8" t="inlineStr">
        <is>
          <t>C14</t>
        </is>
      </c>
      <c r="C1037" s="8" t="inlineStr">
        <is>
          <t>Pradhan Mantri Fasal Bima Yojna (PMFBY)</t>
        </is>
      </c>
      <c r="D1037" s="8" t="inlineStr">
        <is>
          <t>Application process</t>
        </is>
      </c>
      <c r="E1037" s="8" t="inlineStr"/>
      <c r="F1037" s="8" t="inlineStr">
        <is>
          <t>en.applicationProcess[0].process[15]</t>
        </is>
      </c>
      <c r="G1037" s="8" t="inlineStr">
        <is>
          <t>C14@20261028-9029f2b7</t>
        </is>
      </c>
      <c r="H1037" s="8" t="n">
        <v>1</v>
      </c>
      <c r="I1037" s="8" t="n">
        <v>1</v>
      </c>
      <c r="J1037" s="8" t="inlineStr">
        <is>
          <t>Click "Preview" to carefully review all the information provided and the uploaded documents. Click "Submit" to submit your application. You'll receive a confirmation message.</t>
        </is>
      </c>
      <c r="K1037" s="8" t="inlineStr">
        <is>
          <t>MS-C14</t>
        </is>
      </c>
      <c r="L1037" s="9" t="n">
        <v>46323</v>
      </c>
      <c r="M1037" s="8" t="inlineStr">
        <is>
          <t>Approved</t>
        </is>
      </c>
      <c r="N1037" s="8" t="inlineStr">
        <is>
          <t>paragraph</t>
        </is>
      </c>
    </row>
    <row r="1038" ht="54" customHeight="1">
      <c r="A1038" s="4" t="inlineStr">
        <is>
          <t>C14-P0055</t>
        </is>
      </c>
      <c r="B1038" s="4" t="inlineStr">
        <is>
          <t>C14</t>
        </is>
      </c>
      <c r="C1038" s="4" t="inlineStr">
        <is>
          <t>Pradhan Mantri Fasal Bima Yojna (PMFBY)</t>
        </is>
      </c>
      <c r="D1038" s="4" t="inlineStr">
        <is>
          <t>Application process</t>
        </is>
      </c>
      <c r="E1038" s="4" t="inlineStr"/>
      <c r="F1038" s="4" t="inlineStr">
        <is>
          <t>en.applicationProcess[0].process[16]</t>
        </is>
      </c>
      <c r="G1038" s="4" t="inlineStr">
        <is>
          <t>C14@20261028-9029f2b7</t>
        </is>
      </c>
      <c r="H1038" s="4" t="n">
        <v>1</v>
      </c>
      <c r="I1038" s="4" t="n">
        <v>1</v>
      </c>
      <c r="J1038" s="4" t="inlineStr">
        <is>
          <t>Step 7: In the popup window, the following options will be displayed: "Pay Later" and "Make Payment". Select "Pay Later" if you intend to pay for the insurance at a later stage. Else, select "Make Payment".</t>
        </is>
      </c>
      <c r="K1038" s="4" t="inlineStr">
        <is>
          <t>MS-C14</t>
        </is>
      </c>
      <c r="L1038" s="6" t="n">
        <v>46323</v>
      </c>
      <c r="M1038" s="4" t="inlineStr">
        <is>
          <t>Approved</t>
        </is>
      </c>
      <c r="N1038" s="4" t="inlineStr">
        <is>
          <t>paragraph</t>
        </is>
      </c>
    </row>
    <row r="1039" ht="40" customHeight="1">
      <c r="A1039" s="8" t="inlineStr">
        <is>
          <t>C14-P0056</t>
        </is>
      </c>
      <c r="B1039" s="8" t="inlineStr">
        <is>
          <t>C14</t>
        </is>
      </c>
      <c r="C1039" s="8" t="inlineStr">
        <is>
          <t>Pradhan Mantri Fasal Bima Yojna (PMFBY)</t>
        </is>
      </c>
      <c r="D1039" s="8" t="inlineStr">
        <is>
          <t>Application process</t>
        </is>
      </c>
      <c r="E1039" s="8" t="inlineStr"/>
      <c r="F1039" s="8" t="inlineStr">
        <is>
          <t>en.applicationProcess[0].process[17]</t>
        </is>
      </c>
      <c r="G1039" s="8" t="inlineStr">
        <is>
          <t>C14@20261028-9029f2b7</t>
        </is>
      </c>
      <c r="H1039" s="8" t="n">
        <v>1</v>
      </c>
      <c r="I1039" s="8" t="n">
        <v>1</v>
      </c>
      <c r="J1039" s="8" t="inlineStr">
        <is>
          <t>Step 8: Upon successful payment, you may print the receipt of the payment.</t>
        </is>
      </c>
      <c r="K1039" s="8" t="inlineStr">
        <is>
          <t>MS-C14</t>
        </is>
      </c>
      <c r="L1039" s="9" t="n">
        <v>46323</v>
      </c>
      <c r="M1039" s="8" t="inlineStr">
        <is>
          <t>Approved</t>
        </is>
      </c>
      <c r="N1039" s="8" t="inlineStr">
        <is>
          <t>paragraph</t>
        </is>
      </c>
    </row>
    <row r="1040" ht="40" customHeight="1">
      <c r="A1040" s="4" t="inlineStr">
        <is>
          <t>C14-P0057</t>
        </is>
      </c>
      <c r="B1040" s="4" t="inlineStr">
        <is>
          <t>C14</t>
        </is>
      </c>
      <c r="C1040" s="4" t="inlineStr">
        <is>
          <t>Pradhan Mantri Fasal Bima Yojna (PMFBY)</t>
        </is>
      </c>
      <c r="D1040" s="4" t="inlineStr">
        <is>
          <t>Application process</t>
        </is>
      </c>
      <c r="E1040" s="4" t="inlineStr"/>
      <c r="F1040" s="4" t="inlineStr">
        <is>
          <t>en.applicationProcess[0].process[18].children[0]</t>
        </is>
      </c>
      <c r="G1040" s="4" t="inlineStr">
        <is>
          <t>C14@20261028-9029f2b7</t>
        </is>
      </c>
      <c r="H1040" s="4" t="n">
        <v>1</v>
      </c>
      <c r="I1040" s="4" t="n">
        <v>1</v>
      </c>
      <c r="J1040" s="4" t="inlineStr">
        <is>
          <t>Track Your Application</t>
        </is>
      </c>
      <c r="K1040" s="4" t="inlineStr">
        <is>
          <t>MS-C14</t>
        </is>
      </c>
      <c r="L1040" s="6" t="n">
        <v>46323</v>
      </c>
      <c r="M1040" s="4" t="inlineStr">
        <is>
          <t>Approved</t>
        </is>
      </c>
      <c r="N1040" s="4" t="inlineStr">
        <is>
          <t>text</t>
        </is>
      </c>
    </row>
    <row r="1041" ht="40" customHeight="1">
      <c r="A1041" s="8" t="inlineStr">
        <is>
          <t>C14-P0058</t>
        </is>
      </c>
      <c r="B1041" s="8" t="inlineStr">
        <is>
          <t>C14</t>
        </is>
      </c>
      <c r="C1041" s="8" t="inlineStr">
        <is>
          <t>Pradhan Mantri Fasal Bima Yojna (PMFBY)</t>
        </is>
      </c>
      <c r="D1041" s="8" t="inlineStr">
        <is>
          <t>Application process</t>
        </is>
      </c>
      <c r="E1041" s="8" t="inlineStr"/>
      <c r="F1041" s="8" t="inlineStr">
        <is>
          <t>en.applicationProcess[0].process[19]</t>
        </is>
      </c>
      <c r="G1041" s="8" t="inlineStr">
        <is>
          <t>C14@20261028-9029f2b7</t>
        </is>
      </c>
      <c r="H1041" s="8" t="n">
        <v>1</v>
      </c>
      <c r="I1041" s="8" t="n">
        <v>1</v>
      </c>
      <c r="J1041" s="8" t="inlineStr">
        <is>
          <t>You can track the application status on the PMFBY website through the ‘Application Status’ option on the home page.</t>
        </is>
      </c>
      <c r="K1041" s="8" t="inlineStr">
        <is>
          <t>MS-C14</t>
        </is>
      </c>
      <c r="L1041" s="9" t="n">
        <v>46323</v>
      </c>
      <c r="M1041" s="8" t="inlineStr">
        <is>
          <t>Approved</t>
        </is>
      </c>
      <c r="N1041" s="8" t="inlineStr">
        <is>
          <t>paragraph</t>
        </is>
      </c>
    </row>
    <row r="1042" ht="40" customHeight="1">
      <c r="A1042" s="4" t="inlineStr">
        <is>
          <t>C14-P0059</t>
        </is>
      </c>
      <c r="B1042" s="4" t="inlineStr">
        <is>
          <t>C14</t>
        </is>
      </c>
      <c r="C1042" s="4" t="inlineStr">
        <is>
          <t>Pradhan Mantri Fasal Bima Yojna (PMFBY)</t>
        </is>
      </c>
      <c r="D1042" s="4" t="inlineStr">
        <is>
          <t>Application process</t>
        </is>
      </c>
      <c r="E1042" s="4" t="inlineStr"/>
      <c r="F1042" s="4" t="inlineStr">
        <is>
          <t>en.applicationProcess[1].process[0]</t>
        </is>
      </c>
      <c r="G1042" s="4" t="inlineStr">
        <is>
          <t>C14@20261028-9029f2b7</t>
        </is>
      </c>
      <c r="H1042" s="4" t="n">
        <v>1</v>
      </c>
      <c r="I1042" s="4" t="n">
        <v>1</v>
      </c>
      <c r="J1042" s="4" t="inlineStr">
        <is>
          <t>Step 1: The interested applicant should visit the nearest participating bank or insurance office, and request the prescribed format of the application form from the staff.</t>
        </is>
      </c>
      <c r="K1042" s="4" t="inlineStr">
        <is>
          <t>MS-C14</t>
        </is>
      </c>
      <c r="L1042" s="6" t="n">
        <v>46323</v>
      </c>
      <c r="M1042" s="4" t="inlineStr">
        <is>
          <t>Approved</t>
        </is>
      </c>
      <c r="N1042" s="4" t="inlineStr">
        <is>
          <t>paragraph</t>
        </is>
      </c>
    </row>
    <row r="1043" ht="54" customHeight="1">
      <c r="A1043" s="8" t="inlineStr">
        <is>
          <t>C14-P0060</t>
        </is>
      </c>
      <c r="B1043" s="8" t="inlineStr">
        <is>
          <t>C14</t>
        </is>
      </c>
      <c r="C1043" s="8" t="inlineStr">
        <is>
          <t>Pradhan Mantri Fasal Bima Yojna (PMFBY)</t>
        </is>
      </c>
      <c r="D1043" s="8" t="inlineStr">
        <is>
          <t>Application process</t>
        </is>
      </c>
      <c r="E1043" s="8" t="inlineStr"/>
      <c r="F1043" s="8" t="inlineStr">
        <is>
          <t>en.applicationProcess[1].process[1]</t>
        </is>
      </c>
      <c r="G1043" s="8" t="inlineStr">
        <is>
          <t>C14@20261028-9029f2b7</t>
        </is>
      </c>
      <c r="H1043" s="8" t="n">
        <v>1</v>
      </c>
      <c r="I1043" s="8" t="n">
        <v>1</v>
      </c>
      <c r="J1043" s="8" t="inlineStr">
        <is>
          <t>Step 2: In the application form, fill in all the mandatory fields, paste the passport-sized photograph (sign across, if required), and attach copies of all the mandatory documents (self-attest, if required).</t>
        </is>
      </c>
      <c r="K1043" s="8" t="inlineStr">
        <is>
          <t>MS-C14</t>
        </is>
      </c>
      <c r="L1043" s="9" t="n">
        <v>46323</v>
      </c>
      <c r="M1043" s="8" t="inlineStr">
        <is>
          <t>Approved</t>
        </is>
      </c>
      <c r="N1043" s="8" t="inlineStr">
        <is>
          <t>paragraph</t>
        </is>
      </c>
    </row>
    <row r="1044" ht="40" customHeight="1">
      <c r="A1044" s="4" t="inlineStr">
        <is>
          <t>C14-P0061</t>
        </is>
      </c>
      <c r="B1044" s="4" t="inlineStr">
        <is>
          <t>C14</t>
        </is>
      </c>
      <c r="C1044" s="4" t="inlineStr">
        <is>
          <t>Pradhan Mantri Fasal Bima Yojna (PMFBY)</t>
        </is>
      </c>
      <c r="D1044" s="4" t="inlineStr">
        <is>
          <t>Application process</t>
        </is>
      </c>
      <c r="E1044" s="4" t="inlineStr"/>
      <c r="F1044" s="4" t="inlineStr">
        <is>
          <t>en.applicationProcess[1].process[2]</t>
        </is>
      </c>
      <c r="G1044" s="4" t="inlineStr">
        <is>
          <t>C14@20261028-9029f2b7</t>
        </is>
      </c>
      <c r="H1044" s="4" t="n">
        <v>1</v>
      </c>
      <c r="I1044" s="4" t="n">
        <v>1</v>
      </c>
      <c r="J1044" s="4" t="inlineStr">
        <is>
          <t>Step 3: Submit the duly filled and signed application form to the staff, along with the attached copies of the documents. Pay the applicable premium amount at the office.</t>
        </is>
      </c>
      <c r="K1044" s="4" t="inlineStr">
        <is>
          <t>MS-C14</t>
        </is>
      </c>
      <c r="L1044" s="6" t="n">
        <v>46323</v>
      </c>
      <c r="M1044" s="4" t="inlineStr">
        <is>
          <t>Approved</t>
        </is>
      </c>
      <c r="N1044" s="4" t="inlineStr">
        <is>
          <t>paragraph</t>
        </is>
      </c>
    </row>
    <row r="1045" ht="40" customHeight="1">
      <c r="A1045" s="8" t="inlineStr">
        <is>
          <t>C14-P0062</t>
        </is>
      </c>
      <c r="B1045" s="8" t="inlineStr">
        <is>
          <t>C14</t>
        </is>
      </c>
      <c r="C1045" s="8" t="inlineStr">
        <is>
          <t>Pradhan Mantri Fasal Bima Yojna (PMFBY)</t>
        </is>
      </c>
      <c r="D1045" s="8" t="inlineStr">
        <is>
          <t>Application process</t>
        </is>
      </c>
      <c r="E1045" s="8" t="inlineStr"/>
      <c r="F1045" s="8" t="inlineStr">
        <is>
          <t>en.applicationProcess[1].process[3]</t>
        </is>
      </c>
      <c r="G1045" s="8" t="inlineStr">
        <is>
          <t>C14@20261028-9029f2b7</t>
        </is>
      </c>
      <c r="H1045" s="8" t="n">
        <v>1</v>
      </c>
      <c r="I1045" s="8" t="n">
        <v>1</v>
      </c>
      <c r="J1045" s="8" t="inlineStr">
        <is>
          <t>Step 4: You will be provided with an application reference number which you can use to track the status of your application.</t>
        </is>
      </c>
      <c r="K1045" s="8" t="inlineStr">
        <is>
          <t>MS-C14</t>
        </is>
      </c>
      <c r="L1045" s="9" t="n">
        <v>46323</v>
      </c>
      <c r="M1045" s="8" t="inlineStr">
        <is>
          <t>Approved</t>
        </is>
      </c>
      <c r="N1045" s="8" t="inlineStr">
        <is>
          <t>paragraph</t>
        </is>
      </c>
    </row>
    <row r="1046" ht="40" customHeight="1">
      <c r="A1046" s="4" t="inlineStr">
        <is>
          <t>C14-P0063</t>
        </is>
      </c>
      <c r="B1046" s="4" t="inlineStr">
        <is>
          <t>C14</t>
        </is>
      </c>
      <c r="C1046" s="4" t="inlineStr">
        <is>
          <t>Pradhan Mantri Fasal Bima Yojna (PMFBY)</t>
        </is>
      </c>
      <c r="D1046" s="4" t="inlineStr">
        <is>
          <t>Application process</t>
        </is>
      </c>
      <c r="E1046" s="4" t="inlineStr"/>
      <c r="F1046" s="4" t="inlineStr">
        <is>
          <t>en.applicationProcess[1].process[4].children[0]</t>
        </is>
      </c>
      <c r="G1046" s="4" t="inlineStr">
        <is>
          <t>C14@20261028-9029f2b7</t>
        </is>
      </c>
      <c r="H1046" s="4" t="n">
        <v>1</v>
      </c>
      <c r="I1046" s="4" t="n">
        <v>1</v>
      </c>
      <c r="J1046" s="4" t="inlineStr">
        <is>
          <t>Track Your Application</t>
        </is>
      </c>
      <c r="K1046" s="4" t="inlineStr">
        <is>
          <t>MS-C14</t>
        </is>
      </c>
      <c r="L1046" s="6" t="n">
        <v>46323</v>
      </c>
      <c r="M1046" s="4" t="inlineStr">
        <is>
          <t>Approved</t>
        </is>
      </c>
      <c r="N1046" s="4" t="inlineStr">
        <is>
          <t>text</t>
        </is>
      </c>
    </row>
    <row r="1047" ht="40" customHeight="1">
      <c r="A1047" s="8" t="inlineStr">
        <is>
          <t>C14-P0064</t>
        </is>
      </c>
      <c r="B1047" s="8" t="inlineStr">
        <is>
          <t>C14</t>
        </is>
      </c>
      <c r="C1047" s="8" t="inlineStr">
        <is>
          <t>Pradhan Mantri Fasal Bima Yojna (PMFBY)</t>
        </is>
      </c>
      <c r="D1047" s="8" t="inlineStr">
        <is>
          <t>Application process</t>
        </is>
      </c>
      <c r="E1047" s="8" t="inlineStr"/>
      <c r="F1047" s="8" t="inlineStr">
        <is>
          <t>en.applicationProcess[1].process[5]</t>
        </is>
      </c>
      <c r="G1047" s="8" t="inlineStr">
        <is>
          <t>C14@20261028-9029f2b7</t>
        </is>
      </c>
      <c r="H1047" s="8" t="n">
        <v>1</v>
      </c>
      <c r="I1047" s="8" t="n">
        <v>1</v>
      </c>
      <c r="J1047" s="8" t="inlineStr">
        <is>
          <t>You can track the application status on the PMFBY website through the ‘Application Status’ option on the home page.</t>
        </is>
      </c>
      <c r="K1047" s="8" t="inlineStr">
        <is>
          <t>MS-C14</t>
        </is>
      </c>
      <c r="L1047" s="9" t="n">
        <v>46323</v>
      </c>
      <c r="M1047" s="8" t="inlineStr">
        <is>
          <t>Approved</t>
        </is>
      </c>
      <c r="N1047" s="8" t="inlineStr">
        <is>
          <t>paragraph</t>
        </is>
      </c>
    </row>
    <row r="1048" ht="40" customHeight="1">
      <c r="A1048" s="4" t="inlineStr">
        <is>
          <t>C14-P0065</t>
        </is>
      </c>
      <c r="B1048" s="4" t="inlineStr">
        <is>
          <t>C14</t>
        </is>
      </c>
      <c r="C1048" s="4" t="inlineStr">
        <is>
          <t>Pradhan Mantri Fasal Bima Yojna (PMFBY)</t>
        </is>
      </c>
      <c r="D1048" s="4" t="inlineStr">
        <is>
          <t>Application process</t>
        </is>
      </c>
      <c r="E1048" s="4" t="inlineStr"/>
      <c r="F1048" s="4" t="inlineStr">
        <is>
          <t>en.applicationProcess[2].process[0]</t>
        </is>
      </c>
      <c r="G1048" s="4" t="inlineStr">
        <is>
          <t>C14@20261028-9029f2b7</t>
        </is>
      </c>
      <c r="H1048" s="4" t="n">
        <v>1</v>
      </c>
      <c r="I1048" s="4" t="n">
        <v>1</v>
      </c>
      <c r="J1048" s="4" t="inlineStr">
        <is>
          <t>Step 1: Visit your nearest Common Service Centre (CSC). CSCs are government-authorized centres that provide various services to citizens.</t>
        </is>
      </c>
      <c r="K1048" s="4" t="inlineStr">
        <is>
          <t>MS-C14</t>
        </is>
      </c>
      <c r="L1048" s="6" t="n">
        <v>46323</v>
      </c>
      <c r="M1048" s="4" t="inlineStr">
        <is>
          <t>Approved</t>
        </is>
      </c>
      <c r="N1048" s="4" t="inlineStr">
        <is>
          <t>paragraph</t>
        </is>
      </c>
    </row>
    <row r="1049" ht="54" customHeight="1">
      <c r="A1049" s="8" t="inlineStr">
        <is>
          <t>C14-P0066</t>
        </is>
      </c>
      <c r="B1049" s="8" t="inlineStr">
        <is>
          <t>C14</t>
        </is>
      </c>
      <c r="C1049" s="8" t="inlineStr">
        <is>
          <t>Pradhan Mantri Fasal Bima Yojna (PMFBY)</t>
        </is>
      </c>
      <c r="D1049" s="8" t="inlineStr">
        <is>
          <t>Application process</t>
        </is>
      </c>
      <c r="E1049" s="8" t="inlineStr"/>
      <c r="F1049" s="8" t="inlineStr">
        <is>
          <t>en.applicationProcess[2].process[1]</t>
        </is>
      </c>
      <c r="G1049" s="8" t="inlineStr">
        <is>
          <t>C14@20261028-9029f2b7</t>
        </is>
      </c>
      <c r="H1049" s="8" t="n">
        <v>1</v>
      </c>
      <c r="I1049" s="8" t="n">
        <v>1</v>
      </c>
      <c r="J1049" s="8" t="inlineStr">
        <is>
          <t>Step 2: Inform the Village Level Entrepreneur (VLE) at the CSC that you intend to apply for PMFBY. Inform the VLE if you need assistance/guidance with the application or if you want the VLE to apply for the scheme on your behalf.</t>
        </is>
      </c>
      <c r="K1049" s="8" t="inlineStr">
        <is>
          <t>MS-C14</t>
        </is>
      </c>
      <c r="L1049" s="9" t="n">
        <v>46323</v>
      </c>
      <c r="M1049" s="8" t="inlineStr">
        <is>
          <t>Approved</t>
        </is>
      </c>
      <c r="N1049" s="8" t="inlineStr">
        <is>
          <t>paragraph</t>
        </is>
      </c>
    </row>
    <row r="1050" ht="40" customHeight="1">
      <c r="A1050" s="4" t="inlineStr">
        <is>
          <t>C14-P0067</t>
        </is>
      </c>
      <c r="B1050" s="4" t="inlineStr">
        <is>
          <t>C14</t>
        </is>
      </c>
      <c r="C1050" s="4" t="inlineStr">
        <is>
          <t>Pradhan Mantri Fasal Bima Yojna (PMFBY)</t>
        </is>
      </c>
      <c r="D1050" s="4" t="inlineStr">
        <is>
          <t>Application process</t>
        </is>
      </c>
      <c r="E1050" s="4" t="inlineStr"/>
      <c r="F1050" s="4" t="inlineStr">
        <is>
          <t>en.applicationProcess[2].process[2]</t>
        </is>
      </c>
      <c r="G1050" s="4" t="inlineStr">
        <is>
          <t>C14@20261028-9029f2b7</t>
        </is>
      </c>
      <c r="H1050" s="4" t="n">
        <v>1</v>
      </c>
      <c r="I1050" s="4" t="n">
        <v>1</v>
      </c>
      <c r="J1050" s="4" t="inlineStr">
        <is>
          <t>Step 3: Provide the VLE with the information on the mandatory fields and soft copies of the required documents.</t>
        </is>
      </c>
      <c r="K1050" s="4" t="inlineStr">
        <is>
          <t>MS-C14</t>
        </is>
      </c>
      <c r="L1050" s="6" t="n">
        <v>46323</v>
      </c>
      <c r="M1050" s="4" t="inlineStr">
        <is>
          <t>Approved</t>
        </is>
      </c>
      <c r="N1050" s="4" t="inlineStr">
        <is>
          <t>paragraph</t>
        </is>
      </c>
    </row>
    <row r="1051" ht="40" customHeight="1">
      <c r="A1051" s="8" t="inlineStr">
        <is>
          <t>C14-P0068</t>
        </is>
      </c>
      <c r="B1051" s="8" t="inlineStr">
        <is>
          <t>C14</t>
        </is>
      </c>
      <c r="C1051" s="8" t="inlineStr">
        <is>
          <t>Pradhan Mantri Fasal Bima Yojna (PMFBY)</t>
        </is>
      </c>
      <c r="D1051" s="8" t="inlineStr">
        <is>
          <t>Application process</t>
        </is>
      </c>
      <c r="E1051" s="8" t="inlineStr"/>
      <c r="F1051" s="8" t="inlineStr">
        <is>
          <t>en.applicationProcess[2].process[3]</t>
        </is>
      </c>
      <c r="G1051" s="8" t="inlineStr">
        <is>
          <t>C14@20261028-9029f2b7</t>
        </is>
      </c>
      <c r="H1051" s="8" t="n">
        <v>1</v>
      </c>
      <c r="I1051" s="8" t="n">
        <v>1</v>
      </c>
      <c r="J1051" s="8" t="inlineStr">
        <is>
          <t>Step 4: Upon successful submission of your application, pay the applicable premium amount to the VLE. The premium amount may vary depending on the crop, area, and other factors.</t>
        </is>
      </c>
      <c r="K1051" s="8" t="inlineStr">
        <is>
          <t>MS-C14</t>
        </is>
      </c>
      <c r="L1051" s="9" t="n">
        <v>46323</v>
      </c>
      <c r="M1051" s="8" t="inlineStr">
        <is>
          <t>Approved</t>
        </is>
      </c>
      <c r="N1051" s="8" t="inlineStr">
        <is>
          <t>paragraph</t>
        </is>
      </c>
    </row>
    <row r="1052" ht="40" customHeight="1">
      <c r="A1052" s="4" t="inlineStr">
        <is>
          <t>C14-P0069</t>
        </is>
      </c>
      <c r="B1052" s="4" t="inlineStr">
        <is>
          <t>C14</t>
        </is>
      </c>
      <c r="C1052" s="4" t="inlineStr">
        <is>
          <t>Pradhan Mantri Fasal Bima Yojna (PMFBY)</t>
        </is>
      </c>
      <c r="D1052" s="4" t="inlineStr">
        <is>
          <t>Application process</t>
        </is>
      </c>
      <c r="E1052" s="4" t="inlineStr"/>
      <c r="F1052" s="4" t="inlineStr">
        <is>
          <t>en.applicationProcess[2].process[4]</t>
        </is>
      </c>
      <c r="G1052" s="4" t="inlineStr">
        <is>
          <t>C14@20261028-9029f2b7</t>
        </is>
      </c>
      <c r="H1052" s="4" t="n">
        <v>1</v>
      </c>
      <c r="I1052" s="4" t="n">
        <v>1</v>
      </c>
      <c r="J1052" s="4" t="inlineStr">
        <is>
          <t>Step 5: Receive an acknowledgement receipt from the VLE as proof of application submission.</t>
        </is>
      </c>
      <c r="K1052" s="4" t="inlineStr">
        <is>
          <t>MS-C14</t>
        </is>
      </c>
      <c r="L1052" s="6" t="n">
        <v>46323</v>
      </c>
      <c r="M1052" s="4" t="inlineStr">
        <is>
          <t>Approved</t>
        </is>
      </c>
      <c r="N1052" s="4" t="inlineStr">
        <is>
          <t>paragraph</t>
        </is>
      </c>
    </row>
    <row r="1053" ht="40" customHeight="1">
      <c r="A1053" s="8" t="inlineStr">
        <is>
          <t>C14-P0070</t>
        </is>
      </c>
      <c r="B1053" s="8" t="inlineStr">
        <is>
          <t>C14</t>
        </is>
      </c>
      <c r="C1053" s="8" t="inlineStr">
        <is>
          <t>Pradhan Mantri Fasal Bima Yojna (PMFBY)</t>
        </is>
      </c>
      <c r="D1053" s="8" t="inlineStr">
        <is>
          <t>Application process</t>
        </is>
      </c>
      <c r="E1053" s="8" t="inlineStr"/>
      <c r="F1053" s="8" t="inlineStr">
        <is>
          <t>en.applicationProcess[2].process[5].children[0]</t>
        </is>
      </c>
      <c r="G1053" s="8" t="inlineStr">
        <is>
          <t>C14@20261028-9029f2b7</t>
        </is>
      </c>
      <c r="H1053" s="8" t="n">
        <v>1</v>
      </c>
      <c r="I1053" s="8" t="n">
        <v>1</v>
      </c>
      <c r="J1053" s="8" t="inlineStr">
        <is>
          <t>Track Your Application</t>
        </is>
      </c>
      <c r="K1053" s="8" t="inlineStr">
        <is>
          <t>MS-C14</t>
        </is>
      </c>
      <c r="L1053" s="9" t="n">
        <v>46323</v>
      </c>
      <c r="M1053" s="8" t="inlineStr">
        <is>
          <t>Approved</t>
        </is>
      </c>
      <c r="N1053" s="8" t="inlineStr">
        <is>
          <t>text</t>
        </is>
      </c>
    </row>
    <row r="1054" ht="40" customHeight="1">
      <c r="A1054" s="4" t="inlineStr">
        <is>
          <t>C14-P0071</t>
        </is>
      </c>
      <c r="B1054" s="4" t="inlineStr">
        <is>
          <t>C14</t>
        </is>
      </c>
      <c r="C1054" s="4" t="inlineStr">
        <is>
          <t>Pradhan Mantri Fasal Bima Yojna (PMFBY)</t>
        </is>
      </c>
      <c r="D1054" s="4" t="inlineStr">
        <is>
          <t>Application process</t>
        </is>
      </c>
      <c r="E1054" s="4" t="inlineStr"/>
      <c r="F1054" s="4" t="inlineStr">
        <is>
          <t>en.applicationProcess[2].process[6]</t>
        </is>
      </c>
      <c r="G1054" s="4" t="inlineStr">
        <is>
          <t>C14@20261028-9029f2b7</t>
        </is>
      </c>
      <c r="H1054" s="4" t="n">
        <v>1</v>
      </c>
      <c r="I1054" s="4" t="n">
        <v>1</v>
      </c>
      <c r="J1054" s="4" t="inlineStr">
        <is>
          <t>You can track the application status on the PMFBY website through the ‘Application Status’ option on the home page.</t>
        </is>
      </c>
      <c r="K1054" s="4" t="inlineStr">
        <is>
          <t>MS-C14</t>
        </is>
      </c>
      <c r="L1054" s="6" t="n">
        <v>46323</v>
      </c>
      <c r="M1054" s="4" t="inlineStr">
        <is>
          <t>Approved</t>
        </is>
      </c>
      <c r="N1054" s="4" t="inlineStr">
        <is>
          <t>paragraph</t>
        </is>
      </c>
    </row>
    <row r="1055" ht="40" customHeight="1">
      <c r="A1055" s="8" t="inlineStr">
        <is>
          <t>C14-P0072</t>
        </is>
      </c>
      <c r="B1055" s="8" t="inlineStr">
        <is>
          <t>C14</t>
        </is>
      </c>
      <c r="C1055" s="8" t="inlineStr">
        <is>
          <t>Pradhan Mantri Fasal Bima Yojna (PMFBY)</t>
        </is>
      </c>
      <c r="D1055" s="8" t="inlineStr">
        <is>
          <t>Application process</t>
        </is>
      </c>
      <c r="E1055" s="8" t="inlineStr"/>
      <c r="F1055" s="8" t="inlineStr">
        <is>
          <t>en.applicationProcess[2].process[7]</t>
        </is>
      </c>
      <c r="G1055" s="8" t="inlineStr">
        <is>
          <t>C14@20261028-9029f2b7</t>
        </is>
      </c>
      <c r="H1055" s="8" t="n">
        <v>1</v>
      </c>
      <c r="I1055" s="8" t="n">
        <v>1</v>
      </c>
      <c r="J1055" s="8" t="inlineStr">
        <is>
          <t>* Keep copies of all documents submitted and the acknowledgement receipt for future reference.</t>
        </is>
      </c>
      <c r="K1055" s="8" t="inlineStr">
        <is>
          <t>MS-C14</t>
        </is>
      </c>
      <c r="L1055" s="9" t="n">
        <v>46323</v>
      </c>
      <c r="M1055" s="8" t="inlineStr">
        <is>
          <t>Approved</t>
        </is>
      </c>
      <c r="N1055" s="8" t="inlineStr">
        <is>
          <t>paragraph</t>
        </is>
      </c>
    </row>
    <row r="1056" ht="40" customHeight="1">
      <c r="A1056" s="4" t="inlineStr">
        <is>
          <t>C14-P0073</t>
        </is>
      </c>
      <c r="B1056" s="4" t="inlineStr">
        <is>
          <t>C14</t>
        </is>
      </c>
      <c r="C1056" s="4" t="inlineStr">
        <is>
          <t>Pradhan Mantri Fasal Bima Yojna (PMFBY)</t>
        </is>
      </c>
      <c r="D1056" s="4" t="inlineStr">
        <is>
          <t>Application process</t>
        </is>
      </c>
      <c r="E1056" s="4" t="inlineStr"/>
      <c r="F1056" s="4" t="inlineStr">
        <is>
          <t>en.applicationProcess[2].process[8]</t>
        </is>
      </c>
      <c r="G1056" s="4" t="inlineStr">
        <is>
          <t>C14@20261028-9029f2b7</t>
        </is>
      </c>
      <c r="H1056" s="4" t="n">
        <v>1</v>
      </c>
      <c r="I1056" s="4" t="n">
        <v>1</v>
      </c>
      <c r="J1056" s="4" t="inlineStr">
        <is>
          <t>* Note down the contact details of the CSC centre for any queries or assistance.</t>
        </is>
      </c>
      <c r="K1056" s="4" t="inlineStr">
        <is>
          <t>MS-C14</t>
        </is>
      </c>
      <c r="L1056" s="6" t="n">
        <v>46323</v>
      </c>
      <c r="M1056" s="4" t="inlineStr">
        <is>
          <t>Approved</t>
        </is>
      </c>
      <c r="N1056" s="4" t="inlineStr">
        <is>
          <t>paragraph</t>
        </is>
      </c>
    </row>
    <row r="1057" ht="68" customHeight="1">
      <c r="A1057" s="8" t="inlineStr">
        <is>
          <t>C14-P0074</t>
        </is>
      </c>
      <c r="B1057" s="8" t="inlineStr">
        <is>
          <t>C14</t>
        </is>
      </c>
      <c r="C1057" s="8" t="inlineStr">
        <is>
          <t>Pradhan Mantri Fasal Bima Yojna (PMFBY)</t>
        </is>
      </c>
      <c r="D1057" s="8" t="inlineStr">
        <is>
          <t>FAQ</t>
        </is>
      </c>
      <c r="E1057" s="8" t="inlineStr"/>
      <c r="F1057" s="8" t="inlineStr">
        <is>
          <t>faqs.en.faqs[0]</t>
        </is>
      </c>
      <c r="G1057" s="8" t="inlineStr">
        <is>
          <t>C14@20261028-9029f2b7</t>
        </is>
      </c>
      <c r="H1057" s="8" t="n">
        <v>1</v>
      </c>
      <c r="I1057" s="8" t="n">
        <v>1</v>
      </c>
      <c r="J1057" s="8" t="inlineStr">
        <is>
          <t>I'm a tenant farmer without formal land ownership documents. Can I still apply for crop insurance under PMFBY if I can prove I cultivate the land?
Yes, tenant farmers and sharecroppers can apply with a valid land tenure agreement. You must provide evidence of your cultivation rights through state-recognized documents or agreements.</t>
        </is>
      </c>
      <c r="K1057" s="8" t="inlineStr">
        <is>
          <t>MS-C14</t>
        </is>
      </c>
      <c r="L1057" s="9" t="n">
        <v>46323</v>
      </c>
      <c r="M1057" s="8" t="inlineStr">
        <is>
          <t>Approved</t>
        </is>
      </c>
      <c r="N1057" s="8" t="inlineStr">
        <is>
          <t>faq</t>
        </is>
      </c>
    </row>
    <row r="1058" ht="82" customHeight="1">
      <c r="A1058" s="4" t="inlineStr">
        <is>
          <t>C14-P0075</t>
        </is>
      </c>
      <c r="B1058" s="4" t="inlineStr">
        <is>
          <t>C14</t>
        </is>
      </c>
      <c r="C1058" s="4" t="inlineStr">
        <is>
          <t>Pradhan Mantri Fasal Bima Yojna (PMFBY)</t>
        </is>
      </c>
      <c r="D1058" s="4" t="inlineStr">
        <is>
          <t>FAQ</t>
        </is>
      </c>
      <c r="E1058" s="4" t="inlineStr"/>
      <c r="F1058" s="4" t="inlineStr">
        <is>
          <t>faqs.en.faqs[1]</t>
        </is>
      </c>
      <c r="G1058" s="4" t="inlineStr">
        <is>
          <t>C14@20261028-9029f2b7</t>
        </is>
      </c>
      <c r="H1058" s="4" t="n">
        <v>1</v>
      </c>
      <c r="I1058" s="4" t="n">
        <v>1</v>
      </c>
      <c r="J1058" s="4" t="inlineStr">
        <is>
          <t>My crops were damaged by unseasonal rains after harvesting while drying in the field. Does PMFBY cover such losses?
Coverage is available for up to 14 days post-harvest for crops kept in "cut &amp; spread" condition in the field, specifically for damage from cyclonic/unseasonal rains. You must report the damage immediately.</t>
        </is>
      </c>
      <c r="K1058" s="4" t="inlineStr">
        <is>
          <t>MS-C14</t>
        </is>
      </c>
      <c r="L1058" s="6" t="n">
        <v>46323</v>
      </c>
      <c r="M1058" s="4" t="inlineStr">
        <is>
          <t>Approved</t>
        </is>
      </c>
      <c r="N1058" s="4" t="inlineStr">
        <is>
          <t>faq</t>
        </is>
      </c>
    </row>
    <row r="1059" ht="54" customHeight="1">
      <c r="A1059" s="8" t="inlineStr">
        <is>
          <t>C14-P0076</t>
        </is>
      </c>
      <c r="B1059" s="8" t="inlineStr">
        <is>
          <t>C14</t>
        </is>
      </c>
      <c r="C1059" s="8" t="inlineStr">
        <is>
          <t>Pradhan Mantri Fasal Bima Yojna (PMFBY)</t>
        </is>
      </c>
      <c r="D1059" s="8" t="inlineStr">
        <is>
          <t>FAQ</t>
        </is>
      </c>
      <c r="E1059" s="8" t="inlineStr"/>
      <c r="F1059" s="8" t="inlineStr">
        <is>
          <t>faqs.en.faqs[2]</t>
        </is>
      </c>
      <c r="G1059" s="8" t="inlineStr">
        <is>
          <t>C14@20261028-9029f2b7</t>
        </is>
      </c>
      <c r="H1059" s="8" t="n">
        <v>1</v>
      </c>
      <c r="I1059" s="8" t="n">
        <v>1</v>
      </c>
      <c r="J1059" s="8" t="inlineStr">
        <is>
          <t>What is the exact premium rate for Kharif paddy, and how is the government subsidy calculated?
Farmers pay 2% of the sum insured for Kharif food crops. The difference between the actuarial premium rate and farmer's share is jointly subsidized by Central and State governments equally.</t>
        </is>
      </c>
      <c r="K1059" s="8" t="inlineStr">
        <is>
          <t>MS-C14</t>
        </is>
      </c>
      <c r="L1059" s="9" t="n">
        <v>46323</v>
      </c>
      <c r="M1059" s="8" t="inlineStr">
        <is>
          <t>Approved</t>
        </is>
      </c>
      <c r="N1059" s="8" t="inlineStr">
        <is>
          <t>faq</t>
        </is>
      </c>
    </row>
    <row r="1060" ht="68" customHeight="1">
      <c r="A1060" s="4" t="inlineStr">
        <is>
          <t>C14-P0077</t>
        </is>
      </c>
      <c r="B1060" s="4" t="inlineStr">
        <is>
          <t>C14</t>
        </is>
      </c>
      <c r="C1060" s="4" t="inlineStr">
        <is>
          <t>Pradhan Mantri Fasal Bima Yojna (PMFBY)</t>
        </is>
      </c>
      <c r="D1060" s="4" t="inlineStr">
        <is>
          <t>FAQ</t>
        </is>
      </c>
      <c r="E1060" s="4" t="inlineStr"/>
      <c r="F1060" s="4" t="inlineStr">
        <is>
          <t>faqs.en.faqs[3]</t>
        </is>
      </c>
      <c r="G1060" s="4" t="inlineStr">
        <is>
          <t>C14@20261028-9029f2b7</t>
        </is>
      </c>
      <c r="H1060" s="4" t="n">
        <v>1</v>
      </c>
      <c r="I1060" s="4" t="n">
        <v>1</v>
      </c>
      <c r="J1060" s="4" t="inlineStr">
        <is>
          <t>If a drought prevents me from sowing crops despite preparation, what percentage of compensation can I claim?
You can claim up to 25% of the sum insured under prevented sowing coverage, provided the majority of farmers in your notified area were also prevented from sowing due to adverse conditions.</t>
        </is>
      </c>
      <c r="K1060" s="4" t="inlineStr">
        <is>
          <t>MS-C14</t>
        </is>
      </c>
      <c r="L1060" s="6" t="n">
        <v>46323</v>
      </c>
      <c r="M1060" s="4" t="inlineStr">
        <is>
          <t>Approved</t>
        </is>
      </c>
      <c r="N1060" s="4" t="inlineStr">
        <is>
          <t>faq</t>
        </is>
      </c>
    </row>
    <row r="1061" ht="54" customHeight="1">
      <c r="A1061" s="8" t="inlineStr">
        <is>
          <t>C14-P0078</t>
        </is>
      </c>
      <c r="B1061" s="8" t="inlineStr">
        <is>
          <t>C14</t>
        </is>
      </c>
      <c r="C1061" s="8" t="inlineStr">
        <is>
          <t>Pradhan Mantri Fasal Bima Yojna (PMFBY)</t>
        </is>
      </c>
      <c r="D1061" s="8" t="inlineStr">
        <is>
          <t>FAQ</t>
        </is>
      </c>
      <c r="E1061" s="8" t="inlineStr"/>
      <c r="F1061" s="8" t="inlineStr">
        <is>
          <t>faqs.en.faqs[4]</t>
        </is>
      </c>
      <c r="G1061" s="8" t="inlineStr">
        <is>
          <t>C14@20261028-9029f2b7</t>
        </is>
      </c>
      <c r="H1061" s="8" t="n">
        <v>1</v>
      </c>
      <c r="I1061" s="8" t="n">
        <v>1</v>
      </c>
      <c r="J1061" s="8" t="inlineStr">
        <is>
          <t>I farm in Himachal Pradesh. Do I need to pay any premium for my apple crop under PMFBY?
No, farmers in Himachal Pradesh, along with other North-Eastern states and Jammu &amp; Kashmir, receive 100% premium subsidy from the government for all notified crops.</t>
        </is>
      </c>
      <c r="K1061" s="8" t="inlineStr">
        <is>
          <t>MS-C14</t>
        </is>
      </c>
      <c r="L1061" s="9" t="n">
        <v>46323</v>
      </c>
      <c r="M1061" s="8" t="inlineStr">
        <is>
          <t>Approved</t>
        </is>
      </c>
      <c r="N1061" s="8" t="inlineStr">
        <is>
          <t>faq</t>
        </is>
      </c>
    </row>
    <row r="1062" ht="68" customHeight="1">
      <c r="A1062" s="4" t="inlineStr">
        <is>
          <t>C14-P0079</t>
        </is>
      </c>
      <c r="B1062" s="4" t="inlineStr">
        <is>
          <t>C14</t>
        </is>
      </c>
      <c r="C1062" s="4" t="inlineStr">
        <is>
          <t>Pradhan Mantri Fasal Bima Yojna (PMFBY)</t>
        </is>
      </c>
      <c r="D1062" s="4" t="inlineStr">
        <is>
          <t>FAQ</t>
        </is>
      </c>
      <c r="E1062" s="4" t="inlineStr"/>
      <c r="F1062" s="4" t="inlineStr">
        <is>
          <t>faqs.en.faqs[5]</t>
        </is>
      </c>
      <c r="G1062" s="4" t="inlineStr">
        <is>
          <t>C14@20261028-9029f2b7</t>
        </is>
      </c>
      <c r="H1062" s="4" t="n">
        <v>1</v>
      </c>
      <c r="I1062" s="4" t="n">
        <v>1</v>
      </c>
      <c r="J1062" s="4" t="inlineStr">
        <is>
          <t>Can I claim compensation if my entire village faced crop damage from a landslide, but neighboring villages were unaffected?
Yes, PMFBY covers localized calamities like landslides on an individual farm basis, even if the damage is isolated to specific areas within the notified region.</t>
        </is>
      </c>
      <c r="K1062" s="4" t="inlineStr">
        <is>
          <t>MS-C14</t>
        </is>
      </c>
      <c r="L1062" s="6" t="n">
        <v>46323</v>
      </c>
      <c r="M1062" s="4" t="inlineStr">
        <is>
          <t>Approved</t>
        </is>
      </c>
      <c r="N1062" s="4" t="inlineStr">
        <is>
          <t>faq</t>
        </is>
      </c>
    </row>
    <row r="1063" ht="54" customHeight="1">
      <c r="A1063" s="8" t="inlineStr">
        <is>
          <t>C14-P0080</t>
        </is>
      </c>
      <c r="B1063" s="8" t="inlineStr">
        <is>
          <t>C14</t>
        </is>
      </c>
      <c r="C1063" s="8" t="inlineStr">
        <is>
          <t>Pradhan Mantri Fasal Bima Yojna (PMFBY)</t>
        </is>
      </c>
      <c r="D1063" s="8" t="inlineStr">
        <is>
          <t>FAQ</t>
        </is>
      </c>
      <c r="E1063" s="8" t="inlineStr"/>
      <c r="F1063" s="8" t="inlineStr">
        <is>
          <t>faqs.en.faqs[6]</t>
        </is>
      </c>
      <c r="G1063" s="8" t="inlineStr">
        <is>
          <t>C14@20261028-9029f2b7</t>
        </is>
      </c>
      <c r="H1063" s="8" t="n">
        <v>1</v>
      </c>
      <c r="I1063" s="8" t="n">
        <v>1</v>
      </c>
      <c r="J1063" s="8" t="inlineStr">
        <is>
          <t>How long after reporting crop damage should I expect to receive the claim amount?
PMFBY aims to process and settle claims within two months of harvest, provided all documentation is complete and damage assessment is finalized.</t>
        </is>
      </c>
      <c r="K1063" s="8" t="inlineStr">
        <is>
          <t>MS-C14</t>
        </is>
      </c>
      <c r="L1063" s="9" t="n">
        <v>46323</v>
      </c>
      <c r="M1063" s="8" t="inlineStr">
        <is>
          <t>Approved</t>
        </is>
      </c>
      <c r="N1063" s="8" t="inlineStr">
        <is>
          <t>faq</t>
        </is>
      </c>
    </row>
    <row r="1064" ht="68" customHeight="1">
      <c r="A1064" s="4" t="inlineStr">
        <is>
          <t>C14-P0081</t>
        </is>
      </c>
      <c r="B1064" s="4" t="inlineStr">
        <is>
          <t>C14</t>
        </is>
      </c>
      <c r="C1064" s="4" t="inlineStr">
        <is>
          <t>Pradhan Mantri Fasal Bima Yojna (PMFBY)</t>
        </is>
      </c>
      <c r="D1064" s="4" t="inlineStr">
        <is>
          <t>FAQ</t>
        </is>
      </c>
      <c r="E1064" s="4" t="inlineStr"/>
      <c r="F1064" s="4" t="inlineStr">
        <is>
          <t>faqs.en.faqs[7]</t>
        </is>
      </c>
      <c r="G1064" s="4" t="inlineStr">
        <is>
          <t>C14@20261028-9029f2b7</t>
        </is>
      </c>
      <c r="H1064" s="4" t="n">
        <v>1</v>
      </c>
      <c r="I1064" s="4" t="n">
        <v>1</v>
      </c>
      <c r="J1064" s="4" t="inlineStr">
        <is>
          <t>If I've taken a bank loan for farming, do I need to separately apply for PMFBY, or is it automatic?
For loanee farmers, coverage is compulsory but not automatic. You must ensure your bank has processed your PMFBY enrollment within the specified timeframe.</t>
        </is>
      </c>
      <c r="K1064" s="4" t="inlineStr">
        <is>
          <t>MS-C14</t>
        </is>
      </c>
      <c r="L1064" s="6" t="n">
        <v>46323</v>
      </c>
      <c r="M1064" s="4" t="inlineStr">
        <is>
          <t>Approved</t>
        </is>
      </c>
      <c r="N1064" s="4" t="inlineStr">
        <is>
          <t>faq</t>
        </is>
      </c>
    </row>
    <row r="1065" ht="54" customHeight="1">
      <c r="A1065" s="8" t="inlineStr">
        <is>
          <t>C14-P0082</t>
        </is>
      </c>
      <c r="B1065" s="8" t="inlineStr">
        <is>
          <t>C14</t>
        </is>
      </c>
      <c r="C1065" s="8" t="inlineStr">
        <is>
          <t>Pradhan Mantri Fasal Bima Yojna (PMFBY)</t>
        </is>
      </c>
      <c r="D1065" s="8" t="inlineStr">
        <is>
          <t>FAQ</t>
        </is>
      </c>
      <c r="E1065" s="8" t="inlineStr"/>
      <c r="F1065" s="8" t="inlineStr">
        <is>
          <t>faqs.en.faqs[8]</t>
        </is>
      </c>
      <c r="G1065" s="8" t="inlineStr">
        <is>
          <t>C14@20261028-9029f2b7</t>
        </is>
      </c>
      <c r="H1065" s="8" t="n">
        <v>1</v>
      </c>
      <c r="I1065" s="8" t="n">
        <v>1</v>
      </c>
      <c r="J1065" s="8" t="inlineStr">
        <is>
          <t>What happens if I'm unable to pay the premium online due to technical issues on the last date?
You can visit a nearby CSC or bank branch to submit your premium payment. Keep proof of your online payment attempt for any deadline-related disputes.</t>
        </is>
      </c>
      <c r="K1065" s="8" t="inlineStr">
        <is>
          <t>MS-C14</t>
        </is>
      </c>
      <c r="L1065" s="9" t="n">
        <v>46323</v>
      </c>
      <c r="M1065" s="8" t="inlineStr">
        <is>
          <t>Approved</t>
        </is>
      </c>
      <c r="N1065" s="8" t="inlineStr">
        <is>
          <t>faq</t>
        </is>
      </c>
    </row>
    <row r="1066" ht="68" customHeight="1">
      <c r="A1066" s="4" t="inlineStr">
        <is>
          <t>C14-P0083</t>
        </is>
      </c>
      <c r="B1066" s="4" t="inlineStr">
        <is>
          <t>C14</t>
        </is>
      </c>
      <c r="C1066" s="4" t="inlineStr">
        <is>
          <t>Pradhan Mantri Fasal Bima Yojna (PMFBY)</t>
        </is>
      </c>
      <c r="D1066" s="4" t="inlineStr">
        <is>
          <t>FAQ</t>
        </is>
      </c>
      <c r="E1066" s="4" t="inlineStr"/>
      <c r="F1066" s="4" t="inlineStr">
        <is>
          <t>faqs.en.faqs[9]</t>
        </is>
      </c>
      <c r="G1066" s="4" t="inlineStr">
        <is>
          <t>C14@20261028-9029f2b7</t>
        </is>
      </c>
      <c r="H1066" s="4" t="n">
        <v>1</v>
      </c>
      <c r="I1066" s="4" t="n">
        <v>1</v>
      </c>
      <c r="J1066" s="4" t="inlineStr">
        <is>
          <t>If I've already registered on the PMFBY portal last season, do I need to create a new registration for this season?
No, use your existing registration. However, you must submit a fresh application and premium payment for each season you want coverage.</t>
        </is>
      </c>
      <c r="K1066" s="4" t="inlineStr">
        <is>
          <t>MS-C14</t>
        </is>
      </c>
      <c r="L1066" s="6" t="n">
        <v>46323</v>
      </c>
      <c r="M1066" s="4" t="inlineStr">
        <is>
          <t>Approved</t>
        </is>
      </c>
      <c r="N1066" s="4" t="inlineStr">
        <is>
          <t>faq</t>
        </is>
      </c>
    </row>
    <row r="1067" ht="68" customHeight="1">
      <c r="A1067" s="8" t="inlineStr">
        <is>
          <t>C14-P0084</t>
        </is>
      </c>
      <c r="B1067" s="8" t="inlineStr">
        <is>
          <t>C14</t>
        </is>
      </c>
      <c r="C1067" s="8" t="inlineStr">
        <is>
          <t>Pradhan Mantri Fasal Bima Yojna (PMFBY)</t>
        </is>
      </c>
      <c r="D1067" s="8" t="inlineStr">
        <is>
          <t>FAQ</t>
        </is>
      </c>
      <c r="E1067" s="8" t="inlineStr"/>
      <c r="F1067" s="8" t="inlineStr">
        <is>
          <t>faqs.en.faqs[10]</t>
        </is>
      </c>
      <c r="G1067" s="8" t="inlineStr">
        <is>
          <t>C14@20261028-9029f2b7</t>
        </is>
      </c>
      <c r="H1067" s="8" t="n">
        <v>1</v>
      </c>
      <c r="I1067" s="8" t="n">
        <v>1</v>
      </c>
      <c r="J1067" s="8" t="inlineStr">
        <is>
          <t>I discovered pest damage in my field but couldn't document it immediately due to hospitalization. Will my claim be rejected?
Report the damage as soon as possible with medical documentation of your hospitalization. Each case is evaluated based on provided evidence and circumstances.</t>
        </is>
      </c>
      <c r="K1067" s="8" t="inlineStr">
        <is>
          <t>MS-C14</t>
        </is>
      </c>
      <c r="L1067" s="9" t="n">
        <v>46323</v>
      </c>
      <c r="M1067" s="8" t="inlineStr">
        <is>
          <t>Approved</t>
        </is>
      </c>
      <c r="N1067" s="8" t="inlineStr">
        <is>
          <t>faq</t>
        </is>
      </c>
    </row>
    <row r="1068" ht="68" customHeight="1">
      <c r="A1068" s="4" t="inlineStr">
        <is>
          <t>C14-P0085</t>
        </is>
      </c>
      <c r="B1068" s="4" t="inlineStr">
        <is>
          <t>C14</t>
        </is>
      </c>
      <c r="C1068" s="4" t="inlineStr">
        <is>
          <t>Pradhan Mantri Fasal Bima Yojna (PMFBY)</t>
        </is>
      </c>
      <c r="D1068" s="4" t="inlineStr">
        <is>
          <t>FAQ</t>
        </is>
      </c>
      <c r="E1068" s="4" t="inlineStr"/>
      <c r="F1068" s="4" t="inlineStr">
        <is>
          <t>faqs.en.faqs[11]</t>
        </is>
      </c>
      <c r="G1068" s="4" t="inlineStr">
        <is>
          <t>C14@20261028-9029f2b7</t>
        </is>
      </c>
      <c r="H1068" s="4" t="n">
        <v>1</v>
      </c>
      <c r="I1068" s="4" t="n">
        <v>1</v>
      </c>
      <c r="J1068" s="4" t="inlineStr">
        <is>
          <t>How can I ensure my claim isn't rejected due to wrong information if the CSC operator fills my form?
Always verify the entered details before final submission. Request a printed copy of your application form and keep the acknowledgment receipt with the application number.</t>
        </is>
      </c>
      <c r="K1068" s="4" t="inlineStr">
        <is>
          <t>MS-C14</t>
        </is>
      </c>
      <c r="L1068" s="6" t="n">
        <v>46323</v>
      </c>
      <c r="M1068" s="4" t="inlineStr">
        <is>
          <t>Approved</t>
        </is>
      </c>
      <c r="N1068" s="4" t="inlineStr">
        <is>
          <t>faq</t>
        </is>
      </c>
    </row>
    <row r="1069" ht="68" customHeight="1">
      <c r="A1069" s="8" t="inlineStr">
        <is>
          <t>C14-P0086</t>
        </is>
      </c>
      <c r="B1069" s="8" t="inlineStr">
        <is>
          <t>C14</t>
        </is>
      </c>
      <c r="C1069" s="8" t="inlineStr">
        <is>
          <t>Pradhan Mantri Fasal Bima Yojna (PMFBY)</t>
        </is>
      </c>
      <c r="D1069" s="8" t="inlineStr">
        <is>
          <t>FAQ</t>
        </is>
      </c>
      <c r="E1069" s="8" t="inlineStr"/>
      <c r="F1069" s="8" t="inlineStr">
        <is>
          <t>faqs.en.faqs[12]</t>
        </is>
      </c>
      <c r="G1069" s="8" t="inlineStr">
        <is>
          <t>C14@20261028-9029f2b7</t>
        </is>
      </c>
      <c r="H1069" s="8" t="n">
        <v>1</v>
      </c>
      <c r="I1069" s="8" t="n">
        <v>1</v>
      </c>
      <c r="J1069" s="8" t="inlineStr">
        <is>
          <t>If my crop loss assessment shows 60% damage but I'm not satisfied with the evaluation, what's the grievance process?
File an appeal through the PMFBY portal or submit a written complaint to your district agriculture officer within 7 days of assessment. Include evidence supporting your claim.</t>
        </is>
      </c>
      <c r="K1069" s="8" t="inlineStr">
        <is>
          <t>MS-C14</t>
        </is>
      </c>
      <c r="L1069" s="9" t="n">
        <v>46323</v>
      </c>
      <c r="M1069" s="8" t="inlineStr">
        <is>
          <t>Approved</t>
        </is>
      </c>
      <c r="N1069" s="8" t="inlineStr">
        <is>
          <t>faq</t>
        </is>
      </c>
    </row>
    <row r="1070" ht="54" customHeight="1">
      <c r="A1070" s="4" t="inlineStr">
        <is>
          <t>C14-P0087</t>
        </is>
      </c>
      <c r="B1070" s="4" t="inlineStr">
        <is>
          <t>C14</t>
        </is>
      </c>
      <c r="C1070" s="4" t="inlineStr">
        <is>
          <t>Pradhan Mantri Fasal Bima Yojna (PMFBY)</t>
        </is>
      </c>
      <c r="D1070" s="4" t="inlineStr">
        <is>
          <t>FAQ</t>
        </is>
      </c>
      <c r="E1070" s="4" t="inlineStr"/>
      <c r="F1070" s="4" t="inlineStr">
        <is>
          <t>faqs.en.faqs[13]</t>
        </is>
      </c>
      <c r="G1070" s="4" t="inlineStr">
        <is>
          <t>C14@20261028-9029f2b7</t>
        </is>
      </c>
      <c r="H1070" s="4" t="n">
        <v>1</v>
      </c>
      <c r="I1070" s="4" t="n">
        <v>1</v>
      </c>
      <c r="J1070" s="4" t="inlineStr">
        <is>
          <t>Does PMFBY cover damage from wild animals or fire caused by neighboring fields?
Natural fire is covered, but damage from wild animals isn't. For fire spreading from neighboring fields, you must provide evidence that it wasn't due to negligence.</t>
        </is>
      </c>
      <c r="K1070" s="4" t="inlineStr">
        <is>
          <t>MS-C14</t>
        </is>
      </c>
      <c r="L1070" s="6" t="n">
        <v>46323</v>
      </c>
      <c r="M1070" s="4" t="inlineStr">
        <is>
          <t>Approved</t>
        </is>
      </c>
      <c r="N1070" s="4" t="inlineStr">
        <is>
          <t>faq</t>
        </is>
      </c>
    </row>
    <row r="1071" ht="96" customHeight="1">
      <c r="A1071" s="8" t="inlineStr">
        <is>
          <t>C15-P0001</t>
        </is>
      </c>
      <c r="B1071" s="8" t="inlineStr">
        <is>
          <t>C15</t>
        </is>
      </c>
      <c r="C1071" s="8" t="inlineStr">
        <is>
          <t>Post Graduate Indira Gandhi Scholarship For Single Girl Child</t>
        </is>
      </c>
      <c r="D1071" s="8" t="inlineStr">
        <is>
          <t>Details</t>
        </is>
      </c>
      <c r="E1071" s="8" t="inlineStr"/>
      <c r="F1071" s="8" t="inlineStr">
        <is>
          <t>en.schemeContent.detailedDescription[0]</t>
        </is>
      </c>
      <c r="G1071" s="8" t="inlineStr">
        <is>
          <t>C15@20261028-1856e0f4</t>
        </is>
      </c>
      <c r="H1071" s="8" t="n">
        <v>1</v>
      </c>
      <c r="I1071" s="8" t="n">
        <v>1</v>
      </c>
      <c r="J1071" s="8" t="inlineStr">
        <is>
          <t>A scholarship scheme by the University Grants Commission for Girl students who are admitted in the first year of PG courses in any designated university or a postgraduate college, and happen to be the only girl child in the family. The amount of fellowship is ₹ 36,200/- p.a. for the full duration of a PG course. The scheme has been introduced with an aim to compensate direct costs of girl education at all levels, especially for such girls who happen to be the only girl child in their families.</t>
        </is>
      </c>
      <c r="K1071" s="8" t="inlineStr">
        <is>
          <t>MS-C15</t>
        </is>
      </c>
      <c r="L1071" s="9" t="n">
        <v>46323</v>
      </c>
      <c r="M1071" s="8" t="inlineStr">
        <is>
          <t>Approved</t>
        </is>
      </c>
      <c r="N1071" s="8" t="inlineStr">
        <is>
          <t>paragraph</t>
        </is>
      </c>
    </row>
    <row r="1072" ht="40" customHeight="1">
      <c r="A1072" s="4" t="inlineStr">
        <is>
          <t>C15-P0002</t>
        </is>
      </c>
      <c r="B1072" s="4" t="inlineStr">
        <is>
          <t>C15</t>
        </is>
      </c>
      <c r="C1072" s="4" t="inlineStr">
        <is>
          <t>Post Graduate Indira Gandhi Scholarship For Single Girl Child</t>
        </is>
      </c>
      <c r="D1072" s="4" t="inlineStr">
        <is>
          <t>Details</t>
        </is>
      </c>
      <c r="E1072" s="4" t="inlineStr"/>
      <c r="F1072" s="4" t="inlineStr">
        <is>
          <t>en.schemeContent.detailedDescription[2]</t>
        </is>
      </c>
      <c r="G1072" s="4" t="inlineStr">
        <is>
          <t>C15@20261028-1856e0f4</t>
        </is>
      </c>
      <c r="H1072" s="4" t="n">
        <v>1</v>
      </c>
      <c r="I1072" s="4" t="n">
        <v>1</v>
      </c>
      <c r="J1072" s="4" t="inlineStr">
        <is>
          <t>The objectives of the proposed scheme are:</t>
        </is>
      </c>
      <c r="K1072" s="4" t="inlineStr">
        <is>
          <t>MS-C15</t>
        </is>
      </c>
      <c r="L1072" s="6" t="n">
        <v>46323</v>
      </c>
      <c r="M1072" s="4" t="inlineStr">
        <is>
          <t>Approved</t>
        </is>
      </c>
      <c r="N1072" s="4" t="inlineStr">
        <is>
          <t>paragraph</t>
        </is>
      </c>
    </row>
    <row r="1073" ht="40" customHeight="1">
      <c r="A1073" s="8" t="inlineStr">
        <is>
          <t>C15-P0003</t>
        </is>
      </c>
      <c r="B1073" s="8" t="inlineStr">
        <is>
          <t>C15</t>
        </is>
      </c>
      <c r="C1073" s="8" t="inlineStr">
        <is>
          <t>Post Graduate Indira Gandhi Scholarship For Single Girl Child</t>
        </is>
      </c>
      <c r="D1073" s="8" t="inlineStr">
        <is>
          <t>Details</t>
        </is>
      </c>
      <c r="E1073" s="8" t="inlineStr"/>
      <c r="F1073" s="8" t="inlineStr">
        <is>
          <t>en.schemeContent.detailedDescription[3]</t>
        </is>
      </c>
      <c r="G1073" s="8" t="inlineStr">
        <is>
          <t>C15@20261028-1856e0f4</t>
        </is>
      </c>
      <c r="H1073" s="8" t="n">
        <v>1</v>
      </c>
      <c r="I1073" s="8" t="n">
        <v>1</v>
      </c>
      <c r="J1073" s="8" t="inlineStr">
        <is>
          <t>a) To support the postgraduate education of single girl children in postgraduate courses only.</t>
        </is>
      </c>
      <c r="K1073" s="8" t="inlineStr">
        <is>
          <t>MS-C15</t>
        </is>
      </c>
      <c r="L1073" s="9" t="n">
        <v>46323</v>
      </c>
      <c r="M1073" s="8" t="inlineStr">
        <is>
          <t>Approved</t>
        </is>
      </c>
      <c r="N1073" s="8" t="inlineStr">
        <is>
          <t>paragraph</t>
        </is>
      </c>
    </row>
    <row r="1074" ht="40" customHeight="1">
      <c r="A1074" s="4" t="inlineStr">
        <is>
          <t>C15-P0004</t>
        </is>
      </c>
      <c r="B1074" s="4" t="inlineStr">
        <is>
          <t>C15</t>
        </is>
      </c>
      <c r="C1074" s="4" t="inlineStr">
        <is>
          <t>Post Graduate Indira Gandhi Scholarship For Single Girl Child</t>
        </is>
      </c>
      <c r="D1074" s="4" t="inlineStr">
        <is>
          <t>Details</t>
        </is>
      </c>
      <c r="E1074" s="4" t="inlineStr"/>
      <c r="F1074" s="4" t="inlineStr">
        <is>
          <t>en.schemeContent.detailedDescription[4]</t>
        </is>
      </c>
      <c r="G1074" s="4" t="inlineStr">
        <is>
          <t>C15@20261028-1856e0f4</t>
        </is>
      </c>
      <c r="H1074" s="4" t="n">
        <v>1</v>
      </c>
      <c r="I1074" s="4" t="n">
        <v>1</v>
      </c>
      <c r="J1074" s="4" t="inlineStr">
        <is>
          <t>b) To recognize the value of observance of the small family norms.</t>
        </is>
      </c>
      <c r="K1074" s="4" t="inlineStr">
        <is>
          <t>MS-C15</t>
        </is>
      </c>
      <c r="L1074" s="6" t="n">
        <v>46323</v>
      </c>
      <c r="M1074" s="4" t="inlineStr">
        <is>
          <t>Approved</t>
        </is>
      </c>
      <c r="N1074" s="4" t="inlineStr">
        <is>
          <t>paragraph</t>
        </is>
      </c>
    </row>
    <row r="1075" ht="54" customHeight="1">
      <c r="A1075" s="8" t="inlineStr">
        <is>
          <t>C15-P0005</t>
        </is>
      </c>
      <c r="B1075" s="8" t="inlineStr">
        <is>
          <t>C15</t>
        </is>
      </c>
      <c r="C1075" s="8" t="inlineStr">
        <is>
          <t>Post Graduate Indira Gandhi Scholarship For Single Girl Child</t>
        </is>
      </c>
      <c r="D1075" s="8" t="inlineStr">
        <is>
          <t>Details</t>
        </is>
      </c>
      <c r="E1075" s="8" t="inlineStr"/>
      <c r="F1075" s="8" t="inlineStr">
        <is>
          <t>en.schemeContent.detailedDescription[6]</t>
        </is>
      </c>
      <c r="G1075" s="8" t="inlineStr">
        <is>
          <t>C15@20261028-1856e0f4</t>
        </is>
      </c>
      <c r="H1075" s="8" t="n">
        <v>1</v>
      </c>
      <c r="I1075" s="8" t="n">
        <v>1</v>
      </c>
      <c r="J1075" s="8" t="inlineStr">
        <is>
          <t>The candidates are required to apply online on National Scholarship Portal after initiation of the application process and notice to be published on the UGC website. 3,000 fresh scholarships will be awarded every year and will be paid on DBT mode on annual basis.</t>
        </is>
      </c>
      <c r="K1075" s="8" t="inlineStr">
        <is>
          <t>MS-C15</t>
        </is>
      </c>
      <c r="L1075" s="9" t="n">
        <v>46323</v>
      </c>
      <c r="M1075" s="8" t="inlineStr">
        <is>
          <t>Approved</t>
        </is>
      </c>
      <c r="N1075" s="8" t="inlineStr">
        <is>
          <t>paragraph</t>
        </is>
      </c>
    </row>
    <row r="1076" ht="40" customHeight="1">
      <c r="A1076" s="4" t="inlineStr">
        <is>
          <t>C15-P0006</t>
        </is>
      </c>
      <c r="B1076" s="4" t="inlineStr">
        <is>
          <t>C15</t>
        </is>
      </c>
      <c r="C1076" s="4" t="inlineStr">
        <is>
          <t>Post Graduate Indira Gandhi Scholarship For Single Girl Child</t>
        </is>
      </c>
      <c r="D1076" s="4" t="inlineStr">
        <is>
          <t>Benefits</t>
        </is>
      </c>
      <c r="E1076" s="4" t="inlineStr"/>
      <c r="F1076" s="4" t="inlineStr">
        <is>
          <t>en.schemeContent.benefits[0].children[0]</t>
        </is>
      </c>
      <c r="G1076" s="4" t="inlineStr">
        <is>
          <t>C15@20261028-1856e0f4</t>
        </is>
      </c>
      <c r="H1076" s="4" t="n">
        <v>1</v>
      </c>
      <c r="I1076" s="4" t="n">
        <v>1</v>
      </c>
      <c r="J1076" s="4" t="inlineStr">
        <is>
          <t>Nature of Assistance Available Under the Scheme</t>
        </is>
      </c>
      <c r="K1076" s="4" t="inlineStr">
        <is>
          <t>MS-C15</t>
        </is>
      </c>
      <c r="L1076" s="6" t="n">
        <v>46323</v>
      </c>
      <c r="M1076" s="4" t="inlineStr">
        <is>
          <t>Approved</t>
        </is>
      </c>
      <c r="N1076" s="4" t="inlineStr">
        <is>
          <t>text</t>
        </is>
      </c>
    </row>
    <row r="1077" ht="40" customHeight="1">
      <c r="A1077" s="8" t="inlineStr">
        <is>
          <t>C15-P0007</t>
        </is>
      </c>
      <c r="B1077" s="8" t="inlineStr">
        <is>
          <t>C15</t>
        </is>
      </c>
      <c r="C1077" s="8" t="inlineStr">
        <is>
          <t>Post Graduate Indira Gandhi Scholarship For Single Girl Child</t>
        </is>
      </c>
      <c r="D1077" s="8" t="inlineStr">
        <is>
          <t>Benefits</t>
        </is>
      </c>
      <c r="E1077" s="8" t="inlineStr"/>
      <c r="F1077" s="8" t="inlineStr">
        <is>
          <t>en.schemeContent.benefits[1]</t>
        </is>
      </c>
      <c r="G1077" s="8" t="inlineStr">
        <is>
          <t>C15@20261028-1856e0f4</t>
        </is>
      </c>
      <c r="H1077" s="8" t="n">
        <v>1</v>
      </c>
      <c r="I1077" s="8" t="n">
        <v>1</v>
      </c>
      <c r="J1077" s="8" t="inlineStr">
        <is>
          <t>Amount of fellowship: ₹36,200/- per annum for a period of two years only i.e. full duration of a PG course.</t>
        </is>
      </c>
      <c r="K1077" s="8" t="inlineStr">
        <is>
          <t>MS-C15</t>
        </is>
      </c>
      <c r="L1077" s="9" t="n">
        <v>46323</v>
      </c>
      <c r="M1077" s="8" t="inlineStr">
        <is>
          <t>Approved</t>
        </is>
      </c>
      <c r="N1077" s="8" t="inlineStr">
        <is>
          <t>paragraph</t>
        </is>
      </c>
    </row>
    <row r="1078" ht="40" customHeight="1">
      <c r="A1078" s="4" t="inlineStr">
        <is>
          <t>C15-P0008</t>
        </is>
      </c>
      <c r="B1078" s="4" t="inlineStr">
        <is>
          <t>C15</t>
        </is>
      </c>
      <c r="C1078" s="4" t="inlineStr">
        <is>
          <t>Post Graduate Indira Gandhi Scholarship For Single Girl Child</t>
        </is>
      </c>
      <c r="D1078" s="4" t="inlineStr">
        <is>
          <t>Benefits</t>
        </is>
      </c>
      <c r="E1078" s="4" t="inlineStr"/>
      <c r="F1078" s="4" t="inlineStr">
        <is>
          <t>en.schemeContent.benefits[2]</t>
        </is>
      </c>
      <c r="G1078" s="4" t="inlineStr">
        <is>
          <t>C15@20261028-1856e0f4</t>
        </is>
      </c>
      <c r="H1078" s="4" t="n">
        <v>1</v>
      </c>
      <c r="I1078" s="4" t="n">
        <v>1</v>
      </c>
      <c r="J1078" s="4" t="inlineStr">
        <is>
          <t>3,000 fresh scholarships will be awarded every year and will be paid on DBT mode on annual basis.</t>
        </is>
      </c>
      <c r="K1078" s="4" t="inlineStr">
        <is>
          <t>MS-C15</t>
        </is>
      </c>
      <c r="L1078" s="6" t="n">
        <v>46323</v>
      </c>
      <c r="M1078" s="4" t="inlineStr">
        <is>
          <t>Approved</t>
        </is>
      </c>
      <c r="N1078" s="4" t="inlineStr">
        <is>
          <t>paragraph</t>
        </is>
      </c>
    </row>
    <row r="1079" ht="40" customHeight="1">
      <c r="A1079" s="8" t="inlineStr">
        <is>
          <t>C15-P0009</t>
        </is>
      </c>
      <c r="B1079" s="8" t="inlineStr">
        <is>
          <t>C15</t>
        </is>
      </c>
      <c r="C1079" s="8" t="inlineStr">
        <is>
          <t>Post Graduate Indira Gandhi Scholarship For Single Girl Child</t>
        </is>
      </c>
      <c r="D1079" s="8" t="inlineStr">
        <is>
          <t>Benefits</t>
        </is>
      </c>
      <c r="E1079" s="8" t="inlineStr"/>
      <c r="F1079" s="8" t="inlineStr">
        <is>
          <t>en.schemeContent.benefits[4].children[0]</t>
        </is>
      </c>
      <c r="G1079" s="8" t="inlineStr">
        <is>
          <t>C15@20261028-1856e0f4</t>
        </is>
      </c>
      <c r="H1079" s="8" t="n">
        <v>1</v>
      </c>
      <c r="I1079" s="8" t="n">
        <v>1</v>
      </c>
      <c r="J1079" s="8" t="inlineStr">
        <is>
          <t>Note</t>
        </is>
      </c>
      <c r="K1079" s="8" t="inlineStr">
        <is>
          <t>MS-C15</t>
        </is>
      </c>
      <c r="L1079" s="9" t="n">
        <v>46323</v>
      </c>
      <c r="M1079" s="8" t="inlineStr">
        <is>
          <t>Approved</t>
        </is>
      </c>
      <c r="N1079" s="8" t="inlineStr">
        <is>
          <t>text</t>
        </is>
      </c>
    </row>
    <row r="1080" ht="40" customHeight="1">
      <c r="A1080" s="4" t="inlineStr">
        <is>
          <t>C15-P0010</t>
        </is>
      </c>
      <c r="B1080" s="4" t="inlineStr">
        <is>
          <t>C15</t>
        </is>
      </c>
      <c r="C1080" s="4" t="inlineStr">
        <is>
          <t>Post Graduate Indira Gandhi Scholarship For Single Girl Child</t>
        </is>
      </c>
      <c r="D1080" s="4" t="inlineStr">
        <is>
          <t>Benefits</t>
        </is>
      </c>
      <c r="E1080" s="4" t="inlineStr"/>
      <c r="F1080" s="4" t="inlineStr">
        <is>
          <t>en.schemeContent.benefits[5]</t>
        </is>
      </c>
      <c r="G1080" s="4" t="inlineStr">
        <is>
          <t>C15@20261028-1856e0f4</t>
        </is>
      </c>
      <c r="H1080" s="4" t="n">
        <v>1</v>
      </c>
      <c r="I1080" s="4" t="n">
        <v>1</v>
      </c>
      <c r="J1080" s="4" t="inlineStr">
        <is>
          <t>No other additional grant will be payable in lieu of hostel charges and medical charges, etc.</t>
        </is>
      </c>
      <c r="K1080" s="4" t="inlineStr">
        <is>
          <t>MS-C15</t>
        </is>
      </c>
      <c r="L1080" s="6" t="n">
        <v>46323</v>
      </c>
      <c r="M1080" s="4" t="inlineStr">
        <is>
          <t>Approved</t>
        </is>
      </c>
      <c r="N1080" s="4" t="inlineStr">
        <is>
          <t>paragraph</t>
        </is>
      </c>
    </row>
    <row r="1081" ht="40" customHeight="1">
      <c r="A1081" s="8" t="inlineStr">
        <is>
          <t>C15-P0011</t>
        </is>
      </c>
      <c r="B1081" s="8" t="inlineStr">
        <is>
          <t>C15</t>
        </is>
      </c>
      <c r="C1081" s="8" t="inlineStr">
        <is>
          <t>Post Graduate Indira Gandhi Scholarship For Single Girl Child</t>
        </is>
      </c>
      <c r="D1081" s="8" t="inlineStr">
        <is>
          <t>Eligibility</t>
        </is>
      </c>
      <c r="E1081" s="8" t="inlineStr"/>
      <c r="F1081" s="8" t="inlineStr">
        <is>
          <t>en.eligibilityCriteria.eligibilityDescription[0]</t>
        </is>
      </c>
      <c r="G1081" s="8" t="inlineStr">
        <is>
          <t>C15@20261028-1856e0f4</t>
        </is>
      </c>
      <c r="H1081" s="8" t="n">
        <v>1</v>
      </c>
      <c r="I1081" s="8" t="n">
        <v>1</v>
      </c>
      <c r="J1081" s="8" t="inlineStr">
        <is>
          <t>1. The applicant must be a citizen of India.</t>
        </is>
      </c>
      <c r="K1081" s="8" t="inlineStr">
        <is>
          <t>MS-C15</t>
        </is>
      </c>
      <c r="L1081" s="9" t="n">
        <v>46323</v>
      </c>
      <c r="M1081" s="8" t="inlineStr">
        <is>
          <t>Approved</t>
        </is>
      </c>
      <c r="N1081" s="8" t="inlineStr">
        <is>
          <t>paragraph</t>
        </is>
      </c>
    </row>
    <row r="1082" ht="40" customHeight="1">
      <c r="A1082" s="4" t="inlineStr">
        <is>
          <t>C15-P0012</t>
        </is>
      </c>
      <c r="B1082" s="4" t="inlineStr">
        <is>
          <t>C15</t>
        </is>
      </c>
      <c r="C1082" s="4" t="inlineStr">
        <is>
          <t>Post Graduate Indira Gandhi Scholarship For Single Girl Child</t>
        </is>
      </c>
      <c r="D1082" s="4" t="inlineStr">
        <is>
          <t>Eligibility</t>
        </is>
      </c>
      <c r="E1082" s="4" t="inlineStr"/>
      <c r="F1082" s="4" t="inlineStr">
        <is>
          <t>en.eligibilityCriteria.eligibilityDescription[1]</t>
        </is>
      </c>
      <c r="G1082" s="4" t="inlineStr">
        <is>
          <t>C15@20261028-1856e0f4</t>
        </is>
      </c>
      <c r="H1082" s="4" t="n">
        <v>1</v>
      </c>
      <c r="I1082" s="4" t="n">
        <v>1</v>
      </c>
      <c r="J1082" s="4" t="inlineStr">
        <is>
          <t>2. The applicant must be the only girl child in the family.</t>
        </is>
      </c>
      <c r="K1082" s="4" t="inlineStr">
        <is>
          <t>MS-C15</t>
        </is>
      </c>
      <c r="L1082" s="6" t="n">
        <v>46323</v>
      </c>
      <c r="M1082" s="4" t="inlineStr">
        <is>
          <t>Approved</t>
        </is>
      </c>
      <c r="N1082" s="4" t="inlineStr">
        <is>
          <t>paragraph</t>
        </is>
      </c>
    </row>
    <row r="1083" ht="40" customHeight="1">
      <c r="A1083" s="8" t="inlineStr">
        <is>
          <t>C15-P0013</t>
        </is>
      </c>
      <c r="B1083" s="8" t="inlineStr">
        <is>
          <t>C15</t>
        </is>
      </c>
      <c r="C1083" s="8" t="inlineStr">
        <is>
          <t>Post Graduate Indira Gandhi Scholarship For Single Girl Child</t>
        </is>
      </c>
      <c r="D1083" s="8" t="inlineStr">
        <is>
          <t>Eligibility</t>
        </is>
      </c>
      <c r="E1083" s="8" t="inlineStr"/>
      <c r="F1083" s="8" t="inlineStr">
        <is>
          <t>en.eligibilityCriteria.eligibilityDescription[2]</t>
        </is>
      </c>
      <c r="G1083" s="8" t="inlineStr">
        <is>
          <t>C15@20261028-1856e0f4</t>
        </is>
      </c>
      <c r="H1083" s="8" t="n">
        <v>1</v>
      </c>
      <c r="I1083" s="8" t="n">
        <v>1</v>
      </c>
      <c r="J1083" s="8" t="inlineStr">
        <is>
          <t>3. Girl students without having any brothers or the girl student who are twin daughters/ fraternal daughters may also apply</t>
        </is>
      </c>
      <c r="K1083" s="8" t="inlineStr">
        <is>
          <t>MS-C15</t>
        </is>
      </c>
      <c r="L1083" s="9" t="n">
        <v>46323</v>
      </c>
      <c r="M1083" s="8" t="inlineStr">
        <is>
          <t>Approved</t>
        </is>
      </c>
      <c r="N1083" s="8" t="inlineStr">
        <is>
          <t>paragraph</t>
        </is>
      </c>
    </row>
    <row r="1084" ht="40" customHeight="1">
      <c r="A1084" s="4" t="inlineStr">
        <is>
          <t>C15-P0014</t>
        </is>
      </c>
      <c r="B1084" s="4" t="inlineStr">
        <is>
          <t>C15</t>
        </is>
      </c>
      <c r="C1084" s="4" t="inlineStr">
        <is>
          <t>Post Graduate Indira Gandhi Scholarship For Single Girl Child</t>
        </is>
      </c>
      <c r="D1084" s="4" t="inlineStr">
        <is>
          <t>Eligibility</t>
        </is>
      </c>
      <c r="E1084" s="4" t="inlineStr"/>
      <c r="F1084" s="4" t="inlineStr">
        <is>
          <t>en.eligibilityCriteria.eligibilityDescription[3]</t>
        </is>
      </c>
      <c r="G1084" s="4" t="inlineStr">
        <is>
          <t>C15@20261028-1856e0f4</t>
        </is>
      </c>
      <c r="H1084" s="4" t="n">
        <v>1</v>
      </c>
      <c r="I1084" s="4" t="n">
        <v>1</v>
      </c>
      <c r="J1084" s="4" t="inlineStr">
        <is>
          <t>4. The age of the applicant should not be more than 30 years at the time of admission in the first year of PG</t>
        </is>
      </c>
      <c r="K1084" s="4" t="inlineStr">
        <is>
          <t>MS-C15</t>
        </is>
      </c>
      <c r="L1084" s="6" t="n">
        <v>46323</v>
      </c>
      <c r="M1084" s="4" t="inlineStr">
        <is>
          <t>Approved</t>
        </is>
      </c>
      <c r="N1084" s="4" t="inlineStr">
        <is>
          <t>paragraph</t>
        </is>
      </c>
    </row>
    <row r="1085" ht="40" customHeight="1">
      <c r="A1085" s="8" t="inlineStr">
        <is>
          <t>C15-P0015</t>
        </is>
      </c>
      <c r="B1085" s="8" t="inlineStr">
        <is>
          <t>C15</t>
        </is>
      </c>
      <c r="C1085" s="8" t="inlineStr">
        <is>
          <t>Post Graduate Indira Gandhi Scholarship For Single Girl Child</t>
        </is>
      </c>
      <c r="D1085" s="8" t="inlineStr">
        <is>
          <t>Eligibility</t>
        </is>
      </c>
      <c r="E1085" s="8" t="inlineStr"/>
      <c r="F1085" s="8" t="inlineStr">
        <is>
          <t>en.eligibilityCriteria.eligibilityDescription[4]</t>
        </is>
      </c>
      <c r="G1085" s="8" t="inlineStr">
        <is>
          <t>C15@20261028-1856e0f4</t>
        </is>
      </c>
      <c r="H1085" s="8" t="n">
        <v>1</v>
      </c>
      <c r="I1085" s="8" t="n">
        <v>1</v>
      </c>
      <c r="J1085" s="8" t="inlineStr">
        <is>
          <t>course.</t>
        </is>
      </c>
      <c r="K1085" s="8" t="inlineStr">
        <is>
          <t>MS-C15</t>
        </is>
      </c>
      <c r="L1085" s="9" t="n">
        <v>46323</v>
      </c>
      <c r="M1085" s="8" t="inlineStr">
        <is>
          <t>Approved</t>
        </is>
      </c>
      <c r="N1085" s="8" t="inlineStr">
        <is>
          <t>paragraph</t>
        </is>
      </c>
    </row>
    <row r="1086" ht="40" customHeight="1">
      <c r="A1086" s="4" t="inlineStr">
        <is>
          <t>C15-P0016</t>
        </is>
      </c>
      <c r="B1086" s="4" t="inlineStr">
        <is>
          <t>C15</t>
        </is>
      </c>
      <c r="C1086" s="4" t="inlineStr">
        <is>
          <t>Post Graduate Indira Gandhi Scholarship For Single Girl Child</t>
        </is>
      </c>
      <c r="D1086" s="4" t="inlineStr">
        <is>
          <t>Eligibility</t>
        </is>
      </c>
      <c r="E1086" s="4" t="inlineStr"/>
      <c r="F1086" s="4" t="inlineStr">
        <is>
          <t>en.eligibilityCriteria.eligibilityDescription[5]</t>
        </is>
      </c>
      <c r="G1086" s="4" t="inlineStr">
        <is>
          <t>C15@20261028-1856e0f4</t>
        </is>
      </c>
      <c r="H1086" s="4" t="n">
        <v>1</v>
      </c>
      <c r="I1086" s="4" t="n">
        <v>1</v>
      </c>
      <c r="J1086" s="4" t="inlineStr">
        <is>
          <t>5. The applicant must have taken admission to regular, full-time first-year Master's Degree courses in any designated university or a post-graduate college.</t>
        </is>
      </c>
      <c r="K1086" s="4" t="inlineStr">
        <is>
          <t>MS-C15</t>
        </is>
      </c>
      <c r="L1086" s="6" t="n">
        <v>46323</v>
      </c>
      <c r="M1086" s="4" t="inlineStr">
        <is>
          <t>Approved</t>
        </is>
      </c>
      <c r="N1086" s="4" t="inlineStr">
        <is>
          <t>paragraph</t>
        </is>
      </c>
    </row>
    <row r="1087" ht="40" customHeight="1">
      <c r="A1087" s="8" t="inlineStr">
        <is>
          <t>C15-P0017</t>
        </is>
      </c>
      <c r="B1087" s="8" t="inlineStr">
        <is>
          <t>C15</t>
        </is>
      </c>
      <c r="C1087" s="8" t="inlineStr">
        <is>
          <t>Post Graduate Indira Gandhi Scholarship For Single Girl Child</t>
        </is>
      </c>
      <c r="D1087" s="8" t="inlineStr">
        <is>
          <t>Eligibility</t>
        </is>
      </c>
      <c r="E1087" s="8" t="inlineStr"/>
      <c r="F1087" s="8" t="inlineStr">
        <is>
          <t>en.eligibilityCriteria.eligibilityDescription[6]</t>
        </is>
      </c>
      <c r="G1087" s="8" t="inlineStr">
        <is>
          <t>C15@20261028-1856e0f4</t>
        </is>
      </c>
      <c r="H1087" s="8" t="n">
        <v>1</v>
      </c>
      <c r="I1087" s="8" t="n">
        <v>1</v>
      </c>
      <c r="J1087" s="8" t="inlineStr">
        <is>
          <t>6. The candidate should be pursuing a non-professional course and be taking regular classes from a recognized institution.</t>
        </is>
      </c>
      <c r="K1087" s="8" t="inlineStr">
        <is>
          <t>MS-C15</t>
        </is>
      </c>
      <c r="L1087" s="9" t="n">
        <v>46323</v>
      </c>
      <c r="M1087" s="8" t="inlineStr">
        <is>
          <t>Approved</t>
        </is>
      </c>
      <c r="N1087" s="8" t="inlineStr">
        <is>
          <t>paragraph</t>
        </is>
      </c>
    </row>
    <row r="1088" ht="40" customHeight="1">
      <c r="A1088" s="4" t="inlineStr">
        <is>
          <t>C15-P0018</t>
        </is>
      </c>
      <c r="B1088" s="4" t="inlineStr">
        <is>
          <t>C15</t>
        </is>
      </c>
      <c r="C1088" s="4" t="inlineStr">
        <is>
          <t>Post Graduate Indira Gandhi Scholarship For Single Girl Child</t>
        </is>
      </c>
      <c r="D1088" s="4" t="inlineStr">
        <is>
          <t>Eligibility</t>
        </is>
      </c>
      <c r="E1088" s="4" t="inlineStr"/>
      <c r="F1088" s="4" t="inlineStr">
        <is>
          <t>en.eligibilityCriteria.eligibilityDescription[7]</t>
        </is>
      </c>
      <c r="G1088" s="4" t="inlineStr">
        <is>
          <t>C15@20261028-1856e0f4</t>
        </is>
      </c>
      <c r="H1088" s="4" t="n">
        <v>1</v>
      </c>
      <c r="I1088" s="4" t="n">
        <v>1</v>
      </c>
      <c r="J1088" s="4" t="inlineStr">
        <is>
          <t>7. The applicant must not be [ursuing education through Distance education mode.</t>
        </is>
      </c>
      <c r="K1088" s="4" t="inlineStr">
        <is>
          <t>MS-C15</t>
        </is>
      </c>
      <c r="L1088" s="6" t="n">
        <v>46323</v>
      </c>
      <c r="M1088" s="4" t="inlineStr">
        <is>
          <t>Approved</t>
        </is>
      </c>
      <c r="N1088" s="4" t="inlineStr">
        <is>
          <t>paragraph</t>
        </is>
      </c>
    </row>
    <row r="1089" ht="40" customHeight="1">
      <c r="A1089" s="8" t="inlineStr">
        <is>
          <t>C15-P0019</t>
        </is>
      </c>
      <c r="B1089" s="8" t="inlineStr">
        <is>
          <t>C15</t>
        </is>
      </c>
      <c r="C1089" s="8" t="inlineStr">
        <is>
          <t>Post Graduate Indira Gandhi Scholarship For Single Girl Child</t>
        </is>
      </c>
      <c r="D1089" s="8" t="inlineStr">
        <is>
          <t>Exclusions</t>
        </is>
      </c>
      <c r="E1089" s="8" t="inlineStr"/>
      <c r="F1089" s="8" t="inlineStr">
        <is>
          <t>en.schemeContent.exclusions[0]</t>
        </is>
      </c>
      <c r="G1089" s="8" t="inlineStr">
        <is>
          <t>C15@20261028-1856e0f4</t>
        </is>
      </c>
      <c r="H1089" s="8" t="n">
        <v>1</v>
      </c>
      <c r="I1089" s="8" t="n">
        <v>1</v>
      </c>
      <c r="J1089" s="8" t="inlineStr">
        <is>
          <t>1. Admission to PG Course in Distance education mode is not covered under the scheme.</t>
        </is>
      </c>
      <c r="K1089" s="8" t="inlineStr">
        <is>
          <t>MS-C15</t>
        </is>
      </c>
      <c r="L1089" s="9" t="n">
        <v>46323</v>
      </c>
      <c r="M1089" s="8" t="inlineStr">
        <is>
          <t>Approved</t>
        </is>
      </c>
      <c r="N1089" s="8" t="inlineStr">
        <is>
          <t>paragraph</t>
        </is>
      </c>
    </row>
    <row r="1090" ht="40" customHeight="1">
      <c r="A1090" s="4" t="inlineStr">
        <is>
          <t>C15-P0020</t>
        </is>
      </c>
      <c r="B1090" s="4" t="inlineStr">
        <is>
          <t>C15</t>
        </is>
      </c>
      <c r="C1090" s="4" t="inlineStr">
        <is>
          <t>Post Graduate Indira Gandhi Scholarship For Single Girl Child</t>
        </is>
      </c>
      <c r="D1090" s="4" t="inlineStr">
        <is>
          <t>Exclusions</t>
        </is>
      </c>
      <c r="E1090" s="4" t="inlineStr"/>
      <c r="F1090" s="4" t="inlineStr">
        <is>
          <t>en.schemeContent.exclusions[1]</t>
        </is>
      </c>
      <c r="G1090" s="4" t="inlineStr">
        <is>
          <t>C15@20261028-1856e0f4</t>
        </is>
      </c>
      <c r="H1090" s="4" t="n">
        <v>1</v>
      </c>
      <c r="I1090" s="4" t="n">
        <v>1</v>
      </c>
      <c r="J1090" s="4" t="inlineStr">
        <is>
          <t>2. Those Deemed Universities which do not receive funds from the Central/ State Government are not eligible institutions under the scheme.</t>
        </is>
      </c>
      <c r="K1090" s="4" t="inlineStr">
        <is>
          <t>MS-C15</t>
        </is>
      </c>
      <c r="L1090" s="6" t="n">
        <v>46323</v>
      </c>
      <c r="M1090" s="4" t="inlineStr">
        <is>
          <t>Approved</t>
        </is>
      </c>
      <c r="N1090" s="4" t="inlineStr">
        <is>
          <t>paragraph</t>
        </is>
      </c>
    </row>
    <row r="1091" ht="40" customHeight="1">
      <c r="A1091" s="8" t="inlineStr">
        <is>
          <t>C15-P0021</t>
        </is>
      </c>
      <c r="B1091" s="8" t="inlineStr">
        <is>
          <t>C15</t>
        </is>
      </c>
      <c r="C1091" s="8" t="inlineStr">
        <is>
          <t>Post Graduate Indira Gandhi Scholarship For Single Girl Child</t>
        </is>
      </c>
      <c r="D1091" s="8" t="inlineStr">
        <is>
          <t>Exclusions</t>
        </is>
      </c>
      <c r="E1091" s="8" t="inlineStr"/>
      <c r="F1091" s="8" t="inlineStr">
        <is>
          <t>en.schemeContent.exclusions[2]</t>
        </is>
      </c>
      <c r="G1091" s="8" t="inlineStr">
        <is>
          <t>C15@20261028-1856e0f4</t>
        </is>
      </c>
      <c r="H1091" s="8" t="n">
        <v>1</v>
      </c>
      <c r="I1091" s="8" t="n">
        <v>1</v>
      </c>
      <c r="J1091" s="8" t="inlineStr">
        <is>
          <t>3. In a family if one son and one daughter are available then the girl child will not be considered for scholarship under the scheme.</t>
        </is>
      </c>
      <c r="K1091" s="8" t="inlineStr">
        <is>
          <t>MS-C15</t>
        </is>
      </c>
      <c r="L1091" s="9" t="n">
        <v>46323</v>
      </c>
      <c r="M1091" s="8" t="inlineStr">
        <is>
          <t>Approved</t>
        </is>
      </c>
      <c r="N1091" s="8" t="inlineStr">
        <is>
          <t>paragraph</t>
        </is>
      </c>
    </row>
    <row r="1092" ht="40" customHeight="1">
      <c r="A1092" s="4" t="inlineStr">
        <is>
          <t>C15-P0022</t>
        </is>
      </c>
      <c r="B1092" s="4" t="inlineStr">
        <is>
          <t>C15</t>
        </is>
      </c>
      <c r="C1092" s="4" t="inlineStr">
        <is>
          <t>Post Graduate Indira Gandhi Scholarship For Single Girl Child</t>
        </is>
      </c>
      <c r="D1092" s="4" t="inlineStr">
        <is>
          <t>Applicant documents</t>
        </is>
      </c>
      <c r="E1092" s="4" t="inlineStr"/>
      <c r="F1092" s="4" t="inlineStr">
        <is>
          <t>documents.en.documents_required[0].children[0]</t>
        </is>
      </c>
      <c r="G1092" s="4" t="inlineStr">
        <is>
          <t>C15@20261028-1856e0f4</t>
        </is>
      </c>
      <c r="H1092" s="4" t="n">
        <v>1</v>
      </c>
      <c r="I1092" s="4" t="n">
        <v>1</v>
      </c>
      <c r="J1092" s="4" t="inlineStr">
        <is>
          <t>To be submitted by the Student</t>
        </is>
      </c>
      <c r="K1092" s="4" t="inlineStr">
        <is>
          <t>MS-C15</t>
        </is>
      </c>
      <c r="L1092" s="6" t="n">
        <v>46323</v>
      </c>
      <c r="M1092" s="4" t="inlineStr">
        <is>
          <t>Approved</t>
        </is>
      </c>
      <c r="N1092" s="4" t="inlineStr">
        <is>
          <t>text</t>
        </is>
      </c>
    </row>
    <row r="1093" ht="40" customHeight="1">
      <c r="A1093" s="8" t="inlineStr">
        <is>
          <t>C15-P0023</t>
        </is>
      </c>
      <c r="B1093" s="8" t="inlineStr">
        <is>
          <t>C15</t>
        </is>
      </c>
      <c r="C1093" s="8" t="inlineStr">
        <is>
          <t>Post Graduate Indira Gandhi Scholarship For Single Girl Child</t>
        </is>
      </c>
      <c r="D1093" s="8" t="inlineStr">
        <is>
          <t>Applicant documents</t>
        </is>
      </c>
      <c r="E1093" s="8" t="inlineStr"/>
      <c r="F1093" s="8" t="inlineStr">
        <is>
          <t>documents.en.documents_required[1]</t>
        </is>
      </c>
      <c r="G1093" s="8" t="inlineStr">
        <is>
          <t>C15@20261028-1856e0f4</t>
        </is>
      </c>
      <c r="H1093" s="8" t="n">
        <v>1</v>
      </c>
      <c r="I1093" s="8" t="n">
        <v>1</v>
      </c>
      <c r="J1093" s="8" t="inlineStr">
        <is>
          <t>1. Aadhaar Card</t>
        </is>
      </c>
      <c r="K1093" s="8" t="inlineStr">
        <is>
          <t>MS-C15</t>
        </is>
      </c>
      <c r="L1093" s="9" t="n">
        <v>46323</v>
      </c>
      <c r="M1093" s="8" t="inlineStr">
        <is>
          <t>Approved</t>
        </is>
      </c>
      <c r="N1093" s="8" t="inlineStr">
        <is>
          <t>paragraph</t>
        </is>
      </c>
    </row>
    <row r="1094" ht="40" customHeight="1">
      <c r="A1094" s="4" t="inlineStr">
        <is>
          <t>C15-P0024</t>
        </is>
      </c>
      <c r="B1094" s="4" t="inlineStr">
        <is>
          <t>C15</t>
        </is>
      </c>
      <c r="C1094" s="4" t="inlineStr">
        <is>
          <t>Post Graduate Indira Gandhi Scholarship For Single Girl Child</t>
        </is>
      </c>
      <c r="D1094" s="4" t="inlineStr">
        <is>
          <t>Applicant documents</t>
        </is>
      </c>
      <c r="E1094" s="4" t="inlineStr"/>
      <c r="F1094" s="4" t="inlineStr">
        <is>
          <t>documents.en.documents_required[2]</t>
        </is>
      </c>
      <c r="G1094" s="4" t="inlineStr">
        <is>
          <t>C15@20261028-1856e0f4</t>
        </is>
      </c>
      <c r="H1094" s="4" t="n">
        <v>1</v>
      </c>
      <c r="I1094" s="4" t="n">
        <v>1</v>
      </c>
      <c r="J1094" s="4" t="inlineStr">
        <is>
          <t>2. Proof of admission into a recognized Master’s degree course in an institute located in India and recognized by the UGC.</t>
        </is>
      </c>
      <c r="K1094" s="4" t="inlineStr">
        <is>
          <t>MS-C15</t>
        </is>
      </c>
      <c r="L1094" s="6" t="n">
        <v>46323</v>
      </c>
      <c r="M1094" s="4" t="inlineStr">
        <is>
          <t>Approved</t>
        </is>
      </c>
      <c r="N1094" s="4" t="inlineStr">
        <is>
          <t>paragraph</t>
        </is>
      </c>
    </row>
    <row r="1095" ht="40" customHeight="1">
      <c r="A1095" s="8" t="inlineStr">
        <is>
          <t>C15-P0025</t>
        </is>
      </c>
      <c r="B1095" s="8" t="inlineStr">
        <is>
          <t>C15</t>
        </is>
      </c>
      <c r="C1095" s="8" t="inlineStr">
        <is>
          <t>Post Graduate Indira Gandhi Scholarship For Single Girl Child</t>
        </is>
      </c>
      <c r="D1095" s="8" t="inlineStr">
        <is>
          <t>Applicant documents</t>
        </is>
      </c>
      <c r="E1095" s="8" t="inlineStr"/>
      <c r="F1095" s="8" t="inlineStr">
        <is>
          <t>documents.en.documents_required[3]</t>
        </is>
      </c>
      <c r="G1095" s="8" t="inlineStr">
        <is>
          <t>C15@20261028-1856e0f4</t>
        </is>
      </c>
      <c r="H1095" s="8" t="n">
        <v>1</v>
      </c>
      <c r="I1095" s="8" t="n">
        <v>1</v>
      </c>
      <c r="J1095" s="8" t="inlineStr">
        <is>
          <t>3. Joining report (as per format given in Annexure-I)</t>
        </is>
      </c>
      <c r="K1095" s="8" t="inlineStr">
        <is>
          <t>MS-C15</t>
        </is>
      </c>
      <c r="L1095" s="9" t="n">
        <v>46323</v>
      </c>
      <c r="M1095" s="8" t="inlineStr">
        <is>
          <t>Approved</t>
        </is>
      </c>
      <c r="N1095" s="8" t="inlineStr">
        <is>
          <t>paragraph</t>
        </is>
      </c>
    </row>
    <row r="1096" ht="40" customHeight="1">
      <c r="A1096" s="4" t="inlineStr">
        <is>
          <t>C15-P0026</t>
        </is>
      </c>
      <c r="B1096" s="4" t="inlineStr">
        <is>
          <t>C15</t>
        </is>
      </c>
      <c r="C1096" s="4" t="inlineStr">
        <is>
          <t>Post Graduate Indira Gandhi Scholarship For Single Girl Child</t>
        </is>
      </c>
      <c r="D1096" s="4" t="inlineStr">
        <is>
          <t>Applicant documents</t>
        </is>
      </c>
      <c r="E1096" s="4" t="inlineStr"/>
      <c r="F1096" s="4" t="inlineStr">
        <is>
          <t>documents.en.documents_required[4]</t>
        </is>
      </c>
      <c r="G1096" s="4" t="inlineStr">
        <is>
          <t>C15@20261028-1856e0f4</t>
        </is>
      </c>
      <c r="H1096" s="4" t="n">
        <v>1</v>
      </c>
      <c r="I1096" s="4" t="n">
        <v>1</v>
      </c>
      <c r="J1096" s="4" t="inlineStr">
        <is>
          <t>4. Affidavit regarding Single girl child status (as per format given in Annexure-II)</t>
        </is>
      </c>
      <c r="K1096" s="4" t="inlineStr">
        <is>
          <t>MS-C15</t>
        </is>
      </c>
      <c r="L1096" s="6" t="n">
        <v>46323</v>
      </c>
      <c r="M1096" s="4" t="inlineStr">
        <is>
          <t>Approved</t>
        </is>
      </c>
      <c r="N1096" s="4" t="inlineStr">
        <is>
          <t>paragraph</t>
        </is>
      </c>
    </row>
    <row r="1097" ht="40" customHeight="1">
      <c r="A1097" s="8" t="inlineStr">
        <is>
          <t>C15-P0027</t>
        </is>
      </c>
      <c r="B1097" s="8" t="inlineStr">
        <is>
          <t>C15</t>
        </is>
      </c>
      <c r="C1097" s="8" t="inlineStr">
        <is>
          <t>Post Graduate Indira Gandhi Scholarship For Single Girl Child</t>
        </is>
      </c>
      <c r="D1097" s="8" t="inlineStr">
        <is>
          <t>Applicant documents</t>
        </is>
      </c>
      <c r="E1097" s="8" t="inlineStr"/>
      <c r="F1097" s="8" t="inlineStr">
        <is>
          <t>documents.en.documents_required[5]</t>
        </is>
      </c>
      <c r="G1097" s="8" t="inlineStr">
        <is>
          <t>C15@20261028-1856e0f4</t>
        </is>
      </c>
      <c r="H1097" s="8" t="n">
        <v>1</v>
      </c>
      <c r="I1097" s="8" t="n">
        <v>1</v>
      </c>
      <c r="J1097" s="8" t="inlineStr">
        <is>
          <t>5. Copy of the Bank Passbook</t>
        </is>
      </c>
      <c r="K1097" s="8" t="inlineStr">
        <is>
          <t>MS-C15</t>
        </is>
      </c>
      <c r="L1097" s="9" t="n">
        <v>46323</v>
      </c>
      <c r="M1097" s="8" t="inlineStr">
        <is>
          <t>Approved</t>
        </is>
      </c>
      <c r="N1097" s="8" t="inlineStr">
        <is>
          <t>paragraph</t>
        </is>
      </c>
    </row>
    <row r="1098" ht="40" customHeight="1">
      <c r="A1098" s="4" t="inlineStr">
        <is>
          <t>C15-P0028</t>
        </is>
      </c>
      <c r="B1098" s="4" t="inlineStr">
        <is>
          <t>C15</t>
        </is>
      </c>
      <c r="C1098" s="4" t="inlineStr">
        <is>
          <t>Post Graduate Indira Gandhi Scholarship For Single Girl Child</t>
        </is>
      </c>
      <c r="D1098" s="4" t="inlineStr">
        <is>
          <t>Applicant documents</t>
        </is>
      </c>
      <c r="E1098" s="4" t="inlineStr"/>
      <c r="F1098" s="4" t="inlineStr">
        <is>
          <t>documents.en.documents_required[6]</t>
        </is>
      </c>
      <c r="G1098" s="4" t="inlineStr">
        <is>
          <t>C15@20261028-1856e0f4</t>
        </is>
      </c>
      <c r="H1098" s="4" t="n">
        <v>1</v>
      </c>
      <c r="I1098" s="4" t="n">
        <v>1</v>
      </c>
      <c r="J1098" s="4" t="inlineStr">
        <is>
          <t>6. Birth Certificate or Class 10th Marksheet</t>
        </is>
      </c>
      <c r="K1098" s="4" t="inlineStr">
        <is>
          <t>MS-C15</t>
        </is>
      </c>
      <c r="L1098" s="6" t="n">
        <v>46323</v>
      </c>
      <c r="M1098" s="4" t="inlineStr">
        <is>
          <t>Approved</t>
        </is>
      </c>
      <c r="N1098" s="4" t="inlineStr">
        <is>
          <t>paragraph</t>
        </is>
      </c>
    </row>
    <row r="1099" ht="40" customHeight="1">
      <c r="A1099" s="8" t="inlineStr">
        <is>
          <t>C15-P0029</t>
        </is>
      </c>
      <c r="B1099" s="8" t="inlineStr">
        <is>
          <t>C15</t>
        </is>
      </c>
      <c r="C1099" s="8" t="inlineStr">
        <is>
          <t>Post Graduate Indira Gandhi Scholarship For Single Girl Child</t>
        </is>
      </c>
      <c r="D1099" s="8" t="inlineStr">
        <is>
          <t>Applicant documents</t>
        </is>
      </c>
      <c r="E1099" s="8" t="inlineStr"/>
      <c r="F1099" s="8" t="inlineStr">
        <is>
          <t>documents.en.documents_required[8].children[0]</t>
        </is>
      </c>
      <c r="G1099" s="8" t="inlineStr">
        <is>
          <t>C15@20261028-1856e0f4</t>
        </is>
      </c>
      <c r="H1099" s="8" t="n">
        <v>1</v>
      </c>
      <c r="I1099" s="8" t="n">
        <v>1</v>
      </c>
      <c r="J1099" s="8" t="inlineStr">
        <is>
          <t>To be submitted by the Institution</t>
        </is>
      </c>
      <c r="K1099" s="8" t="inlineStr">
        <is>
          <t>MS-C15</t>
        </is>
      </c>
      <c r="L1099" s="9" t="n">
        <v>46323</v>
      </c>
      <c r="M1099" s="8" t="inlineStr">
        <is>
          <t>Approved</t>
        </is>
      </c>
      <c r="N1099" s="8" t="inlineStr">
        <is>
          <t>text</t>
        </is>
      </c>
    </row>
    <row r="1100" ht="40" customHeight="1">
      <c r="A1100" s="4" t="inlineStr">
        <is>
          <t>C15-P0030</t>
        </is>
      </c>
      <c r="B1100" s="4" t="inlineStr">
        <is>
          <t>C15</t>
        </is>
      </c>
      <c r="C1100" s="4" t="inlineStr">
        <is>
          <t>Post Graduate Indira Gandhi Scholarship For Single Girl Child</t>
        </is>
      </c>
      <c r="D1100" s="4" t="inlineStr">
        <is>
          <t>Applicant documents</t>
        </is>
      </c>
      <c r="E1100" s="4" t="inlineStr"/>
      <c r="F1100" s="4" t="inlineStr">
        <is>
          <t>documents.en.documents_required[9]</t>
        </is>
      </c>
      <c r="G1100" s="4" t="inlineStr">
        <is>
          <t>C15@20261028-1856e0f4</t>
        </is>
      </c>
      <c r="H1100" s="4" t="n">
        <v>1</v>
      </c>
      <c r="I1100" s="4" t="n">
        <v>1</v>
      </c>
      <c r="J1100" s="4" t="inlineStr">
        <is>
          <t>1. A progress Report after the completion of the first year along with the percentage of marks obtained by the candidates needs to be submitted by the institution.</t>
        </is>
      </c>
      <c r="K1100" s="4" t="inlineStr">
        <is>
          <t>MS-C15</t>
        </is>
      </c>
      <c r="L1100" s="6" t="n">
        <v>46323</v>
      </c>
      <c r="M1100" s="4" t="inlineStr">
        <is>
          <t>Approved</t>
        </is>
      </c>
      <c r="N1100" s="4" t="inlineStr">
        <is>
          <t>paragraph</t>
        </is>
      </c>
    </row>
    <row r="1101" ht="40" customHeight="1">
      <c r="A1101" s="8" t="inlineStr">
        <is>
          <t>C15-P0031</t>
        </is>
      </c>
      <c r="B1101" s="8" t="inlineStr">
        <is>
          <t>C15</t>
        </is>
      </c>
      <c r="C1101" s="8" t="inlineStr">
        <is>
          <t>Post Graduate Indira Gandhi Scholarship For Single Girl Child</t>
        </is>
      </c>
      <c r="D1101" s="8" t="inlineStr">
        <is>
          <t>Applicant documents</t>
        </is>
      </c>
      <c r="E1101" s="8" t="inlineStr"/>
      <c r="F1101" s="8" t="inlineStr">
        <is>
          <t>documents.en.documents_required[10]</t>
        </is>
      </c>
      <c r="G1101" s="8" t="inlineStr">
        <is>
          <t>C15@20261028-1856e0f4</t>
        </is>
      </c>
      <c r="H1101" s="8" t="n">
        <v>1</v>
      </c>
      <c r="I1101" s="8" t="n">
        <v>1</v>
      </c>
      <c r="J1101" s="8" t="inlineStr">
        <is>
          <t>2. Funds Utilization Certificate also needs to be submitted by the Institution Authorities after completion of the First Year.</t>
        </is>
      </c>
      <c r="K1101" s="8" t="inlineStr">
        <is>
          <t>MS-C15</t>
        </is>
      </c>
      <c r="L1101" s="9" t="n">
        <v>46323</v>
      </c>
      <c r="M1101" s="8" t="inlineStr">
        <is>
          <t>Approved</t>
        </is>
      </c>
      <c r="N1101" s="8" t="inlineStr">
        <is>
          <t>paragraph</t>
        </is>
      </c>
    </row>
    <row r="1102" ht="40" customHeight="1">
      <c r="A1102" s="4" t="inlineStr">
        <is>
          <t>C15-P0032</t>
        </is>
      </c>
      <c r="B1102" s="4" t="inlineStr">
        <is>
          <t>C15</t>
        </is>
      </c>
      <c r="C1102" s="4" t="inlineStr">
        <is>
          <t>Post Graduate Indira Gandhi Scholarship For Single Girl Child</t>
        </is>
      </c>
      <c r="D1102" s="4" t="inlineStr">
        <is>
          <t>Application process</t>
        </is>
      </c>
      <c r="E1102" s="4" t="inlineStr"/>
      <c r="F1102" s="4" t="inlineStr">
        <is>
          <t>en.applicationProcess[0].process[0].children[0]</t>
        </is>
      </c>
      <c r="G1102" s="4" t="inlineStr">
        <is>
          <t>C15@20261028-1856e0f4</t>
        </is>
      </c>
      <c r="H1102" s="4" t="n">
        <v>1</v>
      </c>
      <c r="I1102" s="4" t="n">
        <v>1</v>
      </c>
      <c r="J1102" s="4" t="inlineStr">
        <is>
          <t>Procedure for Applying</t>
        </is>
      </c>
      <c r="K1102" s="4" t="inlineStr">
        <is>
          <t>MS-C15</t>
        </is>
      </c>
      <c r="L1102" s="6" t="n">
        <v>46323</v>
      </c>
      <c r="M1102" s="4" t="inlineStr">
        <is>
          <t>Approved</t>
        </is>
      </c>
      <c r="N1102" s="4" t="inlineStr">
        <is>
          <t>text</t>
        </is>
      </c>
    </row>
    <row r="1103" ht="54" customHeight="1">
      <c r="A1103" s="8" t="inlineStr">
        <is>
          <t>C15-P0033</t>
        </is>
      </c>
      <c r="B1103" s="8" t="inlineStr">
        <is>
          <t>C15</t>
        </is>
      </c>
      <c r="C1103" s="8" t="inlineStr">
        <is>
          <t>Post Graduate Indira Gandhi Scholarship For Single Girl Child</t>
        </is>
      </c>
      <c r="D1103" s="8" t="inlineStr">
        <is>
          <t>Application process</t>
        </is>
      </c>
      <c r="E1103" s="8" t="inlineStr"/>
      <c r="F1103" s="8" t="inlineStr">
        <is>
          <t>en.applicationProcess[0].process[1]</t>
        </is>
      </c>
      <c r="G1103" s="8" t="inlineStr">
        <is>
          <t>C15@20261028-1856e0f4</t>
        </is>
      </c>
      <c r="H1103" s="8" t="n">
        <v>1</v>
      </c>
      <c r="I1103" s="8" t="n">
        <v>1</v>
      </c>
      <c r="J1103" s="8" t="inlineStr">
        <is>
          <t>Step-1: The candidates fulfilling the eligibility conditions are required to apply online on the National Scholarship Portal after initiation of the application process and notice to be published on the UGC website.</t>
        </is>
      </c>
      <c r="K1103" s="8" t="inlineStr">
        <is>
          <t>MS-C15</t>
        </is>
      </c>
      <c r="L1103" s="9" t="n">
        <v>46323</v>
      </c>
      <c r="M1103" s="8" t="inlineStr">
        <is>
          <t>Approved</t>
        </is>
      </c>
      <c r="N1103" s="8" t="inlineStr">
        <is>
          <t>paragraph</t>
        </is>
      </c>
    </row>
    <row r="1104" ht="40" customHeight="1">
      <c r="A1104" s="4" t="inlineStr">
        <is>
          <t>C15-P0034</t>
        </is>
      </c>
      <c r="B1104" s="4" t="inlineStr">
        <is>
          <t>C15</t>
        </is>
      </c>
      <c r="C1104" s="4" t="inlineStr">
        <is>
          <t>Post Graduate Indira Gandhi Scholarship For Single Girl Child</t>
        </is>
      </c>
      <c r="D1104" s="4" t="inlineStr">
        <is>
          <t>Application process</t>
        </is>
      </c>
      <c r="E1104" s="4" t="inlineStr"/>
      <c r="F1104" s="4" t="inlineStr">
        <is>
          <t>en.applicationProcess[0].process[2]</t>
        </is>
      </c>
      <c r="G1104" s="4" t="inlineStr">
        <is>
          <t>C15@20261028-1856e0f4</t>
        </is>
      </c>
      <c r="H1104" s="4" t="n">
        <v>1</v>
      </c>
      <c r="I1104" s="4" t="n">
        <v>1</v>
      </c>
      <c r="J1104" s="4" t="inlineStr">
        <is>
          <t>Step-2: The host institution where the candidate is studying is required to verify the online</t>
        </is>
      </c>
      <c r="K1104" s="4" t="inlineStr">
        <is>
          <t>MS-C15</t>
        </is>
      </c>
      <c r="L1104" s="6" t="n">
        <v>46323</v>
      </c>
      <c r="M1104" s="4" t="inlineStr">
        <is>
          <t>Approved</t>
        </is>
      </c>
      <c r="N1104" s="4" t="inlineStr">
        <is>
          <t>paragraph</t>
        </is>
      </c>
    </row>
    <row r="1105" ht="40" customHeight="1">
      <c r="A1105" s="8" t="inlineStr">
        <is>
          <t>C15-P0035</t>
        </is>
      </c>
      <c r="B1105" s="8" t="inlineStr">
        <is>
          <t>C15</t>
        </is>
      </c>
      <c r="C1105" s="8" t="inlineStr">
        <is>
          <t>Post Graduate Indira Gandhi Scholarship For Single Girl Child</t>
        </is>
      </c>
      <c r="D1105" s="8" t="inlineStr">
        <is>
          <t>Application process</t>
        </is>
      </c>
      <c r="E1105" s="8" t="inlineStr"/>
      <c r="F1105" s="8" t="inlineStr">
        <is>
          <t>en.applicationProcess[0].process[3]</t>
        </is>
      </c>
      <c r="G1105" s="8" t="inlineStr">
        <is>
          <t>C15@20261028-1856e0f4</t>
        </is>
      </c>
      <c r="H1105" s="8" t="n">
        <v>1</v>
      </c>
      <c r="I1105" s="8" t="n">
        <v>1</v>
      </c>
      <c r="J1105" s="8" t="inlineStr">
        <is>
          <t>application.</t>
        </is>
      </c>
      <c r="K1105" s="8" t="inlineStr">
        <is>
          <t>MS-C15</t>
        </is>
      </c>
      <c r="L1105" s="9" t="n">
        <v>46323</v>
      </c>
      <c r="M1105" s="8" t="inlineStr">
        <is>
          <t>Approved</t>
        </is>
      </c>
      <c r="N1105" s="8" t="inlineStr">
        <is>
          <t>paragraph</t>
        </is>
      </c>
    </row>
    <row r="1106" ht="54" customHeight="1">
      <c r="A1106" s="4" t="inlineStr">
        <is>
          <t>C15-P0036</t>
        </is>
      </c>
      <c r="B1106" s="4" t="inlineStr">
        <is>
          <t>C15</t>
        </is>
      </c>
      <c r="C1106" s="4" t="inlineStr">
        <is>
          <t>Post Graduate Indira Gandhi Scholarship For Single Girl Child</t>
        </is>
      </c>
      <c r="D1106" s="4" t="inlineStr">
        <is>
          <t>Application process</t>
        </is>
      </c>
      <c r="E1106" s="4" t="inlineStr"/>
      <c r="F1106" s="4" t="inlineStr">
        <is>
          <t>en.applicationProcess[0].process[4]</t>
        </is>
      </c>
      <c r="G1106" s="4" t="inlineStr">
        <is>
          <t>C15@20261028-1856e0f4</t>
        </is>
      </c>
      <c r="H1106" s="4" t="n">
        <v>1</v>
      </c>
      <c r="I1106" s="4" t="n">
        <v>1</v>
      </c>
      <c r="J1106" s="4" t="inlineStr">
        <is>
          <t>Step-3: It is expected from the institutions where students have taken admitted in the first year of PG course, that no tuition fees will be charged by the institute to girl students to pursue PG degree courses in Universities/Colleges/Institutions</t>
        </is>
      </c>
      <c r="K1106" s="4" t="inlineStr">
        <is>
          <t>MS-C15</t>
        </is>
      </c>
      <c r="L1106" s="6" t="n">
        <v>46323</v>
      </c>
      <c r="M1106" s="4" t="inlineStr">
        <is>
          <t>Approved</t>
        </is>
      </c>
      <c r="N1106" s="4" t="inlineStr">
        <is>
          <t>paragraph</t>
        </is>
      </c>
    </row>
    <row r="1107" ht="40" customHeight="1">
      <c r="A1107" s="8" t="inlineStr">
        <is>
          <t>C15-P0037</t>
        </is>
      </c>
      <c r="B1107" s="8" t="inlineStr">
        <is>
          <t>C15</t>
        </is>
      </c>
      <c r="C1107" s="8" t="inlineStr">
        <is>
          <t>Post Graduate Indira Gandhi Scholarship For Single Girl Child</t>
        </is>
      </c>
      <c r="D1107" s="8" t="inlineStr">
        <is>
          <t>Application process</t>
        </is>
      </c>
      <c r="E1107" s="8" t="inlineStr"/>
      <c r="F1107" s="8" t="inlineStr">
        <is>
          <t>en.applicationProcess[0].process[6].children[0]</t>
        </is>
      </c>
      <c r="G1107" s="8" t="inlineStr">
        <is>
          <t>C15@20261028-1856e0f4</t>
        </is>
      </c>
      <c r="H1107" s="8" t="n">
        <v>1</v>
      </c>
      <c r="I1107" s="8" t="n">
        <v>1</v>
      </c>
      <c r="J1107" s="8" t="inlineStr">
        <is>
          <t>Notes</t>
        </is>
      </c>
      <c r="K1107" s="8" t="inlineStr">
        <is>
          <t>MS-C15</t>
        </is>
      </c>
      <c r="L1107" s="9" t="n">
        <v>46323</v>
      </c>
      <c r="M1107" s="8" t="inlineStr">
        <is>
          <t>Approved</t>
        </is>
      </c>
      <c r="N1107" s="8" t="inlineStr">
        <is>
          <t>text</t>
        </is>
      </c>
    </row>
    <row r="1108" ht="40" customHeight="1">
      <c r="A1108" s="4" t="inlineStr">
        <is>
          <t>C15-P0038</t>
        </is>
      </c>
      <c r="B1108" s="4" t="inlineStr">
        <is>
          <t>C15</t>
        </is>
      </c>
      <c r="C1108" s="4" t="inlineStr">
        <is>
          <t>Post Graduate Indira Gandhi Scholarship For Single Girl Child</t>
        </is>
      </c>
      <c r="D1108" s="4" t="inlineStr">
        <is>
          <t>Application process</t>
        </is>
      </c>
      <c r="E1108" s="4" t="inlineStr"/>
      <c r="F1108" s="4" t="inlineStr">
        <is>
          <t>en.applicationProcess[0].process[7]</t>
        </is>
      </c>
      <c r="G1108" s="4" t="inlineStr">
        <is>
          <t>C15@20261028-1856e0f4</t>
        </is>
      </c>
      <c r="H1108" s="4" t="n">
        <v>1</v>
      </c>
      <c r="I1108" s="4" t="n">
        <v>1</v>
      </c>
      <c r="J1108" s="4" t="inlineStr">
        <is>
          <t>1. Applications will be invited once a year on the National e-Scholarship Portal of the Government of India. 2. Short notifications will also be uploaded on the UGC website.</t>
        </is>
      </c>
      <c r="K1108" s="4" t="inlineStr">
        <is>
          <t>MS-C15</t>
        </is>
      </c>
      <c r="L1108" s="6" t="n">
        <v>46323</v>
      </c>
      <c r="M1108" s="4" t="inlineStr">
        <is>
          <t>Approved</t>
        </is>
      </c>
      <c r="N1108" s="4" t="inlineStr">
        <is>
          <t>paragraph</t>
        </is>
      </c>
    </row>
    <row r="1109" ht="40" customHeight="1">
      <c r="A1109" s="8" t="inlineStr">
        <is>
          <t>C15-P0039</t>
        </is>
      </c>
      <c r="B1109" s="8" t="inlineStr">
        <is>
          <t>C15</t>
        </is>
      </c>
      <c r="C1109" s="8" t="inlineStr">
        <is>
          <t>Post Graduate Indira Gandhi Scholarship For Single Girl Child</t>
        </is>
      </c>
      <c r="D1109" s="8" t="inlineStr">
        <is>
          <t>Application process</t>
        </is>
      </c>
      <c r="E1109" s="8" t="inlineStr"/>
      <c r="F1109" s="8" t="inlineStr">
        <is>
          <t>en.applicationProcess[0].process[8]</t>
        </is>
      </c>
      <c r="G1109" s="8" t="inlineStr">
        <is>
          <t>C15@20261028-1856e0f4</t>
        </is>
      </c>
      <c r="H1109" s="8" t="n">
        <v>1</v>
      </c>
      <c r="I1109" s="8" t="n">
        <v>1</v>
      </c>
      <c r="J1109" s="8" t="inlineStr">
        <is>
          <t>3. Incomplete applications will be summarily rejected. Only verified online applications will be considered for the award of scholarship.</t>
        </is>
      </c>
      <c r="K1109" s="8" t="inlineStr">
        <is>
          <t>MS-C15</t>
        </is>
      </c>
      <c r="L1109" s="9" t="n">
        <v>46323</v>
      </c>
      <c r="M1109" s="8" t="inlineStr">
        <is>
          <t>Approved</t>
        </is>
      </c>
      <c r="N1109" s="8" t="inlineStr">
        <is>
          <t>paragraph</t>
        </is>
      </c>
    </row>
    <row r="1110" ht="40" customHeight="1">
      <c r="A1110" s="4" t="inlineStr">
        <is>
          <t>C15-P0040</t>
        </is>
      </c>
      <c r="B1110" s="4" t="inlineStr">
        <is>
          <t>C15</t>
        </is>
      </c>
      <c r="C1110" s="4" t="inlineStr">
        <is>
          <t>Post Graduate Indira Gandhi Scholarship For Single Girl Child</t>
        </is>
      </c>
      <c r="D1110" s="4" t="inlineStr">
        <is>
          <t>Application process</t>
        </is>
      </c>
      <c r="E1110" s="4" t="inlineStr"/>
      <c r="F1110" s="4" t="inlineStr">
        <is>
          <t>en.applicationProcess[0].process[9]</t>
        </is>
      </c>
      <c r="G1110" s="4" t="inlineStr">
        <is>
          <t>C15@20261028-1856e0f4</t>
        </is>
      </c>
      <c r="H1110" s="4" t="n">
        <v>1</v>
      </c>
      <c r="I1110" s="4" t="n">
        <v>1</v>
      </c>
      <c r="J1110" s="4" t="inlineStr">
        <is>
          <t>4. Affidavit regarding Single girl child status may be uploaded as per format given in Annexure-II.</t>
        </is>
      </c>
      <c r="K1110" s="4" t="inlineStr">
        <is>
          <t>MS-C15</t>
        </is>
      </c>
      <c r="L1110" s="6" t="n">
        <v>46323</v>
      </c>
      <c r="M1110" s="4" t="inlineStr">
        <is>
          <t>Approved</t>
        </is>
      </c>
      <c r="N1110" s="4" t="inlineStr">
        <is>
          <t>paragraph</t>
        </is>
      </c>
    </row>
    <row r="1111" ht="40" customHeight="1">
      <c r="A1111" s="8" t="inlineStr">
        <is>
          <t>C15-P0041</t>
        </is>
      </c>
      <c r="B1111" s="8" t="inlineStr">
        <is>
          <t>C15</t>
        </is>
      </c>
      <c r="C1111" s="8" t="inlineStr">
        <is>
          <t>Post Graduate Indira Gandhi Scholarship For Single Girl Child</t>
        </is>
      </c>
      <c r="D1111" s="8" t="inlineStr">
        <is>
          <t>Application process</t>
        </is>
      </c>
      <c r="E1111" s="8" t="inlineStr"/>
      <c r="F1111" s="8" t="inlineStr">
        <is>
          <t>en.applicationProcess[0].process[10]</t>
        </is>
      </c>
      <c r="G1111" s="8" t="inlineStr">
        <is>
          <t>C15@20261028-1856e0f4</t>
        </is>
      </c>
      <c r="H1111" s="8" t="n">
        <v>1</v>
      </c>
      <c r="I1111" s="8" t="n">
        <v>1</v>
      </c>
      <c r="J1111" s="8" t="inlineStr">
        <is>
          <t>5. Joining report as per Annexure-I has to be uploaded.</t>
        </is>
      </c>
      <c r="K1111" s="8" t="inlineStr">
        <is>
          <t>MS-C15</t>
        </is>
      </c>
      <c r="L1111" s="9" t="n">
        <v>46323</v>
      </c>
      <c r="M1111" s="8" t="inlineStr">
        <is>
          <t>Approved</t>
        </is>
      </c>
      <c r="N1111" s="8" t="inlineStr">
        <is>
          <t>paragraph</t>
        </is>
      </c>
    </row>
    <row r="1112" ht="54" customHeight="1">
      <c r="A1112" s="4" t="inlineStr">
        <is>
          <t>C15-P0042</t>
        </is>
      </c>
      <c r="B1112" s="4" t="inlineStr">
        <is>
          <t>C15</t>
        </is>
      </c>
      <c r="C1112" s="4" t="inlineStr">
        <is>
          <t>Post Graduate Indira Gandhi Scholarship For Single Girl Child</t>
        </is>
      </c>
      <c r="D1112" s="4" t="inlineStr">
        <is>
          <t>FAQ</t>
        </is>
      </c>
      <c r="E1112" s="4" t="inlineStr"/>
      <c r="F1112" s="4" t="inlineStr">
        <is>
          <t>faqs.en.faqs[0]</t>
        </is>
      </c>
      <c r="G1112" s="4" t="inlineStr">
        <is>
          <t>C15@20261028-1856e0f4</t>
        </is>
      </c>
      <c r="H1112" s="4" t="n">
        <v>1</v>
      </c>
      <c r="I1112" s="4" t="n">
        <v>1</v>
      </c>
      <c r="J1112" s="4" t="inlineStr">
        <is>
          <t>Whether The Candidate Has To Select “Scholarship” Or “Incentive” In The Type Of Scholarship For Applying Under The Scheme?
The candidate has to opt for an “incentive” to be able to apply under the scheme.</t>
        </is>
      </c>
      <c r="K1112" s="4" t="inlineStr">
        <is>
          <t>MS-C15</t>
        </is>
      </c>
      <c r="L1112" s="6" t="n">
        <v>46323</v>
      </c>
      <c r="M1112" s="4" t="inlineStr">
        <is>
          <t>Approved</t>
        </is>
      </c>
      <c r="N1112" s="4" t="inlineStr">
        <is>
          <t>faq</t>
        </is>
      </c>
    </row>
    <row r="1113" ht="68" customHeight="1">
      <c r="A1113" s="8" t="inlineStr">
        <is>
          <t>C15-P0043</t>
        </is>
      </c>
      <c r="B1113" s="8" t="inlineStr">
        <is>
          <t>C15</t>
        </is>
      </c>
      <c r="C1113" s="8" t="inlineStr">
        <is>
          <t>Post Graduate Indira Gandhi Scholarship For Single Girl Child</t>
        </is>
      </c>
      <c r="D1113" s="8" t="inlineStr">
        <is>
          <t>FAQ</t>
        </is>
      </c>
      <c r="E1113" s="8" t="inlineStr"/>
      <c r="F1113" s="8" t="inlineStr">
        <is>
          <t>faqs.en.faqs[1]</t>
        </is>
      </c>
      <c r="G1113" s="8" t="inlineStr">
        <is>
          <t>C15@20261028-1856e0f4</t>
        </is>
      </c>
      <c r="H1113" s="8" t="n">
        <v>1</v>
      </c>
      <c r="I1113" s="8" t="n">
        <v>1</v>
      </c>
      <c r="J1113" s="8" t="inlineStr">
        <is>
          <t>Whether A Girl Child With A Brother In The Family Is Eligible To Be Considered Under The Scheme For Award Of Scholarship?
No, only single girl children are eligible to apply under the scheme. However, twin/ fraternal daughters are eligible to apply under this scheme.</t>
        </is>
      </c>
      <c r="K1113" s="8" t="inlineStr">
        <is>
          <t>MS-C15</t>
        </is>
      </c>
      <c r="L1113" s="9" t="n">
        <v>46323</v>
      </c>
      <c r="M1113" s="8" t="inlineStr">
        <is>
          <t>Approved</t>
        </is>
      </c>
      <c r="N1113" s="8" t="inlineStr">
        <is>
          <t>faq</t>
        </is>
      </c>
    </row>
    <row r="1114" ht="68" customHeight="1">
      <c r="A1114" s="4" t="inlineStr">
        <is>
          <t>C15-P0044</t>
        </is>
      </c>
      <c r="B1114" s="4" t="inlineStr">
        <is>
          <t>C15</t>
        </is>
      </c>
      <c r="C1114" s="4" t="inlineStr">
        <is>
          <t>Post Graduate Indira Gandhi Scholarship For Single Girl Child</t>
        </is>
      </c>
      <c r="D1114" s="4" t="inlineStr">
        <is>
          <t>FAQ</t>
        </is>
      </c>
      <c r="E1114" s="4" t="inlineStr"/>
      <c r="F1114" s="4" t="inlineStr">
        <is>
          <t>faqs.en.faqs[2]</t>
        </is>
      </c>
      <c r="G1114" s="4" t="inlineStr">
        <is>
          <t>C15@20261028-1856e0f4</t>
        </is>
      </c>
      <c r="H1114" s="4" t="n">
        <v>1</v>
      </c>
      <c r="I1114" s="4" t="n">
        <v>1</v>
      </c>
      <c r="J1114" s="4" t="inlineStr">
        <is>
          <t>Whether A Candidate Who Was Within 30 Years Of Age During Admission To PG Course But Has Crossed This Limit At The Time Of Application Be Eligible To Be Considered?
Yes. The candidate applying under the scheme can apply if she is below 30 years of age as on the last date of application too.</t>
        </is>
      </c>
      <c r="K1114" s="4" t="inlineStr">
        <is>
          <t>MS-C15</t>
        </is>
      </c>
      <c r="L1114" s="6" t="n">
        <v>46323</v>
      </c>
      <c r="M1114" s="4" t="inlineStr">
        <is>
          <t>Approved</t>
        </is>
      </c>
      <c r="N1114" s="4" t="inlineStr">
        <is>
          <t>faq</t>
        </is>
      </c>
    </row>
    <row r="1115" ht="40" customHeight="1">
      <c r="A1115" s="8" t="inlineStr">
        <is>
          <t>C15-P0045</t>
        </is>
      </c>
      <c r="B1115" s="8" t="inlineStr">
        <is>
          <t>C15</t>
        </is>
      </c>
      <c r="C1115" s="8" t="inlineStr">
        <is>
          <t>Post Graduate Indira Gandhi Scholarship For Single Girl Child</t>
        </is>
      </c>
      <c r="D1115" s="8" t="inlineStr">
        <is>
          <t>FAQ</t>
        </is>
      </c>
      <c r="E1115" s="8" t="inlineStr"/>
      <c r="F1115" s="8" t="inlineStr">
        <is>
          <t>faqs.en.faqs[3]</t>
        </is>
      </c>
      <c r="G1115" s="8" t="inlineStr">
        <is>
          <t>C15@20261028-1856e0f4</t>
        </is>
      </c>
      <c r="H1115" s="8" t="n">
        <v>1</v>
      </c>
      <c r="I1115" s="8" t="n">
        <v>1</v>
      </c>
      <c r="J1115" s="8" t="inlineStr">
        <is>
          <t>Can A Single Girl Child Pursuing Post Graduation Through Distance Mode Apply Under The Scheme?
No.</t>
        </is>
      </c>
      <c r="K1115" s="8" t="inlineStr">
        <is>
          <t>MS-C15</t>
        </is>
      </c>
      <c r="L1115" s="9" t="n">
        <v>46323</v>
      </c>
      <c r="M1115" s="8" t="inlineStr">
        <is>
          <t>Approved</t>
        </is>
      </c>
      <c r="N1115" s="8" t="inlineStr">
        <is>
          <t>faq</t>
        </is>
      </c>
    </row>
    <row r="1116" ht="68" customHeight="1">
      <c r="A1116" s="4" t="inlineStr">
        <is>
          <t>C15-P0046</t>
        </is>
      </c>
      <c r="B1116" s="4" t="inlineStr">
        <is>
          <t>C15</t>
        </is>
      </c>
      <c r="C1116" s="4" t="inlineStr">
        <is>
          <t>Post Graduate Indira Gandhi Scholarship For Single Girl Child</t>
        </is>
      </c>
      <c r="D1116" s="4" t="inlineStr">
        <is>
          <t>FAQ</t>
        </is>
      </c>
      <c r="E1116" s="4" t="inlineStr"/>
      <c r="F1116" s="4" t="inlineStr">
        <is>
          <t>faqs.en.faqs[4]</t>
        </is>
      </c>
      <c r="G1116" s="4" t="inlineStr">
        <is>
          <t>C15@20261028-1856e0f4</t>
        </is>
      </c>
      <c r="H1116" s="4" t="n">
        <v>1</v>
      </c>
      <c r="I1116" s="4" t="n">
        <v>1</v>
      </c>
      <c r="J1116" s="4" t="inlineStr">
        <is>
          <t>After Selection, Is The Awardee Entitled For Hostel Fee Reimbursement/ HRA Or Medical Expenses?
No. The awardee is only entitled for scholarship amount. No HRA/contingency/hostel fee or medical expenses are admissible.</t>
        </is>
      </c>
      <c r="K1116" s="4" t="inlineStr">
        <is>
          <t>MS-C15</t>
        </is>
      </c>
      <c r="L1116" s="6" t="n">
        <v>46323</v>
      </c>
      <c r="M1116" s="4" t="inlineStr">
        <is>
          <t>Approved</t>
        </is>
      </c>
      <c r="N1116" s="4" t="inlineStr">
        <is>
          <t>faq</t>
        </is>
      </c>
    </row>
    <row r="1117" ht="82" customHeight="1">
      <c r="A1117" s="8" t="inlineStr">
        <is>
          <t>C15-P0047</t>
        </is>
      </c>
      <c r="B1117" s="8" t="inlineStr">
        <is>
          <t>C15</t>
        </is>
      </c>
      <c r="C1117" s="8" t="inlineStr">
        <is>
          <t>Post Graduate Indira Gandhi Scholarship For Single Girl Child</t>
        </is>
      </c>
      <c r="D1117" s="8" t="inlineStr">
        <is>
          <t>FAQ</t>
        </is>
      </c>
      <c r="E1117" s="8" t="inlineStr"/>
      <c r="F1117" s="8" t="inlineStr">
        <is>
          <t>faqs.en.faqs[5]</t>
        </is>
      </c>
      <c r="G1117" s="8" t="inlineStr">
        <is>
          <t>C15@20261028-1856e0f4</t>
        </is>
      </c>
      <c r="H1117" s="8" t="n">
        <v>1</v>
      </c>
      <c r="I1117" s="8" t="n">
        <v>1</v>
      </c>
      <c r="J1117" s="8" t="inlineStr">
        <is>
          <t>Are The Awardees Eligible For Waiver Of Tuition Fee Or Its Reimbursement?
No. Tuition fee reimbursement is not permitted. However, it is expected from the institutions where student has taken admission in the first year PG course, no tuition fees will be charged by the institute from girl students to pursue PG degree course in Universities/Colleges/Institutions.</t>
        </is>
      </c>
      <c r="K1117" s="8" t="inlineStr">
        <is>
          <t>MS-C15</t>
        </is>
      </c>
      <c r="L1117" s="9" t="n">
        <v>46323</v>
      </c>
      <c r="M1117" s="8" t="inlineStr">
        <is>
          <t>Approved</t>
        </is>
      </c>
      <c r="N1117" s="8" t="inlineStr">
        <is>
          <t>faq</t>
        </is>
      </c>
    </row>
    <row r="1118" ht="54" customHeight="1">
      <c r="A1118" s="4" t="inlineStr">
        <is>
          <t>C15-P0048</t>
        </is>
      </c>
      <c r="B1118" s="4" t="inlineStr">
        <is>
          <t>C15</t>
        </is>
      </c>
      <c r="C1118" s="4" t="inlineStr">
        <is>
          <t>Post Graduate Indira Gandhi Scholarship For Single Girl Child</t>
        </is>
      </c>
      <c r="D1118" s="4" t="inlineStr">
        <is>
          <t>FAQ</t>
        </is>
      </c>
      <c r="E1118" s="4" t="inlineStr"/>
      <c r="F1118" s="4" t="inlineStr">
        <is>
          <t>faqs.en.faqs[6]</t>
        </is>
      </c>
      <c r="G1118" s="4" t="inlineStr">
        <is>
          <t>C15@20261028-1856e0f4</t>
        </is>
      </c>
      <c r="H1118" s="4" t="n">
        <v>1</v>
      </c>
      <c r="I1118" s="4" t="n">
        <v>1</v>
      </c>
      <c r="J1118" s="4" t="inlineStr">
        <is>
          <t>Can Students Of Second Year Post Graduation Apply Under The Scheme?
No. The candidates who are pursuing first year postgraduate courses only can apply under the scheme.</t>
        </is>
      </c>
      <c r="K1118" s="4" t="inlineStr">
        <is>
          <t>MS-C15</t>
        </is>
      </c>
      <c r="L1118" s="6" t="n">
        <v>46323</v>
      </c>
      <c r="M1118" s="4" t="inlineStr">
        <is>
          <t>Approved</t>
        </is>
      </c>
      <c r="N1118" s="4" t="inlineStr">
        <is>
          <t>faq</t>
        </is>
      </c>
    </row>
    <row r="1119" ht="40" customHeight="1">
      <c r="A1119" s="8" t="inlineStr">
        <is>
          <t>C15-P0049</t>
        </is>
      </c>
      <c r="B1119" s="8" t="inlineStr">
        <is>
          <t>C15</t>
        </is>
      </c>
      <c r="C1119" s="8" t="inlineStr">
        <is>
          <t>Post Graduate Indira Gandhi Scholarship For Single Girl Child</t>
        </is>
      </c>
      <c r="D1119" s="8" t="inlineStr">
        <is>
          <t>FAQ</t>
        </is>
      </c>
      <c r="E1119" s="8" t="inlineStr"/>
      <c r="F1119" s="8" t="inlineStr">
        <is>
          <t>faqs.en.faqs[7]</t>
        </is>
      </c>
      <c r="G1119" s="8" t="inlineStr">
        <is>
          <t>C15@20261028-1856e0f4</t>
        </is>
      </c>
      <c r="H1119" s="8" t="n">
        <v>1</v>
      </c>
      <c r="I1119" s="8" t="n">
        <v>1</v>
      </c>
      <c r="J1119" s="8" t="inlineStr">
        <is>
          <t>Can The Awardee Avail Of Any Other Scholarship Scheme During The Tenure Of This Award?
Yes. This scheme can be availed with any other scholarship scheme as this is an incentive.</t>
        </is>
      </c>
      <c r="K1119" s="8" t="inlineStr">
        <is>
          <t>MS-C15</t>
        </is>
      </c>
      <c r="L1119" s="9" t="n">
        <v>46323</v>
      </c>
      <c r="M1119" s="8" t="inlineStr">
        <is>
          <t>Approved</t>
        </is>
      </c>
      <c r="N1119" s="8" t="inlineStr">
        <is>
          <t>faq</t>
        </is>
      </c>
    </row>
    <row r="1120" ht="82" customHeight="1">
      <c r="A1120" s="4" t="inlineStr">
        <is>
          <t>C16-P0001</t>
        </is>
      </c>
      <c r="B1120" s="4" t="inlineStr">
        <is>
          <t>C16</t>
        </is>
      </c>
      <c r="C1120" s="4" t="inlineStr">
        <is>
          <t>Dr Ambedkar Central Sector Scheme of Interest Subsidy on Educational Loans for Overseas Studies for Other Backward Classes (OBCs) and Economically Backward Classes (EBCs)</t>
        </is>
      </c>
      <c r="D1120" s="4" t="inlineStr">
        <is>
          <t>Details</t>
        </is>
      </c>
      <c r="E1120" s="4" t="inlineStr"/>
      <c r="F1120" s="4" t="inlineStr">
        <is>
          <t>en.schemeContent.detailedDescription[0]</t>
        </is>
      </c>
      <c r="G1120" s="4" t="inlineStr">
        <is>
          <t>C16@20261028-ffa365dc</t>
        </is>
      </c>
      <c r="H1120" s="4" t="n">
        <v>1</v>
      </c>
      <c r="I1120" s="4" t="n">
        <v>1</v>
      </c>
      <c r="J1120" s="4" t="inlineStr">
        <is>
          <t>"Dr Ambedkar Central Sector Scheme of Interest Subsidy on Educational Loans for Overseas Studies for Other Backward Classes (OBCs) and Economically Backward Classes (EBCs)" is an Education Loan Scheme by the Department of Social Justice and Empowerment, Ministry of Social Justice and Empowerment.</t>
        </is>
      </c>
      <c r="K1120" s="4" t="inlineStr">
        <is>
          <t>MS-C16</t>
        </is>
      </c>
      <c r="L1120" s="6" t="n">
        <v>46323</v>
      </c>
      <c r="M1120" s="4" t="inlineStr">
        <is>
          <t>Approved</t>
        </is>
      </c>
      <c r="N1120" s="4" t="inlineStr">
        <is>
          <t>paragraph</t>
        </is>
      </c>
    </row>
    <row r="1121" ht="82" customHeight="1">
      <c r="A1121" s="8" t="inlineStr">
        <is>
          <t>C16-P0002</t>
        </is>
      </c>
      <c r="B1121" s="8" t="inlineStr">
        <is>
          <t>C16</t>
        </is>
      </c>
      <c r="C1121" s="8" t="inlineStr">
        <is>
          <t>Dr Ambedkar Central Sector Scheme of Interest Subsidy on Educational Loans for Overseas Studies for Other Backward Classes (OBCs) and Economically Backward Classes (EBCs)</t>
        </is>
      </c>
      <c r="D1121" s="8" t="inlineStr">
        <is>
          <t>Details</t>
        </is>
      </c>
      <c r="E1121" s="8" t="inlineStr"/>
      <c r="F1121" s="8" t="inlineStr">
        <is>
          <t>en.schemeContent.detailedDescription[2]</t>
        </is>
      </c>
      <c r="G1121" s="8" t="inlineStr">
        <is>
          <t>C16@20261028-ffa365dc</t>
        </is>
      </c>
      <c r="H1121" s="8" t="n">
        <v>1</v>
      </c>
      <c r="I1121" s="8" t="n">
        <v>1</v>
      </c>
      <c r="J1121" s="8" t="inlineStr">
        <is>
          <t>Implementing Agency</t>
        </is>
      </c>
      <c r="K1121" s="8" t="inlineStr">
        <is>
          <t>MS-C16</t>
        </is>
      </c>
      <c r="L1121" s="9" t="n">
        <v>46323</v>
      </c>
      <c r="M1121" s="8" t="inlineStr">
        <is>
          <t>Approved</t>
        </is>
      </c>
      <c r="N1121" s="8" t="inlineStr">
        <is>
          <t>paragraph</t>
        </is>
      </c>
    </row>
    <row r="1122" ht="82" customHeight="1">
      <c r="A1122" s="4" t="inlineStr">
        <is>
          <t>C16-P0003</t>
        </is>
      </c>
      <c r="B1122" s="4" t="inlineStr">
        <is>
          <t>C16</t>
        </is>
      </c>
      <c r="C1122" s="4" t="inlineStr">
        <is>
          <t>Dr Ambedkar Central Sector Scheme of Interest Subsidy on Educational Loans for Overseas Studies for Other Backward Classes (OBCs) and Economically Backward Classes (EBCs)</t>
        </is>
      </c>
      <c r="D1122" s="4" t="inlineStr">
        <is>
          <t>Details</t>
        </is>
      </c>
      <c r="E1122" s="4" t="inlineStr"/>
      <c r="F1122" s="4" t="inlineStr">
        <is>
          <t>en.schemeContent.detailedDescription[3]</t>
        </is>
      </c>
      <c r="G1122" s="4" t="inlineStr">
        <is>
          <t>C16@20261028-ffa365dc</t>
        </is>
      </c>
      <c r="H1122" s="4" t="n">
        <v>1</v>
      </c>
      <c r="I1122" s="4" t="n">
        <v>1</v>
      </c>
      <c r="J1122" s="4" t="inlineStr">
        <is>
          <t>The Scheme will be implemented by the Nodal Bank as per the MoU between the Banks and the Ministry of Social Justice &amp; Empowerment.</t>
        </is>
      </c>
      <c r="K1122" s="4" t="inlineStr">
        <is>
          <t>MS-C16</t>
        </is>
      </c>
      <c r="L1122" s="6" t="n">
        <v>46323</v>
      </c>
      <c r="M1122" s="4" t="inlineStr">
        <is>
          <t>Approved</t>
        </is>
      </c>
      <c r="N1122" s="4" t="inlineStr">
        <is>
          <t>paragraph</t>
        </is>
      </c>
    </row>
    <row r="1123" ht="82" customHeight="1">
      <c r="A1123" s="8" t="inlineStr">
        <is>
          <t>C16-P0004</t>
        </is>
      </c>
      <c r="B1123" s="8" t="inlineStr">
        <is>
          <t>C16</t>
        </is>
      </c>
      <c r="C1123" s="8" t="inlineStr">
        <is>
          <t>Dr Ambedkar Central Sector Scheme of Interest Subsidy on Educational Loans for Overseas Studies for Other Backward Classes (OBCs) and Economically Backward Classes (EBCs)</t>
        </is>
      </c>
      <c r="D1123" s="8" t="inlineStr">
        <is>
          <t>Details</t>
        </is>
      </c>
      <c r="E1123" s="8" t="inlineStr"/>
      <c r="F1123" s="8" t="inlineStr">
        <is>
          <t>en.schemeContent.detailedDescription[5]</t>
        </is>
      </c>
      <c r="G1123" s="8" t="inlineStr">
        <is>
          <t>C16@20261028-ffa365dc</t>
        </is>
      </c>
      <c r="H1123" s="8" t="n">
        <v>1</v>
      </c>
      <c r="I1123" s="8" t="n">
        <v>1</v>
      </c>
      <c r="J1123" s="8" t="inlineStr">
        <is>
          <t>Scope</t>
        </is>
      </c>
      <c r="K1123" s="8" t="inlineStr">
        <is>
          <t>MS-C16</t>
        </is>
      </c>
      <c r="L1123" s="9" t="n">
        <v>46323</v>
      </c>
      <c r="M1123" s="8" t="inlineStr">
        <is>
          <t>Approved</t>
        </is>
      </c>
      <c r="N1123" s="8" t="inlineStr">
        <is>
          <t>paragraph</t>
        </is>
      </c>
    </row>
    <row r="1124" ht="82" customHeight="1">
      <c r="A1124" s="4" t="inlineStr">
        <is>
          <t>C16-P0005</t>
        </is>
      </c>
      <c r="B1124" s="4" t="inlineStr">
        <is>
          <t>C16</t>
        </is>
      </c>
      <c r="C1124" s="4" t="inlineStr">
        <is>
          <t>Dr Ambedkar Central Sector Scheme of Interest Subsidy on Educational Loans for Overseas Studies for Other Backward Classes (OBCs) and Economically Backward Classes (EBCs)</t>
        </is>
      </c>
      <c r="D1124" s="4" t="inlineStr">
        <is>
          <t>Details</t>
        </is>
      </c>
      <c r="E1124" s="4" t="inlineStr"/>
      <c r="F1124" s="4" t="inlineStr">
        <is>
          <t>en.schemeContent.detailedDescription[6]</t>
        </is>
      </c>
      <c r="G1124" s="4" t="inlineStr">
        <is>
          <t>C16@20261028-ffa365dc</t>
        </is>
      </c>
      <c r="H1124" s="4" t="n">
        <v>1</v>
      </c>
      <c r="I1124" s="4" t="n">
        <v>1</v>
      </c>
      <c r="J1124" s="4" t="inlineStr">
        <is>
          <t>The scheme provides interest subsidy to the students belonging to the OBCs and EBCs on the interest payable for the period of the moratorium for the Education Loans for overseas studies to pursue approved courses of studies abroad at Masters, M.Phil. and PhD level.</t>
        </is>
      </c>
      <c r="K1124" s="4" t="inlineStr">
        <is>
          <t>MS-C16</t>
        </is>
      </c>
      <c r="L1124" s="6" t="n">
        <v>46323</v>
      </c>
      <c r="M1124" s="4" t="inlineStr">
        <is>
          <t>Approved</t>
        </is>
      </c>
      <c r="N1124" s="4" t="inlineStr">
        <is>
          <t>paragraph</t>
        </is>
      </c>
    </row>
    <row r="1125" ht="82" customHeight="1">
      <c r="A1125" s="8" t="inlineStr">
        <is>
          <t>C16-P0006</t>
        </is>
      </c>
      <c r="B1125" s="8" t="inlineStr">
        <is>
          <t>C16</t>
        </is>
      </c>
      <c r="C1125" s="8" t="inlineStr">
        <is>
          <t>Dr Ambedkar Central Sector Scheme of Interest Subsidy on Educational Loans for Overseas Studies for Other Backward Classes (OBCs) and Economically Backward Classes (EBCs)</t>
        </is>
      </c>
      <c r="D1125" s="8" t="inlineStr">
        <is>
          <t>Details</t>
        </is>
      </c>
      <c r="E1125" s="8" t="inlineStr"/>
      <c r="F1125" s="8" t="inlineStr">
        <is>
          <t>en.schemeContent.detailedDescription[8]</t>
        </is>
      </c>
      <c r="G1125" s="8" t="inlineStr">
        <is>
          <t>C16@20261028-ffa365dc</t>
        </is>
      </c>
      <c r="H1125" s="8" t="n">
        <v>1</v>
      </c>
      <c r="I1125" s="8" t="n">
        <v>1</v>
      </c>
      <c r="J1125" s="8" t="inlineStr">
        <is>
          <t>Objective</t>
        </is>
      </c>
      <c r="K1125" s="8" t="inlineStr">
        <is>
          <t>MS-C16</t>
        </is>
      </c>
      <c r="L1125" s="9" t="n">
        <v>46323</v>
      </c>
      <c r="M1125" s="8" t="inlineStr">
        <is>
          <t>Approved</t>
        </is>
      </c>
      <c r="N1125" s="8" t="inlineStr">
        <is>
          <t>paragraph</t>
        </is>
      </c>
    </row>
    <row r="1126" ht="82" customHeight="1">
      <c r="A1126" s="4" t="inlineStr">
        <is>
          <t>C16-P0007</t>
        </is>
      </c>
      <c r="B1126" s="4" t="inlineStr">
        <is>
          <t>C16</t>
        </is>
      </c>
      <c r="C1126" s="4" t="inlineStr">
        <is>
          <t>Dr Ambedkar Central Sector Scheme of Interest Subsidy on Educational Loans for Overseas Studies for Other Backward Classes (OBCs) and Economically Backward Classes (EBCs)</t>
        </is>
      </c>
      <c r="D1126" s="4" t="inlineStr">
        <is>
          <t>Details</t>
        </is>
      </c>
      <c r="E1126" s="4" t="inlineStr"/>
      <c r="F1126" s="4" t="inlineStr">
        <is>
          <t>en.schemeContent.detailedDescription[9]</t>
        </is>
      </c>
      <c r="G1126" s="4" t="inlineStr">
        <is>
          <t>C16@20261028-ffa365dc</t>
        </is>
      </c>
      <c r="H1126" s="4" t="n">
        <v>1</v>
      </c>
      <c r="I1126" s="4" t="n">
        <v>1</v>
      </c>
      <c r="J1126" s="4" t="inlineStr">
        <is>
          <t>To award interest subsidies to meritorious students belonging to the Other Backward Classes and Economically Backward Classes to provide them with better opportunities for higher education abroad and enhance their employability.</t>
        </is>
      </c>
      <c r="K1126" s="4" t="inlineStr">
        <is>
          <t>MS-C16</t>
        </is>
      </c>
      <c r="L1126" s="6" t="n">
        <v>46323</v>
      </c>
      <c r="M1126" s="4" t="inlineStr">
        <is>
          <t>Approved</t>
        </is>
      </c>
      <c r="N1126" s="4" t="inlineStr">
        <is>
          <t>paragraph</t>
        </is>
      </c>
    </row>
    <row r="1127" ht="82" customHeight="1">
      <c r="A1127" s="8" t="inlineStr">
        <is>
          <t>C16-P0008</t>
        </is>
      </c>
      <c r="B1127" s="8" t="inlineStr">
        <is>
          <t>C16</t>
        </is>
      </c>
      <c r="C1127" s="8" t="inlineStr">
        <is>
          <t>Dr Ambedkar Central Sector Scheme of Interest Subsidy on Educational Loans for Overseas Studies for Other Backward Classes (OBCs) and Economically Backward Classes (EBCs)</t>
        </is>
      </c>
      <c r="D1127" s="8" t="inlineStr">
        <is>
          <t>Benefits</t>
        </is>
      </c>
      <c r="E1127" s="8" t="inlineStr"/>
      <c r="F1127" s="8" t="inlineStr">
        <is>
          <t>en.schemeContent.benefits[0].children[0]</t>
        </is>
      </c>
      <c r="G1127" s="8" t="inlineStr">
        <is>
          <t>C16@20261028-ffa365dc</t>
        </is>
      </c>
      <c r="H1127" s="8" t="n">
        <v>1</v>
      </c>
      <c r="I1127" s="8" t="n">
        <v>1</v>
      </c>
      <c r="J1127" s="8" t="inlineStr">
        <is>
          <t>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t>
        </is>
      </c>
      <c r="K1127" s="8" t="inlineStr">
        <is>
          <t>MS-C16</t>
        </is>
      </c>
      <c r="L1127" s="9" t="n">
        <v>46323</v>
      </c>
      <c r="M1127" s="8" t="inlineStr">
        <is>
          <t>Approved</t>
        </is>
      </c>
      <c r="N1127" s="8" t="inlineStr">
        <is>
          <t>list_item</t>
        </is>
      </c>
    </row>
    <row r="1128" ht="82" customHeight="1">
      <c r="A1128" s="4" t="inlineStr">
        <is>
          <t>C16-P0009</t>
        </is>
      </c>
      <c r="B1128" s="4" t="inlineStr">
        <is>
          <t>C16</t>
        </is>
      </c>
      <c r="C1128" s="4" t="inlineStr">
        <is>
          <t>Dr Ambedkar Central Sector Scheme of Interest Subsidy on Educational Loans for Overseas Studies for Other Backward Classes (OBCs) and Economically Backward Classes (EBCs)</t>
        </is>
      </c>
      <c r="D1128" s="4" t="inlineStr">
        <is>
          <t>Benefits</t>
        </is>
      </c>
      <c r="E1128" s="4" t="inlineStr"/>
      <c r="F1128" s="4" t="inlineStr">
        <is>
          <t>en.schemeContent.benefits[0].children[1]</t>
        </is>
      </c>
      <c r="G1128" s="4" t="inlineStr">
        <is>
          <t>C16@20261028-ffa365dc</t>
        </is>
      </c>
      <c r="H1128" s="4" t="n">
        <v>1</v>
      </c>
      <c r="I1128" s="4" t="n">
        <v>1</v>
      </c>
      <c r="J1128" s="4" t="inlineStr">
        <is>
          <t>For a student, the eligible loan component shall be the actual loan taken subject to a maximum of ₹ 20,00,000 for the purpose of an Interest subsidy claim.</t>
        </is>
      </c>
      <c r="K1128" s="4" t="inlineStr">
        <is>
          <t>MS-C16</t>
        </is>
      </c>
      <c r="L1128" s="6" t="n">
        <v>46323</v>
      </c>
      <c r="M1128" s="4" t="inlineStr">
        <is>
          <t>Approved</t>
        </is>
      </c>
      <c r="N1128" s="4" t="inlineStr">
        <is>
          <t>list_item</t>
        </is>
      </c>
    </row>
    <row r="1129" ht="82" customHeight="1">
      <c r="A1129" s="8" t="inlineStr">
        <is>
          <t>C16-P0010</t>
        </is>
      </c>
      <c r="B1129" s="8" t="inlineStr">
        <is>
          <t>C16</t>
        </is>
      </c>
      <c r="C1129" s="8" t="inlineStr">
        <is>
          <t>Dr Ambedkar Central Sector Scheme of Interest Subsidy on Educational Loans for Overseas Studies for Other Backward Classes (OBCs) and Economically Backward Classes (EBCs)</t>
        </is>
      </c>
      <c r="D1129" s="8" t="inlineStr">
        <is>
          <t>Benefits</t>
        </is>
      </c>
      <c r="E1129" s="8" t="inlineStr"/>
      <c r="F1129" s="8" t="inlineStr">
        <is>
          <t>en.schemeContent.benefits[1]</t>
        </is>
      </c>
      <c r="G1129" s="8" t="inlineStr">
        <is>
          <t>C16@20261028-ffa365dc</t>
        </is>
      </c>
      <c r="H1129" s="8" t="n">
        <v>1</v>
      </c>
      <c r="I1129" s="8" t="n">
        <v>1</v>
      </c>
      <c r="J1129" s="8" t="inlineStr">
        <is>
          <t>NOTE 1: After the period of moratorium is over, the interest on the outstanding loan amount shall be paid by the student, in accordance with the existing Educational Loan Scheme as may be amended from time to time.</t>
        </is>
      </c>
      <c r="K1129" s="8" t="inlineStr">
        <is>
          <t>MS-C16</t>
        </is>
      </c>
      <c r="L1129" s="9" t="n">
        <v>46323</v>
      </c>
      <c r="M1129" s="8" t="inlineStr">
        <is>
          <t>Approved</t>
        </is>
      </c>
      <c r="N1129" s="8" t="inlineStr">
        <is>
          <t>paragraph</t>
        </is>
      </c>
    </row>
    <row r="1130" ht="82" customHeight="1">
      <c r="A1130" s="4" t="inlineStr">
        <is>
          <t>C16-P0011</t>
        </is>
      </c>
      <c r="B1130" s="4" t="inlineStr">
        <is>
          <t>C16</t>
        </is>
      </c>
      <c r="C1130" s="4" t="inlineStr">
        <is>
          <t>Dr Ambedkar Central Sector Scheme of Interest Subsidy on Educational Loans for Overseas Studies for Other Backward Classes (OBCs) and Economically Backward Classes (EBCs)</t>
        </is>
      </c>
      <c r="D1130" s="4" t="inlineStr">
        <is>
          <t>Benefits</t>
        </is>
      </c>
      <c r="E1130" s="4" t="inlineStr"/>
      <c r="F1130" s="4" t="inlineStr">
        <is>
          <t>en.schemeContent.benefits[2]</t>
        </is>
      </c>
      <c r="G1130" s="4" t="inlineStr">
        <is>
          <t>C16@20261028-ffa365dc</t>
        </is>
      </c>
      <c r="H1130" s="4" t="n">
        <v>1</v>
      </c>
      <c r="I1130" s="4" t="n">
        <v>1</v>
      </c>
      <c r="J1130" s="4" t="inlineStr">
        <is>
          <t>NOTE 2: The candidate will bear the Principal instalments and interest beyond the moratorium period.</t>
        </is>
      </c>
      <c r="K1130" s="4" t="inlineStr">
        <is>
          <t>MS-C16</t>
        </is>
      </c>
      <c r="L1130" s="6" t="n">
        <v>46323</v>
      </c>
      <c r="M1130" s="4" t="inlineStr">
        <is>
          <t>Approved</t>
        </is>
      </c>
      <c r="N1130" s="4" t="inlineStr">
        <is>
          <t>paragraph</t>
        </is>
      </c>
    </row>
    <row r="1131" ht="82" customHeight="1">
      <c r="A1131" s="8" t="inlineStr">
        <is>
          <t>C16-P0012</t>
        </is>
      </c>
      <c r="B1131" s="8" t="inlineStr">
        <is>
          <t>C16</t>
        </is>
      </c>
      <c r="C1131" s="8" t="inlineStr">
        <is>
          <t>Dr Ambedkar Central Sector Scheme of Interest Subsidy on Educational Loans for Overseas Studies for Other Backward Classes (OBCs) and Economically Backward Classes (EBCs)</t>
        </is>
      </c>
      <c r="D1131" s="8" t="inlineStr">
        <is>
          <t>Benefits</t>
        </is>
      </c>
      <c r="E1131" s="8" t="inlineStr"/>
      <c r="F1131" s="8" t="inlineStr">
        <is>
          <t>en.schemeContent.benefits[4].children[0]</t>
        </is>
      </c>
      <c r="G1131" s="8" t="inlineStr">
        <is>
          <t>C16@20261028-ffa365dc</t>
        </is>
      </c>
      <c r="H1131" s="8" t="n">
        <v>1</v>
      </c>
      <c r="I1131" s="8" t="n">
        <v>1</v>
      </c>
      <c r="J1131" s="8" t="inlineStr">
        <is>
          <t>Release of Funds</t>
        </is>
      </c>
      <c r="K1131" s="8" t="inlineStr">
        <is>
          <t>MS-C16</t>
        </is>
      </c>
      <c r="L1131" s="9" t="n">
        <v>46323</v>
      </c>
      <c r="M1131" s="8" t="inlineStr">
        <is>
          <t>Approved</t>
        </is>
      </c>
      <c r="N1131" s="8" t="inlineStr">
        <is>
          <t>text</t>
        </is>
      </c>
    </row>
    <row r="1132" ht="82" customHeight="1">
      <c r="A1132" s="4" t="inlineStr">
        <is>
          <t>C16-P0013</t>
        </is>
      </c>
      <c r="B1132" s="4" t="inlineStr">
        <is>
          <t>C16</t>
        </is>
      </c>
      <c r="C1132" s="4" t="inlineStr">
        <is>
          <t>Dr Ambedkar Central Sector Scheme of Interest Subsidy on Educational Loans for Overseas Studies for Other Backward Classes (OBCs) and Economically Backward Classes (EBCs)</t>
        </is>
      </c>
      <c r="D1132" s="4" t="inlineStr">
        <is>
          <t>Benefits</t>
        </is>
      </c>
      <c r="E1132" s="4" t="inlineStr"/>
      <c r="F1132" s="4" t="inlineStr">
        <is>
          <t>en.schemeContent.benefits[5]</t>
        </is>
      </c>
      <c r="G1132" s="4" t="inlineStr">
        <is>
          <t>C16@20261028-ffa365dc</t>
        </is>
      </c>
      <c r="H1132" s="4" t="n">
        <v>1</v>
      </c>
      <c r="I1132" s="4" t="n">
        <v>1</v>
      </c>
      <c r="J1132" s="4" t="inlineStr">
        <is>
          <t>The funds will be released to the applicants on a first-come-first-served basis, subject to a maximum amount to be worked out every year based on the total budget made available that year, under the scheme.</t>
        </is>
      </c>
      <c r="K1132" s="4" t="inlineStr">
        <is>
          <t>MS-C16</t>
        </is>
      </c>
      <c r="L1132" s="6" t="n">
        <v>46323</v>
      </c>
      <c r="M1132" s="4" t="inlineStr">
        <is>
          <t>Approved</t>
        </is>
      </c>
      <c r="N1132" s="4" t="inlineStr">
        <is>
          <t>paragraph</t>
        </is>
      </c>
    </row>
    <row r="1133" ht="82" customHeight="1">
      <c r="A1133" s="8" t="inlineStr">
        <is>
          <t>C16-P0014</t>
        </is>
      </c>
      <c r="B1133" s="8" t="inlineStr">
        <is>
          <t>C16</t>
        </is>
      </c>
      <c r="C1133" s="8" t="inlineStr">
        <is>
          <t>Dr Ambedkar Central Sector Scheme of Interest Subsidy on Educational Loans for Overseas Studies for Other Backward Classes (OBCs) and Economically Backward Classes (EBCs)</t>
        </is>
      </c>
      <c r="D1133" s="8" t="inlineStr">
        <is>
          <t>Eligibility</t>
        </is>
      </c>
      <c r="E1133" s="8" t="inlineStr"/>
      <c r="F1133" s="8" t="inlineStr">
        <is>
          <t>en.eligibilityCriteria.eligibilityDescription[0].children[0]</t>
        </is>
      </c>
      <c r="G1133" s="8" t="inlineStr">
        <is>
          <t>C16@20261028-ffa365dc</t>
        </is>
      </c>
      <c r="H1133" s="8" t="n">
        <v>1</v>
      </c>
      <c r="I1133" s="8" t="n">
        <v>1</v>
      </c>
      <c r="J1133" s="8" t="inlineStr">
        <is>
          <t>The applicant should be a Student.</t>
        </is>
      </c>
      <c r="K1133" s="8" t="inlineStr">
        <is>
          <t>MS-C16</t>
        </is>
      </c>
      <c r="L1133" s="9" t="n">
        <v>46323</v>
      </c>
      <c r="M1133" s="8" t="inlineStr">
        <is>
          <t>Approved</t>
        </is>
      </c>
      <c r="N1133" s="8" t="inlineStr">
        <is>
          <t>list_item</t>
        </is>
      </c>
    </row>
    <row r="1134" ht="82" customHeight="1">
      <c r="A1134" s="4" t="inlineStr">
        <is>
          <t>C16-P0015</t>
        </is>
      </c>
      <c r="B1134" s="4" t="inlineStr">
        <is>
          <t>C16</t>
        </is>
      </c>
      <c r="C1134" s="4" t="inlineStr">
        <is>
          <t>Dr Ambedkar Central Sector Scheme of Interest Subsidy on Educational Loans for Overseas Studies for Other Backward Classes (OBCs) and Economically Backward Classes (EBCs)</t>
        </is>
      </c>
      <c r="D1134" s="4" t="inlineStr">
        <is>
          <t>Eligibility</t>
        </is>
      </c>
      <c r="E1134" s="4" t="inlineStr"/>
      <c r="F1134" s="4" t="inlineStr">
        <is>
          <t>en.eligibilityCriteria.eligibilityDescription[0].children[1]</t>
        </is>
      </c>
      <c r="G1134" s="4" t="inlineStr">
        <is>
          <t>C16@20261028-ffa365dc</t>
        </is>
      </c>
      <c r="H1134" s="4" t="n">
        <v>1</v>
      </c>
      <c r="I1134" s="4" t="n">
        <v>1</v>
      </c>
      <c r="J1134" s="4" t="inlineStr">
        <is>
          <t>The student should have secured admission in the approved course at Masters, M.Phil or PhD levels abroad for the listed courses.</t>
        </is>
      </c>
      <c r="K1134" s="4" t="inlineStr">
        <is>
          <t>MS-C16</t>
        </is>
      </c>
      <c r="L1134" s="6" t="n">
        <v>46323</v>
      </c>
      <c r="M1134" s="4" t="inlineStr">
        <is>
          <t>Approved</t>
        </is>
      </c>
      <c r="N1134" s="4" t="inlineStr">
        <is>
          <t>list_item</t>
        </is>
      </c>
    </row>
    <row r="1135" ht="82" customHeight="1">
      <c r="A1135" s="8" t="inlineStr">
        <is>
          <t>C16-P0016</t>
        </is>
      </c>
      <c r="B1135" s="8" t="inlineStr">
        <is>
          <t>C16</t>
        </is>
      </c>
      <c r="C1135" s="8" t="inlineStr">
        <is>
          <t>Dr Ambedkar Central Sector Scheme of Interest Subsidy on Educational Loans for Overseas Studies for Other Backward Classes (OBCs) and Economically Backward Classes (EBCs)</t>
        </is>
      </c>
      <c r="D1135" s="8" t="inlineStr">
        <is>
          <t>Eligibility</t>
        </is>
      </c>
      <c r="E1135" s="8" t="inlineStr"/>
      <c r="F1135" s="8" t="inlineStr">
        <is>
          <t>en.eligibilityCriteria.eligibilityDescription[0].children[2]</t>
        </is>
      </c>
      <c r="G1135" s="8" t="inlineStr">
        <is>
          <t>C16@20261028-ffa365dc</t>
        </is>
      </c>
      <c r="H1135" s="8" t="n">
        <v>1</v>
      </c>
      <c r="I1135" s="8" t="n">
        <v>1</v>
      </c>
      <c r="J1135" s="8" t="inlineStr">
        <is>
          <t>The applicant should have availed loan from a scheduled bank under the Education Loan Scheme of the Indian Banks Association (IBA) for the purpose.</t>
        </is>
      </c>
      <c r="K1135" s="8" t="inlineStr">
        <is>
          <t>MS-C16</t>
        </is>
      </c>
      <c r="L1135" s="9" t="n">
        <v>46323</v>
      </c>
      <c r="M1135" s="8" t="inlineStr">
        <is>
          <t>Approved</t>
        </is>
      </c>
      <c r="N1135" s="8" t="inlineStr">
        <is>
          <t>list_item</t>
        </is>
      </c>
    </row>
    <row r="1136" ht="82" customHeight="1">
      <c r="A1136" s="4" t="inlineStr">
        <is>
          <t>C16-P0017</t>
        </is>
      </c>
      <c r="B1136" s="4" t="inlineStr">
        <is>
          <t>C16</t>
        </is>
      </c>
      <c r="C1136" s="4" t="inlineStr">
        <is>
          <t>Dr Ambedkar Central Sector Scheme of Interest Subsidy on Educational Loans for Overseas Studies for Other Backward Classes (OBCs) and Economically Backward Classes (EBCs)</t>
        </is>
      </c>
      <c r="D1136" s="4" t="inlineStr">
        <is>
          <t>Eligibility</t>
        </is>
      </c>
      <c r="E1136" s="4" t="inlineStr"/>
      <c r="F1136" s="4" t="inlineStr">
        <is>
          <t>en.eligibilityCriteria.eligibilityDescription[0].children[3]</t>
        </is>
      </c>
      <c r="G1136" s="4" t="inlineStr">
        <is>
          <t>C16@20261028-ffa365dc</t>
        </is>
      </c>
      <c r="H1136" s="4" t="n">
        <v>1</v>
      </c>
      <c r="I1136" s="4" t="n">
        <v>1</v>
      </c>
      <c r="J1136" s="4" t="inlineStr">
        <is>
          <t>The total income of the applicant (from all sources) shall not exceed ₹ 8,00,000 per annum.</t>
        </is>
      </c>
      <c r="K1136" s="4" t="inlineStr">
        <is>
          <t>MS-C16</t>
        </is>
      </c>
      <c r="L1136" s="6" t="n">
        <v>46323</v>
      </c>
      <c r="M1136" s="4" t="inlineStr">
        <is>
          <t>Approved</t>
        </is>
      </c>
      <c r="N1136" s="4" t="inlineStr">
        <is>
          <t>list_item</t>
        </is>
      </c>
    </row>
    <row r="1137" ht="82" customHeight="1">
      <c r="A1137" s="8" t="inlineStr">
        <is>
          <t>C16-P0018</t>
        </is>
      </c>
      <c r="B1137" s="8" t="inlineStr">
        <is>
          <t>C16</t>
        </is>
      </c>
      <c r="C1137" s="8" t="inlineStr">
        <is>
          <t>Dr Ambedkar Central Sector Scheme of Interest Subsidy on Educational Loans for Overseas Studies for Other Backward Classes (OBCs) and Economically Backward Classes (EBCs)</t>
        </is>
      </c>
      <c r="D1137" s="8" t="inlineStr">
        <is>
          <t>Eligibility</t>
        </is>
      </c>
      <c r="E1137" s="8" t="inlineStr"/>
      <c r="F1137" s="8" t="inlineStr">
        <is>
          <t>en.eligibilityCriteria.eligibilityDescription[2].children[0]</t>
        </is>
      </c>
      <c r="G1137" s="8" t="inlineStr">
        <is>
          <t>C16@20261028-ffa365dc</t>
        </is>
      </c>
      <c r="H1137" s="8" t="n">
        <v>1</v>
      </c>
      <c r="I1137" s="8" t="n">
        <v>1</v>
      </c>
      <c r="J1137" s="8" t="inlineStr">
        <is>
          <t>Reservation/ Relaxation/ Preference/ Priority</t>
        </is>
      </c>
      <c r="K1137" s="8" t="inlineStr">
        <is>
          <t>MS-C16</t>
        </is>
      </c>
      <c r="L1137" s="9" t="n">
        <v>46323</v>
      </c>
      <c r="M1137" s="8" t="inlineStr">
        <is>
          <t>Approved</t>
        </is>
      </c>
      <c r="N1137" s="8" t="inlineStr">
        <is>
          <t>text</t>
        </is>
      </c>
    </row>
    <row r="1138" ht="82" customHeight="1">
      <c r="A1138" s="4" t="inlineStr">
        <is>
          <t>C16-P0019</t>
        </is>
      </c>
      <c r="B1138" s="4" t="inlineStr">
        <is>
          <t>C16</t>
        </is>
      </c>
      <c r="C1138" s="4" t="inlineStr">
        <is>
          <t>Dr Ambedkar Central Sector Scheme of Interest Subsidy on Educational Loans for Overseas Studies for Other Backward Classes (OBCs) and Economically Backward Classes (EBCs)</t>
        </is>
      </c>
      <c r="D1138" s="4" t="inlineStr">
        <is>
          <t>Eligibility</t>
        </is>
      </c>
      <c r="E1138" s="4" t="inlineStr"/>
      <c r="F1138" s="4" t="inlineStr">
        <is>
          <t>en.eligibilityCriteria.eligibilityDescription[3]</t>
        </is>
      </c>
      <c r="G1138" s="4" t="inlineStr">
        <is>
          <t>C16@20261028-ffa365dc</t>
        </is>
      </c>
      <c r="H1138" s="4" t="n">
        <v>1</v>
      </c>
      <c r="I1138" s="4" t="n">
        <v>1</v>
      </c>
      <c r="J1138" s="4" t="inlineStr">
        <is>
          <t>Out of the total outlay in a year, a minimum of 50% amount will be earmarked for Interest Subsidy to the girl candidates.</t>
        </is>
      </c>
      <c r="K1138" s="4" t="inlineStr">
        <is>
          <t>MS-C16</t>
        </is>
      </c>
      <c r="L1138" s="6" t="n">
        <v>46323</v>
      </c>
      <c r="M1138" s="4" t="inlineStr">
        <is>
          <t>Approved</t>
        </is>
      </c>
      <c r="N1138" s="4" t="inlineStr">
        <is>
          <t>paragraph</t>
        </is>
      </c>
    </row>
    <row r="1139" ht="82" customHeight="1">
      <c r="A1139" s="8" t="inlineStr">
        <is>
          <t>C16-P0020</t>
        </is>
      </c>
      <c r="B1139" s="8" t="inlineStr">
        <is>
          <t>C16</t>
        </is>
      </c>
      <c r="C1139" s="8" t="inlineStr">
        <is>
          <t>Dr Ambedkar Central Sector Scheme of Interest Subsidy on Educational Loans for Overseas Studies for Other Backward Classes (OBCs) and Economically Backward Classes (EBCs)</t>
        </is>
      </c>
      <c r="D1139" s="8" t="inlineStr">
        <is>
          <t>Applicant documents</t>
        </is>
      </c>
      <c r="E1139" s="8" t="inlineStr"/>
      <c r="F1139" s="8" t="inlineStr">
        <is>
          <t>documents.en.documents_required[0].children[0]</t>
        </is>
      </c>
      <c r="G1139" s="8" t="inlineStr">
        <is>
          <t>C16@20261028-ffa365dc</t>
        </is>
      </c>
      <c r="H1139" s="8" t="n">
        <v>1</v>
      </c>
      <c r="I1139" s="8" t="n">
        <v>1</v>
      </c>
      <c r="J1139" s="8" t="inlineStr">
        <is>
          <t>Passport Sized Photograph</t>
        </is>
      </c>
      <c r="K1139" s="8" t="inlineStr">
        <is>
          <t>MS-C16</t>
        </is>
      </c>
      <c r="L1139" s="9" t="n">
        <v>46323</v>
      </c>
      <c r="M1139" s="8" t="inlineStr">
        <is>
          <t>Approved</t>
        </is>
      </c>
      <c r="N1139" s="8" t="inlineStr">
        <is>
          <t>list_item</t>
        </is>
      </c>
    </row>
    <row r="1140" ht="82" customHeight="1">
      <c r="A1140" s="4" t="inlineStr">
        <is>
          <t>C16-P0021</t>
        </is>
      </c>
      <c r="B1140" s="4" t="inlineStr">
        <is>
          <t>C16</t>
        </is>
      </c>
      <c r="C1140" s="4" t="inlineStr">
        <is>
          <t>Dr Ambedkar Central Sector Scheme of Interest Subsidy on Educational Loans for Overseas Studies for Other Backward Classes (OBCs) and Economically Backward Classes (EBCs)</t>
        </is>
      </c>
      <c r="D1140" s="4" t="inlineStr">
        <is>
          <t>Applicant documents</t>
        </is>
      </c>
      <c r="E1140" s="4" t="inlineStr"/>
      <c r="F1140" s="4" t="inlineStr">
        <is>
          <t>documents.en.documents_required[0].children[1]</t>
        </is>
      </c>
      <c r="G1140" s="4" t="inlineStr">
        <is>
          <t>C16@20261028-ffa365dc</t>
        </is>
      </c>
      <c r="H1140" s="4" t="n">
        <v>1</v>
      </c>
      <c r="I1140" s="4" t="n">
        <v>1</v>
      </c>
      <c r="J1140" s="4" t="inlineStr">
        <is>
          <t>Aadhaar Number</t>
        </is>
      </c>
      <c r="K1140" s="4" t="inlineStr">
        <is>
          <t>MS-C16</t>
        </is>
      </c>
      <c r="L1140" s="6" t="n">
        <v>46323</v>
      </c>
      <c r="M1140" s="4" t="inlineStr">
        <is>
          <t>Approved</t>
        </is>
      </c>
      <c r="N1140" s="4" t="inlineStr">
        <is>
          <t>list_item</t>
        </is>
      </c>
    </row>
    <row r="1141" ht="82" customHeight="1">
      <c r="A1141" s="8" t="inlineStr">
        <is>
          <t>C16-P0022</t>
        </is>
      </c>
      <c r="B1141" s="8" t="inlineStr">
        <is>
          <t>C16</t>
        </is>
      </c>
      <c r="C1141" s="8" t="inlineStr">
        <is>
          <t>Dr Ambedkar Central Sector Scheme of Interest Subsidy on Educational Loans for Overseas Studies for Other Backward Classes (OBCs) and Economically Backward Classes (EBCs)</t>
        </is>
      </c>
      <c r="D1141" s="8" t="inlineStr">
        <is>
          <t>Applicant documents</t>
        </is>
      </c>
      <c r="E1141" s="8" t="inlineStr"/>
      <c r="F1141" s="8" t="inlineStr">
        <is>
          <t>documents.en.documents_required[0].children[2]</t>
        </is>
      </c>
      <c r="G1141" s="8" t="inlineStr">
        <is>
          <t>C16@20261028-ffa365dc</t>
        </is>
      </c>
      <c r="H1141" s="8" t="n">
        <v>1</v>
      </c>
      <c r="I1141" s="8" t="n">
        <v>1</v>
      </c>
      <c r="J1141" s="8" t="inlineStr">
        <is>
          <t>Proof of Educational Qualification</t>
        </is>
      </c>
      <c r="K1141" s="8" t="inlineStr">
        <is>
          <t>MS-C16</t>
        </is>
      </c>
      <c r="L1141" s="9" t="n">
        <v>46323</v>
      </c>
      <c r="M1141" s="8" t="inlineStr">
        <is>
          <t>Approved</t>
        </is>
      </c>
      <c r="N1141" s="8" t="inlineStr">
        <is>
          <t>list_item</t>
        </is>
      </c>
    </row>
    <row r="1142" ht="82" customHeight="1">
      <c r="A1142" s="4" t="inlineStr">
        <is>
          <t>C16-P0023</t>
        </is>
      </c>
      <c r="B1142" s="4" t="inlineStr">
        <is>
          <t>C16</t>
        </is>
      </c>
      <c r="C1142" s="4" t="inlineStr">
        <is>
          <t>Dr Ambedkar Central Sector Scheme of Interest Subsidy on Educational Loans for Overseas Studies for Other Backward Classes (OBCs) and Economically Backward Classes (EBCs)</t>
        </is>
      </c>
      <c r="D1142" s="4" t="inlineStr">
        <is>
          <t>Applicant documents</t>
        </is>
      </c>
      <c r="E1142" s="4" t="inlineStr"/>
      <c r="F1142" s="4" t="inlineStr">
        <is>
          <t>documents.en.documents_required[0].children[3]</t>
        </is>
      </c>
      <c r="G1142" s="4" t="inlineStr">
        <is>
          <t>C16@20261028-ffa365dc</t>
        </is>
      </c>
      <c r="H1142" s="4" t="n">
        <v>1</v>
      </c>
      <c r="I1142" s="4" t="n">
        <v>1</v>
      </c>
      <c r="J1142" s="4" t="inlineStr">
        <is>
          <t>Bonafide Certificate</t>
        </is>
      </c>
      <c r="K1142" s="4" t="inlineStr">
        <is>
          <t>MS-C16</t>
        </is>
      </c>
      <c r="L1142" s="6" t="n">
        <v>46323</v>
      </c>
      <c r="M1142" s="4" t="inlineStr">
        <is>
          <t>Approved</t>
        </is>
      </c>
      <c r="N1142" s="4" t="inlineStr">
        <is>
          <t>list_item</t>
        </is>
      </c>
    </row>
    <row r="1143" ht="82" customHeight="1">
      <c r="A1143" s="8" t="inlineStr">
        <is>
          <t>C16-P0024</t>
        </is>
      </c>
      <c r="B1143" s="8" t="inlineStr">
        <is>
          <t>C16</t>
        </is>
      </c>
      <c r="C1143" s="8" t="inlineStr">
        <is>
          <t>Dr Ambedkar Central Sector Scheme of Interest Subsidy on Educational Loans for Overseas Studies for Other Backward Classes (OBCs) and Economically Backward Classes (EBCs)</t>
        </is>
      </c>
      <c r="D1143" s="8" t="inlineStr">
        <is>
          <t>Applicant documents</t>
        </is>
      </c>
      <c r="E1143" s="8" t="inlineStr"/>
      <c r="F1143" s="8" t="inlineStr">
        <is>
          <t>documents.en.documents_required[0].children[4]</t>
        </is>
      </c>
      <c r="G1143" s="8" t="inlineStr">
        <is>
          <t>C16@20261028-ffa365dc</t>
        </is>
      </c>
      <c r="H1143" s="8" t="n">
        <v>1</v>
      </c>
      <c r="I1143" s="8" t="n">
        <v>1</v>
      </c>
      <c r="J1143" s="8" t="inlineStr">
        <is>
          <t>For the candidate applying under the OBC category, the OBC Caste certificate in the prescribed Performa issued by the competent authority.</t>
        </is>
      </c>
      <c r="K1143" s="8" t="inlineStr">
        <is>
          <t>MS-C16</t>
        </is>
      </c>
      <c r="L1143" s="9" t="n">
        <v>46323</v>
      </c>
      <c r="M1143" s="8" t="inlineStr">
        <is>
          <t>Approved</t>
        </is>
      </c>
      <c r="N1143" s="8" t="inlineStr">
        <is>
          <t>list_item</t>
        </is>
      </c>
    </row>
    <row r="1144" ht="82" customHeight="1">
      <c r="A1144" s="4" t="inlineStr">
        <is>
          <t>C16-P0025</t>
        </is>
      </c>
      <c r="B1144" s="4" t="inlineStr">
        <is>
          <t>C16</t>
        </is>
      </c>
      <c r="C1144" s="4" t="inlineStr">
        <is>
          <t>Dr Ambedkar Central Sector Scheme of Interest Subsidy on Educational Loans for Overseas Studies for Other Backward Classes (OBCs) and Economically Backward Classes (EBCs)</t>
        </is>
      </c>
      <c r="D1144" s="4" t="inlineStr">
        <is>
          <t>Applicant documents</t>
        </is>
      </c>
      <c r="E1144" s="4" t="inlineStr"/>
      <c r="F1144" s="4" t="inlineStr">
        <is>
          <t>documents.en.documents_required[0].children[5]</t>
        </is>
      </c>
      <c r="G1144" s="4" t="inlineStr">
        <is>
          <t>C16@20261028-ffa365dc</t>
        </is>
      </c>
      <c r="H1144" s="4" t="n">
        <v>1</v>
      </c>
      <c r="I1144" s="4" t="n">
        <v>1</v>
      </c>
      <c r="J1144" s="4" t="inlineStr">
        <is>
          <t>Income certificate produced by the student for availing Educational Loan viz. ITR/Form 16/Audited Accounts/Income certificate issued by the authority of the State Government/UT Administration.</t>
        </is>
      </c>
      <c r="K1144" s="4" t="inlineStr">
        <is>
          <t>MS-C16</t>
        </is>
      </c>
      <c r="L1144" s="6" t="n">
        <v>46323</v>
      </c>
      <c r="M1144" s="4" t="inlineStr">
        <is>
          <t>Approved</t>
        </is>
      </c>
      <c r="N1144" s="4" t="inlineStr">
        <is>
          <t>list_item</t>
        </is>
      </c>
    </row>
    <row r="1145" ht="82" customHeight="1">
      <c r="A1145" s="8" t="inlineStr">
        <is>
          <t>C16-P0026</t>
        </is>
      </c>
      <c r="B1145" s="8" t="inlineStr">
        <is>
          <t>C16</t>
        </is>
      </c>
      <c r="C1145" s="8" t="inlineStr">
        <is>
          <t>Dr Ambedkar Central Sector Scheme of Interest Subsidy on Educational Loans for Overseas Studies for Other Backward Classes (OBCs) and Economically Backward Classes (EBCs)</t>
        </is>
      </c>
      <c r="D1145" s="8" t="inlineStr">
        <is>
          <t>Applicant documents</t>
        </is>
      </c>
      <c r="E1145" s="8" t="inlineStr"/>
      <c r="F1145" s="8" t="inlineStr">
        <is>
          <t>documents.en.documents_required[0].children[6]</t>
        </is>
      </c>
      <c r="G1145" s="8" t="inlineStr">
        <is>
          <t>C16@20261028-ffa365dc</t>
        </is>
      </c>
      <c r="H1145" s="8" t="n">
        <v>1</v>
      </c>
      <c r="I1145" s="8" t="n">
        <v>1</v>
      </c>
      <c r="J1145" s="8" t="inlineStr">
        <is>
          <t>Details of the Aadhaar-linked Bank Account.</t>
        </is>
      </c>
      <c r="K1145" s="8" t="inlineStr">
        <is>
          <t>MS-C16</t>
        </is>
      </c>
      <c r="L1145" s="9" t="n">
        <v>46323</v>
      </c>
      <c r="M1145" s="8" t="inlineStr">
        <is>
          <t>Approved</t>
        </is>
      </c>
      <c r="N1145" s="8" t="inlineStr">
        <is>
          <t>list_item</t>
        </is>
      </c>
    </row>
    <row r="1146" ht="82" customHeight="1">
      <c r="A1146" s="4" t="inlineStr">
        <is>
          <t>C16-P0027</t>
        </is>
      </c>
      <c r="B1146" s="4" t="inlineStr">
        <is>
          <t>C16</t>
        </is>
      </c>
      <c r="C1146" s="4" t="inlineStr">
        <is>
          <t>Dr Ambedkar Central Sector Scheme of Interest Subsidy on Educational Loans for Overseas Studies for Other Backward Classes (OBCs) and Economically Backward Classes (EBCs)</t>
        </is>
      </c>
      <c r="D1146" s="4" t="inlineStr">
        <is>
          <t>Application process</t>
        </is>
      </c>
      <c r="E1146" s="4" t="inlineStr"/>
      <c r="F1146" s="4" t="inlineStr">
        <is>
          <t>en.applicationProcess[0].process[0]</t>
        </is>
      </c>
      <c r="G1146" s="4" t="inlineStr">
        <is>
          <t>C16@20261028-ffa365dc</t>
        </is>
      </c>
      <c r="H1146" s="4" t="n">
        <v>1</v>
      </c>
      <c r="I1146" s="4" t="n">
        <v>1</v>
      </c>
      <c r="J1146" s="4" t="inlineStr">
        <is>
          <t>Step 1: The interest Subsidy shall be linked with the existing Educational Loan Scheme of the Indian Banks Association (IBA) and restricted to students enrolled for courses at Master, M.Phil and PhD levels.</t>
        </is>
      </c>
      <c r="K1146" s="4" t="inlineStr">
        <is>
          <t>MS-C16</t>
        </is>
      </c>
      <c r="L1146" s="6" t="n">
        <v>46323</v>
      </c>
      <c r="M1146" s="4" t="inlineStr">
        <is>
          <t>Approved</t>
        </is>
      </c>
      <c r="N1146" s="4" t="inlineStr">
        <is>
          <t>paragraph</t>
        </is>
      </c>
    </row>
    <row r="1147" ht="82" customHeight="1">
      <c r="A1147" s="8" t="inlineStr">
        <is>
          <t>C16-P0028</t>
        </is>
      </c>
      <c r="B1147" s="8" t="inlineStr">
        <is>
          <t>C16</t>
        </is>
      </c>
      <c r="C1147" s="8" t="inlineStr">
        <is>
          <t>Dr Ambedkar Central Sector Scheme of Interest Subsidy on Educational Loans for Overseas Studies for Other Backward Classes (OBCs) and Economically Backward Classes (EBCs)</t>
        </is>
      </c>
      <c r="D1147" s="8" t="inlineStr">
        <is>
          <t>Application process</t>
        </is>
      </c>
      <c r="E1147" s="8" t="inlineStr"/>
      <c r="F1147" s="8" t="inlineStr">
        <is>
          <t>en.applicationProcess[0].process[1]</t>
        </is>
      </c>
      <c r="G1147" s="8" t="inlineStr">
        <is>
          <t>C16@20261028-ffa365dc</t>
        </is>
      </c>
      <c r="H1147" s="8" t="n">
        <v>1</v>
      </c>
      <c r="I1147" s="8" t="n">
        <v>1</v>
      </c>
      <c r="J1147" s="8" t="inlineStr">
        <is>
          <t>Step 2: The Nodal Bank will lay down the detailed procedure for processing and sanctioning interest subsidies to eligible students in consultation with the Ministry.</t>
        </is>
      </c>
      <c r="K1147" s="8" t="inlineStr">
        <is>
          <t>MS-C16</t>
        </is>
      </c>
      <c r="L1147" s="9" t="n">
        <v>46323</v>
      </c>
      <c r="M1147" s="8" t="inlineStr">
        <is>
          <t>Approved</t>
        </is>
      </c>
      <c r="N1147" s="8" t="inlineStr">
        <is>
          <t>paragraph</t>
        </is>
      </c>
    </row>
    <row r="1148" ht="82" customHeight="1">
      <c r="A1148" s="4" t="inlineStr">
        <is>
          <t>C16-P0029</t>
        </is>
      </c>
      <c r="B1148" s="4" t="inlineStr">
        <is>
          <t>C16</t>
        </is>
      </c>
      <c r="C1148" s="4" t="inlineStr">
        <is>
          <t>Dr Ambedkar Central Sector Scheme of Interest Subsidy on Educational Loans for Overseas Studies for Other Backward Classes (OBCs) and Economically Backward Classes (EBCs)</t>
        </is>
      </c>
      <c r="D1148" s="4" t="inlineStr">
        <is>
          <t>Application process</t>
        </is>
      </c>
      <c r="E1148" s="4" t="inlineStr"/>
      <c r="F1148" s="4" t="inlineStr">
        <is>
          <t>en.applicationProcess[0].process[2]</t>
        </is>
      </c>
      <c r="G1148" s="4" t="inlineStr">
        <is>
          <t>C16@20261028-ffa365dc</t>
        </is>
      </c>
      <c r="H1148" s="4" t="n">
        <v>1</v>
      </c>
      <c r="I1148" s="4" t="n">
        <v>1</v>
      </c>
      <c r="J1148" s="4" t="inlineStr">
        <is>
          <t>Step 3: The Recommendatory Committee headed by the Joint Secretary in charge of the Backward Classes Division with representatives of the Finance Division, a representative of Nodal Bank and the concerned Director/Deputy Secretary as convener will examine and recommend the applications for the award of interest subsidy on a quarterly basis.</t>
        </is>
      </c>
      <c r="K1148" s="4" t="inlineStr">
        <is>
          <t>MS-C16</t>
        </is>
      </c>
      <c r="L1148" s="6" t="n">
        <v>46323</v>
      </c>
      <c r="M1148" s="4" t="inlineStr">
        <is>
          <t>Approved</t>
        </is>
      </c>
      <c r="N1148" s="4" t="inlineStr">
        <is>
          <t>paragraph</t>
        </is>
      </c>
    </row>
    <row r="1149" ht="82" customHeight="1">
      <c r="A1149" s="8" t="inlineStr">
        <is>
          <t>C16-P0030</t>
        </is>
      </c>
      <c r="B1149" s="8" t="inlineStr">
        <is>
          <t>C16</t>
        </is>
      </c>
      <c r="C1149" s="8" t="inlineStr">
        <is>
          <t>Dr Ambedkar Central Sector Scheme of Interest Subsidy on Educational Loans for Overseas Studies for Other Backward Classes (OBCs) and Economically Backward Classes (EBCs)</t>
        </is>
      </c>
      <c r="D1149" s="8" t="inlineStr">
        <is>
          <t>FAQ</t>
        </is>
      </c>
      <c r="E1149" s="8" t="inlineStr"/>
      <c r="F1149" s="8" t="inlineStr">
        <is>
          <t>faqs.en.faqs[0]</t>
        </is>
      </c>
      <c r="G1149" s="8" t="inlineStr">
        <is>
          <t>C16@20261028-ffa365dc</t>
        </is>
      </c>
      <c r="H1149" s="8" t="n">
        <v>1</v>
      </c>
      <c r="I1149" s="8" t="n">
        <v>1</v>
      </c>
      <c r="J1149" s="8" t="inlineStr">
        <is>
          <t>Is there a separate fund allocation for female students under the scheme?
Yes, at least 50% of the total allocation is reserved for female students, but it can be used for male students if there is insufficient demand from female students.</t>
        </is>
      </c>
      <c r="K1149" s="8" t="inlineStr">
        <is>
          <t>MS-C16</t>
        </is>
      </c>
      <c r="L1149" s="9" t="n">
        <v>46323</v>
      </c>
      <c r="M1149" s="8" t="inlineStr">
        <is>
          <t>Approved</t>
        </is>
      </c>
      <c r="N1149" s="8" t="inlineStr">
        <is>
          <t>faq</t>
        </is>
      </c>
    </row>
    <row r="1150" ht="82" customHeight="1">
      <c r="A1150" s="4" t="inlineStr">
        <is>
          <t>C16-P0031</t>
        </is>
      </c>
      <c r="B1150" s="4" t="inlineStr">
        <is>
          <t>C16</t>
        </is>
      </c>
      <c r="C1150" s="4" t="inlineStr">
        <is>
          <t>Dr Ambedkar Central Sector Scheme of Interest Subsidy on Educational Loans for Overseas Studies for Other Backward Classes (OBCs) and Economically Backward Classes (EBCs)</t>
        </is>
      </c>
      <c r="D1150" s="4" t="inlineStr">
        <is>
          <t>FAQ</t>
        </is>
      </c>
      <c r="E1150" s="4" t="inlineStr"/>
      <c r="F1150" s="4" t="inlineStr">
        <is>
          <t>faqs.en.faqs[1]</t>
        </is>
      </c>
      <c r="G1150" s="4" t="inlineStr">
        <is>
          <t>C16@20261028-ffa365dc</t>
        </is>
      </c>
      <c r="H1150" s="4" t="n">
        <v>1</v>
      </c>
      <c r="I1150" s="4" t="n">
        <v>1</v>
      </c>
      <c r="J1150" s="4" t="inlineStr">
        <is>
          <t>Can the subsidy be provided for courses that are partly in India and partly abroad?
Yes, if the degree is awarded by a foreign university, the course is eligible for interest subsidy.</t>
        </is>
      </c>
      <c r="K1150" s="4" t="inlineStr">
        <is>
          <t>MS-C16</t>
        </is>
      </c>
      <c r="L1150" s="6" t="n">
        <v>46323</v>
      </c>
      <c r="M1150" s="4" t="inlineStr">
        <is>
          <t>Approved</t>
        </is>
      </c>
      <c r="N1150" s="4" t="inlineStr">
        <is>
          <t>faq</t>
        </is>
      </c>
    </row>
    <row r="1151" ht="82" customHeight="1">
      <c r="A1151" s="8" t="inlineStr">
        <is>
          <t>C16-P0032</t>
        </is>
      </c>
      <c r="B1151" s="8" t="inlineStr">
        <is>
          <t>C16</t>
        </is>
      </c>
      <c r="C1151" s="8" t="inlineStr">
        <is>
          <t>Dr Ambedkar Central Sector Scheme of Interest Subsidy on Educational Loans for Overseas Studies for Other Backward Classes (OBCs) and Economically Backward Classes (EBCs)</t>
        </is>
      </c>
      <c r="D1151" s="8" t="inlineStr">
        <is>
          <t>FAQ</t>
        </is>
      </c>
      <c r="E1151" s="8" t="inlineStr"/>
      <c r="F1151" s="8" t="inlineStr">
        <is>
          <t>faqs.en.faqs[2]</t>
        </is>
      </c>
      <c r="G1151" s="8" t="inlineStr">
        <is>
          <t>C16@20261028-ffa365dc</t>
        </is>
      </c>
      <c r="H1151" s="8" t="n">
        <v>1</v>
      </c>
      <c r="I1151" s="8" t="n">
        <v>1</v>
      </c>
      <c r="J1151" s="8" t="inlineStr">
        <is>
          <t>Can students increase the moratorium period if they have valid reasons?
Yes, with approval from the competent authority, students can extend the moratorium period.</t>
        </is>
      </c>
      <c r="K1151" s="8" t="inlineStr">
        <is>
          <t>MS-C16</t>
        </is>
      </c>
      <c r="L1151" s="9" t="n">
        <v>46323</v>
      </c>
      <c r="M1151" s="8" t="inlineStr">
        <is>
          <t>Approved</t>
        </is>
      </c>
      <c r="N1151" s="8" t="inlineStr">
        <is>
          <t>faq</t>
        </is>
      </c>
    </row>
    <row r="1152" ht="82" customHeight="1">
      <c r="A1152" s="4" t="inlineStr">
        <is>
          <t>C16-P0033</t>
        </is>
      </c>
      <c r="B1152" s="4" t="inlineStr">
        <is>
          <t>C16</t>
        </is>
      </c>
      <c r="C1152" s="4" t="inlineStr">
        <is>
          <t>Dr Ambedkar Central Sector Scheme of Interest Subsidy on Educational Loans for Overseas Studies for Other Backward Classes (OBCs) and Economically Backward Classes (EBCs)</t>
        </is>
      </c>
      <c r="D1152" s="4" t="inlineStr">
        <is>
          <t>FAQ</t>
        </is>
      </c>
      <c r="E1152" s="4" t="inlineStr"/>
      <c r="F1152" s="4" t="inlineStr">
        <is>
          <t>faqs.en.faqs[3]</t>
        </is>
      </c>
      <c r="G1152" s="4" t="inlineStr">
        <is>
          <t>C16@20261028-ffa365dc</t>
        </is>
      </c>
      <c r="H1152" s="4" t="n">
        <v>1</v>
      </c>
      <c r="I1152" s="4" t="n">
        <v>1</v>
      </c>
      <c r="J1152" s="4" t="inlineStr">
        <is>
          <t>Is there any central authority that monitors the scheme's performance?
Yes, the Ministry of Social Justice and Empowerment monitors the performance of the scheme.</t>
        </is>
      </c>
      <c r="K1152" s="4" t="inlineStr">
        <is>
          <t>MS-C16</t>
        </is>
      </c>
      <c r="L1152" s="6" t="n">
        <v>46323</v>
      </c>
      <c r="M1152" s="4" t="inlineStr">
        <is>
          <t>Approved</t>
        </is>
      </c>
      <c r="N1152" s="4" t="inlineStr">
        <is>
          <t>faq</t>
        </is>
      </c>
    </row>
    <row r="1153" ht="82" customHeight="1">
      <c r="A1153" s="8" t="inlineStr">
        <is>
          <t>C16-P0034</t>
        </is>
      </c>
      <c r="B1153" s="8" t="inlineStr">
        <is>
          <t>C16</t>
        </is>
      </c>
      <c r="C1153" s="8" t="inlineStr">
        <is>
          <t>Dr Ambedkar Central Sector Scheme of Interest Subsidy on Educational Loans for Overseas Studies for Other Backward Classes (OBCs) and Economically Backward Classes (EBCs)</t>
        </is>
      </c>
      <c r="D1153" s="8" t="inlineStr">
        <is>
          <t>FAQ</t>
        </is>
      </c>
      <c r="E1153" s="8" t="inlineStr"/>
      <c r="F1153" s="8" t="inlineStr">
        <is>
          <t>faqs.en.faqs[4]</t>
        </is>
      </c>
      <c r="G1153" s="8" t="inlineStr">
        <is>
          <t>C16@20261028-ffa365dc</t>
        </is>
      </c>
      <c r="H1153" s="8" t="n">
        <v>1</v>
      </c>
      <c r="I1153" s="8" t="n">
        <v>1</v>
      </c>
      <c r="J1153" s="8" t="inlineStr">
        <is>
          <t>Are candidates from State/UT Lists eligible for the interest subsidy under the scheme?
No, only candidates from the Central List of OBCs are eligible for the interest subsidy.</t>
        </is>
      </c>
      <c r="K1153" s="8" t="inlineStr">
        <is>
          <t>MS-C16</t>
        </is>
      </c>
      <c r="L1153" s="9" t="n">
        <v>46323</v>
      </c>
      <c r="M1153" s="8" t="inlineStr">
        <is>
          <t>Approved</t>
        </is>
      </c>
      <c r="N1153" s="8" t="inlineStr">
        <is>
          <t>faq</t>
        </is>
      </c>
    </row>
    <row r="1154" ht="82" customHeight="1">
      <c r="A1154" s="4" t="inlineStr">
        <is>
          <t>C16-P0035</t>
        </is>
      </c>
      <c r="B1154" s="4" t="inlineStr">
        <is>
          <t>C16</t>
        </is>
      </c>
      <c r="C1154" s="4" t="inlineStr">
        <is>
          <t>Dr Ambedkar Central Sector Scheme of Interest Subsidy on Educational Loans for Overseas Studies for Other Backward Classes (OBCs) and Economically Backward Classes (EBCs)</t>
        </is>
      </c>
      <c r="D1154" s="4" t="inlineStr">
        <is>
          <t>FAQ</t>
        </is>
      </c>
      <c r="E1154" s="4" t="inlineStr"/>
      <c r="F1154" s="4" t="inlineStr">
        <is>
          <t>faqs.en.faqs[5]</t>
        </is>
      </c>
      <c r="G1154" s="4" t="inlineStr">
        <is>
          <t>C16@20261028-ffa365dc</t>
        </is>
      </c>
      <c r="H1154" s="4" t="n">
        <v>1</v>
      </c>
      <c r="I1154" s="4" t="n">
        <v>1</v>
      </c>
      <c r="J1154" s="4" t="inlineStr">
        <is>
          <t>Is there a mechanism for periodic evaluation of the scheme?
Yes, the financial and physical performance of the scheme is periodically evaluated through studies conducted by reputed institutions/agencies.</t>
        </is>
      </c>
      <c r="K1154" s="4" t="inlineStr">
        <is>
          <t>MS-C16</t>
        </is>
      </c>
      <c r="L1154" s="6" t="n">
        <v>46323</v>
      </c>
      <c r="M1154" s="4" t="inlineStr">
        <is>
          <t>Approved</t>
        </is>
      </c>
      <c r="N1154" s="4" t="inlineStr">
        <is>
          <t>faq</t>
        </is>
      </c>
    </row>
    <row r="1155" ht="82" customHeight="1">
      <c r="A1155" s="8" t="inlineStr">
        <is>
          <t>C16-P0036</t>
        </is>
      </c>
      <c r="B1155" s="8" t="inlineStr">
        <is>
          <t>C16</t>
        </is>
      </c>
      <c r="C1155" s="8" t="inlineStr">
        <is>
          <t>Dr Ambedkar Central Sector Scheme of Interest Subsidy on Educational Loans for Overseas Studies for Other Backward Classes (OBCs) and Economically Backward Classes (EBCs)</t>
        </is>
      </c>
      <c r="D1155" s="8" t="inlineStr">
        <is>
          <t>FAQ</t>
        </is>
      </c>
      <c r="E1155" s="8" t="inlineStr"/>
      <c r="F1155" s="8" t="inlineStr">
        <is>
          <t>faqs.en.faqs[6]</t>
        </is>
      </c>
      <c r="G1155" s="8" t="inlineStr">
        <is>
          <t>C16@20261028-ffa365dc</t>
        </is>
      </c>
      <c r="H1155" s="8" t="n">
        <v>1</v>
      </c>
      <c r="I1155" s="8" t="n">
        <v>1</v>
      </c>
      <c r="J1155" s="8" t="inlineStr">
        <is>
          <t>Is there any provision for minor modifications or changes in the scheme?
Yes, minor modifications or changes with no financial implications can be made by the Competent Authority.</t>
        </is>
      </c>
      <c r="K1155" s="8" t="inlineStr">
        <is>
          <t>MS-C16</t>
        </is>
      </c>
      <c r="L1155" s="9" t="n">
        <v>46323</v>
      </c>
      <c r="M1155" s="8" t="inlineStr">
        <is>
          <t>Approved</t>
        </is>
      </c>
      <c r="N1155" s="8" t="inlineStr">
        <is>
          <t>faq</t>
        </is>
      </c>
    </row>
    <row r="1156" ht="82" customHeight="1">
      <c r="A1156" s="4" t="inlineStr">
        <is>
          <t>C16-P0037</t>
        </is>
      </c>
      <c r="B1156" s="4" t="inlineStr">
        <is>
          <t>C16</t>
        </is>
      </c>
      <c r="C1156" s="4" t="inlineStr">
        <is>
          <t>Dr Ambedkar Central Sector Scheme of Interest Subsidy on Educational Loans for Overseas Studies for Other Backward Classes (OBCs) and Economically Backward Classes (EBCs)</t>
        </is>
      </c>
      <c r="D1156" s="4" t="inlineStr">
        <is>
          <t>FAQ</t>
        </is>
      </c>
      <c r="E1156" s="4" t="inlineStr"/>
      <c r="F1156" s="4" t="inlineStr">
        <is>
          <t>faqs.en.faqs[7]</t>
        </is>
      </c>
      <c r="G1156" s="4" t="inlineStr">
        <is>
          <t>C16@20261028-ffa365dc</t>
        </is>
      </c>
      <c r="H1156" s="4" t="n">
        <v>1</v>
      </c>
      <c r="I1156" s="4" t="n">
        <v>1</v>
      </c>
      <c r="J1156" s="4" t="inlineStr">
        <is>
          <t>How is a student's eligibility for the interest subsidy determined if they are employed?
Parental income for eligibility is considered only when the student is unemployed or on sabbatical without receiving a salary.</t>
        </is>
      </c>
      <c r="K1156" s="4" t="inlineStr">
        <is>
          <t>MS-C16</t>
        </is>
      </c>
      <c r="L1156" s="6" t="n">
        <v>46323</v>
      </c>
      <c r="M1156" s="4" t="inlineStr">
        <is>
          <t>Approved</t>
        </is>
      </c>
      <c r="N1156" s="4" t="inlineStr">
        <is>
          <t>faq</t>
        </is>
      </c>
    </row>
    <row r="1157" ht="82" customHeight="1">
      <c r="A1157" s="8" t="inlineStr">
        <is>
          <t>C16-P0038</t>
        </is>
      </c>
      <c r="B1157" s="8" t="inlineStr">
        <is>
          <t>C16</t>
        </is>
      </c>
      <c r="C1157" s="8" t="inlineStr">
        <is>
          <t>Dr Ambedkar Central Sector Scheme of Interest Subsidy on Educational Loans for Overseas Studies for Other Backward Classes (OBCs) and Economically Backward Classes (EBCs)</t>
        </is>
      </c>
      <c r="D1157" s="8" t="inlineStr">
        <is>
          <t>FAQ</t>
        </is>
      </c>
      <c r="E1157" s="8" t="inlineStr"/>
      <c r="F1157" s="8" t="inlineStr">
        <is>
          <t>faqs.en.faqs[8]</t>
        </is>
      </c>
      <c r="G1157" s="8" t="inlineStr">
        <is>
          <t>C16@20261028-ffa365dc</t>
        </is>
      </c>
      <c r="H1157" s="8" t="n">
        <v>1</v>
      </c>
      <c r="I1157" s="8" t="n">
        <v>1</v>
      </c>
      <c r="J1157" s="8" t="inlineStr">
        <is>
          <t>What happens if the student's income increases or decreases after the loan is sanctioned?
The income certificate submitted during the loan application is treated as proof of annual income, and subsequent changes do not affect eligibility.</t>
        </is>
      </c>
      <c r="K1157" s="8" t="inlineStr">
        <is>
          <t>MS-C16</t>
        </is>
      </c>
      <c r="L1157" s="9" t="n">
        <v>46323</v>
      </c>
      <c r="M1157" s="8" t="inlineStr">
        <is>
          <t>Approved</t>
        </is>
      </c>
      <c r="N1157" s="8" t="inlineStr">
        <is>
          <t>faq</t>
        </is>
      </c>
    </row>
    <row r="1158" ht="82" customHeight="1">
      <c r="A1158" s="4" t="inlineStr">
        <is>
          <t>C16-P0039</t>
        </is>
      </c>
      <c r="B1158" s="4" t="inlineStr">
        <is>
          <t>C16</t>
        </is>
      </c>
      <c r="C1158" s="4" t="inlineStr">
        <is>
          <t>Dr Ambedkar Central Sector Scheme of Interest Subsidy on Educational Loans for Overseas Studies for Other Backward Classes (OBCs) and Economically Backward Classes (EBCs)</t>
        </is>
      </c>
      <c r="D1158" s="4" t="inlineStr">
        <is>
          <t>FAQ</t>
        </is>
      </c>
      <c r="E1158" s="4" t="inlineStr"/>
      <c r="F1158" s="4" t="inlineStr">
        <is>
          <t>faqs.en.faqs[9]</t>
        </is>
      </c>
      <c r="G1158" s="4" t="inlineStr">
        <is>
          <t>C16@20261028-ffa365dc</t>
        </is>
      </c>
      <c r="H1158" s="4" t="n">
        <v>1</v>
      </c>
      <c r="I1158" s="4" t="n">
        <v>1</v>
      </c>
      <c r="J1158" s="4" t="inlineStr">
        <is>
          <t>Are there any specific disciplines or fields covered under this scheme?
Yes, various disciplines, including Arts/Humanities/Social Sciences, Engineering, Medical, and more are covered. The list of subjects can be amended from time to time.</t>
        </is>
      </c>
      <c r="K1158" s="4" t="inlineStr">
        <is>
          <t>MS-C16</t>
        </is>
      </c>
      <c r="L1158" s="6" t="n">
        <v>46323</v>
      </c>
      <c r="M1158" s="4" t="inlineStr">
        <is>
          <t>Approved</t>
        </is>
      </c>
      <c r="N1158" s="4" t="inlineStr">
        <is>
          <t>faq</t>
        </is>
      </c>
    </row>
    <row r="1159" ht="82" customHeight="1">
      <c r="A1159" s="8" t="inlineStr">
        <is>
          <t>C16-P0040</t>
        </is>
      </c>
      <c r="B1159" s="8" t="inlineStr">
        <is>
          <t>C16</t>
        </is>
      </c>
      <c r="C1159" s="8" t="inlineStr">
        <is>
          <t>Dr Ambedkar Central Sector Scheme of Interest Subsidy on Educational Loans for Overseas Studies for Other Backward Classes (OBCs) and Economically Backward Classes (EBCs)</t>
        </is>
      </c>
      <c r="D1159" s="8" t="inlineStr">
        <is>
          <t>FAQ</t>
        </is>
      </c>
      <c r="E1159" s="8" t="inlineStr"/>
      <c r="F1159" s="8" t="inlineStr">
        <is>
          <t>faqs.en.faqs[10]</t>
        </is>
      </c>
      <c r="G1159" s="8" t="inlineStr">
        <is>
          <t>C16@20261028-ffa365dc</t>
        </is>
      </c>
      <c r="H1159" s="8" t="n">
        <v>1</v>
      </c>
      <c r="I1159" s="8" t="n">
        <v>1</v>
      </c>
      <c r="J1159" s="8" t="inlineStr">
        <is>
          <t xml:space="preserve"> How can one access the Central List of OBCs to check eligibility?
The Central List (state-wise/UT-wise) of OBCs is available on the National Commission for Backward Classes (NCBC) website (www.ncbc.nic.in).</t>
        </is>
      </c>
      <c r="K1159" s="8" t="inlineStr">
        <is>
          <t>MS-C16</t>
        </is>
      </c>
      <c r="L1159" s="9" t="n">
        <v>46323</v>
      </c>
      <c r="M1159" s="8" t="inlineStr">
        <is>
          <t>Approved</t>
        </is>
      </c>
      <c r="N1159" s="8" t="inlineStr">
        <is>
          <t>faq</t>
        </is>
      </c>
    </row>
    <row r="1160" ht="82" customHeight="1">
      <c r="A1160" s="4" t="inlineStr">
        <is>
          <t>C16-P0041</t>
        </is>
      </c>
      <c r="B1160" s="4" t="inlineStr">
        <is>
          <t>C16</t>
        </is>
      </c>
      <c r="C1160" s="4" t="inlineStr">
        <is>
          <t>Dr Ambedkar Central Sector Scheme of Interest Subsidy on Educational Loans for Overseas Studies for Other Backward Classes (OBCs) and Economically Backward Classes (EBCs)</t>
        </is>
      </c>
      <c r="D1160" s="4" t="inlineStr">
        <is>
          <t>FAQ</t>
        </is>
      </c>
      <c r="E1160" s="4" t="inlineStr"/>
      <c r="F1160" s="4" t="inlineStr">
        <is>
          <t>faqs.en.faqs[11]</t>
        </is>
      </c>
      <c r="G1160" s="4" t="inlineStr">
        <is>
          <t>C16@20261028-ffa365dc</t>
        </is>
      </c>
      <c r="H1160" s="4" t="n">
        <v>1</v>
      </c>
      <c r="I1160" s="4" t="n">
        <v>1</v>
      </c>
      <c r="J1160" s="4" t="inlineStr">
        <is>
          <t>What is the definition of "meritorious students" under this scheme?
Eritorious students are those who have taken admission in accredited Universities/Institutions abroad, subject to other eligibility and conditions. Priority is given to students who completed their qualifying education in a Government University/Institution before taking admission abroad.</t>
        </is>
      </c>
      <c r="K1160" s="4" t="inlineStr">
        <is>
          <t>MS-C16</t>
        </is>
      </c>
      <c r="L1160" s="6" t="n">
        <v>46323</v>
      </c>
      <c r="M1160" s="4" t="inlineStr">
        <is>
          <t>Approved</t>
        </is>
      </c>
      <c r="N1160" s="4" t="inlineStr">
        <is>
          <t>faq</t>
        </is>
      </c>
    </row>
    <row r="1161" ht="82" customHeight="1">
      <c r="A1161" s="8" t="inlineStr">
        <is>
          <t>C16-P0042</t>
        </is>
      </c>
      <c r="B1161" s="8" t="inlineStr">
        <is>
          <t>C16</t>
        </is>
      </c>
      <c r="C1161" s="8" t="inlineStr">
        <is>
          <t>Dr Ambedkar Central Sector Scheme of Interest Subsidy on Educational Loans for Overseas Studies for Other Backward Classes (OBCs) and Economically Backward Classes (EBCs)</t>
        </is>
      </c>
      <c r="D1161" s="8" t="inlineStr">
        <is>
          <t>FAQ</t>
        </is>
      </c>
      <c r="E1161" s="8" t="inlineStr"/>
      <c r="F1161" s="8" t="inlineStr">
        <is>
          <t>faqs.en.faqs[12]</t>
        </is>
      </c>
      <c r="G1161" s="8" t="inlineStr">
        <is>
          <t>C16@20261028-ffa365dc</t>
        </is>
      </c>
      <c r="H1161" s="8" t="n">
        <v>1</v>
      </c>
      <c r="I1161" s="8" t="n">
        <v>1</v>
      </c>
      <c r="J1161" s="8" t="inlineStr">
        <is>
          <t>What is the maximum eligible loan component for interest subsidy?
The maximum eligible loan component is the actual loan taken, subject to a maximum of Rs. 20.00 lakh for the purpose of interest subsidy.</t>
        </is>
      </c>
      <c r="K1161" s="8" t="inlineStr">
        <is>
          <t>MS-C16</t>
        </is>
      </c>
      <c r="L1161" s="9" t="n">
        <v>46323</v>
      </c>
      <c r="M1161" s="8" t="inlineStr">
        <is>
          <t>Approved</t>
        </is>
      </c>
      <c r="N1161" s="8" t="inlineStr">
        <is>
          <t>faq</t>
        </is>
      </c>
    </row>
    <row r="1162" ht="82" customHeight="1">
      <c r="A1162" s="4" t="inlineStr">
        <is>
          <t>C16-P0043</t>
        </is>
      </c>
      <c r="B1162" s="4" t="inlineStr">
        <is>
          <t>C16</t>
        </is>
      </c>
      <c r="C1162" s="4" t="inlineStr">
        <is>
          <t>Dr Ambedkar Central Sector Scheme of Interest Subsidy on Educational Loans for Overseas Studies for Other Backward Classes (OBCs) and Economically Backward Classes (EBCs)</t>
        </is>
      </c>
      <c r="D1162" s="4" t="inlineStr">
        <is>
          <t>FAQ</t>
        </is>
      </c>
      <c r="E1162" s="4" t="inlineStr"/>
      <c r="F1162" s="4" t="inlineStr">
        <is>
          <t>faqs.en.faqs[13]</t>
        </is>
      </c>
      <c r="G1162" s="4" t="inlineStr">
        <is>
          <t>C16@20261028-ffa365dc</t>
        </is>
      </c>
      <c r="H1162" s="4" t="n">
        <v>1</v>
      </c>
      <c r="I1162" s="4" t="n">
        <v>1</v>
      </c>
      <c r="J1162" s="4" t="inlineStr">
        <is>
          <t>Which agency is responsible for implementing this scheme?
The Nodal Bank implements this scheme as per the Memorandum of Understanding (MoU) between the Banks and the Ministry of Social Justice &amp; Empowerment.</t>
        </is>
      </c>
      <c r="K1162" s="4" t="inlineStr">
        <is>
          <t>MS-C16</t>
        </is>
      </c>
      <c r="L1162" s="6" t="n">
        <v>46323</v>
      </c>
      <c r="M1162" s="4" t="inlineStr">
        <is>
          <t>Approved</t>
        </is>
      </c>
      <c r="N1162" s="4" t="inlineStr">
        <is>
          <t>faq</t>
        </is>
      </c>
    </row>
    <row r="1163" ht="82" customHeight="1">
      <c r="A1163" s="8" t="inlineStr">
        <is>
          <t>C17-P0001</t>
        </is>
      </c>
      <c r="B1163" s="8" t="inlineStr">
        <is>
          <t>C17</t>
        </is>
      </c>
      <c r="C1163" s="8" t="inlineStr">
        <is>
          <t>Nikshay Poshan Yojana</t>
        </is>
      </c>
      <c r="D1163" s="8" t="inlineStr">
        <is>
          <t>Details</t>
        </is>
      </c>
      <c r="E1163" s="8" t="inlineStr"/>
      <c r="F1163" s="8" t="inlineStr">
        <is>
          <t>en.schemeContent.detailedDescription[0]</t>
        </is>
      </c>
      <c r="G1163" s="8" t="inlineStr">
        <is>
          <t>C17@20261028-265c1bfa</t>
        </is>
      </c>
      <c r="H1163" s="8" t="n">
        <v>1</v>
      </c>
      <c r="I1163" s="8" t="n">
        <v>1</v>
      </c>
      <c r="J1163" s="8" t="inlineStr">
        <is>
          <t>The "Nikshay Poshan Yojana", launched in 2018 by the Ministry of Health and Family Welfare, provides financial assistance of ₹1,000/- per month to each notified tuberculosis (TB) patient for nutritional support. All TB patients notified on or after 1st April 2018 and registered on the NIKSHAY portal are eligible. The scheme aims to improve treatment outcomes by addressing malnutrition and supporting patients throughout their treatment.</t>
        </is>
      </c>
      <c r="K1163" s="8" t="inlineStr">
        <is>
          <t>MS-C17</t>
        </is>
      </c>
      <c r="L1163" s="9" t="n">
        <v>46323</v>
      </c>
      <c r="M1163" s="8" t="inlineStr">
        <is>
          <t>Approved</t>
        </is>
      </c>
      <c r="N1163" s="8" t="inlineStr">
        <is>
          <t>paragraph</t>
        </is>
      </c>
    </row>
    <row r="1164" ht="40" customHeight="1">
      <c r="A1164" s="4" t="inlineStr">
        <is>
          <t>C17-P0002</t>
        </is>
      </c>
      <c r="B1164" s="4" t="inlineStr">
        <is>
          <t>C17</t>
        </is>
      </c>
      <c r="C1164" s="4" t="inlineStr">
        <is>
          <t>Nikshay Poshan Yojana</t>
        </is>
      </c>
      <c r="D1164" s="4" t="inlineStr">
        <is>
          <t>Benefits</t>
        </is>
      </c>
      <c r="E1164" s="4" t="inlineStr"/>
      <c r="F1164" s="4" t="inlineStr">
        <is>
          <t>en.schemeContent.benefits[0]</t>
        </is>
      </c>
      <c r="G1164" s="4" t="inlineStr">
        <is>
          <t>C17@20261028-265c1bfa</t>
        </is>
      </c>
      <c r="H1164" s="4" t="n">
        <v>1</v>
      </c>
      <c r="I1164" s="4" t="n">
        <v>1</v>
      </c>
      <c r="J1164" s="4" t="inlineStr">
        <is>
          <t>Financial Incentive: An amount of ₹1,000/- per month for each notified TB patient.</t>
        </is>
      </c>
      <c r="K1164" s="4" t="inlineStr">
        <is>
          <t>MS-C17</t>
        </is>
      </c>
      <c r="L1164" s="6" t="n">
        <v>46323</v>
      </c>
      <c r="M1164" s="4" t="inlineStr">
        <is>
          <t>Approved</t>
        </is>
      </c>
      <c r="N1164" s="4" t="inlineStr">
        <is>
          <t>list_item</t>
        </is>
      </c>
    </row>
    <row r="1165" ht="54" customHeight="1">
      <c r="A1165" s="8" t="inlineStr">
        <is>
          <t>C17-P0003</t>
        </is>
      </c>
      <c r="B1165" s="8" t="inlineStr">
        <is>
          <t>C17</t>
        </is>
      </c>
      <c r="C1165" s="8" t="inlineStr">
        <is>
          <t>Nikshay Poshan Yojana</t>
        </is>
      </c>
      <c r="D1165" s="8" t="inlineStr">
        <is>
          <t>Eligibility</t>
        </is>
      </c>
      <c r="E1165" s="8" t="inlineStr"/>
      <c r="F1165" s="8" t="inlineStr">
        <is>
          <t>en.eligibilityCriteria.eligibilityDescription[0].children[0]</t>
        </is>
      </c>
      <c r="G1165" s="8" t="inlineStr">
        <is>
          <t>C17@20261028-265c1bfa</t>
        </is>
      </c>
      <c r="H1165" s="8" t="n">
        <v>1</v>
      </c>
      <c r="I1165" s="8" t="n">
        <v>1</v>
      </c>
      <c r="J1165" s="8" t="inlineStr">
        <is>
          <t>All patients with tuberculosis (TB) who are notified to the government on or after April 1, 2018, including those who are already being treated for TB, are eligible for financial incentives.</t>
        </is>
      </c>
      <c r="K1165" s="8" t="inlineStr">
        <is>
          <t>MS-C17</t>
        </is>
      </c>
      <c r="L1165" s="9" t="n">
        <v>46323</v>
      </c>
      <c r="M1165" s="8" t="inlineStr">
        <is>
          <t>Approved</t>
        </is>
      </c>
      <c r="N1165" s="8" t="inlineStr">
        <is>
          <t>list_item</t>
        </is>
      </c>
    </row>
    <row r="1166" ht="40" customHeight="1">
      <c r="A1166" s="4" t="inlineStr">
        <is>
          <t>C17-P0004</t>
        </is>
      </c>
      <c r="B1166" s="4" t="inlineStr">
        <is>
          <t>C17</t>
        </is>
      </c>
      <c r="C1166" s="4" t="inlineStr">
        <is>
          <t>Nikshay Poshan Yojana</t>
        </is>
      </c>
      <c r="D1166" s="4" t="inlineStr">
        <is>
          <t>Eligibility</t>
        </is>
      </c>
      <c r="E1166" s="4" t="inlineStr"/>
      <c r="F1166" s="4" t="inlineStr">
        <is>
          <t>en.eligibilityCriteria.eligibilityDescription[0].children[1]</t>
        </is>
      </c>
      <c r="G1166" s="4" t="inlineStr">
        <is>
          <t>C17@20261028-265c1bfa</t>
        </is>
      </c>
      <c r="H1166" s="4" t="n">
        <v>1</v>
      </c>
      <c r="I1166" s="4" t="n">
        <v>1</v>
      </c>
      <c r="J1166" s="4" t="inlineStr">
        <is>
          <t>To be eligible for the incentives, patients must be registered or notified on the NIKSHAY portal.</t>
        </is>
      </c>
      <c r="K1166" s="4" t="inlineStr">
        <is>
          <t>MS-C17</t>
        </is>
      </c>
      <c r="L1166" s="6" t="n">
        <v>46323</v>
      </c>
      <c r="M1166" s="4" t="inlineStr">
        <is>
          <t>Approved</t>
        </is>
      </c>
      <c r="N1166" s="4" t="inlineStr">
        <is>
          <t>list_item</t>
        </is>
      </c>
    </row>
    <row r="1167" ht="40" customHeight="1">
      <c r="A1167" s="8" t="inlineStr">
        <is>
          <t>C17-P0005</t>
        </is>
      </c>
      <c r="B1167" s="8" t="inlineStr">
        <is>
          <t>C17</t>
        </is>
      </c>
      <c r="C1167" s="8" t="inlineStr">
        <is>
          <t>Nikshay Poshan Yojana</t>
        </is>
      </c>
      <c r="D1167" s="8" t="inlineStr">
        <is>
          <t>Applicant documents</t>
        </is>
      </c>
      <c r="E1167" s="8" t="inlineStr">
        <is>
          <t>Bank Account Proof</t>
        </is>
      </c>
      <c r="F1167" s="8" t="inlineStr">
        <is>
          <t>documents.en.documents_required[0].children[0]</t>
        </is>
      </c>
      <c r="G1167" s="8" t="inlineStr">
        <is>
          <t>C17@20261028-265c1bfa</t>
        </is>
      </c>
      <c r="H1167" s="8" t="n">
        <v>1</v>
      </c>
      <c r="I1167" s="8" t="n">
        <v>1</v>
      </c>
      <c r="J1167" s="8" t="inlineStr">
        <is>
          <t>Bank Account Proof</t>
        </is>
      </c>
      <c r="K1167" s="8" t="inlineStr">
        <is>
          <t>MS-C17</t>
        </is>
      </c>
      <c r="L1167" s="9" t="n">
        <v>46323</v>
      </c>
      <c r="M1167" s="8" t="inlineStr">
        <is>
          <t>Approved</t>
        </is>
      </c>
      <c r="N1167" s="8" t="inlineStr">
        <is>
          <t>list_item</t>
        </is>
      </c>
    </row>
    <row r="1168" ht="40" customHeight="1">
      <c r="A1168" s="4" t="inlineStr">
        <is>
          <t>C17-P0006</t>
        </is>
      </c>
      <c r="B1168" s="4" t="inlineStr">
        <is>
          <t>C17</t>
        </is>
      </c>
      <c r="C1168" s="4" t="inlineStr">
        <is>
          <t>Nikshay Poshan Yojana</t>
        </is>
      </c>
      <c r="D1168" s="4" t="inlineStr">
        <is>
          <t>Applicant documents</t>
        </is>
      </c>
      <c r="E1168" s="4" t="inlineStr">
        <is>
          <t>Bank Account Proof</t>
        </is>
      </c>
      <c r="F1168" s="4" t="inlineStr">
        <is>
          <t>documents.en.documents_required[1].children[0].children[0]</t>
        </is>
      </c>
      <c r="G1168" s="4" t="inlineStr">
        <is>
          <t>C17@20261028-265c1bfa</t>
        </is>
      </c>
      <c r="H1168" s="4" t="n">
        <v>1</v>
      </c>
      <c r="I1168" s="4" t="n">
        <v>1</v>
      </c>
      <c r="J1168" s="4" t="inlineStr">
        <is>
          <t>Photocopy of bank passbook (showing account holder name, account number, and IFSC)</t>
        </is>
      </c>
      <c r="K1168" s="4" t="inlineStr">
        <is>
          <t>MS-C17</t>
        </is>
      </c>
      <c r="L1168" s="6" t="n">
        <v>46323</v>
      </c>
      <c r="M1168" s="4" t="inlineStr">
        <is>
          <t>Approved</t>
        </is>
      </c>
      <c r="N1168" s="4" t="inlineStr">
        <is>
          <t>list_item</t>
        </is>
      </c>
    </row>
    <row r="1169" ht="40" customHeight="1">
      <c r="A1169" s="8" t="inlineStr">
        <is>
          <t>C17-P0007</t>
        </is>
      </c>
      <c r="B1169" s="8" t="inlineStr">
        <is>
          <t>C17</t>
        </is>
      </c>
      <c r="C1169" s="8" t="inlineStr">
        <is>
          <t>Nikshay Poshan Yojana</t>
        </is>
      </c>
      <c r="D1169" s="8" t="inlineStr">
        <is>
          <t>Applicant documents</t>
        </is>
      </c>
      <c r="E1169" s="8" t="inlineStr">
        <is>
          <t>Bank Account Proof</t>
        </is>
      </c>
      <c r="F1169" s="8" t="inlineStr">
        <is>
          <t>documents.en.documents_required[1].children[0].children[1]</t>
        </is>
      </c>
      <c r="G1169" s="8" t="inlineStr">
        <is>
          <t>C17@20261028-265c1bfa</t>
        </is>
      </c>
      <c r="H1169" s="8" t="n">
        <v>1</v>
      </c>
      <c r="I1169" s="8" t="n">
        <v>1</v>
      </c>
      <c r="J1169" s="8" t="inlineStr">
        <is>
          <t>Cancelled cheque</t>
        </is>
      </c>
      <c r="K1169" s="8" t="inlineStr">
        <is>
          <t>MS-C17</t>
        </is>
      </c>
      <c r="L1169" s="9" t="n">
        <v>46323</v>
      </c>
      <c r="M1169" s="8" t="inlineStr">
        <is>
          <t>Approved</t>
        </is>
      </c>
      <c r="N1169" s="8" t="inlineStr">
        <is>
          <t>list_item</t>
        </is>
      </c>
    </row>
    <row r="1170" ht="40" customHeight="1">
      <c r="A1170" s="4" t="inlineStr">
        <is>
          <t>C17-P0008</t>
        </is>
      </c>
      <c r="B1170" s="4" t="inlineStr">
        <is>
          <t>C17</t>
        </is>
      </c>
      <c r="C1170" s="4" t="inlineStr">
        <is>
          <t>Nikshay Poshan Yojana</t>
        </is>
      </c>
      <c r="D1170" s="4" t="inlineStr">
        <is>
          <t>Applicant documents</t>
        </is>
      </c>
      <c r="E1170" s="4" t="inlineStr">
        <is>
          <t>Bank Account Proof</t>
        </is>
      </c>
      <c r="F1170" s="4" t="inlineStr">
        <is>
          <t>documents.en.documents_required[1].children[0].children[2]</t>
        </is>
      </c>
      <c r="G1170" s="4" t="inlineStr">
        <is>
          <t>C17@20261028-265c1bfa</t>
        </is>
      </c>
      <c r="H1170" s="4" t="n">
        <v>1</v>
      </c>
      <c r="I1170" s="4" t="n">
        <v>1</v>
      </c>
      <c r="J1170" s="4" t="inlineStr">
        <is>
          <t>Recent bank statement.</t>
        </is>
      </c>
      <c r="K1170" s="4" t="inlineStr">
        <is>
          <t>MS-C17</t>
        </is>
      </c>
      <c r="L1170" s="6" t="n">
        <v>46323</v>
      </c>
      <c r="M1170" s="4" t="inlineStr">
        <is>
          <t>Approved</t>
        </is>
      </c>
      <c r="N1170" s="4" t="inlineStr">
        <is>
          <t>list_item</t>
        </is>
      </c>
    </row>
    <row r="1171" ht="40" customHeight="1">
      <c r="A1171" s="8" t="inlineStr">
        <is>
          <t>C17-P0009</t>
        </is>
      </c>
      <c r="B1171" s="8" t="inlineStr">
        <is>
          <t>C17</t>
        </is>
      </c>
      <c r="C1171" s="8" t="inlineStr">
        <is>
          <t>Nikshay Poshan Yojana</t>
        </is>
      </c>
      <c r="D1171" s="8" t="inlineStr">
        <is>
          <t>Applicant documents</t>
        </is>
      </c>
      <c r="E1171" s="8" t="inlineStr">
        <is>
          <t>Bank Account Proof</t>
        </is>
      </c>
      <c r="F1171" s="8" t="inlineStr">
        <is>
          <t>documents.en.documents_required[1].children[0].children[3]</t>
        </is>
      </c>
      <c r="G1171" s="8" t="inlineStr">
        <is>
          <t>C17@20261028-265c1bfa</t>
        </is>
      </c>
      <c r="H1171" s="8" t="n">
        <v>1</v>
      </c>
      <c r="I1171" s="8" t="n">
        <v>1</v>
      </c>
      <c r="J1171" s="8" t="inlineStr">
        <is>
          <t>Note: The account must be a savings bank account, active, and preferably Aadhaar-linked.</t>
        </is>
      </c>
      <c r="K1171" s="8" t="inlineStr">
        <is>
          <t>MS-C17</t>
        </is>
      </c>
      <c r="L1171" s="9" t="n">
        <v>46323</v>
      </c>
      <c r="M1171" s="8" t="inlineStr">
        <is>
          <t>Approved</t>
        </is>
      </c>
      <c r="N1171" s="8" t="inlineStr">
        <is>
          <t>list_item</t>
        </is>
      </c>
    </row>
    <row r="1172" ht="40" customHeight="1">
      <c r="A1172" s="4" t="inlineStr">
        <is>
          <t>C17-P0010</t>
        </is>
      </c>
      <c r="B1172" s="4" t="inlineStr">
        <is>
          <t>C17</t>
        </is>
      </c>
      <c r="C1172" s="4" t="inlineStr">
        <is>
          <t>Nikshay Poshan Yojana</t>
        </is>
      </c>
      <c r="D1172" s="4" t="inlineStr">
        <is>
          <t>Applicant documents</t>
        </is>
      </c>
      <c r="E1172" s="4" t="inlineStr">
        <is>
          <t>Aadhaar Document (Optional but Recommended)</t>
        </is>
      </c>
      <c r="F1172" s="4" t="inlineStr">
        <is>
          <t>documents.en.documents_required[2].children[0]</t>
        </is>
      </c>
      <c r="G1172" s="4" t="inlineStr">
        <is>
          <t>C17@20261028-265c1bfa</t>
        </is>
      </c>
      <c r="H1172" s="4" t="n">
        <v>1</v>
      </c>
      <c r="I1172" s="4" t="n">
        <v>1</v>
      </c>
      <c r="J1172" s="4" t="inlineStr">
        <is>
          <t>Aadhaar Document (Optional but Recommended)</t>
        </is>
      </c>
      <c r="K1172" s="4" t="inlineStr">
        <is>
          <t>MS-C17</t>
        </is>
      </c>
      <c r="L1172" s="6" t="n">
        <v>46323</v>
      </c>
      <c r="M1172" s="4" t="inlineStr">
        <is>
          <t>Approved</t>
        </is>
      </c>
      <c r="N1172" s="4" t="inlineStr">
        <is>
          <t>list_item</t>
        </is>
      </c>
    </row>
    <row r="1173" ht="40" customHeight="1">
      <c r="A1173" s="8" t="inlineStr">
        <is>
          <t>C17-P0011</t>
        </is>
      </c>
      <c r="B1173" s="8" t="inlineStr">
        <is>
          <t>C17</t>
        </is>
      </c>
      <c r="C1173" s="8" t="inlineStr">
        <is>
          <t>Nikshay Poshan Yojana</t>
        </is>
      </c>
      <c r="D1173" s="8" t="inlineStr">
        <is>
          <t>Applicant documents</t>
        </is>
      </c>
      <c r="E1173" s="8" t="inlineStr">
        <is>
          <t>Aadhaar Document (Optional but Recommended)</t>
        </is>
      </c>
      <c r="F1173" s="8" t="inlineStr">
        <is>
          <t>documents.en.documents_required[3].children[0].children[0]</t>
        </is>
      </c>
      <c r="G1173" s="8" t="inlineStr">
        <is>
          <t>C17@20261028-265c1bfa</t>
        </is>
      </c>
      <c r="H1173" s="8" t="n">
        <v>1</v>
      </c>
      <c r="I1173" s="8" t="n">
        <v>1</v>
      </c>
      <c r="J1173" s="8" t="inlineStr">
        <is>
          <t>Copy of Aadhaar Card (if available)</t>
        </is>
      </c>
      <c r="K1173" s="8" t="inlineStr">
        <is>
          <t>MS-C17</t>
        </is>
      </c>
      <c r="L1173" s="9" t="n">
        <v>46323</v>
      </c>
      <c r="M1173" s="8" t="inlineStr">
        <is>
          <t>Approved</t>
        </is>
      </c>
      <c r="N1173" s="8" t="inlineStr">
        <is>
          <t>list_item</t>
        </is>
      </c>
    </row>
    <row r="1174" ht="40" customHeight="1">
      <c r="A1174" s="4" t="inlineStr">
        <is>
          <t>C17-P0012</t>
        </is>
      </c>
      <c r="B1174" s="4" t="inlineStr">
        <is>
          <t>C17</t>
        </is>
      </c>
      <c r="C1174" s="4" t="inlineStr">
        <is>
          <t>Nikshay Poshan Yojana</t>
        </is>
      </c>
      <c r="D1174" s="4" t="inlineStr">
        <is>
          <t>Applicant documents</t>
        </is>
      </c>
      <c r="E1174" s="4" t="inlineStr">
        <is>
          <t>Aadhaar Document (Optional but Recommended)</t>
        </is>
      </c>
      <c r="F1174" s="4" t="inlineStr">
        <is>
          <t>documents.en.documents_required[3].children[0].children[1]</t>
        </is>
      </c>
      <c r="G1174" s="4" t="inlineStr">
        <is>
          <t>C17@20261028-265c1bfa</t>
        </is>
      </c>
      <c r="H1174" s="4" t="n">
        <v>1</v>
      </c>
      <c r="I1174" s="4" t="n">
        <v>1</v>
      </c>
      <c r="J1174" s="4" t="inlineStr">
        <is>
          <t>If Aadhaar is not available, you should:</t>
        </is>
      </c>
      <c r="K1174" s="4" t="inlineStr">
        <is>
          <t>MS-C17</t>
        </is>
      </c>
      <c r="L1174" s="6" t="n">
        <v>46323</v>
      </c>
      <c r="M1174" s="4" t="inlineStr">
        <is>
          <t>Approved</t>
        </is>
      </c>
      <c r="N1174" s="4" t="inlineStr">
        <is>
          <t>list_item</t>
        </is>
      </c>
    </row>
    <row r="1175" ht="40" customHeight="1">
      <c r="A1175" s="8" t="inlineStr">
        <is>
          <t>C17-P0013</t>
        </is>
      </c>
      <c r="B1175" s="8" t="inlineStr">
        <is>
          <t>C17</t>
        </is>
      </c>
      <c r="C1175" s="8" t="inlineStr">
        <is>
          <t>Nikshay Poshan Yojana</t>
        </is>
      </c>
      <c r="D1175" s="8" t="inlineStr">
        <is>
          <t>Applicant documents</t>
        </is>
      </c>
      <c r="E1175" s="8" t="inlineStr">
        <is>
          <t>Aadhaar Document (Optional but Recommended)</t>
        </is>
      </c>
      <c r="F1175" s="8" t="inlineStr">
        <is>
          <t>documents.en.documents_required[3].children[0].children[2]</t>
        </is>
      </c>
      <c r="G1175" s="8" t="inlineStr">
        <is>
          <t>C17@20261028-265c1bfa</t>
        </is>
      </c>
      <c r="H1175" s="8" t="n">
        <v>1</v>
      </c>
      <c r="I1175" s="8" t="n">
        <v>1</v>
      </c>
      <c r="J1175" s="8" t="inlineStr">
        <is>
          <t>Apply for Aadhaar and submit a copy of the acknowledgement receipt</t>
        </is>
      </c>
      <c r="K1175" s="8" t="inlineStr">
        <is>
          <t>MS-C17</t>
        </is>
      </c>
      <c r="L1175" s="9" t="n">
        <v>46323</v>
      </c>
      <c r="M1175" s="8" t="inlineStr">
        <is>
          <t>Approved</t>
        </is>
      </c>
      <c r="N1175" s="8" t="inlineStr">
        <is>
          <t>list_item</t>
        </is>
      </c>
    </row>
    <row r="1176" ht="40" customHeight="1">
      <c r="A1176" s="4" t="inlineStr">
        <is>
          <t>C17-P0014</t>
        </is>
      </c>
      <c r="B1176" s="4" t="inlineStr">
        <is>
          <t>C17</t>
        </is>
      </c>
      <c r="C1176" s="4" t="inlineStr">
        <is>
          <t>Nikshay Poshan Yojana</t>
        </is>
      </c>
      <c r="D1176" s="4" t="inlineStr">
        <is>
          <t>Applicant documents</t>
        </is>
      </c>
      <c r="E1176" s="4" t="inlineStr">
        <is>
          <t>Consent/Declaration Form (Only in specific cases)</t>
        </is>
      </c>
      <c r="F1176" s="4" t="inlineStr">
        <is>
          <t>documents.en.documents_required[4].children[0]</t>
        </is>
      </c>
      <c r="G1176" s="4" t="inlineStr">
        <is>
          <t>C17@20261028-265c1bfa</t>
        </is>
      </c>
      <c r="H1176" s="4" t="n">
        <v>1</v>
      </c>
      <c r="I1176" s="4" t="n">
        <v>1</v>
      </c>
      <c r="J1176" s="4" t="inlineStr">
        <is>
          <t>Consent/Declaration Form (Only in specific cases)</t>
        </is>
      </c>
      <c r="K1176" s="4" t="inlineStr">
        <is>
          <t>MS-C17</t>
        </is>
      </c>
      <c r="L1176" s="6" t="n">
        <v>46323</v>
      </c>
      <c r="M1176" s="4" t="inlineStr">
        <is>
          <t>Approved</t>
        </is>
      </c>
      <c r="N1176" s="4" t="inlineStr">
        <is>
          <t>list_item</t>
        </is>
      </c>
    </row>
    <row r="1177" ht="40" customHeight="1">
      <c r="A1177" s="8" t="inlineStr">
        <is>
          <t>C17-P0015</t>
        </is>
      </c>
      <c r="B1177" s="8" t="inlineStr">
        <is>
          <t>C17</t>
        </is>
      </c>
      <c r="C1177" s="8" t="inlineStr">
        <is>
          <t>Nikshay Poshan Yojana</t>
        </is>
      </c>
      <c r="D1177" s="8" t="inlineStr">
        <is>
          <t>Applicant documents</t>
        </is>
      </c>
      <c r="E1177" s="8" t="inlineStr">
        <is>
          <t>Consent/Declaration Form (Only in specific cases)</t>
        </is>
      </c>
      <c r="F1177" s="8" t="inlineStr">
        <is>
          <t>documents.en.documents_required[5].children[0].children[0]</t>
        </is>
      </c>
      <c r="G1177" s="8" t="inlineStr">
        <is>
          <t>C17@20261028-265c1bfa</t>
        </is>
      </c>
      <c r="H1177" s="8" t="n">
        <v>1</v>
      </c>
      <c r="I1177" s="8" t="n">
        <v>1</v>
      </c>
      <c r="J1177" s="8" t="inlineStr">
        <is>
          <t>If you wish to receive benefits in a family member’s bank account:</t>
        </is>
      </c>
      <c r="K1177" s="8" t="inlineStr">
        <is>
          <t>MS-C17</t>
        </is>
      </c>
      <c r="L1177" s="9" t="n">
        <v>46323</v>
      </c>
      <c r="M1177" s="8" t="inlineStr">
        <is>
          <t>Approved</t>
        </is>
      </c>
      <c r="N1177" s="8" t="inlineStr">
        <is>
          <t>list_item</t>
        </is>
      </c>
    </row>
    <row r="1178" ht="40" customHeight="1">
      <c r="A1178" s="4" t="inlineStr">
        <is>
          <t>C17-P0016</t>
        </is>
      </c>
      <c r="B1178" s="4" t="inlineStr">
        <is>
          <t>C17</t>
        </is>
      </c>
      <c r="C1178" s="4" t="inlineStr">
        <is>
          <t>Nikshay Poshan Yojana</t>
        </is>
      </c>
      <c r="D1178" s="4" t="inlineStr">
        <is>
          <t>Applicant documents</t>
        </is>
      </c>
      <c r="E1178" s="4" t="inlineStr">
        <is>
          <t>Consent/Declaration Form (Only in specific cases)</t>
        </is>
      </c>
      <c r="F1178" s="4" t="inlineStr">
        <is>
          <t>documents.en.documents_required[5].children[0].children[1].children[0].children[0]</t>
        </is>
      </c>
      <c r="G1178" s="4" t="inlineStr">
        <is>
          <t>C17@20261028-265c1bfa</t>
        </is>
      </c>
      <c r="H1178" s="4" t="n">
        <v>1</v>
      </c>
      <c r="I1178" s="4" t="n">
        <v>1</v>
      </c>
      <c r="J1178" s="4" t="inlineStr">
        <is>
          <t>A written consent/authorization form is required (format provided in the annexure of the manual).</t>
        </is>
      </c>
      <c r="K1178" s="4" t="inlineStr">
        <is>
          <t>MS-C17</t>
        </is>
      </c>
      <c r="L1178" s="6" t="n">
        <v>46323</v>
      </c>
      <c r="M1178" s="4" t="inlineStr">
        <is>
          <t>Approved</t>
        </is>
      </c>
      <c r="N1178" s="4" t="inlineStr">
        <is>
          <t>list_item</t>
        </is>
      </c>
    </row>
    <row r="1179" ht="40" customHeight="1">
      <c r="A1179" s="8" t="inlineStr">
        <is>
          <t>C17-P0017</t>
        </is>
      </c>
      <c r="B1179" s="8" t="inlineStr">
        <is>
          <t>C17</t>
        </is>
      </c>
      <c r="C1179" s="8" t="inlineStr">
        <is>
          <t>Nikshay Poshan Yojana</t>
        </is>
      </c>
      <c r="D1179" s="8" t="inlineStr">
        <is>
          <t>Applicant documents</t>
        </is>
      </c>
      <c r="E1179" s="8" t="inlineStr">
        <is>
          <t>Consent/Declaration Form (Only in specific cases)</t>
        </is>
      </c>
      <c r="F1179" s="8" t="inlineStr">
        <is>
          <t>documents.en.documents_required[5].children[0].children[2]</t>
        </is>
      </c>
      <c r="G1179" s="8" t="inlineStr">
        <is>
          <t>C17@20261028-265c1bfa</t>
        </is>
      </c>
      <c r="H1179" s="8" t="n">
        <v>1</v>
      </c>
      <c r="I1179" s="8" t="n">
        <v>1</v>
      </c>
      <c r="J1179" s="8" t="inlineStr">
        <is>
          <t>If you refuse to receive DBT benefits:</t>
        </is>
      </c>
      <c r="K1179" s="8" t="inlineStr">
        <is>
          <t>MS-C17</t>
        </is>
      </c>
      <c r="L1179" s="9" t="n">
        <v>46323</v>
      </c>
      <c r="M1179" s="8" t="inlineStr">
        <is>
          <t>Approved</t>
        </is>
      </c>
      <c r="N1179" s="8" t="inlineStr">
        <is>
          <t>list_item</t>
        </is>
      </c>
    </row>
    <row r="1180" ht="40" customHeight="1">
      <c r="A1180" s="4" t="inlineStr">
        <is>
          <t>C17-P0018</t>
        </is>
      </c>
      <c r="B1180" s="4" t="inlineStr">
        <is>
          <t>C17</t>
        </is>
      </c>
      <c r="C1180" s="4" t="inlineStr">
        <is>
          <t>Nikshay Poshan Yojana</t>
        </is>
      </c>
      <c r="D1180" s="4" t="inlineStr">
        <is>
          <t>Applicant documents</t>
        </is>
      </c>
      <c r="E1180" s="4" t="inlineStr">
        <is>
          <t>Consent/Declaration Form (Only in specific cases)</t>
        </is>
      </c>
      <c r="F1180" s="4" t="inlineStr">
        <is>
          <t>documents.en.documents_required[5].children[0].children[3].children[0].children[0]</t>
        </is>
      </c>
      <c r="G1180" s="4" t="inlineStr">
        <is>
          <t>C17@20261028-265c1bfa</t>
        </is>
      </c>
      <c r="H1180" s="4" t="n">
        <v>1</v>
      </c>
      <c r="I1180" s="4" t="n">
        <v>1</v>
      </c>
      <c r="J1180" s="4" t="inlineStr">
        <is>
          <t>A signed declaration to forego benefits must be submitted.</t>
        </is>
      </c>
      <c r="K1180" s="4" t="inlineStr">
        <is>
          <t>MS-C17</t>
        </is>
      </c>
      <c r="L1180" s="6" t="n">
        <v>46323</v>
      </c>
      <c r="M1180" s="4" t="inlineStr">
        <is>
          <t>Approved</t>
        </is>
      </c>
      <c r="N1180" s="4" t="inlineStr">
        <is>
          <t>list_item</t>
        </is>
      </c>
    </row>
    <row r="1181" ht="40" customHeight="1">
      <c r="A1181" s="8" t="inlineStr">
        <is>
          <t>C17-P0019</t>
        </is>
      </c>
      <c r="B1181" s="8" t="inlineStr">
        <is>
          <t>C17</t>
        </is>
      </c>
      <c r="C1181" s="8" t="inlineStr">
        <is>
          <t>Nikshay Poshan Yojana</t>
        </is>
      </c>
      <c r="D1181" s="8" t="inlineStr">
        <is>
          <t>Application process</t>
        </is>
      </c>
      <c r="E1181" s="8" t="inlineStr"/>
      <c r="F1181" s="8" t="inlineStr">
        <is>
          <t>en.applicationProcess[0].process[0].children[0].children[0]</t>
        </is>
      </c>
      <c r="G1181" s="8" t="inlineStr">
        <is>
          <t>C17@20261028-265c1bfa</t>
        </is>
      </c>
      <c r="H1181" s="8" t="n">
        <v>1</v>
      </c>
      <c r="I1181" s="8" t="n">
        <v>1</v>
      </c>
      <c r="J1181" s="8" t="inlineStr">
        <is>
          <t>Submission of Bank Account Details</t>
        </is>
      </c>
      <c r="K1181" s="8" t="inlineStr">
        <is>
          <t>MS-C17</t>
        </is>
      </c>
      <c r="L1181" s="9" t="n">
        <v>46323</v>
      </c>
      <c r="M1181" s="8" t="inlineStr">
        <is>
          <t>Approved</t>
        </is>
      </c>
      <c r="N1181" s="8" t="inlineStr">
        <is>
          <t>text</t>
        </is>
      </c>
    </row>
    <row r="1182" ht="40" customHeight="1">
      <c r="A1182" s="4" t="inlineStr">
        <is>
          <t>C17-P0020</t>
        </is>
      </c>
      <c r="B1182" s="4" t="inlineStr">
        <is>
          <t>C17</t>
        </is>
      </c>
      <c r="C1182" s="4" t="inlineStr">
        <is>
          <t>Nikshay Poshan Yojana</t>
        </is>
      </c>
      <c r="D1182" s="4" t="inlineStr">
        <is>
          <t>Application process</t>
        </is>
      </c>
      <c r="E1182" s="4" t="inlineStr"/>
      <c r="F1182" s="4" t="inlineStr">
        <is>
          <t>en.applicationProcess[0].process[0].children[1].children[0]</t>
        </is>
      </c>
      <c r="G1182" s="4" t="inlineStr">
        <is>
          <t>C17@20261028-265c1bfa</t>
        </is>
      </c>
      <c r="H1182" s="4" t="n">
        <v>1</v>
      </c>
      <c r="I1182" s="4" t="n">
        <v>1</v>
      </c>
      <c r="J1182" s="4" t="inlineStr">
        <is>
          <t>Patient need to submit his/her Aadhaar-linked savings bank account to TB health provider.</t>
        </is>
      </c>
      <c r="K1182" s="4" t="inlineStr">
        <is>
          <t>MS-C17</t>
        </is>
      </c>
      <c r="L1182" s="6" t="n">
        <v>46323</v>
      </c>
      <c r="M1182" s="4" t="inlineStr">
        <is>
          <t>Approved</t>
        </is>
      </c>
      <c r="N1182" s="4" t="inlineStr">
        <is>
          <t>list_item</t>
        </is>
      </c>
    </row>
    <row r="1183" ht="40" customHeight="1">
      <c r="A1183" s="8" t="inlineStr">
        <is>
          <t>C17-P0021</t>
        </is>
      </c>
      <c r="B1183" s="8" t="inlineStr">
        <is>
          <t>C17</t>
        </is>
      </c>
      <c r="C1183" s="8" t="inlineStr">
        <is>
          <t>Nikshay Poshan Yojana</t>
        </is>
      </c>
      <c r="D1183" s="8" t="inlineStr">
        <is>
          <t>Application process</t>
        </is>
      </c>
      <c r="E1183" s="8" t="inlineStr"/>
      <c r="F1183" s="8" t="inlineStr">
        <is>
          <t>en.applicationProcess[0].process[0].children[1].children[1]</t>
        </is>
      </c>
      <c r="G1183" s="8" t="inlineStr">
        <is>
          <t>C17@20261028-265c1bfa</t>
        </is>
      </c>
      <c r="H1183" s="8" t="n">
        <v>1</v>
      </c>
      <c r="I1183" s="8" t="n">
        <v>1</v>
      </c>
      <c r="J1183" s="8" t="inlineStr">
        <is>
          <t>Supporting documents like a Aadhaar number, passbook, canceled cheque, or bank statement must be collected.</t>
        </is>
      </c>
      <c r="K1183" s="8" t="inlineStr">
        <is>
          <t>MS-C17</t>
        </is>
      </c>
      <c r="L1183" s="9" t="n">
        <v>46323</v>
      </c>
      <c r="M1183" s="8" t="inlineStr">
        <is>
          <t>Approved</t>
        </is>
      </c>
      <c r="N1183" s="8" t="inlineStr">
        <is>
          <t>list_item</t>
        </is>
      </c>
    </row>
    <row r="1184" ht="40" customHeight="1">
      <c r="A1184" s="4" t="inlineStr">
        <is>
          <t>C17-P0022</t>
        </is>
      </c>
      <c r="B1184" s="4" t="inlineStr">
        <is>
          <t>C17</t>
        </is>
      </c>
      <c r="C1184" s="4" t="inlineStr">
        <is>
          <t>Nikshay Poshan Yojana</t>
        </is>
      </c>
      <c r="D1184" s="4" t="inlineStr">
        <is>
          <t>Application process</t>
        </is>
      </c>
      <c r="E1184" s="4" t="inlineStr"/>
      <c r="F1184" s="4" t="inlineStr">
        <is>
          <t>en.applicationProcess[0].process[0].children[1].children[2]</t>
        </is>
      </c>
      <c r="G1184" s="4" t="inlineStr">
        <is>
          <t>C17@20261028-265c1bfa</t>
        </is>
      </c>
      <c r="H1184" s="4" t="n">
        <v>1</v>
      </c>
      <c r="I1184" s="4" t="n">
        <v>1</v>
      </c>
      <c r="J1184" s="4" t="inlineStr">
        <is>
          <t>If Patient don't have a bank account:</t>
        </is>
      </c>
      <c r="K1184" s="4" t="inlineStr">
        <is>
          <t>MS-C17</t>
        </is>
      </c>
      <c r="L1184" s="6" t="n">
        <v>46323</v>
      </c>
      <c r="M1184" s="4" t="inlineStr">
        <is>
          <t>Approved</t>
        </is>
      </c>
      <c r="N1184" s="4" t="inlineStr">
        <is>
          <t>list_item</t>
        </is>
      </c>
    </row>
    <row r="1185" ht="40" customHeight="1">
      <c r="A1185" s="8" t="inlineStr">
        <is>
          <t>C17-P0023</t>
        </is>
      </c>
      <c r="B1185" s="8" t="inlineStr">
        <is>
          <t>C17</t>
        </is>
      </c>
      <c r="C1185" s="8" t="inlineStr">
        <is>
          <t>Nikshay Poshan Yojana</t>
        </is>
      </c>
      <c r="D1185" s="8" t="inlineStr">
        <is>
          <t>Application process</t>
        </is>
      </c>
      <c r="E1185" s="8" t="inlineStr"/>
      <c r="F1185" s="8" t="inlineStr">
        <is>
          <t>en.applicationProcess[0].process[0].children[1].children[3].children[0].children[0]</t>
        </is>
      </c>
      <c r="G1185" s="8" t="inlineStr">
        <is>
          <t>C17@20261028-265c1bfa</t>
        </is>
      </c>
      <c r="H1185" s="8" t="n">
        <v>1</v>
      </c>
      <c r="I1185" s="8" t="n">
        <v>1</v>
      </c>
      <c r="J1185" s="8" t="inlineStr">
        <is>
          <t>Open a new account (e.g., via Jan Dhan Yojana/India Post Payments Bank).</t>
        </is>
      </c>
      <c r="K1185" s="8" t="inlineStr">
        <is>
          <t>MS-C17</t>
        </is>
      </c>
      <c r="L1185" s="9" t="n">
        <v>46323</v>
      </c>
      <c r="M1185" s="8" t="inlineStr">
        <is>
          <t>Approved</t>
        </is>
      </c>
      <c r="N1185" s="8" t="inlineStr">
        <is>
          <t>list_item</t>
        </is>
      </c>
    </row>
    <row r="1186" ht="40" customHeight="1">
      <c r="A1186" s="4" t="inlineStr">
        <is>
          <t>C17-P0024</t>
        </is>
      </c>
      <c r="B1186" s="4" t="inlineStr">
        <is>
          <t>C17</t>
        </is>
      </c>
      <c r="C1186" s="4" t="inlineStr">
        <is>
          <t>Nikshay Poshan Yojana</t>
        </is>
      </c>
      <c r="D1186" s="4" t="inlineStr">
        <is>
          <t>Application process</t>
        </is>
      </c>
      <c r="E1186" s="4" t="inlineStr"/>
      <c r="F1186" s="4" t="inlineStr">
        <is>
          <t>en.applicationProcess[0].process[0].children[1].children[3].children[0].children[1]</t>
        </is>
      </c>
      <c r="G1186" s="4" t="inlineStr">
        <is>
          <t>C17@20261028-265c1bfa</t>
        </is>
      </c>
      <c r="H1186" s="4" t="n">
        <v>1</v>
      </c>
      <c r="I1186" s="4" t="n">
        <v>1</v>
      </c>
      <c r="J1186" s="4" t="inlineStr">
        <is>
          <t>Alternatively, Patient may nominate a family member’s account with a written consent (standard format available in the manual).</t>
        </is>
      </c>
      <c r="K1186" s="4" t="inlineStr">
        <is>
          <t>MS-C17</t>
        </is>
      </c>
      <c r="L1186" s="6" t="n">
        <v>46323</v>
      </c>
      <c r="M1186" s="4" t="inlineStr">
        <is>
          <t>Approved</t>
        </is>
      </c>
      <c r="N1186" s="4" t="inlineStr">
        <is>
          <t>list_item</t>
        </is>
      </c>
    </row>
    <row r="1187" ht="40" customHeight="1">
      <c r="A1187" s="8" t="inlineStr">
        <is>
          <t>C17-P0025</t>
        </is>
      </c>
      <c r="B1187" s="8" t="inlineStr">
        <is>
          <t>C17</t>
        </is>
      </c>
      <c r="C1187" s="8" t="inlineStr">
        <is>
          <t>Nikshay Poshan Yojana</t>
        </is>
      </c>
      <c r="D1187" s="8" t="inlineStr">
        <is>
          <t>Application process</t>
        </is>
      </c>
      <c r="E1187" s="8" t="inlineStr"/>
      <c r="F1187" s="8" t="inlineStr">
        <is>
          <t>en.applicationProcess[0].process[0].children[2].children[0]</t>
        </is>
      </c>
      <c r="G1187" s="8" t="inlineStr">
        <is>
          <t>C17@20261028-265c1bfa</t>
        </is>
      </c>
      <c r="H1187" s="8" t="n">
        <v>1</v>
      </c>
      <c r="I1187" s="8" t="n">
        <v>1</v>
      </c>
      <c r="J1187" s="8" t="inlineStr">
        <is>
          <t>Registration in Nikshay</t>
        </is>
      </c>
      <c r="K1187" s="8" t="inlineStr">
        <is>
          <t>MS-C17</t>
        </is>
      </c>
      <c r="L1187" s="9" t="n">
        <v>46323</v>
      </c>
      <c r="M1187" s="8" t="inlineStr">
        <is>
          <t>Approved</t>
        </is>
      </c>
      <c r="N1187" s="8" t="inlineStr">
        <is>
          <t>text</t>
        </is>
      </c>
    </row>
    <row r="1188" ht="40" customHeight="1">
      <c r="A1188" s="4" t="inlineStr">
        <is>
          <t>C17-P0026</t>
        </is>
      </c>
      <c r="B1188" s="4" t="inlineStr">
        <is>
          <t>C17</t>
        </is>
      </c>
      <c r="C1188" s="4" t="inlineStr">
        <is>
          <t>Nikshay Poshan Yojana</t>
        </is>
      </c>
      <c r="D1188" s="4" t="inlineStr">
        <is>
          <t>Application process</t>
        </is>
      </c>
      <c r="E1188" s="4" t="inlineStr"/>
      <c r="F1188" s="4" t="inlineStr">
        <is>
          <t>en.applicationProcess[0].process[0].children[3].children[0]</t>
        </is>
      </c>
      <c r="G1188" s="4" t="inlineStr">
        <is>
          <t>C17@20261028-265c1bfa</t>
        </is>
      </c>
      <c r="H1188" s="4" t="n">
        <v>1</v>
      </c>
      <c r="I1188" s="4" t="n">
        <v>1</v>
      </c>
      <c r="J1188" s="4" t="inlineStr">
        <is>
          <t>Patient bank details will be entered by the TB health staff into the Nikshay system.</t>
        </is>
      </c>
      <c r="K1188" s="4" t="inlineStr">
        <is>
          <t>MS-C17</t>
        </is>
      </c>
      <c r="L1188" s="6" t="n">
        <v>46323</v>
      </c>
      <c r="M1188" s="4" t="inlineStr">
        <is>
          <t>Approved</t>
        </is>
      </c>
      <c r="N1188" s="4" t="inlineStr">
        <is>
          <t>list_item</t>
        </is>
      </c>
    </row>
    <row r="1189" ht="40" customHeight="1">
      <c r="A1189" s="8" t="inlineStr">
        <is>
          <t>C17-P0027</t>
        </is>
      </c>
      <c r="B1189" s="8" t="inlineStr">
        <is>
          <t>C17</t>
        </is>
      </c>
      <c r="C1189" s="8" t="inlineStr">
        <is>
          <t>Nikshay Poshan Yojana</t>
        </is>
      </c>
      <c r="D1189" s="8" t="inlineStr">
        <is>
          <t>Application process</t>
        </is>
      </c>
      <c r="E1189" s="8" t="inlineStr"/>
      <c r="F1189" s="8" t="inlineStr">
        <is>
          <t>en.applicationProcess[0].process[0].children[3].children[1]</t>
        </is>
      </c>
      <c r="G1189" s="8" t="inlineStr">
        <is>
          <t>C17@20261028-265c1bfa</t>
        </is>
      </c>
      <c r="H1189" s="8" t="n">
        <v>1</v>
      </c>
      <c r="I1189" s="8" t="n">
        <v>1</v>
      </c>
      <c r="J1189" s="8" t="inlineStr">
        <is>
          <t>Ensure Patient account is unique—no two beneficiaries can use the same bank account.</t>
        </is>
      </c>
      <c r="K1189" s="8" t="inlineStr">
        <is>
          <t>MS-C17</t>
        </is>
      </c>
      <c r="L1189" s="9" t="n">
        <v>46323</v>
      </c>
      <c r="M1189" s="8" t="inlineStr">
        <is>
          <t>Approved</t>
        </is>
      </c>
      <c r="N1189" s="8" t="inlineStr">
        <is>
          <t>list_item</t>
        </is>
      </c>
    </row>
    <row r="1190" ht="40" customHeight="1">
      <c r="A1190" s="4" t="inlineStr">
        <is>
          <t>C17-P0028</t>
        </is>
      </c>
      <c r="B1190" s="4" t="inlineStr">
        <is>
          <t>C17</t>
        </is>
      </c>
      <c r="C1190" s="4" t="inlineStr">
        <is>
          <t>Nikshay Poshan Yojana</t>
        </is>
      </c>
      <c r="D1190" s="4" t="inlineStr">
        <is>
          <t>Application process</t>
        </is>
      </c>
      <c r="E1190" s="4" t="inlineStr"/>
      <c r="F1190" s="4" t="inlineStr">
        <is>
          <t>en.applicationProcess[0].process[0].children[3].children[2]</t>
        </is>
      </c>
      <c r="G1190" s="4" t="inlineStr">
        <is>
          <t>C17@20261028-265c1bfa</t>
        </is>
      </c>
      <c r="H1190" s="4" t="n">
        <v>1</v>
      </c>
      <c r="I1190" s="4" t="n">
        <v>1</v>
      </c>
      <c r="J1190" s="4" t="inlineStr">
        <is>
          <t>Nikshay will automatically send the bank details to PFMS for validation.</t>
        </is>
      </c>
      <c r="K1190" s="4" t="inlineStr">
        <is>
          <t>MS-C17</t>
        </is>
      </c>
      <c r="L1190" s="6" t="n">
        <v>46323</v>
      </c>
      <c r="M1190" s="4" t="inlineStr">
        <is>
          <t>Approved</t>
        </is>
      </c>
      <c r="N1190" s="4" t="inlineStr">
        <is>
          <t>list_item</t>
        </is>
      </c>
    </row>
    <row r="1191" ht="40" customHeight="1">
      <c r="A1191" s="8" t="inlineStr">
        <is>
          <t>C17-P0029</t>
        </is>
      </c>
      <c r="B1191" s="8" t="inlineStr">
        <is>
          <t>C17</t>
        </is>
      </c>
      <c r="C1191" s="8" t="inlineStr">
        <is>
          <t>Nikshay Poshan Yojana</t>
        </is>
      </c>
      <c r="D1191" s="8" t="inlineStr">
        <is>
          <t>Application process</t>
        </is>
      </c>
      <c r="E1191" s="8" t="inlineStr"/>
      <c r="F1191" s="8" t="inlineStr">
        <is>
          <t>en.applicationProcess[0].process[0].children[4].children[0]</t>
        </is>
      </c>
      <c r="G1191" s="8" t="inlineStr">
        <is>
          <t>C17@20261028-265c1bfa</t>
        </is>
      </c>
      <c r="H1191" s="8" t="n">
        <v>1</v>
      </c>
      <c r="I1191" s="8" t="n">
        <v>1</v>
      </c>
      <c r="J1191" s="8" t="inlineStr">
        <is>
          <t>Bank Account Validation via PFMS</t>
        </is>
      </c>
      <c r="K1191" s="8" t="inlineStr">
        <is>
          <t>MS-C17</t>
        </is>
      </c>
      <c r="L1191" s="9" t="n">
        <v>46323</v>
      </c>
      <c r="M1191" s="8" t="inlineStr">
        <is>
          <t>Approved</t>
        </is>
      </c>
      <c r="N1191" s="8" t="inlineStr">
        <is>
          <t>text</t>
        </is>
      </c>
    </row>
    <row r="1192" ht="40" customHeight="1">
      <c r="A1192" s="4" t="inlineStr">
        <is>
          <t>C17-P0030</t>
        </is>
      </c>
      <c r="B1192" s="4" t="inlineStr">
        <is>
          <t>C17</t>
        </is>
      </c>
      <c r="C1192" s="4" t="inlineStr">
        <is>
          <t>Nikshay Poshan Yojana</t>
        </is>
      </c>
      <c r="D1192" s="4" t="inlineStr">
        <is>
          <t>Application process</t>
        </is>
      </c>
      <c r="E1192" s="4" t="inlineStr"/>
      <c r="F1192" s="4" t="inlineStr">
        <is>
          <t>en.applicationProcess[0].process[0].children[5].children[0]</t>
        </is>
      </c>
      <c r="G1192" s="4" t="inlineStr">
        <is>
          <t>C17@20261028-265c1bfa</t>
        </is>
      </c>
      <c r="H1192" s="4" t="n">
        <v>1</v>
      </c>
      <c r="I1192" s="4" t="n">
        <v>1</v>
      </c>
      <c r="J1192" s="4" t="inlineStr">
        <is>
          <t>Once validated:</t>
        </is>
      </c>
      <c r="K1192" s="4" t="inlineStr">
        <is>
          <t>MS-C17</t>
        </is>
      </c>
      <c r="L1192" s="6" t="n">
        <v>46323</v>
      </c>
      <c r="M1192" s="4" t="inlineStr">
        <is>
          <t>Approved</t>
        </is>
      </c>
      <c r="N1192" s="4" t="inlineStr">
        <is>
          <t>list_item</t>
        </is>
      </c>
    </row>
    <row r="1193" ht="40" customHeight="1">
      <c r="A1193" s="8" t="inlineStr">
        <is>
          <t>C17-P0031</t>
        </is>
      </c>
      <c r="B1193" s="8" t="inlineStr">
        <is>
          <t>C17</t>
        </is>
      </c>
      <c r="C1193" s="8" t="inlineStr">
        <is>
          <t>Nikshay Poshan Yojana</t>
        </is>
      </c>
      <c r="D1193" s="8" t="inlineStr">
        <is>
          <t>Application process</t>
        </is>
      </c>
      <c r="E1193" s="8" t="inlineStr"/>
      <c r="F1193" s="8" t="inlineStr">
        <is>
          <t>en.applicationProcess[0].process[0].children[5].children[1].children[0].children[0]</t>
        </is>
      </c>
      <c r="G1193" s="8" t="inlineStr">
        <is>
          <t>C17@20261028-265c1bfa</t>
        </is>
      </c>
      <c r="H1193" s="8" t="n">
        <v>1</v>
      </c>
      <c r="I1193" s="8" t="n">
        <v>1</v>
      </c>
      <c r="J1193" s="8" t="inlineStr">
        <is>
          <t>A PFMS Beneficiary ID is assigned.</t>
        </is>
      </c>
      <c r="K1193" s="8" t="inlineStr">
        <is>
          <t>MS-C17</t>
        </is>
      </c>
      <c r="L1193" s="9" t="n">
        <v>46323</v>
      </c>
      <c r="M1193" s="8" t="inlineStr">
        <is>
          <t>Approved</t>
        </is>
      </c>
      <c r="N1193" s="8" t="inlineStr">
        <is>
          <t>list_item</t>
        </is>
      </c>
    </row>
    <row r="1194" ht="40" customHeight="1">
      <c r="A1194" s="4" t="inlineStr">
        <is>
          <t>C17-P0032</t>
        </is>
      </c>
      <c r="B1194" s="4" t="inlineStr">
        <is>
          <t>C17</t>
        </is>
      </c>
      <c r="C1194" s="4" t="inlineStr">
        <is>
          <t>Nikshay Poshan Yojana</t>
        </is>
      </c>
      <c r="D1194" s="4" t="inlineStr">
        <is>
          <t>Application process</t>
        </is>
      </c>
      <c r="E1194" s="4" t="inlineStr"/>
      <c r="F1194" s="4" t="inlineStr">
        <is>
          <t>en.applicationProcess[0].process[0].children[5].children[1].children[0].children[1]</t>
        </is>
      </c>
      <c r="G1194" s="4" t="inlineStr">
        <is>
          <t>C17@20261028-265c1bfa</t>
        </is>
      </c>
      <c r="H1194" s="4" t="n">
        <v>1</v>
      </c>
      <c r="I1194" s="4" t="n">
        <v>1</v>
      </c>
      <c r="J1194" s="4" t="inlineStr">
        <is>
          <t>Patient status in Nikshay changes to “Validated”.</t>
        </is>
      </c>
      <c r="K1194" s="4" t="inlineStr">
        <is>
          <t>MS-C17</t>
        </is>
      </c>
      <c r="L1194" s="6" t="n">
        <v>46323</v>
      </c>
      <c r="M1194" s="4" t="inlineStr">
        <is>
          <t>Approved</t>
        </is>
      </c>
      <c r="N1194" s="4" t="inlineStr">
        <is>
          <t>list_item</t>
        </is>
      </c>
    </row>
    <row r="1195" ht="40" customHeight="1">
      <c r="A1195" s="8" t="inlineStr">
        <is>
          <t>C17-P0033</t>
        </is>
      </c>
      <c r="B1195" s="8" t="inlineStr">
        <is>
          <t>C17</t>
        </is>
      </c>
      <c r="C1195" s="8" t="inlineStr">
        <is>
          <t>Nikshay Poshan Yojana</t>
        </is>
      </c>
      <c r="D1195" s="8" t="inlineStr">
        <is>
          <t>Application process</t>
        </is>
      </c>
      <c r="E1195" s="8" t="inlineStr"/>
      <c r="F1195" s="8" t="inlineStr">
        <is>
          <t>en.applicationProcess[0].process[0].children[5].children[2]</t>
        </is>
      </c>
      <c r="G1195" s="8" t="inlineStr">
        <is>
          <t>C17@20261028-265c1bfa</t>
        </is>
      </c>
      <c r="H1195" s="8" t="n">
        <v>1</v>
      </c>
      <c r="I1195" s="8" t="n">
        <v>1</v>
      </c>
      <c r="J1195" s="8" t="inlineStr">
        <is>
          <t>If rejected:</t>
        </is>
      </c>
      <c r="K1195" s="8" t="inlineStr">
        <is>
          <t>MS-C17</t>
        </is>
      </c>
      <c r="L1195" s="9" t="n">
        <v>46323</v>
      </c>
      <c r="M1195" s="8" t="inlineStr">
        <is>
          <t>Approved</t>
        </is>
      </c>
      <c r="N1195" s="8" t="inlineStr">
        <is>
          <t>list_item</t>
        </is>
      </c>
    </row>
    <row r="1196" ht="40" customHeight="1">
      <c r="A1196" s="4" t="inlineStr">
        <is>
          <t>C17-P0034</t>
        </is>
      </c>
      <c r="B1196" s="4" t="inlineStr">
        <is>
          <t>C17</t>
        </is>
      </c>
      <c r="C1196" s="4" t="inlineStr">
        <is>
          <t>Nikshay Poshan Yojana</t>
        </is>
      </c>
      <c r="D1196" s="4" t="inlineStr">
        <is>
          <t>Application process</t>
        </is>
      </c>
      <c r="E1196" s="4" t="inlineStr"/>
      <c r="F1196" s="4" t="inlineStr">
        <is>
          <t>en.applicationProcess[0].process[0].children[5].children[3].children[0].children[0]</t>
        </is>
      </c>
      <c r="G1196" s="4" t="inlineStr">
        <is>
          <t>C17@20261028-265c1bfa</t>
        </is>
      </c>
      <c r="H1196" s="4" t="n">
        <v>1</v>
      </c>
      <c r="I1196" s="4" t="n">
        <v>1</v>
      </c>
      <c r="J1196" s="4" t="inlineStr">
        <is>
          <t>Patient will receive an SMS asking his/her to contact the health staff to correct the bank details.</t>
        </is>
      </c>
      <c r="K1196" s="4" t="inlineStr">
        <is>
          <t>MS-C17</t>
        </is>
      </c>
      <c r="L1196" s="6" t="n">
        <v>46323</v>
      </c>
      <c r="M1196" s="4" t="inlineStr">
        <is>
          <t>Approved</t>
        </is>
      </c>
      <c r="N1196" s="4" t="inlineStr">
        <is>
          <t>list_item</t>
        </is>
      </c>
    </row>
    <row r="1197" ht="54" customHeight="1">
      <c r="A1197" s="8" t="inlineStr">
        <is>
          <t>C17-P0035</t>
        </is>
      </c>
      <c r="B1197" s="8" t="inlineStr">
        <is>
          <t>C17</t>
        </is>
      </c>
      <c r="C1197" s="8" t="inlineStr">
        <is>
          <t>Nikshay Poshan Yojana</t>
        </is>
      </c>
      <c r="D1197" s="8" t="inlineStr">
        <is>
          <t>FAQ</t>
        </is>
      </c>
      <c r="E1197" s="8" t="inlineStr"/>
      <c r="F1197" s="8" t="inlineStr">
        <is>
          <t>faqs.en.faqs[0]</t>
        </is>
      </c>
      <c r="G1197" s="8" t="inlineStr">
        <is>
          <t>C17@20261028-265c1bfa</t>
        </is>
      </c>
      <c r="H1197" s="8" t="n">
        <v>1</v>
      </c>
      <c r="I1197" s="8" t="n">
        <v>1</v>
      </c>
      <c r="J1197" s="8" t="inlineStr">
        <is>
          <t>Who is eligible to receive the DBT benefit under the Nikshay Poshan Yojana?
Any TB patient notified in the Nikshay portal on or after 1st April 2018, whether treated in the public or private sector, is eligible. Pediatric patients are also eligible.</t>
        </is>
      </c>
      <c r="K1197" s="8" t="inlineStr">
        <is>
          <t>MS-C17</t>
        </is>
      </c>
      <c r="L1197" s="9" t="n">
        <v>46323</v>
      </c>
      <c r="M1197" s="8" t="inlineStr">
        <is>
          <t>Approved</t>
        </is>
      </c>
      <c r="N1197" s="8" t="inlineStr">
        <is>
          <t>faq</t>
        </is>
      </c>
    </row>
    <row r="1198" ht="40" customHeight="1">
      <c r="A1198" s="4" t="inlineStr">
        <is>
          <t>C17-P0036</t>
        </is>
      </c>
      <c r="B1198" s="4" t="inlineStr">
        <is>
          <t>C17</t>
        </is>
      </c>
      <c r="C1198" s="4" t="inlineStr">
        <is>
          <t>Nikshay Poshan Yojana</t>
        </is>
      </c>
      <c r="D1198" s="4" t="inlineStr">
        <is>
          <t>FAQ</t>
        </is>
      </c>
      <c r="E1198" s="4" t="inlineStr"/>
      <c r="F1198" s="4" t="inlineStr">
        <is>
          <t>faqs.en.faqs[1]</t>
        </is>
      </c>
      <c r="G1198" s="4" t="inlineStr">
        <is>
          <t>C17@20261028-265c1bfa</t>
        </is>
      </c>
      <c r="H1198" s="4" t="n">
        <v>1</v>
      </c>
      <c r="I1198" s="4" t="n">
        <v>1</v>
      </c>
      <c r="J1198" s="4" t="inlineStr">
        <is>
          <t>What benefit will I receive under the scheme?
₹1,000 under this scheme.</t>
        </is>
      </c>
      <c r="K1198" s="4" t="inlineStr">
        <is>
          <t>MS-C17</t>
        </is>
      </c>
      <c r="L1198" s="6" t="n">
        <v>46323</v>
      </c>
      <c r="M1198" s="4" t="inlineStr">
        <is>
          <t>Approved</t>
        </is>
      </c>
      <c r="N1198" s="4" t="inlineStr">
        <is>
          <t>faq</t>
        </is>
      </c>
    </row>
    <row r="1199" ht="68" customHeight="1">
      <c r="A1199" s="8" t="inlineStr">
        <is>
          <t>C17-P0037</t>
        </is>
      </c>
      <c r="B1199" s="8" t="inlineStr">
        <is>
          <t>C17</t>
        </is>
      </c>
      <c r="C1199" s="8" t="inlineStr">
        <is>
          <t>Nikshay Poshan Yojana</t>
        </is>
      </c>
      <c r="D1199" s="8" t="inlineStr">
        <is>
          <t>FAQ</t>
        </is>
      </c>
      <c r="E1199" s="8" t="inlineStr"/>
      <c r="F1199" s="8" t="inlineStr">
        <is>
          <t>faqs.en.faqs[2]</t>
        </is>
      </c>
      <c r="G1199" s="8" t="inlineStr">
        <is>
          <t>C17@20261028-265c1bfa</t>
        </is>
      </c>
      <c r="H1199" s="8" t="n">
        <v>1</v>
      </c>
      <c r="I1199" s="8" t="n">
        <v>1</v>
      </c>
      <c r="J1199" s="8" t="inlineStr">
        <is>
          <t>What documents are required to receive the benefit?
A copy of your bank passbook, canceled cheque, or bank statement
Aadhaar card (if available, but not mandatory)
If using a family member’s bank account, a written consent form is required.</t>
        </is>
      </c>
      <c r="K1199" s="8" t="inlineStr">
        <is>
          <t>MS-C17</t>
        </is>
      </c>
      <c r="L1199" s="9" t="n">
        <v>46323</v>
      </c>
      <c r="M1199" s="8" t="inlineStr">
        <is>
          <t>Approved</t>
        </is>
      </c>
      <c r="N1199" s="8" t="inlineStr">
        <is>
          <t>faq</t>
        </is>
      </c>
    </row>
    <row r="1200" ht="54" customHeight="1">
      <c r="A1200" s="4" t="inlineStr">
        <is>
          <t>C17-P0038</t>
        </is>
      </c>
      <c r="B1200" s="4" t="inlineStr">
        <is>
          <t>C17</t>
        </is>
      </c>
      <c r="C1200" s="4" t="inlineStr">
        <is>
          <t>Nikshay Poshan Yojana</t>
        </is>
      </c>
      <c r="D1200" s="4" t="inlineStr">
        <is>
          <t>FAQ</t>
        </is>
      </c>
      <c r="E1200" s="4" t="inlineStr"/>
      <c r="F1200" s="4" t="inlineStr">
        <is>
          <t>faqs.en.faqs[3]</t>
        </is>
      </c>
      <c r="G1200" s="4" t="inlineStr">
        <is>
          <t>C17@20261028-265c1bfa</t>
        </is>
      </c>
      <c r="H1200" s="4" t="n">
        <v>1</v>
      </c>
      <c r="I1200" s="4" t="n">
        <v>1</v>
      </c>
      <c r="J1200" s="4" t="inlineStr">
        <is>
          <t>Can I receive the benefit if I don’t have a bank account?
Yes, but you must open a savings bank account, preferably Aadhaar-linked. Health workers can help you open an account under schemes like Jan Dhan Yojana.</t>
        </is>
      </c>
      <c r="K1200" s="4" t="inlineStr">
        <is>
          <t>MS-C17</t>
        </is>
      </c>
      <c r="L1200" s="6" t="n">
        <v>46323</v>
      </c>
      <c r="M1200" s="4" t="inlineStr">
        <is>
          <t>Approved</t>
        </is>
      </c>
      <c r="N1200" s="4" t="inlineStr">
        <is>
          <t>faq</t>
        </is>
      </c>
    </row>
    <row r="1201" ht="54" customHeight="1">
      <c r="A1201" s="8" t="inlineStr">
        <is>
          <t>C17-P0039</t>
        </is>
      </c>
      <c r="B1201" s="8" t="inlineStr">
        <is>
          <t>C17</t>
        </is>
      </c>
      <c r="C1201" s="8" t="inlineStr">
        <is>
          <t>Nikshay Poshan Yojana</t>
        </is>
      </c>
      <c r="D1201" s="8" t="inlineStr">
        <is>
          <t>FAQ</t>
        </is>
      </c>
      <c r="E1201" s="8" t="inlineStr"/>
      <c r="F1201" s="8" t="inlineStr">
        <is>
          <t>faqs.en.faqs[4]</t>
        </is>
      </c>
      <c r="G1201" s="8" t="inlineStr">
        <is>
          <t>C17@20261028-265c1bfa</t>
        </is>
      </c>
      <c r="H1201" s="8" t="n">
        <v>1</v>
      </c>
      <c r="I1201" s="8" t="n">
        <v>1</v>
      </c>
      <c r="J1201" s="8" t="inlineStr">
        <is>
          <t>How will I receive the payment?
Once your bank account is validated by PFMS (Public Financial Management System), the amount is directly credited to your account. You’ll also get an SMS confirmation.</t>
        </is>
      </c>
      <c r="K1201" s="8" t="inlineStr">
        <is>
          <t>MS-C17</t>
        </is>
      </c>
      <c r="L1201" s="9" t="n">
        <v>46323</v>
      </c>
      <c r="M1201" s="8" t="inlineStr">
        <is>
          <t>Approved</t>
        </is>
      </c>
      <c r="N1201" s="8" t="inlineStr">
        <is>
          <t>faq</t>
        </is>
      </c>
    </row>
    <row r="1202" ht="54" customHeight="1">
      <c r="A1202" s="4" t="inlineStr">
        <is>
          <t>C17-P0040</t>
        </is>
      </c>
      <c r="B1202" s="4" t="inlineStr">
        <is>
          <t>C17</t>
        </is>
      </c>
      <c r="C1202" s="4" t="inlineStr">
        <is>
          <t>Nikshay Poshan Yojana</t>
        </is>
      </c>
      <c r="D1202" s="4" t="inlineStr">
        <is>
          <t>FAQ</t>
        </is>
      </c>
      <c r="E1202" s="4" t="inlineStr"/>
      <c r="F1202" s="4" t="inlineStr">
        <is>
          <t>faqs.en.faqs[5]</t>
        </is>
      </c>
      <c r="G1202" s="4" t="inlineStr">
        <is>
          <t>C17@20261028-265c1bfa</t>
        </is>
      </c>
      <c r="H1202" s="4" t="n">
        <v>1</v>
      </c>
      <c r="I1202" s="4" t="n">
        <v>1</v>
      </c>
      <c r="J1202" s="4" t="inlineStr">
        <is>
          <t>How can I check if my bank details are validated?
Your health provider or treatment supporter can check the validation status in Nikshay. If your account is rejected, they will assist you in correcting it.</t>
        </is>
      </c>
      <c r="K1202" s="4" t="inlineStr">
        <is>
          <t>MS-C17</t>
        </is>
      </c>
      <c r="L1202" s="6" t="n">
        <v>46323</v>
      </c>
      <c r="M1202" s="4" t="inlineStr">
        <is>
          <t>Approved</t>
        </is>
      </c>
      <c r="N1202" s="4" t="inlineStr">
        <is>
          <t>faq</t>
        </is>
      </c>
    </row>
    <row r="1203" ht="54" customHeight="1">
      <c r="A1203" s="8" t="inlineStr">
        <is>
          <t>C17-P0041</t>
        </is>
      </c>
      <c r="B1203" s="8" t="inlineStr">
        <is>
          <t>C17</t>
        </is>
      </c>
      <c r="C1203" s="8" t="inlineStr">
        <is>
          <t>Nikshay Poshan Yojana</t>
        </is>
      </c>
      <c r="D1203" s="8" t="inlineStr">
        <is>
          <t>FAQ</t>
        </is>
      </c>
      <c r="E1203" s="8" t="inlineStr"/>
      <c r="F1203" s="8" t="inlineStr">
        <is>
          <t>faqs.en.faqs[6]</t>
        </is>
      </c>
      <c r="G1203" s="8" t="inlineStr">
        <is>
          <t>C17@20261028-265c1bfa</t>
        </is>
      </c>
      <c r="H1203" s="8" t="n">
        <v>1</v>
      </c>
      <c r="I1203" s="8" t="n">
        <v>1</v>
      </c>
      <c r="J1203" s="8" t="inlineStr">
        <is>
          <t>What happens if I move to another district during treatment?
Your benefits will be transferred to the new district. The current district TB unit will continue processing your payments based on your updated location in Nikshay.</t>
        </is>
      </c>
      <c r="K1203" s="8" t="inlineStr">
        <is>
          <t>MS-C17</t>
        </is>
      </c>
      <c r="L1203" s="9" t="n">
        <v>46323</v>
      </c>
      <c r="M1203" s="8" t="inlineStr">
        <is>
          <t>Approved</t>
        </is>
      </c>
      <c r="N1203" s="8" t="inlineStr">
        <is>
          <t>faq</t>
        </is>
      </c>
    </row>
    <row r="1204" ht="54" customHeight="1">
      <c r="A1204" s="4" t="inlineStr">
        <is>
          <t>C17-P0042</t>
        </is>
      </c>
      <c r="B1204" s="4" t="inlineStr">
        <is>
          <t>C17</t>
        </is>
      </c>
      <c r="C1204" s="4" t="inlineStr">
        <is>
          <t>Nikshay Poshan Yojana</t>
        </is>
      </c>
      <c r="D1204" s="4" t="inlineStr">
        <is>
          <t>FAQ</t>
        </is>
      </c>
      <c r="E1204" s="4" t="inlineStr"/>
      <c r="F1204" s="4" t="inlineStr">
        <is>
          <t>faqs.en.faqs[7]</t>
        </is>
      </c>
      <c r="G1204" s="4" t="inlineStr">
        <is>
          <t>C17@20261028-265c1bfa</t>
        </is>
      </c>
      <c r="H1204" s="4" t="n">
        <v>1</v>
      </c>
      <c r="I1204" s="4" t="n">
        <v>1</v>
      </c>
      <c r="J1204" s="4" t="inlineStr">
        <is>
          <t>Can I opt out of receiving the benefit?
Yes. If you do not wish to receive the DBT benefit, you must submit a written declaration. Your record in Nikshay will be marked as “Forego Benefits.”</t>
        </is>
      </c>
      <c r="K1204" s="4" t="inlineStr">
        <is>
          <t>MS-C17</t>
        </is>
      </c>
      <c r="L1204" s="6" t="n">
        <v>46323</v>
      </c>
      <c r="M1204" s="4" t="inlineStr">
        <is>
          <t>Approved</t>
        </is>
      </c>
      <c r="N1204" s="4" t="inlineStr">
        <is>
          <t>faq</t>
        </is>
      </c>
    </row>
    <row r="1205" ht="68" customHeight="1">
      <c r="A1205" s="8" t="inlineStr">
        <is>
          <t>C17-P0043</t>
        </is>
      </c>
      <c r="B1205" s="8" t="inlineStr">
        <is>
          <t>C17</t>
        </is>
      </c>
      <c r="C1205" s="8" t="inlineStr">
        <is>
          <t>Nikshay Poshan Yojana</t>
        </is>
      </c>
      <c r="D1205" s="8" t="inlineStr">
        <is>
          <t>FAQ</t>
        </is>
      </c>
      <c r="E1205" s="8" t="inlineStr"/>
      <c r="F1205" s="8" t="inlineStr">
        <is>
          <t>faqs.en.faqs[8]</t>
        </is>
      </c>
      <c r="G1205" s="8" t="inlineStr">
        <is>
          <t>C17@20261028-265c1bfa</t>
        </is>
      </c>
      <c r="H1205" s="8" t="n">
        <v>1</v>
      </c>
      <c r="I1205" s="8" t="n">
        <v>1</v>
      </c>
      <c r="J1205" s="8" t="inlineStr">
        <is>
          <t>What should I do if I haven’t received the payment?
Contact your healthcare provider or treatment supporter
Call the national helpline: 1800-11-6666
Check if your bank details are validated and benefit status is approved in Nikshay</t>
        </is>
      </c>
      <c r="K1205" s="8" t="inlineStr">
        <is>
          <t>MS-C17</t>
        </is>
      </c>
      <c r="L1205" s="9" t="n">
        <v>46323</v>
      </c>
      <c r="M1205" s="8" t="inlineStr">
        <is>
          <t>Approved</t>
        </is>
      </c>
      <c r="N1205" s="8" t="inlineStr">
        <is>
          <t>faq</t>
        </is>
      </c>
    </row>
    <row r="1206" ht="166" customHeight="1">
      <c r="A1206" s="4" t="inlineStr">
        <is>
          <t>C18-P0001</t>
        </is>
      </c>
      <c r="B1206" s="4" t="inlineStr">
        <is>
          <t>C18</t>
        </is>
      </c>
      <c r="C1206" s="4" t="inlineStr">
        <is>
          <t>Pradhan Mantri Surakshit Matritva Abhiyan</t>
        </is>
      </c>
      <c r="D1206" s="4" t="inlineStr">
        <is>
          <t>Details</t>
        </is>
      </c>
      <c r="E1206" s="4" t="inlineStr"/>
      <c r="F1206" s="4" t="inlineStr">
        <is>
          <t>en.schemeContent.detailedDescription[0]</t>
        </is>
      </c>
      <c r="G1206" s="4" t="inlineStr">
        <is>
          <t>C18@20261028-4c31c2aa</t>
        </is>
      </c>
      <c r="H1206" s="4" t="n">
        <v>1</v>
      </c>
      <c r="I1206" s="4" t="n">
        <v>2</v>
      </c>
      <c r="J1206" s="4" t="inlineStr">
        <is>
          <t>The scheme "Pradhan Mantri Surakshit Matritva Abhiyan" was launched on 9th June 2016 by the Ministry of Health &amp; Family Welfare, Government of India, aims to provide fixed-day assured, comprehensive and quality antenatal care universally to all pregnant women (in 2nd and 3rd trimester) on the 9th of every month, addressing the critical need for standardized maternal healthcare services and reducing maternal and infant mortality rates across the country. The scheme provides assured, comprehensive and quality antenatal care, free of cost, universally to all pregnant women on the 9th of every month and includes a minimum package of antenatal care services provided by Obstetrics and Gynaecology specialists, Radiologists, and Physicians at government health facilities. The applicant must be a pregnant woman in her 2nd or 3rd trimester of pregnancy and must be willing to visit designated government health facilities on the 9th of every month for antenatal care services. The scheme is</t>
        </is>
      </c>
      <c r="K1206" s="4" t="inlineStr">
        <is>
          <t>MS-C18</t>
        </is>
      </c>
      <c r="L1206" s="6" t="n">
        <v>46323</v>
      </c>
      <c r="M1206" s="4" t="inlineStr">
        <is>
          <t>Approved</t>
        </is>
      </c>
      <c r="N1206" s="4" t="inlineStr">
        <is>
          <t>paragraph</t>
        </is>
      </c>
    </row>
    <row r="1207" ht="68" customHeight="1">
      <c r="A1207" s="8" t="inlineStr">
        <is>
          <t>C18-P0001</t>
        </is>
      </c>
      <c r="B1207" s="8" t="inlineStr">
        <is>
          <t>C18</t>
        </is>
      </c>
      <c r="C1207" s="8" t="inlineStr">
        <is>
          <t>Pradhan Mantri Surakshit Matritva Abhiyan</t>
        </is>
      </c>
      <c r="D1207" s="8" t="inlineStr">
        <is>
          <t>Details</t>
        </is>
      </c>
      <c r="E1207" s="8" t="inlineStr"/>
      <c r="F1207" s="8" t="inlineStr">
        <is>
          <t>en.schemeContent.detailedDescription[0]</t>
        </is>
      </c>
      <c r="G1207" s="8" t="inlineStr">
        <is>
          <t>C18@20261028-4c31c2aa</t>
        </is>
      </c>
      <c r="H1207" s="8" t="n">
        <v>2</v>
      </c>
      <c r="I1207" s="8" t="n">
        <v>2</v>
      </c>
      <c r="J1207" s="8" t="inlineStr">
        <is>
          <t xml:space="preserve"> implemented by the Ministry of Health &amp; Family Welfare, Government of India through National Health Mission at state and district levels and applications for this scheme are accepted both online through the Pradhan Mantri Surakshit Matritva Abhiyan portal and offline at designated government health facilities.</t>
        </is>
      </c>
      <c r="K1207" s="8" t="inlineStr">
        <is>
          <t>MS-C18</t>
        </is>
      </c>
      <c r="L1207" s="9" t="n">
        <v>46323</v>
      </c>
      <c r="M1207" s="8" t="inlineStr">
        <is>
          <t>Approved</t>
        </is>
      </c>
      <c r="N1207" s="8" t="inlineStr">
        <is>
          <t>paragraph</t>
        </is>
      </c>
    </row>
    <row r="1208" ht="40" customHeight="1">
      <c r="A1208" s="4" t="inlineStr">
        <is>
          <t>C18-P0002</t>
        </is>
      </c>
      <c r="B1208" s="4" t="inlineStr">
        <is>
          <t>C18</t>
        </is>
      </c>
      <c r="C1208" s="4" t="inlineStr">
        <is>
          <t>Pradhan Mantri Surakshit Matritva Abhiyan</t>
        </is>
      </c>
      <c r="D1208" s="4" t="inlineStr">
        <is>
          <t>Benefits</t>
        </is>
      </c>
      <c r="E1208" s="4" t="inlineStr"/>
      <c r="F1208" s="4" t="inlineStr">
        <is>
          <t>en.schemeContent.benefits[0].children[0]</t>
        </is>
      </c>
      <c r="G1208" s="4" t="inlineStr">
        <is>
          <t>C18@20261028-4c31c2aa</t>
        </is>
      </c>
      <c r="H1208" s="4" t="n">
        <v>1</v>
      </c>
      <c r="I1208" s="4" t="n">
        <v>1</v>
      </c>
      <c r="J1208" s="4" t="inlineStr">
        <is>
          <t>Medical Services Provided</t>
        </is>
      </c>
      <c r="K1208" s="4" t="inlineStr">
        <is>
          <t>MS-C18</t>
        </is>
      </c>
      <c r="L1208" s="6" t="n">
        <v>46323</v>
      </c>
      <c r="M1208" s="4" t="inlineStr">
        <is>
          <t>Approved</t>
        </is>
      </c>
      <c r="N1208" s="4" t="inlineStr">
        <is>
          <t>text</t>
        </is>
      </c>
    </row>
    <row r="1209" ht="40" customHeight="1">
      <c r="A1209" s="8" t="inlineStr">
        <is>
          <t>C18-P0003</t>
        </is>
      </c>
      <c r="B1209" s="8" t="inlineStr">
        <is>
          <t>C18</t>
        </is>
      </c>
      <c r="C1209" s="8" t="inlineStr">
        <is>
          <t>Pradhan Mantri Surakshit Matritva Abhiyan</t>
        </is>
      </c>
      <c r="D1209" s="8" t="inlineStr">
        <is>
          <t>Benefits</t>
        </is>
      </c>
      <c r="E1209" s="8" t="inlineStr"/>
      <c r="F1209" s="8" t="inlineStr">
        <is>
          <t>en.schemeContent.benefits[1].children[0]</t>
        </is>
      </c>
      <c r="G1209" s="8" t="inlineStr">
        <is>
          <t>C18@20261028-4c31c2aa</t>
        </is>
      </c>
      <c r="H1209" s="8" t="n">
        <v>1</v>
      </c>
      <c r="I1209" s="8" t="n">
        <v>1</v>
      </c>
      <c r="J1209" s="8" t="inlineStr">
        <is>
          <t>Comprehensive Antenatal Care: Special Antenatal Care services provided by Obstetrics and Gynaecology specialists, Radiologists, and Physicians at government health facilities.</t>
        </is>
      </c>
      <c r="K1209" s="8" t="inlineStr">
        <is>
          <t>MS-C18</t>
        </is>
      </c>
      <c r="L1209" s="9" t="n">
        <v>46323</v>
      </c>
      <c r="M1209" s="8" t="inlineStr">
        <is>
          <t>Approved</t>
        </is>
      </c>
      <c r="N1209" s="8" t="inlineStr">
        <is>
          <t>list_item</t>
        </is>
      </c>
    </row>
    <row r="1210" ht="54" customHeight="1">
      <c r="A1210" s="4" t="inlineStr">
        <is>
          <t>C18-P0004</t>
        </is>
      </c>
      <c r="B1210" s="4" t="inlineStr">
        <is>
          <t>C18</t>
        </is>
      </c>
      <c r="C1210" s="4" t="inlineStr">
        <is>
          <t>Pradhan Mantri Surakshit Matritva Abhiyan</t>
        </is>
      </c>
      <c r="D1210" s="4" t="inlineStr">
        <is>
          <t>Benefits</t>
        </is>
      </c>
      <c r="E1210" s="4" t="inlineStr"/>
      <c r="F1210" s="4" t="inlineStr">
        <is>
          <t>en.schemeContent.benefits[1].children[1]</t>
        </is>
      </c>
      <c r="G1210" s="4" t="inlineStr">
        <is>
          <t>C18@20261028-4c31c2aa</t>
        </is>
      </c>
      <c r="H1210" s="4" t="n">
        <v>1</v>
      </c>
      <c r="I1210" s="4" t="n">
        <v>1</v>
      </c>
      <c r="J1210" s="4" t="inlineStr">
        <is>
          <t>Minimum Package of Services: A minimum package of investigations and medicines such as Iron Folic Acid and calcium supplements provided to all pregnant women attending Pradhan Mantri Surakshit Matritva Abhiyan clinics.</t>
        </is>
      </c>
      <c r="K1210" s="4" t="inlineStr">
        <is>
          <t>MS-C18</t>
        </is>
      </c>
      <c r="L1210" s="6" t="n">
        <v>46323</v>
      </c>
      <c r="M1210" s="4" t="inlineStr">
        <is>
          <t>Approved</t>
        </is>
      </c>
      <c r="N1210" s="4" t="inlineStr">
        <is>
          <t>list_item</t>
        </is>
      </c>
    </row>
    <row r="1211" ht="40" customHeight="1">
      <c r="A1211" s="8" t="inlineStr">
        <is>
          <t>C18-P0005</t>
        </is>
      </c>
      <c r="B1211" s="8" t="inlineStr">
        <is>
          <t>C18</t>
        </is>
      </c>
      <c r="C1211" s="8" t="inlineStr">
        <is>
          <t>Pradhan Mantri Surakshit Matritva Abhiyan</t>
        </is>
      </c>
      <c r="D1211" s="8" t="inlineStr">
        <is>
          <t>Benefits</t>
        </is>
      </c>
      <c r="E1211" s="8" t="inlineStr"/>
      <c r="F1211" s="8" t="inlineStr">
        <is>
          <t>en.schemeContent.benefits[1].children[2]</t>
        </is>
      </c>
      <c r="G1211" s="8" t="inlineStr">
        <is>
          <t>C18@20261028-4c31c2aa</t>
        </is>
      </c>
      <c r="H1211" s="8" t="n">
        <v>1</v>
      </c>
      <c r="I1211" s="8" t="n">
        <v>1</v>
      </c>
      <c r="J1211" s="8" t="inlineStr">
        <is>
          <t>High Risk Pregnancy Identification: Identification and follow-up of high risk pregnancies with red stickers added to Mother and Child Protection cards.</t>
        </is>
      </c>
      <c r="K1211" s="8" t="inlineStr">
        <is>
          <t>MS-C18</t>
        </is>
      </c>
      <c r="L1211" s="9" t="n">
        <v>46323</v>
      </c>
      <c r="M1211" s="8" t="inlineStr">
        <is>
          <t>Approved</t>
        </is>
      </c>
      <c r="N1211" s="8" t="inlineStr">
        <is>
          <t>list_item</t>
        </is>
      </c>
    </row>
    <row r="1212" ht="40" customHeight="1">
      <c r="A1212" s="4" t="inlineStr">
        <is>
          <t>C18-P0006</t>
        </is>
      </c>
      <c r="B1212" s="4" t="inlineStr">
        <is>
          <t>C18</t>
        </is>
      </c>
      <c r="C1212" s="4" t="inlineStr">
        <is>
          <t>Pradhan Mantri Surakshit Matritva Abhiyan</t>
        </is>
      </c>
      <c r="D1212" s="4" t="inlineStr">
        <is>
          <t>Benefits</t>
        </is>
      </c>
      <c r="E1212" s="4" t="inlineStr"/>
      <c r="F1212" s="4" t="inlineStr">
        <is>
          <t>en.schemeContent.benefits[1].children[3]</t>
        </is>
      </c>
      <c r="G1212" s="4" t="inlineStr">
        <is>
          <t>C18@20261028-4c31c2aa</t>
        </is>
      </c>
      <c r="H1212" s="4" t="n">
        <v>1</v>
      </c>
      <c r="I1212" s="4" t="n">
        <v>1</v>
      </c>
      <c r="J1212" s="4" t="inlineStr">
        <is>
          <t>Fixed Day Service: Services provided on the 9th of every month at designated facilities.</t>
        </is>
      </c>
      <c r="K1212" s="4" t="inlineStr">
        <is>
          <t>MS-C18</t>
        </is>
      </c>
      <c r="L1212" s="6" t="n">
        <v>46323</v>
      </c>
      <c r="M1212" s="4" t="inlineStr">
        <is>
          <t>Approved</t>
        </is>
      </c>
      <c r="N1212" s="4" t="inlineStr">
        <is>
          <t>list_item</t>
        </is>
      </c>
    </row>
    <row r="1213" ht="40" customHeight="1">
      <c r="A1213" s="8" t="inlineStr">
        <is>
          <t>C18-P0007</t>
        </is>
      </c>
      <c r="B1213" s="8" t="inlineStr">
        <is>
          <t>C18</t>
        </is>
      </c>
      <c r="C1213" s="8" t="inlineStr">
        <is>
          <t>Pradhan Mantri Surakshit Matritva Abhiyan</t>
        </is>
      </c>
      <c r="D1213" s="8" t="inlineStr">
        <is>
          <t>Benefits</t>
        </is>
      </c>
      <c r="E1213" s="8" t="inlineStr"/>
      <c r="F1213" s="8" t="inlineStr">
        <is>
          <t>en.schemeContent.benefits[2].children[0]</t>
        </is>
      </c>
      <c r="G1213" s="8" t="inlineStr">
        <is>
          <t>C18@20261028-4c31c2aa</t>
        </is>
      </c>
      <c r="H1213" s="8" t="n">
        <v>1</v>
      </c>
      <c r="I1213" s="8" t="n">
        <v>1</v>
      </c>
      <c r="J1213" s="8" t="inlineStr">
        <is>
          <t>Service Delivery Mechanism</t>
        </is>
      </c>
      <c r="K1213" s="8" t="inlineStr">
        <is>
          <t>MS-C18</t>
        </is>
      </c>
      <c r="L1213" s="9" t="n">
        <v>46323</v>
      </c>
      <c r="M1213" s="8" t="inlineStr">
        <is>
          <t>Approved</t>
        </is>
      </c>
      <c r="N1213" s="8" t="inlineStr">
        <is>
          <t>text</t>
        </is>
      </c>
    </row>
    <row r="1214" ht="40" customHeight="1">
      <c r="A1214" s="4" t="inlineStr">
        <is>
          <t>C18-P0008</t>
        </is>
      </c>
      <c r="B1214" s="4" t="inlineStr">
        <is>
          <t>C18</t>
        </is>
      </c>
      <c r="C1214" s="4" t="inlineStr">
        <is>
          <t>Pradhan Mantri Surakshit Matritva Abhiyan</t>
        </is>
      </c>
      <c r="D1214" s="4" t="inlineStr">
        <is>
          <t>Benefits</t>
        </is>
      </c>
      <c r="E1214" s="4" t="inlineStr"/>
      <c r="F1214" s="4" t="inlineStr">
        <is>
          <t>en.schemeContent.benefits[3].children[0]</t>
        </is>
      </c>
      <c r="G1214" s="4" t="inlineStr">
        <is>
          <t>C18@20261028-4c31c2aa</t>
        </is>
      </c>
      <c r="H1214" s="4" t="n">
        <v>1</v>
      </c>
      <c r="I1214" s="4" t="n">
        <v>1</v>
      </c>
      <c r="J1214" s="4" t="inlineStr">
        <is>
          <t>Single Window System: Using principles of single window system for providing investigations and medicines.</t>
        </is>
      </c>
      <c r="K1214" s="4" t="inlineStr">
        <is>
          <t>MS-C18</t>
        </is>
      </c>
      <c r="L1214" s="6" t="n">
        <v>46323</v>
      </c>
      <c r="M1214" s="4" t="inlineStr">
        <is>
          <t>Approved</t>
        </is>
      </c>
      <c r="N1214" s="4" t="inlineStr">
        <is>
          <t>list_item</t>
        </is>
      </c>
    </row>
    <row r="1215" ht="40" customHeight="1">
      <c r="A1215" s="8" t="inlineStr">
        <is>
          <t>C18-P0009</t>
        </is>
      </c>
      <c r="B1215" s="8" t="inlineStr">
        <is>
          <t>C18</t>
        </is>
      </c>
      <c r="C1215" s="8" t="inlineStr">
        <is>
          <t>Pradhan Mantri Surakshit Matritva Abhiyan</t>
        </is>
      </c>
      <c r="D1215" s="8" t="inlineStr">
        <is>
          <t>Benefits</t>
        </is>
      </c>
      <c r="E1215" s="8" t="inlineStr"/>
      <c r="F1215" s="8" t="inlineStr">
        <is>
          <t>en.schemeContent.benefits[3].children[1]</t>
        </is>
      </c>
      <c r="G1215" s="8" t="inlineStr">
        <is>
          <t>C18@20261028-4c31c2aa</t>
        </is>
      </c>
      <c r="H1215" s="8" t="n">
        <v>1</v>
      </c>
      <c r="I1215" s="8" t="n">
        <v>1</v>
      </c>
      <c r="J1215" s="8" t="inlineStr">
        <is>
          <t>Mobile Application Support: Mobile and web-based application to help pregnant women find their nearest Pradhan Mantri Surakshit Matritva Abhiyan facility.</t>
        </is>
      </c>
      <c r="K1215" s="8" t="inlineStr">
        <is>
          <t>MS-C18</t>
        </is>
      </c>
      <c r="L1215" s="9" t="n">
        <v>46323</v>
      </c>
      <c r="M1215" s="8" t="inlineStr">
        <is>
          <t>Approved</t>
        </is>
      </c>
      <c r="N1215" s="8" t="inlineStr">
        <is>
          <t>list_item</t>
        </is>
      </c>
    </row>
    <row r="1216" ht="40" customHeight="1">
      <c r="A1216" s="4" t="inlineStr">
        <is>
          <t>C18-P0010</t>
        </is>
      </c>
      <c r="B1216" s="4" t="inlineStr">
        <is>
          <t>C18</t>
        </is>
      </c>
      <c r="C1216" s="4" t="inlineStr">
        <is>
          <t>Pradhan Mantri Surakshit Matritva Abhiyan</t>
        </is>
      </c>
      <c r="D1216" s="4" t="inlineStr">
        <is>
          <t>Benefits</t>
        </is>
      </c>
      <c r="E1216" s="4" t="inlineStr"/>
      <c r="F1216" s="4" t="inlineStr">
        <is>
          <t>en.schemeContent.benefits[3].children[2]</t>
        </is>
      </c>
      <c r="G1216" s="4" t="inlineStr">
        <is>
          <t>C18@20261028-4c31c2aa</t>
        </is>
      </c>
      <c r="H1216" s="4" t="n">
        <v>1</v>
      </c>
      <c r="I1216" s="4" t="n">
        <v>1</v>
      </c>
      <c r="J1216" s="4" t="inlineStr">
        <is>
          <t>Cost: Completely free of cost to all beneficiaries.</t>
        </is>
      </c>
      <c r="K1216" s="4" t="inlineStr">
        <is>
          <t>MS-C18</t>
        </is>
      </c>
      <c r="L1216" s="6" t="n">
        <v>46323</v>
      </c>
      <c r="M1216" s="4" t="inlineStr">
        <is>
          <t>Approved</t>
        </is>
      </c>
      <c r="N1216" s="4" t="inlineStr">
        <is>
          <t>list_item</t>
        </is>
      </c>
    </row>
    <row r="1217" ht="40" customHeight="1">
      <c r="A1217" s="8" t="inlineStr">
        <is>
          <t>C18-P0011</t>
        </is>
      </c>
      <c r="B1217" s="8" t="inlineStr">
        <is>
          <t>C18</t>
        </is>
      </c>
      <c r="C1217" s="8" t="inlineStr">
        <is>
          <t>Pradhan Mantri Surakshit Matritva Abhiyan</t>
        </is>
      </c>
      <c r="D1217" s="8" t="inlineStr">
        <is>
          <t>Benefits</t>
        </is>
      </c>
      <c r="E1217" s="8" t="inlineStr"/>
      <c r="F1217" s="8" t="inlineStr">
        <is>
          <t>en.schemeContent.benefits[4].children[0]</t>
        </is>
      </c>
      <c r="G1217" s="8" t="inlineStr">
        <is>
          <t>C18@20261028-4c31c2aa</t>
        </is>
      </c>
      <c r="H1217" s="8" t="n">
        <v>1</v>
      </c>
      <c r="I1217" s="8" t="n">
        <v>1</v>
      </c>
      <c r="J1217" s="8" t="inlineStr">
        <is>
          <t>Coverage Areas</t>
        </is>
      </c>
      <c r="K1217" s="8" t="inlineStr">
        <is>
          <t>MS-C18</t>
        </is>
      </c>
      <c r="L1217" s="9" t="n">
        <v>46323</v>
      </c>
      <c r="M1217" s="8" t="inlineStr">
        <is>
          <t>Approved</t>
        </is>
      </c>
      <c r="N1217" s="8" t="inlineStr">
        <is>
          <t>text</t>
        </is>
      </c>
    </row>
    <row r="1218" ht="54" customHeight="1">
      <c r="A1218" s="4" t="inlineStr">
        <is>
          <t>C18-P0012</t>
        </is>
      </c>
      <c r="B1218" s="4" t="inlineStr">
        <is>
          <t>C18</t>
        </is>
      </c>
      <c r="C1218" s="4" t="inlineStr">
        <is>
          <t>Pradhan Mantri Surakshit Matritva Abhiyan</t>
        </is>
      </c>
      <c r="D1218" s="4" t="inlineStr">
        <is>
          <t>Benefits</t>
        </is>
      </c>
      <c r="E1218" s="4" t="inlineStr"/>
      <c r="F1218" s="4" t="inlineStr">
        <is>
          <t>en.schemeContent.benefits[5]</t>
        </is>
      </c>
      <c r="G1218" s="4" t="inlineStr">
        <is>
          <t>C18@20261028-4c31c2aa</t>
        </is>
      </c>
      <c r="H1218" s="4" t="n">
        <v>1</v>
      </c>
      <c r="I1218" s="4" t="n">
        <v>1</v>
      </c>
      <c r="J1218" s="4" t="inlineStr">
        <is>
          <t>Facility Types: Services provided at Government health facilities including Primary Health Centres, Community Health Centres, District Hospitals, and urban health facilities in both urban and rural areas.</t>
        </is>
      </c>
      <c r="K1218" s="4" t="inlineStr">
        <is>
          <t>MS-C18</t>
        </is>
      </c>
      <c r="L1218" s="6" t="n">
        <v>46323</v>
      </c>
      <c r="M1218" s="4" t="inlineStr">
        <is>
          <t>Approved</t>
        </is>
      </c>
      <c r="N1218" s="4" t="inlineStr">
        <is>
          <t>paragraph</t>
        </is>
      </c>
    </row>
    <row r="1219" ht="40" customHeight="1">
      <c r="A1219" s="8" t="inlineStr">
        <is>
          <t>C18-P0013</t>
        </is>
      </c>
      <c r="B1219" s="8" t="inlineStr">
        <is>
          <t>C18</t>
        </is>
      </c>
      <c r="C1219" s="8" t="inlineStr">
        <is>
          <t>Pradhan Mantri Surakshit Matritva Abhiyan</t>
        </is>
      </c>
      <c r="D1219" s="8" t="inlineStr">
        <is>
          <t>Benefits</t>
        </is>
      </c>
      <c r="E1219" s="8" t="inlineStr"/>
      <c r="F1219" s="8" t="inlineStr">
        <is>
          <t>en.schemeContent.benefits[6].children[0]</t>
        </is>
      </c>
      <c r="G1219" s="8" t="inlineStr">
        <is>
          <t>C18@20261028-4c31c2aa</t>
        </is>
      </c>
      <c r="H1219" s="8" t="n">
        <v>1</v>
      </c>
      <c r="I1219" s="8" t="n">
        <v>1</v>
      </c>
      <c r="J1219" s="8" t="inlineStr">
        <is>
          <t>Conditions</t>
        </is>
      </c>
      <c r="K1219" s="8" t="inlineStr">
        <is>
          <t>MS-C18</t>
        </is>
      </c>
      <c r="L1219" s="9" t="n">
        <v>46323</v>
      </c>
      <c r="M1219" s="8" t="inlineStr">
        <is>
          <t>Approved</t>
        </is>
      </c>
      <c r="N1219" s="8" t="inlineStr">
        <is>
          <t>text</t>
        </is>
      </c>
    </row>
    <row r="1220" ht="40" customHeight="1">
      <c r="A1220" s="4" t="inlineStr">
        <is>
          <t>C18-P0014</t>
        </is>
      </c>
      <c r="B1220" s="4" t="inlineStr">
        <is>
          <t>C18</t>
        </is>
      </c>
      <c r="C1220" s="4" t="inlineStr">
        <is>
          <t>Pradhan Mantri Surakshit Matritva Abhiyan</t>
        </is>
      </c>
      <c r="D1220" s="4" t="inlineStr">
        <is>
          <t>Benefits</t>
        </is>
      </c>
      <c r="E1220" s="4" t="inlineStr"/>
      <c r="F1220" s="4" t="inlineStr">
        <is>
          <t>en.schemeContent.benefits[7].children[0]</t>
        </is>
      </c>
      <c r="G1220" s="4" t="inlineStr">
        <is>
          <t>C18@20261028-4c31c2aa</t>
        </is>
      </c>
      <c r="H1220" s="4" t="n">
        <v>1</v>
      </c>
      <c r="I1220" s="4" t="n">
        <v>1</v>
      </c>
      <c r="J1220" s="4" t="inlineStr">
        <is>
          <t>Regular attendance on the 9th of every month for antenatal check-ups.</t>
        </is>
      </c>
      <c r="K1220" s="4" t="inlineStr">
        <is>
          <t>MS-C18</t>
        </is>
      </c>
      <c r="L1220" s="6" t="n">
        <v>46323</v>
      </c>
      <c r="M1220" s="4" t="inlineStr">
        <is>
          <t>Approved</t>
        </is>
      </c>
      <c r="N1220" s="4" t="inlineStr">
        <is>
          <t>list_item</t>
        </is>
      </c>
    </row>
    <row r="1221" ht="40" customHeight="1">
      <c r="A1221" s="8" t="inlineStr">
        <is>
          <t>C18-P0015</t>
        </is>
      </c>
      <c r="B1221" s="8" t="inlineStr">
        <is>
          <t>C18</t>
        </is>
      </c>
      <c r="C1221" s="8" t="inlineStr">
        <is>
          <t>Pradhan Mantri Surakshit Matritva Abhiyan</t>
        </is>
      </c>
      <c r="D1221" s="8" t="inlineStr">
        <is>
          <t>Benefits</t>
        </is>
      </c>
      <c r="E1221" s="8" t="inlineStr"/>
      <c r="F1221" s="8" t="inlineStr">
        <is>
          <t>en.schemeContent.benefits[7].children[1]</t>
        </is>
      </c>
      <c r="G1221" s="8" t="inlineStr">
        <is>
          <t>C18@20261028-4c31c2aa</t>
        </is>
      </c>
      <c r="H1221" s="8" t="n">
        <v>1</v>
      </c>
      <c r="I1221" s="8" t="n">
        <v>1</v>
      </c>
      <c r="J1221" s="8" t="inlineStr">
        <is>
          <t>Compliance with medical advice and treatment prescribed by healthcare providers.</t>
        </is>
      </c>
      <c r="K1221" s="8" t="inlineStr">
        <is>
          <t>MS-C18</t>
        </is>
      </c>
      <c r="L1221" s="9" t="n">
        <v>46323</v>
      </c>
      <c r="M1221" s="8" t="inlineStr">
        <is>
          <t>Approved</t>
        </is>
      </c>
      <c r="N1221" s="8" t="inlineStr">
        <is>
          <t>list_item</t>
        </is>
      </c>
    </row>
    <row r="1222" ht="40" customHeight="1">
      <c r="A1222" s="4" t="inlineStr">
        <is>
          <t>C18-P0016</t>
        </is>
      </c>
      <c r="B1222" s="4" t="inlineStr">
        <is>
          <t>C18</t>
        </is>
      </c>
      <c r="C1222" s="4" t="inlineStr">
        <is>
          <t>Pradhan Mantri Surakshit Matritva Abhiyan</t>
        </is>
      </c>
      <c r="D1222" s="4" t="inlineStr">
        <is>
          <t>Benefits</t>
        </is>
      </c>
      <c r="E1222" s="4" t="inlineStr"/>
      <c r="F1222" s="4" t="inlineStr">
        <is>
          <t>en.schemeContent.benefits[7].children[2]</t>
        </is>
      </c>
      <c r="G1222" s="4" t="inlineStr">
        <is>
          <t>C18@20261028-4c31c2aa</t>
        </is>
      </c>
      <c r="H1222" s="4" t="n">
        <v>1</v>
      </c>
      <c r="I1222" s="4" t="n">
        <v>1</v>
      </c>
      <c r="J1222" s="4" t="inlineStr">
        <is>
          <t>Follow-up visits as recommended for high-risk pregnancies.</t>
        </is>
      </c>
      <c r="K1222" s="4" t="inlineStr">
        <is>
          <t>MS-C18</t>
        </is>
      </c>
      <c r="L1222" s="6" t="n">
        <v>46323</v>
      </c>
      <c r="M1222" s="4" t="inlineStr">
        <is>
          <t>Approved</t>
        </is>
      </c>
      <c r="N1222" s="4" t="inlineStr">
        <is>
          <t>list_item</t>
        </is>
      </c>
    </row>
    <row r="1223" ht="40" customHeight="1">
      <c r="A1223" s="8" t="inlineStr">
        <is>
          <t>C18-P0017</t>
        </is>
      </c>
      <c r="B1223" s="8" t="inlineStr">
        <is>
          <t>C18</t>
        </is>
      </c>
      <c r="C1223" s="8" t="inlineStr">
        <is>
          <t>Pradhan Mantri Surakshit Matritva Abhiyan</t>
        </is>
      </c>
      <c r="D1223" s="8" t="inlineStr">
        <is>
          <t>Benefits</t>
        </is>
      </c>
      <c r="E1223" s="8" t="inlineStr"/>
      <c r="F1223" s="8" t="inlineStr">
        <is>
          <t>en.schemeContent.benefits[7].children[3]</t>
        </is>
      </c>
      <c r="G1223" s="8" t="inlineStr">
        <is>
          <t>C18@20261028-4c31c2aa</t>
        </is>
      </c>
      <c r="H1223" s="8" t="n">
        <v>1</v>
      </c>
      <c r="I1223" s="8" t="n">
        <v>1</v>
      </c>
      <c r="J1223" s="8" t="inlineStr">
        <is>
          <t>Carrying Mother and Child Protection card during visits.</t>
        </is>
      </c>
      <c r="K1223" s="8" t="inlineStr">
        <is>
          <t>MS-C18</t>
        </is>
      </c>
      <c r="L1223" s="9" t="n">
        <v>46323</v>
      </c>
      <c r="M1223" s="8" t="inlineStr">
        <is>
          <t>Approved</t>
        </is>
      </c>
      <c r="N1223" s="8" t="inlineStr">
        <is>
          <t>list_item</t>
        </is>
      </c>
    </row>
    <row r="1224" ht="40" customHeight="1">
      <c r="A1224" s="4" t="inlineStr">
        <is>
          <t>C18-P0018</t>
        </is>
      </c>
      <c r="B1224" s="4" t="inlineStr">
        <is>
          <t>C18</t>
        </is>
      </c>
      <c r="C1224" s="4" t="inlineStr">
        <is>
          <t>Pradhan Mantri Surakshit Matritva Abhiyan</t>
        </is>
      </c>
      <c r="D1224" s="4" t="inlineStr">
        <is>
          <t>Eligibility</t>
        </is>
      </c>
      <c r="E1224" s="4" t="inlineStr"/>
      <c r="F1224" s="4" t="inlineStr">
        <is>
          <t>en.eligibilityCriteria.eligibilityDescription[0].children[0]</t>
        </is>
      </c>
      <c r="G1224" s="4" t="inlineStr">
        <is>
          <t>C18@20261028-4c31c2aa</t>
        </is>
      </c>
      <c r="H1224" s="4" t="n">
        <v>1</v>
      </c>
      <c r="I1224" s="4" t="n">
        <v>1</v>
      </c>
      <c r="J1224" s="4" t="inlineStr">
        <is>
          <t>The applicant must be a pregnant woman in her 2nd or 3rd trimester of pregnancy.</t>
        </is>
      </c>
      <c r="K1224" s="4" t="inlineStr">
        <is>
          <t>MS-C18</t>
        </is>
      </c>
      <c r="L1224" s="6" t="n">
        <v>46323</v>
      </c>
      <c r="M1224" s="4" t="inlineStr">
        <is>
          <t>Approved</t>
        </is>
      </c>
      <c r="N1224" s="4" t="inlineStr">
        <is>
          <t>list_item</t>
        </is>
      </c>
    </row>
    <row r="1225" ht="40" customHeight="1">
      <c r="A1225" s="8" t="inlineStr">
        <is>
          <t>C18-P0019</t>
        </is>
      </c>
      <c r="B1225" s="8" t="inlineStr">
        <is>
          <t>C18</t>
        </is>
      </c>
      <c r="C1225" s="8" t="inlineStr">
        <is>
          <t>Pradhan Mantri Surakshit Matritva Abhiyan</t>
        </is>
      </c>
      <c r="D1225" s="8" t="inlineStr">
        <is>
          <t>Eligibility</t>
        </is>
      </c>
      <c r="E1225" s="8" t="inlineStr"/>
      <c r="F1225" s="8" t="inlineStr">
        <is>
          <t>en.eligibilityCriteria.eligibilityDescription[0].children[1]</t>
        </is>
      </c>
      <c r="G1225" s="8" t="inlineStr">
        <is>
          <t>C18@20261028-4c31c2aa</t>
        </is>
      </c>
      <c r="H1225" s="8" t="n">
        <v>1</v>
      </c>
      <c r="I1225" s="8" t="n">
        <v>1</v>
      </c>
      <c r="J1225" s="8" t="inlineStr">
        <is>
          <t>The applicant must be an Indian citizen residing in India.</t>
        </is>
      </c>
      <c r="K1225" s="8" t="inlineStr">
        <is>
          <t>MS-C18</t>
        </is>
      </c>
      <c r="L1225" s="9" t="n">
        <v>46323</v>
      </c>
      <c r="M1225" s="8" t="inlineStr">
        <is>
          <t>Approved</t>
        </is>
      </c>
      <c r="N1225" s="8" t="inlineStr">
        <is>
          <t>list_item</t>
        </is>
      </c>
    </row>
    <row r="1226" ht="40" customHeight="1">
      <c r="A1226" s="4" t="inlineStr">
        <is>
          <t>C18-P0020</t>
        </is>
      </c>
      <c r="B1226" s="4" t="inlineStr">
        <is>
          <t>C18</t>
        </is>
      </c>
      <c r="C1226" s="4" t="inlineStr">
        <is>
          <t>Pradhan Mantri Surakshit Matritva Abhiyan</t>
        </is>
      </c>
      <c r="D1226" s="4" t="inlineStr">
        <is>
          <t>Eligibility</t>
        </is>
      </c>
      <c r="E1226" s="4" t="inlineStr"/>
      <c r="F1226" s="4" t="inlineStr">
        <is>
          <t>en.eligibilityCriteria.eligibilityDescription[0].children[2]</t>
        </is>
      </c>
      <c r="G1226" s="4" t="inlineStr">
        <is>
          <t>C18@20261028-4c31c2aa</t>
        </is>
      </c>
      <c r="H1226" s="4" t="n">
        <v>1</v>
      </c>
      <c r="I1226" s="4" t="n">
        <v>1</v>
      </c>
      <c r="J1226" s="4" t="inlineStr">
        <is>
          <t>The applicant must be willing to visit designated government health facilities on the 9th of every month.</t>
        </is>
      </c>
      <c r="K1226" s="4" t="inlineStr">
        <is>
          <t>MS-C18</t>
        </is>
      </c>
      <c r="L1226" s="6" t="n">
        <v>46323</v>
      </c>
      <c r="M1226" s="4" t="inlineStr">
        <is>
          <t>Approved</t>
        </is>
      </c>
      <c r="N1226" s="4" t="inlineStr">
        <is>
          <t>list_item</t>
        </is>
      </c>
    </row>
    <row r="1227" ht="40" customHeight="1">
      <c r="A1227" s="8" t="inlineStr">
        <is>
          <t>C18-P0021</t>
        </is>
      </c>
      <c r="B1227" s="8" t="inlineStr">
        <is>
          <t>C18</t>
        </is>
      </c>
      <c r="C1227" s="8" t="inlineStr">
        <is>
          <t>Pradhan Mantri Surakshit Matritva Abhiyan</t>
        </is>
      </c>
      <c r="D1227" s="8" t="inlineStr">
        <is>
          <t>Eligibility</t>
        </is>
      </c>
      <c r="E1227" s="8" t="inlineStr"/>
      <c r="F1227" s="8" t="inlineStr">
        <is>
          <t>en.eligibilityCriteria.eligibilityDescription[1].children[0]</t>
        </is>
      </c>
      <c r="G1227" s="8" t="inlineStr">
        <is>
          <t>C18@20261028-4c31c2aa</t>
        </is>
      </c>
      <c r="H1227" s="8" t="n">
        <v>1</v>
      </c>
      <c r="I1227" s="8" t="n">
        <v>1</v>
      </c>
      <c r="J1227" s="8" t="inlineStr">
        <is>
          <t>Trimester Specific Criteria</t>
        </is>
      </c>
      <c r="K1227" s="8" t="inlineStr">
        <is>
          <t>MS-C18</t>
        </is>
      </c>
      <c r="L1227" s="9" t="n">
        <v>46323</v>
      </c>
      <c r="M1227" s="8" t="inlineStr">
        <is>
          <t>Approved</t>
        </is>
      </c>
      <c r="N1227" s="8" t="inlineStr">
        <is>
          <t>text</t>
        </is>
      </c>
    </row>
    <row r="1228" ht="40" customHeight="1">
      <c r="A1228" s="4" t="inlineStr">
        <is>
          <t>C18-P0022</t>
        </is>
      </c>
      <c r="B1228" s="4" t="inlineStr">
        <is>
          <t>C18</t>
        </is>
      </c>
      <c r="C1228" s="4" t="inlineStr">
        <is>
          <t>Pradhan Mantri Surakshit Matritva Abhiyan</t>
        </is>
      </c>
      <c r="D1228" s="4" t="inlineStr">
        <is>
          <t>Eligibility</t>
        </is>
      </c>
      <c r="E1228" s="4" t="inlineStr"/>
      <c r="F1228" s="4" t="inlineStr">
        <is>
          <t>en.eligibilityCriteria.eligibilityDescription[2].children[0]</t>
        </is>
      </c>
      <c r="G1228" s="4" t="inlineStr">
        <is>
          <t>C18@20261028-4c31c2aa</t>
        </is>
      </c>
      <c r="H1228" s="4" t="n">
        <v>1</v>
      </c>
      <c r="I1228" s="4" t="n">
        <v>1</v>
      </c>
      <c r="J1228" s="4" t="inlineStr">
        <is>
          <t>The applicant must have completed the first trimester of pregnancy (beyond 12 weeks of gestation).</t>
        </is>
      </c>
      <c r="K1228" s="4" t="inlineStr">
        <is>
          <t>MS-C18</t>
        </is>
      </c>
      <c r="L1228" s="6" t="n">
        <v>46323</v>
      </c>
      <c r="M1228" s="4" t="inlineStr">
        <is>
          <t>Approved</t>
        </is>
      </c>
      <c r="N1228" s="4" t="inlineStr">
        <is>
          <t>list_item</t>
        </is>
      </c>
    </row>
    <row r="1229" ht="40" customHeight="1">
      <c r="A1229" s="8" t="inlineStr">
        <is>
          <t>C18-P0023</t>
        </is>
      </c>
      <c r="B1229" s="8" t="inlineStr">
        <is>
          <t>C18</t>
        </is>
      </c>
      <c r="C1229" s="8" t="inlineStr">
        <is>
          <t>Pradhan Mantri Surakshit Matritva Abhiyan</t>
        </is>
      </c>
      <c r="D1229" s="8" t="inlineStr">
        <is>
          <t>Eligibility</t>
        </is>
      </c>
      <c r="E1229" s="8" t="inlineStr"/>
      <c r="F1229" s="8" t="inlineStr">
        <is>
          <t>en.eligibilityCriteria.eligibilityDescription[2].children[1]</t>
        </is>
      </c>
      <c r="G1229" s="8" t="inlineStr">
        <is>
          <t>C18@20261028-4c31c2aa</t>
        </is>
      </c>
      <c r="H1229" s="8" t="n">
        <v>1</v>
      </c>
      <c r="I1229" s="8" t="n">
        <v>1</v>
      </c>
      <c r="J1229" s="8" t="inlineStr">
        <is>
          <t>The applicant must be in 2nd trimester (13-28 weeks) or 3rd trimester (29-40 weeks) of pregnancy.</t>
        </is>
      </c>
      <c r="K1229" s="8" t="inlineStr">
        <is>
          <t>MS-C18</t>
        </is>
      </c>
      <c r="L1229" s="9" t="n">
        <v>46323</v>
      </c>
      <c r="M1229" s="8" t="inlineStr">
        <is>
          <t>Approved</t>
        </is>
      </c>
      <c r="N1229" s="8" t="inlineStr">
        <is>
          <t>list_item</t>
        </is>
      </c>
    </row>
    <row r="1230" ht="40" customHeight="1">
      <c r="A1230" s="4" t="inlineStr">
        <is>
          <t>C18-P0024</t>
        </is>
      </c>
      <c r="B1230" s="4" t="inlineStr">
        <is>
          <t>C18</t>
        </is>
      </c>
      <c r="C1230" s="4" t="inlineStr">
        <is>
          <t>Pradhan Mantri Surakshit Matritva Abhiyan</t>
        </is>
      </c>
      <c r="D1230" s="4" t="inlineStr">
        <is>
          <t>Eligibility</t>
        </is>
      </c>
      <c r="E1230" s="4" t="inlineStr"/>
      <c r="F1230" s="4" t="inlineStr">
        <is>
          <t>en.eligibilityCriteria.eligibilityDescription[3].children[0]</t>
        </is>
      </c>
      <c r="G1230" s="4" t="inlineStr">
        <is>
          <t>C18@20261028-4c31c2aa</t>
        </is>
      </c>
      <c r="H1230" s="4" t="n">
        <v>1</v>
      </c>
      <c r="I1230" s="4" t="n">
        <v>1</v>
      </c>
      <c r="J1230" s="4" t="inlineStr">
        <is>
          <t>Special Categories</t>
        </is>
      </c>
      <c r="K1230" s="4" t="inlineStr">
        <is>
          <t>MS-C18</t>
        </is>
      </c>
      <c r="L1230" s="6" t="n">
        <v>46323</v>
      </c>
      <c r="M1230" s="4" t="inlineStr">
        <is>
          <t>Approved</t>
        </is>
      </c>
      <c r="N1230" s="4" t="inlineStr">
        <is>
          <t>text</t>
        </is>
      </c>
    </row>
    <row r="1231" ht="40" customHeight="1">
      <c r="A1231" s="8" t="inlineStr">
        <is>
          <t>C18-P0025</t>
        </is>
      </c>
      <c r="B1231" s="8" t="inlineStr">
        <is>
          <t>C18</t>
        </is>
      </c>
      <c r="C1231" s="8" t="inlineStr">
        <is>
          <t>Pradhan Mantri Surakshit Matritva Abhiyan</t>
        </is>
      </c>
      <c r="D1231" s="8" t="inlineStr">
        <is>
          <t>Eligibility</t>
        </is>
      </c>
      <c r="E1231" s="8" t="inlineStr"/>
      <c r="F1231" s="8" t="inlineStr">
        <is>
          <t>en.eligibilityCriteria.eligibilityDescription[4].children[0]</t>
        </is>
      </c>
      <c r="G1231" s="8" t="inlineStr">
        <is>
          <t>C18@20261028-4c31c2aa</t>
        </is>
      </c>
      <c r="H1231" s="8" t="n">
        <v>1</v>
      </c>
      <c r="I1231" s="8" t="n">
        <v>1</v>
      </c>
      <c r="J1231" s="8" t="inlineStr">
        <is>
          <t>The applicant identified as high-risk pregnancy cases receive priority attention and follow-up care.</t>
        </is>
      </c>
      <c r="K1231" s="8" t="inlineStr">
        <is>
          <t>MS-C18</t>
        </is>
      </c>
      <c r="L1231" s="9" t="n">
        <v>46323</v>
      </c>
      <c r="M1231" s="8" t="inlineStr">
        <is>
          <t>Approved</t>
        </is>
      </c>
      <c r="N1231" s="8" t="inlineStr">
        <is>
          <t>list_item</t>
        </is>
      </c>
    </row>
    <row r="1232" ht="40" customHeight="1">
      <c r="A1232" s="4" t="inlineStr">
        <is>
          <t>C18-P0026</t>
        </is>
      </c>
      <c r="B1232" s="4" t="inlineStr">
        <is>
          <t>C18</t>
        </is>
      </c>
      <c r="C1232" s="4" t="inlineStr">
        <is>
          <t>Pradhan Mantri Surakshit Matritva Abhiyan</t>
        </is>
      </c>
      <c r="D1232" s="4" t="inlineStr">
        <is>
          <t>Eligibility</t>
        </is>
      </c>
      <c r="E1232" s="4" t="inlineStr"/>
      <c r="F1232" s="4" t="inlineStr">
        <is>
          <t>en.eligibilityCriteria.eligibilityDescription[4].children[1]</t>
        </is>
      </c>
      <c r="G1232" s="4" t="inlineStr">
        <is>
          <t>C18@20261028-4c31c2aa</t>
        </is>
      </c>
      <c r="H1232" s="4" t="n">
        <v>1</v>
      </c>
      <c r="I1232" s="4" t="n">
        <v>1</v>
      </c>
      <c r="J1232" s="4" t="inlineStr">
        <is>
          <t>The applicant who are dropouts from regular antenatal care services are encouraged to participate.</t>
        </is>
      </c>
      <c r="K1232" s="4" t="inlineStr">
        <is>
          <t>MS-C18</t>
        </is>
      </c>
      <c r="L1232" s="6" t="n">
        <v>46323</v>
      </c>
      <c r="M1232" s="4" t="inlineStr">
        <is>
          <t>Approved</t>
        </is>
      </c>
      <c r="N1232" s="4" t="inlineStr">
        <is>
          <t>list_item</t>
        </is>
      </c>
    </row>
    <row r="1233" ht="40" customHeight="1">
      <c r="A1233" s="8" t="inlineStr">
        <is>
          <t>C18-P0027</t>
        </is>
      </c>
      <c r="B1233" s="8" t="inlineStr">
        <is>
          <t>C18</t>
        </is>
      </c>
      <c r="C1233" s="8" t="inlineStr">
        <is>
          <t>Pradhan Mantri Surakshit Matritva Abhiyan</t>
        </is>
      </c>
      <c r="D1233" s="8" t="inlineStr">
        <is>
          <t>Applicant documents</t>
        </is>
      </c>
      <c r="E1233" s="8" t="inlineStr">
        <is>
          <t>At Health Facility Visit</t>
        </is>
      </c>
      <c r="F1233" s="8" t="inlineStr">
        <is>
          <t>documents.en.documents_required[0]</t>
        </is>
      </c>
      <c r="G1233" s="8" t="inlineStr">
        <is>
          <t>C18@20261028-4c31c2aa</t>
        </is>
      </c>
      <c r="H1233" s="8" t="n">
        <v>1</v>
      </c>
      <c r="I1233" s="8" t="n">
        <v>1</v>
      </c>
      <c r="J1233" s="8" t="inlineStr">
        <is>
          <t>At Health Facility Visit</t>
        </is>
      </c>
      <c r="K1233" s="8" t="inlineStr">
        <is>
          <t>MS-C18</t>
        </is>
      </c>
      <c r="L1233" s="9" t="n">
        <v>46323</v>
      </c>
      <c r="M1233" s="8" t="inlineStr">
        <is>
          <t>Approved</t>
        </is>
      </c>
      <c r="N1233" s="8" t="inlineStr">
        <is>
          <t>paragraph</t>
        </is>
      </c>
    </row>
    <row r="1234" ht="40" customHeight="1">
      <c r="A1234" s="4" t="inlineStr">
        <is>
          <t>C18-P0028</t>
        </is>
      </c>
      <c r="B1234" s="4" t="inlineStr">
        <is>
          <t>C18</t>
        </is>
      </c>
      <c r="C1234" s="4" t="inlineStr">
        <is>
          <t>Pradhan Mantri Surakshit Matritva Abhiyan</t>
        </is>
      </c>
      <c r="D1234" s="4" t="inlineStr">
        <is>
          <t>Applicant documents</t>
        </is>
      </c>
      <c r="E1234" s="4" t="inlineStr">
        <is>
          <t>At Health Facility Visit</t>
        </is>
      </c>
      <c r="F1234" s="4" t="inlineStr">
        <is>
          <t>documents.en.documents_required[1].children[0]</t>
        </is>
      </c>
      <c r="G1234" s="4" t="inlineStr">
        <is>
          <t>C18@20261028-4c31c2aa</t>
        </is>
      </c>
      <c r="H1234" s="4" t="n">
        <v>1</v>
      </c>
      <c r="I1234" s="4" t="n">
        <v>1</v>
      </c>
      <c r="J1234" s="4" t="inlineStr">
        <is>
          <t>Mother And Child Protection Card (If Available).</t>
        </is>
      </c>
      <c r="K1234" s="4" t="inlineStr">
        <is>
          <t>MS-C18</t>
        </is>
      </c>
      <c r="L1234" s="6" t="n">
        <v>46323</v>
      </c>
      <c r="M1234" s="4" t="inlineStr">
        <is>
          <t>Approved</t>
        </is>
      </c>
      <c r="N1234" s="4" t="inlineStr">
        <is>
          <t>list_item</t>
        </is>
      </c>
    </row>
    <row r="1235" ht="40" customHeight="1">
      <c r="A1235" s="8" t="inlineStr">
        <is>
          <t>C18-P0029</t>
        </is>
      </c>
      <c r="B1235" s="8" t="inlineStr">
        <is>
          <t>C18</t>
        </is>
      </c>
      <c r="C1235" s="8" t="inlineStr">
        <is>
          <t>Pradhan Mantri Surakshit Matritva Abhiyan</t>
        </is>
      </c>
      <c r="D1235" s="8" t="inlineStr">
        <is>
          <t>Applicant documents</t>
        </is>
      </c>
      <c r="E1235" s="8" t="inlineStr">
        <is>
          <t>At Health Facility Visit</t>
        </is>
      </c>
      <c r="F1235" s="8" t="inlineStr">
        <is>
          <t>documents.en.documents_required[1].children[1]</t>
        </is>
      </c>
      <c r="G1235" s="8" t="inlineStr">
        <is>
          <t>C18@20261028-4c31c2aa</t>
        </is>
      </c>
      <c r="H1235" s="8" t="n">
        <v>1</v>
      </c>
      <c r="I1235" s="8" t="n">
        <v>1</v>
      </c>
      <c r="J1235" s="8" t="inlineStr">
        <is>
          <t>Aadhaar Card Or Any Government Issued Identity Proof.</t>
        </is>
      </c>
      <c r="K1235" s="8" t="inlineStr">
        <is>
          <t>MS-C18</t>
        </is>
      </c>
      <c r="L1235" s="9" t="n">
        <v>46323</v>
      </c>
      <c r="M1235" s="8" t="inlineStr">
        <is>
          <t>Approved</t>
        </is>
      </c>
      <c r="N1235" s="8" t="inlineStr">
        <is>
          <t>list_item</t>
        </is>
      </c>
    </row>
    <row r="1236" ht="40" customHeight="1">
      <c r="A1236" s="4" t="inlineStr">
        <is>
          <t>C18-P0030</t>
        </is>
      </c>
      <c r="B1236" s="4" t="inlineStr">
        <is>
          <t>C18</t>
        </is>
      </c>
      <c r="C1236" s="4" t="inlineStr">
        <is>
          <t>Pradhan Mantri Surakshit Matritva Abhiyan</t>
        </is>
      </c>
      <c r="D1236" s="4" t="inlineStr">
        <is>
          <t>Applicant documents</t>
        </is>
      </c>
      <c r="E1236" s="4" t="inlineStr">
        <is>
          <t>At Health Facility Visit</t>
        </is>
      </c>
      <c r="F1236" s="4" t="inlineStr">
        <is>
          <t>documents.en.documents_required[1].children[2]</t>
        </is>
      </c>
      <c r="G1236" s="4" t="inlineStr">
        <is>
          <t>C18@20261028-4c31c2aa</t>
        </is>
      </c>
      <c r="H1236" s="4" t="n">
        <v>1</v>
      </c>
      <c r="I1236" s="4" t="n">
        <v>1</v>
      </c>
      <c r="J1236" s="4" t="inlineStr">
        <is>
          <t>Previous Medical Records (If Any).</t>
        </is>
      </c>
      <c r="K1236" s="4" t="inlineStr">
        <is>
          <t>MS-C18</t>
        </is>
      </c>
      <c r="L1236" s="6" t="n">
        <v>46323</v>
      </c>
      <c r="M1236" s="4" t="inlineStr">
        <is>
          <t>Approved</t>
        </is>
      </c>
      <c r="N1236" s="4" t="inlineStr">
        <is>
          <t>list_item</t>
        </is>
      </c>
    </row>
    <row r="1237" ht="40" customHeight="1">
      <c r="A1237" s="8" t="inlineStr">
        <is>
          <t>C18-P0031</t>
        </is>
      </c>
      <c r="B1237" s="8" t="inlineStr">
        <is>
          <t>C18</t>
        </is>
      </c>
      <c r="C1237" s="8" t="inlineStr">
        <is>
          <t>Pradhan Mantri Surakshit Matritva Abhiyan</t>
        </is>
      </c>
      <c r="D1237" s="8" t="inlineStr">
        <is>
          <t>Applicant documents</t>
        </is>
      </c>
      <c r="E1237" s="8" t="inlineStr">
        <is>
          <t>At Health Facility Visit</t>
        </is>
      </c>
      <c r="F1237" s="8" t="inlineStr">
        <is>
          <t>documents.en.documents_required[1].children[3]</t>
        </is>
      </c>
      <c r="G1237" s="8" t="inlineStr">
        <is>
          <t>C18@20261028-4c31c2aa</t>
        </is>
      </c>
      <c r="H1237" s="8" t="n">
        <v>1</v>
      </c>
      <c r="I1237" s="8" t="n">
        <v>1</v>
      </c>
      <c r="J1237" s="8" t="inlineStr">
        <is>
          <t>Antenatal Care Records From Previous Visits.</t>
        </is>
      </c>
      <c r="K1237" s="8" t="inlineStr">
        <is>
          <t>MS-C18</t>
        </is>
      </c>
      <c r="L1237" s="9" t="n">
        <v>46323</v>
      </c>
      <c r="M1237" s="8" t="inlineStr">
        <is>
          <t>Approved</t>
        </is>
      </c>
      <c r="N1237" s="8" t="inlineStr">
        <is>
          <t>list_item</t>
        </is>
      </c>
    </row>
    <row r="1238" ht="40" customHeight="1">
      <c r="A1238" s="4" t="inlineStr">
        <is>
          <t>C18-P0032</t>
        </is>
      </c>
      <c r="B1238" s="4" t="inlineStr">
        <is>
          <t>C18</t>
        </is>
      </c>
      <c r="C1238" s="4" t="inlineStr">
        <is>
          <t>Pradhan Mantri Surakshit Matritva Abhiyan</t>
        </is>
      </c>
      <c r="D1238" s="4" t="inlineStr">
        <is>
          <t>Applicant documents</t>
        </is>
      </c>
      <c r="E1238" s="4" t="inlineStr">
        <is>
          <t>At Health Facility Visit</t>
        </is>
      </c>
      <c r="F1238" s="4" t="inlineStr">
        <is>
          <t>documents.en.documents_required[1].children[4]</t>
        </is>
      </c>
      <c r="G1238" s="4" t="inlineStr">
        <is>
          <t>C18@20261028-4c31c2aa</t>
        </is>
      </c>
      <c r="H1238" s="4" t="n">
        <v>1</v>
      </c>
      <c r="I1238" s="4" t="n">
        <v>1</v>
      </c>
      <c r="J1238" s="4" t="inlineStr">
        <is>
          <t>Prescription Slips From Previous Consultations (If Applicable).</t>
        </is>
      </c>
      <c r="K1238" s="4" t="inlineStr">
        <is>
          <t>MS-C18</t>
        </is>
      </c>
      <c r="L1238" s="6" t="n">
        <v>46323</v>
      </c>
      <c r="M1238" s="4" t="inlineStr">
        <is>
          <t>Approved</t>
        </is>
      </c>
      <c r="N1238" s="4" t="inlineStr">
        <is>
          <t>list_item</t>
        </is>
      </c>
    </row>
    <row r="1239" ht="40" customHeight="1">
      <c r="A1239" s="8" t="inlineStr">
        <is>
          <t>C18-P0033</t>
        </is>
      </c>
      <c r="B1239" s="8" t="inlineStr">
        <is>
          <t>C18</t>
        </is>
      </c>
      <c r="C1239" s="8" t="inlineStr">
        <is>
          <t>Pradhan Mantri Surakshit Matritva Abhiyan</t>
        </is>
      </c>
      <c r="D1239" s="8" t="inlineStr">
        <is>
          <t>Applicant documents</t>
        </is>
      </c>
      <c r="E1239" s="8" t="inlineStr">
        <is>
          <t>For Registration at Facility</t>
        </is>
      </c>
      <c r="F1239" s="8" t="inlineStr">
        <is>
          <t>documents.en.documents_required[2]</t>
        </is>
      </c>
      <c r="G1239" s="8" t="inlineStr">
        <is>
          <t>C18@20261028-4c31c2aa</t>
        </is>
      </c>
      <c r="H1239" s="8" t="n">
        <v>1</v>
      </c>
      <c r="I1239" s="8" t="n">
        <v>1</v>
      </c>
      <c r="J1239" s="8" t="inlineStr">
        <is>
          <t>For Registration at Facility</t>
        </is>
      </c>
      <c r="K1239" s="8" t="inlineStr">
        <is>
          <t>MS-C18</t>
        </is>
      </c>
      <c r="L1239" s="9" t="n">
        <v>46323</v>
      </c>
      <c r="M1239" s="8" t="inlineStr">
        <is>
          <t>Approved</t>
        </is>
      </c>
      <c r="N1239" s="8" t="inlineStr">
        <is>
          <t>paragraph</t>
        </is>
      </c>
    </row>
    <row r="1240" ht="40" customHeight="1">
      <c r="A1240" s="4" t="inlineStr">
        <is>
          <t>C18-P0034</t>
        </is>
      </c>
      <c r="B1240" s="4" t="inlineStr">
        <is>
          <t>C18</t>
        </is>
      </c>
      <c r="C1240" s="4" t="inlineStr">
        <is>
          <t>Pradhan Mantri Surakshit Matritva Abhiyan</t>
        </is>
      </c>
      <c r="D1240" s="4" t="inlineStr">
        <is>
          <t>Applicant documents</t>
        </is>
      </c>
      <c r="E1240" s="4" t="inlineStr">
        <is>
          <t>For Registration at Facility</t>
        </is>
      </c>
      <c r="F1240" s="4" t="inlineStr">
        <is>
          <t>documents.en.documents_required[3].children[0]</t>
        </is>
      </c>
      <c r="G1240" s="4" t="inlineStr">
        <is>
          <t>C18@20261028-4c31c2aa</t>
        </is>
      </c>
      <c r="H1240" s="4" t="n">
        <v>1</v>
      </c>
      <c r="I1240" s="4" t="n">
        <v>1</v>
      </c>
      <c r="J1240" s="4" t="inlineStr">
        <is>
          <t>Address Proof (Ration Card/Voter Identity Card/Utility Bills).</t>
        </is>
      </c>
      <c r="K1240" s="4" t="inlineStr">
        <is>
          <t>MS-C18</t>
        </is>
      </c>
      <c r="L1240" s="6" t="n">
        <v>46323</v>
      </c>
      <c r="M1240" s="4" t="inlineStr">
        <is>
          <t>Approved</t>
        </is>
      </c>
      <c r="N1240" s="4" t="inlineStr">
        <is>
          <t>list_item</t>
        </is>
      </c>
    </row>
    <row r="1241" ht="40" customHeight="1">
      <c r="A1241" s="8" t="inlineStr">
        <is>
          <t>C18-P0035</t>
        </is>
      </c>
      <c r="B1241" s="8" t="inlineStr">
        <is>
          <t>C18</t>
        </is>
      </c>
      <c r="C1241" s="8" t="inlineStr">
        <is>
          <t>Pradhan Mantri Surakshit Matritva Abhiyan</t>
        </is>
      </c>
      <c r="D1241" s="8" t="inlineStr">
        <is>
          <t>Applicant documents</t>
        </is>
      </c>
      <c r="E1241" s="8" t="inlineStr">
        <is>
          <t>For Registration at Facility</t>
        </is>
      </c>
      <c r="F1241" s="8" t="inlineStr">
        <is>
          <t>documents.en.documents_required[3].children[1]</t>
        </is>
      </c>
      <c r="G1241" s="8" t="inlineStr">
        <is>
          <t>C18@20261028-4c31c2aa</t>
        </is>
      </c>
      <c r="H1241" s="8" t="n">
        <v>1</v>
      </c>
      <c r="I1241" s="8" t="n">
        <v>1</v>
      </c>
      <c r="J1241" s="8" t="inlineStr">
        <is>
          <t>Mobile Number For Communication.</t>
        </is>
      </c>
      <c r="K1241" s="8" t="inlineStr">
        <is>
          <t>MS-C18</t>
        </is>
      </c>
      <c r="L1241" s="9" t="n">
        <v>46323</v>
      </c>
      <c r="M1241" s="8" t="inlineStr">
        <is>
          <t>Approved</t>
        </is>
      </c>
      <c r="N1241" s="8" t="inlineStr">
        <is>
          <t>list_item</t>
        </is>
      </c>
    </row>
    <row r="1242" ht="40" customHeight="1">
      <c r="A1242" s="4" t="inlineStr">
        <is>
          <t>C18-P0036</t>
        </is>
      </c>
      <c r="B1242" s="4" t="inlineStr">
        <is>
          <t>C18</t>
        </is>
      </c>
      <c r="C1242" s="4" t="inlineStr">
        <is>
          <t>Pradhan Mantri Surakshit Matritva Abhiyan</t>
        </is>
      </c>
      <c r="D1242" s="4" t="inlineStr">
        <is>
          <t>Applicant documents</t>
        </is>
      </c>
      <c r="E1242" s="4" t="inlineStr">
        <is>
          <t>For Registration at Facility</t>
        </is>
      </c>
      <c r="F1242" s="4" t="inlineStr">
        <is>
          <t>documents.en.documents_required[3].children[2]</t>
        </is>
      </c>
      <c r="G1242" s="4" t="inlineStr">
        <is>
          <t>C18@20261028-4c31c2aa</t>
        </is>
      </c>
      <c r="H1242" s="4" t="n">
        <v>1</v>
      </c>
      <c r="I1242" s="4" t="n">
        <v>1</v>
      </c>
      <c r="J1242" s="4" t="inlineStr">
        <is>
          <t>Emergency Contact Details.</t>
        </is>
      </c>
      <c r="K1242" s="4" t="inlineStr">
        <is>
          <t>MS-C18</t>
        </is>
      </c>
      <c r="L1242" s="6" t="n">
        <v>46323</v>
      </c>
      <c r="M1242" s="4" t="inlineStr">
        <is>
          <t>Approved</t>
        </is>
      </c>
      <c r="N1242" s="4" t="inlineStr">
        <is>
          <t>list_item</t>
        </is>
      </c>
    </row>
    <row r="1243" ht="40" customHeight="1">
      <c r="A1243" s="8" t="inlineStr">
        <is>
          <t>C18-P0037</t>
        </is>
      </c>
      <c r="B1243" s="8" t="inlineStr">
        <is>
          <t>C18</t>
        </is>
      </c>
      <c r="C1243" s="8" t="inlineStr">
        <is>
          <t>Pradhan Mantri Surakshit Matritva Abhiyan</t>
        </is>
      </c>
      <c r="D1243" s="8" t="inlineStr">
        <is>
          <t>Applicant documents</t>
        </is>
      </c>
      <c r="E1243" s="8" t="inlineStr">
        <is>
          <t>Optional Documents</t>
        </is>
      </c>
      <c r="F1243" s="8" t="inlineStr">
        <is>
          <t>documents.en.documents_required[4]</t>
        </is>
      </c>
      <c r="G1243" s="8" t="inlineStr">
        <is>
          <t>C18@20261028-4c31c2aa</t>
        </is>
      </c>
      <c r="H1243" s="8" t="n">
        <v>1</v>
      </c>
      <c r="I1243" s="8" t="n">
        <v>1</v>
      </c>
      <c r="J1243" s="8" t="inlineStr">
        <is>
          <t>Optional Documents</t>
        </is>
      </c>
      <c r="K1243" s="8" t="inlineStr">
        <is>
          <t>MS-C18</t>
        </is>
      </c>
      <c r="L1243" s="9" t="n">
        <v>46323</v>
      </c>
      <c r="M1243" s="8" t="inlineStr">
        <is>
          <t>Approved</t>
        </is>
      </c>
      <c r="N1243" s="8" t="inlineStr">
        <is>
          <t>paragraph</t>
        </is>
      </c>
    </row>
    <row r="1244" ht="40" customHeight="1">
      <c r="A1244" s="4" t="inlineStr">
        <is>
          <t>C18-P0038</t>
        </is>
      </c>
      <c r="B1244" s="4" t="inlineStr">
        <is>
          <t>C18</t>
        </is>
      </c>
      <c r="C1244" s="4" t="inlineStr">
        <is>
          <t>Pradhan Mantri Surakshit Matritva Abhiyan</t>
        </is>
      </c>
      <c r="D1244" s="4" t="inlineStr">
        <is>
          <t>Applicant documents</t>
        </is>
      </c>
      <c r="E1244" s="4" t="inlineStr">
        <is>
          <t>Optional Documents</t>
        </is>
      </c>
      <c r="F1244" s="4" t="inlineStr">
        <is>
          <t>documents.en.documents_required[5].children[0]</t>
        </is>
      </c>
      <c r="G1244" s="4" t="inlineStr">
        <is>
          <t>C18@20261028-4c31c2aa</t>
        </is>
      </c>
      <c r="H1244" s="4" t="n">
        <v>1</v>
      </c>
      <c r="I1244" s="4" t="n">
        <v>1</v>
      </c>
      <c r="J1244" s="4" t="inlineStr">
        <is>
          <t>Bank Account Details (For Direct Benefit Transfer if applicable in future).</t>
        </is>
      </c>
      <c r="K1244" s="4" t="inlineStr">
        <is>
          <t>MS-C18</t>
        </is>
      </c>
      <c r="L1244" s="6" t="n">
        <v>46323</v>
      </c>
      <c r="M1244" s="4" t="inlineStr">
        <is>
          <t>Approved</t>
        </is>
      </c>
      <c r="N1244" s="4" t="inlineStr">
        <is>
          <t>list_item</t>
        </is>
      </c>
    </row>
    <row r="1245" ht="40" customHeight="1">
      <c r="A1245" s="8" t="inlineStr">
        <is>
          <t>C18-P0039</t>
        </is>
      </c>
      <c r="B1245" s="8" t="inlineStr">
        <is>
          <t>C18</t>
        </is>
      </c>
      <c r="C1245" s="8" t="inlineStr">
        <is>
          <t>Pradhan Mantri Surakshit Matritva Abhiyan</t>
        </is>
      </c>
      <c r="D1245" s="8" t="inlineStr">
        <is>
          <t>Applicant documents</t>
        </is>
      </c>
      <c r="E1245" s="8" t="inlineStr">
        <is>
          <t>Optional Documents</t>
        </is>
      </c>
      <c r="F1245" s="8" t="inlineStr">
        <is>
          <t>documents.en.documents_required[5].children[1]</t>
        </is>
      </c>
      <c r="G1245" s="8" t="inlineStr">
        <is>
          <t>C18@20261028-4c31c2aa</t>
        </is>
      </c>
      <c r="H1245" s="8" t="n">
        <v>1</v>
      </c>
      <c r="I1245" s="8" t="n">
        <v>1</v>
      </c>
      <c r="J1245" s="8" t="inlineStr">
        <is>
          <t>Husband's Identity Proof (If Required by Local Guidelines).</t>
        </is>
      </c>
      <c r="K1245" s="8" t="inlineStr">
        <is>
          <t>MS-C18</t>
        </is>
      </c>
      <c r="L1245" s="9" t="n">
        <v>46323</v>
      </c>
      <c r="M1245" s="8" t="inlineStr">
        <is>
          <t>Approved</t>
        </is>
      </c>
      <c r="N1245" s="8" t="inlineStr">
        <is>
          <t>list_item</t>
        </is>
      </c>
    </row>
    <row r="1246" ht="40" customHeight="1">
      <c r="A1246" s="4" t="inlineStr">
        <is>
          <t>C18-P0040</t>
        </is>
      </c>
      <c r="B1246" s="4" t="inlineStr">
        <is>
          <t>C18</t>
        </is>
      </c>
      <c r="C1246" s="4" t="inlineStr">
        <is>
          <t>Pradhan Mantri Surakshit Matritva Abhiyan</t>
        </is>
      </c>
      <c r="D1246" s="4" t="inlineStr">
        <is>
          <t>Application process</t>
        </is>
      </c>
      <c r="E1246" s="4" t="inlineStr">
        <is>
          <t>Step 1: Identify Nearest Pradhan Mantri Surakshit Matritva Abhiyan Facility</t>
        </is>
      </c>
      <c r="F1246" s="4" t="inlineStr">
        <is>
          <t>en.applicationProcess[0].process[0]</t>
        </is>
      </c>
      <c r="G1246" s="4" t="inlineStr">
        <is>
          <t>C18@20261028-4c31c2aa</t>
        </is>
      </c>
      <c r="H1246" s="4" t="n">
        <v>1</v>
      </c>
      <c r="I1246" s="4" t="n">
        <v>1</v>
      </c>
      <c r="J1246" s="4" t="inlineStr">
        <is>
          <t>Step 1: Identify Nearest Pradhan Mantri Surakshit Matritva Abhiyan Facility</t>
        </is>
      </c>
      <c r="K1246" s="4" t="inlineStr">
        <is>
          <t>MS-C18</t>
        </is>
      </c>
      <c r="L1246" s="6" t="n">
        <v>46323</v>
      </c>
      <c r="M1246" s="4" t="inlineStr">
        <is>
          <t>Approved</t>
        </is>
      </c>
      <c r="N1246" s="4" t="inlineStr">
        <is>
          <t>paragraph</t>
        </is>
      </c>
    </row>
    <row r="1247" ht="40" customHeight="1">
      <c r="A1247" s="8" t="inlineStr">
        <is>
          <t>C18-P0041</t>
        </is>
      </c>
      <c r="B1247" s="8" t="inlineStr">
        <is>
          <t>C18</t>
        </is>
      </c>
      <c r="C1247" s="8" t="inlineStr">
        <is>
          <t>Pradhan Mantri Surakshit Matritva Abhiyan</t>
        </is>
      </c>
      <c r="D1247" s="8" t="inlineStr">
        <is>
          <t>Application process</t>
        </is>
      </c>
      <c r="E1247" s="8" t="inlineStr">
        <is>
          <t>Step 1: Identify Nearest Pradhan Mantri Surakshit Matritva Abhiyan Facility</t>
        </is>
      </c>
      <c r="F1247" s="8" t="inlineStr">
        <is>
          <t>en.applicationProcess[0].process[1]</t>
        </is>
      </c>
      <c r="G1247" s="8" t="inlineStr">
        <is>
          <t>C18@20261028-4c31c2aa</t>
        </is>
      </c>
      <c r="H1247" s="8" t="n">
        <v>1</v>
      </c>
      <c r="I1247" s="8" t="n">
        <v>1</v>
      </c>
      <c r="J1247" s="8" t="inlineStr">
        <is>
          <t>The pregnant woman should visit the Official Portal of PMSMA or download the 'PMSMA' mobile application to find their nearest PMSMA facility using the 'Nearest Facility' search feature.</t>
        </is>
      </c>
      <c r="K1247" s="8" t="inlineStr">
        <is>
          <t>MS-C18</t>
        </is>
      </c>
      <c r="L1247" s="9" t="n">
        <v>46323</v>
      </c>
      <c r="M1247" s="8" t="inlineStr">
        <is>
          <t>Approved</t>
        </is>
      </c>
      <c r="N1247" s="8" t="inlineStr">
        <is>
          <t>paragraph</t>
        </is>
      </c>
    </row>
    <row r="1248" ht="40" customHeight="1">
      <c r="A1248" s="4" t="inlineStr">
        <is>
          <t>C18-P0042</t>
        </is>
      </c>
      <c r="B1248" s="4" t="inlineStr">
        <is>
          <t>C18</t>
        </is>
      </c>
      <c r="C1248" s="4" t="inlineStr">
        <is>
          <t>Pradhan Mantri Surakshit Matritva Abhiyan</t>
        </is>
      </c>
      <c r="D1248" s="4" t="inlineStr">
        <is>
          <t>Application process</t>
        </is>
      </c>
      <c r="E1248" s="4" t="inlineStr">
        <is>
          <t>Step 2: Visit on Designated Day</t>
        </is>
      </c>
      <c r="F1248" s="4" t="inlineStr">
        <is>
          <t>en.applicationProcess[0].process[2]</t>
        </is>
      </c>
      <c r="G1248" s="4" t="inlineStr">
        <is>
          <t>C18@20261028-4c31c2aa</t>
        </is>
      </c>
      <c r="H1248" s="4" t="n">
        <v>1</v>
      </c>
      <c r="I1248" s="4" t="n">
        <v>1</v>
      </c>
      <c r="J1248" s="4" t="inlineStr">
        <is>
          <t>Step 2: Visit on Designated Day</t>
        </is>
      </c>
      <c r="K1248" s="4" t="inlineStr">
        <is>
          <t>MS-C18</t>
        </is>
      </c>
      <c r="L1248" s="6" t="n">
        <v>46323</v>
      </c>
      <c r="M1248" s="4" t="inlineStr">
        <is>
          <t>Approved</t>
        </is>
      </c>
      <c r="N1248" s="4" t="inlineStr">
        <is>
          <t>paragraph</t>
        </is>
      </c>
    </row>
    <row r="1249" ht="54" customHeight="1">
      <c r="A1249" s="8" t="inlineStr">
        <is>
          <t>C18-P0043</t>
        </is>
      </c>
      <c r="B1249" s="8" t="inlineStr">
        <is>
          <t>C18</t>
        </is>
      </c>
      <c r="C1249" s="8" t="inlineStr">
        <is>
          <t>Pradhan Mantri Surakshit Matritva Abhiyan</t>
        </is>
      </c>
      <c r="D1249" s="8" t="inlineStr">
        <is>
          <t>Application process</t>
        </is>
      </c>
      <c r="E1249" s="8" t="inlineStr">
        <is>
          <t>Step 2: Visit on Designated Day</t>
        </is>
      </c>
      <c r="F1249" s="8" t="inlineStr">
        <is>
          <t>en.applicationProcess[0].process[3]</t>
        </is>
      </c>
      <c r="G1249" s="8" t="inlineStr">
        <is>
          <t>C18@20261028-4c31c2aa</t>
        </is>
      </c>
      <c r="H1249" s="8" t="n">
        <v>1</v>
      </c>
      <c r="I1249" s="8" t="n">
        <v>1</v>
      </c>
      <c r="J1249" s="8" t="inlineStr">
        <is>
          <t>The beneficiary must visit the identified government health facility (Primary Health Centre, Community Health Centre, District Hospital, or urban health facility) on the 9th of every month. If the 9th falls on Sunday or holiday, services are provided on the next working day.</t>
        </is>
      </c>
      <c r="K1249" s="8" t="inlineStr">
        <is>
          <t>MS-C18</t>
        </is>
      </c>
      <c r="L1249" s="9" t="n">
        <v>46323</v>
      </c>
      <c r="M1249" s="8" t="inlineStr">
        <is>
          <t>Approved</t>
        </is>
      </c>
      <c r="N1249" s="8" t="inlineStr">
        <is>
          <t>paragraph</t>
        </is>
      </c>
    </row>
    <row r="1250" ht="40" customHeight="1">
      <c r="A1250" s="4" t="inlineStr">
        <is>
          <t>C18-P0044</t>
        </is>
      </c>
      <c r="B1250" s="4" t="inlineStr">
        <is>
          <t>C18</t>
        </is>
      </c>
      <c r="C1250" s="4" t="inlineStr">
        <is>
          <t>Pradhan Mantri Surakshit Matritva Abhiyan</t>
        </is>
      </c>
      <c r="D1250" s="4" t="inlineStr">
        <is>
          <t>Application process</t>
        </is>
      </c>
      <c r="E1250" s="4" t="inlineStr">
        <is>
          <t>Step 3: Registration at Facility</t>
        </is>
      </c>
      <c r="F1250" s="4" t="inlineStr">
        <is>
          <t>en.applicationProcess[0].process[4]</t>
        </is>
      </c>
      <c r="G1250" s="4" t="inlineStr">
        <is>
          <t>C18@20261028-4c31c2aa</t>
        </is>
      </c>
      <c r="H1250" s="4" t="n">
        <v>1</v>
      </c>
      <c r="I1250" s="4" t="n">
        <v>1</v>
      </c>
      <c r="J1250" s="4" t="inlineStr">
        <is>
          <t>Step 3: Registration at Facility</t>
        </is>
      </c>
      <c r="K1250" s="4" t="inlineStr">
        <is>
          <t>MS-C18</t>
        </is>
      </c>
      <c r="L1250" s="6" t="n">
        <v>46323</v>
      </c>
      <c r="M1250" s="4" t="inlineStr">
        <is>
          <t>Approved</t>
        </is>
      </c>
      <c r="N1250" s="4" t="inlineStr">
        <is>
          <t>paragraph</t>
        </is>
      </c>
    </row>
    <row r="1251" ht="40" customHeight="1">
      <c r="A1251" s="8" t="inlineStr">
        <is>
          <t>C18-P0045</t>
        </is>
      </c>
      <c r="B1251" s="8" t="inlineStr">
        <is>
          <t>C18</t>
        </is>
      </c>
      <c r="C1251" s="8" t="inlineStr">
        <is>
          <t>Pradhan Mantri Surakshit Matritva Abhiyan</t>
        </is>
      </c>
      <c r="D1251" s="8" t="inlineStr">
        <is>
          <t>Application process</t>
        </is>
      </c>
      <c r="E1251" s="8" t="inlineStr">
        <is>
          <t>Step 3: Registration at Facility</t>
        </is>
      </c>
      <c r="F1251" s="8" t="inlineStr">
        <is>
          <t>en.applicationProcess[0].process[5]</t>
        </is>
      </c>
      <c r="G1251" s="8" t="inlineStr">
        <is>
          <t>C18@20261028-4c31c2aa</t>
        </is>
      </c>
      <c r="H1251" s="8" t="n">
        <v>1</v>
      </c>
      <c r="I1251" s="8" t="n">
        <v>1</v>
      </c>
      <c r="J1251" s="8" t="inlineStr">
        <is>
          <t>Upon reaching the facility, the pregnant woman should register herself at the PMSMA counter or reception desk by providing basic identity information and contact details.</t>
        </is>
      </c>
      <c r="K1251" s="8" t="inlineStr">
        <is>
          <t>MS-C18</t>
        </is>
      </c>
      <c r="L1251" s="9" t="n">
        <v>46323</v>
      </c>
      <c r="M1251" s="8" t="inlineStr">
        <is>
          <t>Approved</t>
        </is>
      </c>
      <c r="N1251" s="8" t="inlineStr">
        <is>
          <t>paragraph</t>
        </is>
      </c>
    </row>
    <row r="1252" ht="40" customHeight="1">
      <c r="A1252" s="4" t="inlineStr">
        <is>
          <t>C18-P0046</t>
        </is>
      </c>
      <c r="B1252" s="4" t="inlineStr">
        <is>
          <t>C18</t>
        </is>
      </c>
      <c r="C1252" s="4" t="inlineStr">
        <is>
          <t>Pradhan Mantri Surakshit Matritva Abhiyan</t>
        </is>
      </c>
      <c r="D1252" s="4" t="inlineStr">
        <is>
          <t>Application process</t>
        </is>
      </c>
      <c r="E1252" s="4" t="inlineStr">
        <is>
          <t>Step 4: Medical Consultation and Examination</t>
        </is>
      </c>
      <c r="F1252" s="4" t="inlineStr">
        <is>
          <t>en.applicationProcess[0].process[6]</t>
        </is>
      </c>
      <c r="G1252" s="4" t="inlineStr">
        <is>
          <t>C18@20261028-4c31c2aa</t>
        </is>
      </c>
      <c r="H1252" s="4" t="n">
        <v>1</v>
      </c>
      <c r="I1252" s="4" t="n">
        <v>1</v>
      </c>
      <c r="J1252" s="4" t="inlineStr">
        <is>
          <t>Step 4: Medical Consultation and Examination</t>
        </is>
      </c>
      <c r="K1252" s="4" t="inlineStr">
        <is>
          <t>MS-C18</t>
        </is>
      </c>
      <c r="L1252" s="6" t="n">
        <v>46323</v>
      </c>
      <c r="M1252" s="4" t="inlineStr">
        <is>
          <t>Approved</t>
        </is>
      </c>
      <c r="N1252" s="4" t="inlineStr">
        <is>
          <t>paragraph</t>
        </is>
      </c>
    </row>
    <row r="1253" ht="54" customHeight="1">
      <c r="A1253" s="8" t="inlineStr">
        <is>
          <t>C18-P0047</t>
        </is>
      </c>
      <c r="B1253" s="8" t="inlineStr">
        <is>
          <t>C18</t>
        </is>
      </c>
      <c r="C1253" s="8" t="inlineStr">
        <is>
          <t>Pradhan Mantri Surakshit Matritva Abhiyan</t>
        </is>
      </c>
      <c r="D1253" s="8" t="inlineStr">
        <is>
          <t>Application process</t>
        </is>
      </c>
      <c r="E1253" s="8" t="inlineStr">
        <is>
          <t>Step 4: Medical Consultation and Examination</t>
        </is>
      </c>
      <c r="F1253" s="8" t="inlineStr">
        <is>
          <t>en.applicationProcess[0].process[7]</t>
        </is>
      </c>
      <c r="G1253" s="8" t="inlineStr">
        <is>
          <t>C18@20261028-4c31c2aa</t>
        </is>
      </c>
      <c r="H1253" s="8" t="n">
        <v>1</v>
      </c>
      <c r="I1253" s="8" t="n">
        <v>1</v>
      </c>
      <c r="J1253" s="8" t="inlineStr">
        <is>
          <t>The beneficiary will receive comprehensive antenatal care services including medical consultation with Obstetrics and Gynaecology specialists, Radiologists, or Physicians as per the minimum package of services defined under the scheme.</t>
        </is>
      </c>
      <c r="K1253" s="8" t="inlineStr">
        <is>
          <t>MS-C18</t>
        </is>
      </c>
      <c r="L1253" s="9" t="n">
        <v>46323</v>
      </c>
      <c r="M1253" s="8" t="inlineStr">
        <is>
          <t>Approved</t>
        </is>
      </c>
      <c r="N1253" s="8" t="inlineStr">
        <is>
          <t>paragraph</t>
        </is>
      </c>
    </row>
    <row r="1254" ht="40" customHeight="1">
      <c r="A1254" s="4" t="inlineStr">
        <is>
          <t>C18-P0048</t>
        </is>
      </c>
      <c r="B1254" s="4" t="inlineStr">
        <is>
          <t>C18</t>
        </is>
      </c>
      <c r="C1254" s="4" t="inlineStr">
        <is>
          <t>Pradhan Mantri Surakshit Matritva Abhiyan</t>
        </is>
      </c>
      <c r="D1254" s="4" t="inlineStr">
        <is>
          <t>Application process</t>
        </is>
      </c>
      <c r="E1254" s="4" t="inlineStr">
        <is>
          <t>Step 5: Investigation and Tests</t>
        </is>
      </c>
      <c r="F1254" s="4" t="inlineStr">
        <is>
          <t>en.applicationProcess[0].process[8]</t>
        </is>
      </c>
      <c r="G1254" s="4" t="inlineStr">
        <is>
          <t>C18@20261028-4c31c2aa</t>
        </is>
      </c>
      <c r="H1254" s="4" t="n">
        <v>1</v>
      </c>
      <c r="I1254" s="4" t="n">
        <v>1</v>
      </c>
      <c r="J1254" s="4" t="inlineStr">
        <is>
          <t>Step 5: Investigation and Tests</t>
        </is>
      </c>
      <c r="K1254" s="4" t="inlineStr">
        <is>
          <t>MS-C18</t>
        </is>
      </c>
      <c r="L1254" s="6" t="n">
        <v>46323</v>
      </c>
      <c r="M1254" s="4" t="inlineStr">
        <is>
          <t>Approved</t>
        </is>
      </c>
      <c r="N1254" s="4" t="inlineStr">
        <is>
          <t>paragraph</t>
        </is>
      </c>
    </row>
    <row r="1255" ht="40" customHeight="1">
      <c r="A1255" s="8" t="inlineStr">
        <is>
          <t>C18-P0049</t>
        </is>
      </c>
      <c r="B1255" s="8" t="inlineStr">
        <is>
          <t>C18</t>
        </is>
      </c>
      <c r="C1255" s="8" t="inlineStr">
        <is>
          <t>Pradhan Mantri Surakshit Matritva Abhiyan</t>
        </is>
      </c>
      <c r="D1255" s="8" t="inlineStr">
        <is>
          <t>Application process</t>
        </is>
      </c>
      <c r="E1255" s="8" t="inlineStr">
        <is>
          <t>Step 5: Investigation and Tests</t>
        </is>
      </c>
      <c r="F1255" s="8" t="inlineStr">
        <is>
          <t>en.applicationProcess[0].process[9]</t>
        </is>
      </c>
      <c r="G1255" s="8" t="inlineStr">
        <is>
          <t>C18@20261028-4c31c2aa</t>
        </is>
      </c>
      <c r="H1255" s="8" t="n">
        <v>1</v>
      </c>
      <c r="I1255" s="8" t="n">
        <v>1</v>
      </c>
      <c r="J1255" s="8" t="inlineStr">
        <is>
          <t>Required medical investigations, tests, and screening procedures will be conducted as per the standardized protocol for 2nd and 3rd trimester pregnant women under the single window system.</t>
        </is>
      </c>
      <c r="K1255" s="8" t="inlineStr">
        <is>
          <t>MS-C18</t>
        </is>
      </c>
      <c r="L1255" s="9" t="n">
        <v>46323</v>
      </c>
      <c r="M1255" s="8" t="inlineStr">
        <is>
          <t>Approved</t>
        </is>
      </c>
      <c r="N1255" s="8" t="inlineStr">
        <is>
          <t>paragraph</t>
        </is>
      </c>
    </row>
    <row r="1256" ht="40" customHeight="1">
      <c r="A1256" s="4" t="inlineStr">
        <is>
          <t>C18-P0050</t>
        </is>
      </c>
      <c r="B1256" s="4" t="inlineStr">
        <is>
          <t>C18</t>
        </is>
      </c>
      <c r="C1256" s="4" t="inlineStr">
        <is>
          <t>Pradhan Mantri Surakshit Matritva Abhiyan</t>
        </is>
      </c>
      <c r="D1256" s="4" t="inlineStr">
        <is>
          <t>Application process</t>
        </is>
      </c>
      <c r="E1256" s="4" t="inlineStr">
        <is>
          <t>Step 6: Medicine Distribution</t>
        </is>
      </c>
      <c r="F1256" s="4" t="inlineStr">
        <is>
          <t>en.applicationProcess[0].process[10]</t>
        </is>
      </c>
      <c r="G1256" s="4" t="inlineStr">
        <is>
          <t>C18@20261028-4c31c2aa</t>
        </is>
      </c>
      <c r="H1256" s="4" t="n">
        <v>1</v>
      </c>
      <c r="I1256" s="4" t="n">
        <v>1</v>
      </c>
      <c r="J1256" s="4" t="inlineStr">
        <is>
          <t>Step 6: Medicine Distribution</t>
        </is>
      </c>
      <c r="K1256" s="4" t="inlineStr">
        <is>
          <t>MS-C18</t>
        </is>
      </c>
      <c r="L1256" s="6" t="n">
        <v>46323</v>
      </c>
      <c r="M1256" s="4" t="inlineStr">
        <is>
          <t>Approved</t>
        </is>
      </c>
      <c r="N1256" s="4" t="inlineStr">
        <is>
          <t>paragraph</t>
        </is>
      </c>
    </row>
    <row r="1257" ht="40" customHeight="1">
      <c r="A1257" s="8" t="inlineStr">
        <is>
          <t>C18-P0051</t>
        </is>
      </c>
      <c r="B1257" s="8" t="inlineStr">
        <is>
          <t>C18</t>
        </is>
      </c>
      <c r="C1257" s="8" t="inlineStr">
        <is>
          <t>Pradhan Mantri Surakshit Matritva Abhiyan</t>
        </is>
      </c>
      <c r="D1257" s="8" t="inlineStr">
        <is>
          <t>Application process</t>
        </is>
      </c>
      <c r="E1257" s="8" t="inlineStr">
        <is>
          <t>Step 6: Medicine Distribution</t>
        </is>
      </c>
      <c r="F1257" s="8" t="inlineStr">
        <is>
          <t>en.applicationProcess[0].process[11]</t>
        </is>
      </c>
      <c r="G1257" s="8" t="inlineStr">
        <is>
          <t>C18@20261028-4c31c2aa</t>
        </is>
      </c>
      <c r="H1257" s="8" t="n">
        <v>1</v>
      </c>
      <c r="I1257" s="8" t="n">
        <v>1</v>
      </c>
      <c r="J1257" s="8" t="inlineStr">
        <is>
          <t>The beneficiary will receive prescribed medicines including Iron Folic Acid tablets, calcium supplements, and other necessary medications free of cost from the facility pharmacy.</t>
        </is>
      </c>
      <c r="K1257" s="8" t="inlineStr">
        <is>
          <t>MS-C18</t>
        </is>
      </c>
      <c r="L1257" s="9" t="n">
        <v>46323</v>
      </c>
      <c r="M1257" s="8" t="inlineStr">
        <is>
          <t>Approved</t>
        </is>
      </c>
      <c r="N1257" s="8" t="inlineStr">
        <is>
          <t>paragraph</t>
        </is>
      </c>
    </row>
    <row r="1258" ht="40" customHeight="1">
      <c r="A1258" s="4" t="inlineStr">
        <is>
          <t>C18-P0052</t>
        </is>
      </c>
      <c r="B1258" s="4" t="inlineStr">
        <is>
          <t>C18</t>
        </is>
      </c>
      <c r="C1258" s="4" t="inlineStr">
        <is>
          <t>Pradhan Mantri Surakshit Matritva Abhiyan</t>
        </is>
      </c>
      <c r="D1258" s="4" t="inlineStr">
        <is>
          <t>Application process</t>
        </is>
      </c>
      <c r="E1258" s="4" t="inlineStr">
        <is>
          <t>Step 7: Risk Assessment and Follow-up</t>
        </is>
      </c>
      <c r="F1258" s="4" t="inlineStr">
        <is>
          <t>en.applicationProcess[0].process[12]</t>
        </is>
      </c>
      <c r="G1258" s="4" t="inlineStr">
        <is>
          <t>C18@20261028-4c31c2aa</t>
        </is>
      </c>
      <c r="H1258" s="4" t="n">
        <v>1</v>
      </c>
      <c r="I1258" s="4" t="n">
        <v>1</v>
      </c>
      <c r="J1258" s="4" t="inlineStr">
        <is>
          <t>Step 7: Risk Assessment and Follow-up</t>
        </is>
      </c>
      <c r="K1258" s="4" t="inlineStr">
        <is>
          <t>MS-C18</t>
        </is>
      </c>
      <c r="L1258" s="6" t="n">
        <v>46323</v>
      </c>
      <c r="M1258" s="4" t="inlineStr">
        <is>
          <t>Approved</t>
        </is>
      </c>
      <c r="N1258" s="4" t="inlineStr">
        <is>
          <t>paragraph</t>
        </is>
      </c>
    </row>
    <row r="1259" ht="54" customHeight="1">
      <c r="A1259" s="8" t="inlineStr">
        <is>
          <t>C18-P0053</t>
        </is>
      </c>
      <c r="B1259" s="8" t="inlineStr">
        <is>
          <t>C18</t>
        </is>
      </c>
      <c r="C1259" s="8" t="inlineStr">
        <is>
          <t>Pradhan Mantri Surakshit Matritva Abhiyan</t>
        </is>
      </c>
      <c r="D1259" s="8" t="inlineStr">
        <is>
          <t>Application process</t>
        </is>
      </c>
      <c r="E1259" s="8" t="inlineStr">
        <is>
          <t>Step 7: Risk Assessment and Follow-up</t>
        </is>
      </c>
      <c r="F1259" s="8" t="inlineStr">
        <is>
          <t>en.applicationProcess[0].process[13]</t>
        </is>
      </c>
      <c r="G1259" s="8" t="inlineStr">
        <is>
          <t>C18@20261028-4c31c2aa</t>
        </is>
      </c>
      <c r="H1259" s="8" t="n">
        <v>1</v>
      </c>
      <c r="I1259" s="8" t="n">
        <v>1</v>
      </c>
      <c r="J1259" s="8" t="inlineStr">
        <is>
          <t>Healthcare providers will assess pregnancy risk factors and if identified as high-risk, a red sticker will be placed on the Mother and Child Protection card with necessary follow-up instructions.</t>
        </is>
      </c>
      <c r="K1259" s="8" t="inlineStr">
        <is>
          <t>MS-C18</t>
        </is>
      </c>
      <c r="L1259" s="9" t="n">
        <v>46323</v>
      </c>
      <c r="M1259" s="8" t="inlineStr">
        <is>
          <t>Approved</t>
        </is>
      </c>
      <c r="N1259" s="8" t="inlineStr">
        <is>
          <t>paragraph</t>
        </is>
      </c>
    </row>
    <row r="1260" ht="40" customHeight="1">
      <c r="A1260" s="4" t="inlineStr">
        <is>
          <t>C18-P0054</t>
        </is>
      </c>
      <c r="B1260" s="4" t="inlineStr">
        <is>
          <t>C18</t>
        </is>
      </c>
      <c r="C1260" s="4" t="inlineStr">
        <is>
          <t>Pradhan Mantri Surakshit Matritva Abhiyan</t>
        </is>
      </c>
      <c r="D1260" s="4" t="inlineStr">
        <is>
          <t>Application process</t>
        </is>
      </c>
      <c r="E1260" s="4" t="inlineStr">
        <is>
          <t>Step 8: Next Visit Scheduling</t>
        </is>
      </c>
      <c r="F1260" s="4" t="inlineStr">
        <is>
          <t>en.applicationProcess[0].process[14]</t>
        </is>
      </c>
      <c r="G1260" s="4" t="inlineStr">
        <is>
          <t>C18@20261028-4c31c2aa</t>
        </is>
      </c>
      <c r="H1260" s="4" t="n">
        <v>1</v>
      </c>
      <c r="I1260" s="4" t="n">
        <v>1</v>
      </c>
      <c r="J1260" s="4" t="inlineStr">
        <is>
          <t>Step 8: Next Visit Scheduling</t>
        </is>
      </c>
      <c r="K1260" s="4" t="inlineStr">
        <is>
          <t>MS-C18</t>
        </is>
      </c>
      <c r="L1260" s="6" t="n">
        <v>46323</v>
      </c>
      <c r="M1260" s="4" t="inlineStr">
        <is>
          <t>Approved</t>
        </is>
      </c>
      <c r="N1260" s="4" t="inlineStr">
        <is>
          <t>paragraph</t>
        </is>
      </c>
    </row>
    <row r="1261" ht="40" customHeight="1">
      <c r="A1261" s="8" t="inlineStr">
        <is>
          <t>C18-P0055</t>
        </is>
      </c>
      <c r="B1261" s="8" t="inlineStr">
        <is>
          <t>C18</t>
        </is>
      </c>
      <c r="C1261" s="8" t="inlineStr">
        <is>
          <t>Pradhan Mantri Surakshit Matritva Abhiyan</t>
        </is>
      </c>
      <c r="D1261" s="8" t="inlineStr">
        <is>
          <t>Application process</t>
        </is>
      </c>
      <c r="E1261" s="8" t="inlineStr">
        <is>
          <t>Step 8: Next Visit Scheduling</t>
        </is>
      </c>
      <c r="F1261" s="8" t="inlineStr">
        <is>
          <t>en.applicationProcess[0].process[15]</t>
        </is>
      </c>
      <c r="G1261" s="8" t="inlineStr">
        <is>
          <t>C18@20261028-4c31c2aa</t>
        </is>
      </c>
      <c r="H1261" s="8" t="n">
        <v>1</v>
      </c>
      <c r="I1261" s="8" t="n">
        <v>1</v>
      </c>
      <c r="J1261" s="8" t="inlineStr">
        <is>
          <t>The healthcare provider will provide information about the next visit date (9th of following month) and any interim care requirements or emergency contact procedures.</t>
        </is>
      </c>
      <c r="K1261" s="8" t="inlineStr">
        <is>
          <t>MS-C18</t>
        </is>
      </c>
      <c r="L1261" s="9" t="n">
        <v>46323</v>
      </c>
      <c r="M1261" s="8" t="inlineStr">
        <is>
          <t>Approved</t>
        </is>
      </c>
      <c r="N1261" s="8" t="inlineStr">
        <is>
          <t>paragraph</t>
        </is>
      </c>
    </row>
    <row r="1262" ht="40" customHeight="1">
      <c r="A1262" s="4" t="inlineStr">
        <is>
          <t>C18-P0056</t>
        </is>
      </c>
      <c r="B1262" s="4" t="inlineStr">
        <is>
          <t>C18</t>
        </is>
      </c>
      <c r="C1262" s="4" t="inlineStr">
        <is>
          <t>Pradhan Mantri Surakshit Matritva Abhiyan</t>
        </is>
      </c>
      <c r="D1262" s="4" t="inlineStr">
        <is>
          <t>Application process</t>
        </is>
      </c>
      <c r="E1262" s="4" t="inlineStr">
        <is>
          <t>Step 8: Next Visit Scheduling</t>
        </is>
      </c>
      <c r="F1262" s="4" t="inlineStr">
        <is>
          <t>en.applicationProcess[0].process[16]</t>
        </is>
      </c>
      <c r="G1262" s="4" t="inlineStr">
        <is>
          <t>C18@20261028-4c31c2aa</t>
        </is>
      </c>
      <c r="H1262" s="4" t="n">
        <v>1</v>
      </c>
      <c r="I1262" s="4" t="n">
        <v>1</v>
      </c>
      <c r="J1262" s="4" t="inlineStr">
        <is>
          <t>*The beneficiary is advised to maintain their Mother and Child Protection card and keep track of visit dates for continuous care throughout pregnancy.</t>
        </is>
      </c>
      <c r="K1262" s="4" t="inlineStr">
        <is>
          <t>MS-C18</t>
        </is>
      </c>
      <c r="L1262" s="6" t="n">
        <v>46323</v>
      </c>
      <c r="M1262" s="4" t="inlineStr">
        <is>
          <t>Approved</t>
        </is>
      </c>
      <c r="N1262" s="4" t="inlineStr">
        <is>
          <t>paragraph</t>
        </is>
      </c>
    </row>
    <row r="1263" ht="40" customHeight="1">
      <c r="A1263" s="8" t="inlineStr">
        <is>
          <t>C18-P0057</t>
        </is>
      </c>
      <c r="B1263" s="8" t="inlineStr">
        <is>
          <t>C18</t>
        </is>
      </c>
      <c r="C1263" s="8" t="inlineStr">
        <is>
          <t>Pradhan Mantri Surakshit Matritva Abhiyan</t>
        </is>
      </c>
      <c r="D1263" s="8" t="inlineStr">
        <is>
          <t>Application process</t>
        </is>
      </c>
      <c r="E1263" s="8" t="inlineStr">
        <is>
          <t>Step 8: Next Visit Scheduling</t>
        </is>
      </c>
      <c r="F1263" s="8" t="inlineStr">
        <is>
          <t>en.applicationProcess[0].process[18].children[0]</t>
        </is>
      </c>
      <c r="G1263" s="8" t="inlineStr">
        <is>
          <t>C18@20261028-4c31c2aa</t>
        </is>
      </c>
      <c r="H1263" s="8" t="n">
        <v>1</v>
      </c>
      <c r="I1263" s="8" t="n">
        <v>1</v>
      </c>
      <c r="J1263" s="8" t="inlineStr">
        <is>
          <t>Grievance Redressal / Help &amp; Support</t>
        </is>
      </c>
      <c r="K1263" s="8" t="inlineStr">
        <is>
          <t>MS-C18</t>
        </is>
      </c>
      <c r="L1263" s="9" t="n">
        <v>46323</v>
      </c>
      <c r="M1263" s="8" t="inlineStr">
        <is>
          <t>Approved</t>
        </is>
      </c>
      <c r="N1263" s="8" t="inlineStr">
        <is>
          <t>text</t>
        </is>
      </c>
    </row>
    <row r="1264" ht="40" customHeight="1">
      <c r="A1264" s="4" t="inlineStr">
        <is>
          <t>C18-P0058</t>
        </is>
      </c>
      <c r="B1264" s="4" t="inlineStr">
        <is>
          <t>C18</t>
        </is>
      </c>
      <c r="C1264" s="4" t="inlineStr">
        <is>
          <t>Pradhan Mantri Surakshit Matritva Abhiyan</t>
        </is>
      </c>
      <c r="D1264" s="4" t="inlineStr">
        <is>
          <t>Application process</t>
        </is>
      </c>
      <c r="E1264" s="4" t="inlineStr">
        <is>
          <t>Step 8: Next Visit Scheduling</t>
        </is>
      </c>
      <c r="F1264" s="4" t="inlineStr">
        <is>
          <t>en.applicationProcess[0].process[19]</t>
        </is>
      </c>
      <c r="G1264" s="4" t="inlineStr">
        <is>
          <t>C18@20261028-4c31c2aa</t>
        </is>
      </c>
      <c r="H1264" s="4" t="n">
        <v>1</v>
      </c>
      <c r="I1264" s="4" t="n">
        <v>1</v>
      </c>
      <c r="J1264" s="4" t="inlineStr">
        <is>
          <t>National Portal: https://pmsma.nhp.gov.in/.</t>
        </is>
      </c>
      <c r="K1264" s="4" t="inlineStr">
        <is>
          <t>MS-C18</t>
        </is>
      </c>
      <c r="L1264" s="6" t="n">
        <v>46323</v>
      </c>
      <c r="M1264" s="4" t="inlineStr">
        <is>
          <t>Approved</t>
        </is>
      </c>
      <c r="N1264" s="4" t="inlineStr">
        <is>
          <t>paragraph</t>
        </is>
      </c>
    </row>
    <row r="1265" ht="40" customHeight="1">
      <c r="A1265" s="8" t="inlineStr">
        <is>
          <t>C18-P0059</t>
        </is>
      </c>
      <c r="B1265" s="8" t="inlineStr">
        <is>
          <t>C18</t>
        </is>
      </c>
      <c r="C1265" s="8" t="inlineStr">
        <is>
          <t>Pradhan Mantri Surakshit Matritva Abhiyan</t>
        </is>
      </c>
      <c r="D1265" s="8" t="inlineStr">
        <is>
          <t>Application process</t>
        </is>
      </c>
      <c r="E1265" s="8" t="inlineStr">
        <is>
          <t>Step 8: Next Visit Scheduling</t>
        </is>
      </c>
      <c r="F1265" s="8" t="inlineStr">
        <is>
          <t>en.applicationProcess[0].process[20]</t>
        </is>
      </c>
      <c r="G1265" s="8" t="inlineStr">
        <is>
          <t>C18@20261028-4c31c2aa</t>
        </is>
      </c>
      <c r="H1265" s="8" t="n">
        <v>1</v>
      </c>
      <c r="I1265" s="8" t="n">
        <v>1</v>
      </c>
      <c r="J1265" s="8" t="inlineStr">
        <is>
          <t>Toll Free Number: 18001801104.</t>
        </is>
      </c>
      <c r="K1265" s="8" t="inlineStr">
        <is>
          <t>MS-C18</t>
        </is>
      </c>
      <c r="L1265" s="9" t="n">
        <v>46323</v>
      </c>
      <c r="M1265" s="8" t="inlineStr">
        <is>
          <t>Approved</t>
        </is>
      </c>
      <c r="N1265" s="8" t="inlineStr">
        <is>
          <t>paragraph</t>
        </is>
      </c>
    </row>
    <row r="1266" ht="40" customHeight="1">
      <c r="A1266" s="4" t="inlineStr">
        <is>
          <t>C18-P0060</t>
        </is>
      </c>
      <c r="B1266" s="4" t="inlineStr">
        <is>
          <t>C18</t>
        </is>
      </c>
      <c r="C1266" s="4" t="inlineStr">
        <is>
          <t>Pradhan Mantri Surakshit Matritva Abhiyan</t>
        </is>
      </c>
      <c r="D1266" s="4" t="inlineStr">
        <is>
          <t>Application process</t>
        </is>
      </c>
      <c r="E1266" s="4" t="inlineStr">
        <is>
          <t>Step 8: Next Visit Scheduling</t>
        </is>
      </c>
      <c r="F1266" s="4" t="inlineStr">
        <is>
          <t>en.applicationProcess[0].process[21]</t>
        </is>
      </c>
      <c r="G1266" s="4" t="inlineStr">
        <is>
          <t>C18@20261028-4c31c2aa</t>
        </is>
      </c>
      <c r="H1266" s="4" t="n">
        <v>1</v>
      </c>
      <c r="I1266" s="4" t="n">
        <v>1</v>
      </c>
      <c r="J1266" s="4" t="inlineStr">
        <is>
          <t>Department: Ministry of Health &amp; Family Welfare, Government of India.</t>
        </is>
      </c>
      <c r="K1266" s="4" t="inlineStr">
        <is>
          <t>MS-C18</t>
        </is>
      </c>
      <c r="L1266" s="6" t="n">
        <v>46323</v>
      </c>
      <c r="M1266" s="4" t="inlineStr">
        <is>
          <t>Approved</t>
        </is>
      </c>
      <c r="N1266" s="4" t="inlineStr">
        <is>
          <t>paragraph</t>
        </is>
      </c>
    </row>
    <row r="1267" ht="40" customHeight="1">
      <c r="A1267" s="8" t="inlineStr">
        <is>
          <t>C18-P0061</t>
        </is>
      </c>
      <c r="B1267" s="8" t="inlineStr">
        <is>
          <t>C18</t>
        </is>
      </c>
      <c r="C1267" s="8" t="inlineStr">
        <is>
          <t>Pradhan Mantri Surakshit Matritva Abhiyan</t>
        </is>
      </c>
      <c r="D1267" s="8" t="inlineStr">
        <is>
          <t>Application process</t>
        </is>
      </c>
      <c r="E1267" s="8" t="inlineStr">
        <is>
          <t>Step 8: Next Visit Scheduling</t>
        </is>
      </c>
      <c r="F1267" s="8" t="inlineStr">
        <is>
          <t>en.applicationProcess[0].process[22]</t>
        </is>
      </c>
      <c r="G1267" s="8" t="inlineStr">
        <is>
          <t>C18@20261028-4c31c2aa</t>
        </is>
      </c>
      <c r="H1267" s="8" t="n">
        <v>1</v>
      </c>
      <c r="I1267" s="8" t="n">
        <v>1</v>
      </c>
      <c r="J1267" s="8" t="inlineStr">
        <is>
          <t>Local Contact: District Health Officer or Chief Medical Officer of respective district.</t>
        </is>
      </c>
      <c r="K1267" s="8" t="inlineStr">
        <is>
          <t>MS-C18</t>
        </is>
      </c>
      <c r="L1267" s="9" t="n">
        <v>46323</v>
      </c>
      <c r="M1267" s="8" t="inlineStr">
        <is>
          <t>Approved</t>
        </is>
      </c>
      <c r="N1267" s="8" t="inlineStr">
        <is>
          <t>paragraph</t>
        </is>
      </c>
    </row>
    <row r="1268" ht="40" customHeight="1">
      <c r="A1268" s="4" t="inlineStr">
        <is>
          <t>C18-P0062</t>
        </is>
      </c>
      <c r="B1268" s="4" t="inlineStr">
        <is>
          <t>C18</t>
        </is>
      </c>
      <c r="C1268" s="4" t="inlineStr">
        <is>
          <t>Pradhan Mantri Surakshit Matritva Abhiyan</t>
        </is>
      </c>
      <c r="D1268" s="4" t="inlineStr">
        <is>
          <t>Application process</t>
        </is>
      </c>
      <c r="E1268" s="4" t="inlineStr">
        <is>
          <t>Step 8: Next Visit Scheduling</t>
        </is>
      </c>
      <c r="F1268" s="4" t="inlineStr">
        <is>
          <t>en.applicationProcess[0].process[23]</t>
        </is>
      </c>
      <c r="G1268" s="4" t="inlineStr">
        <is>
          <t>C18@20261028-4c31c2aa</t>
        </is>
      </c>
      <c r="H1268" s="4" t="n">
        <v>1</v>
      </c>
      <c r="I1268" s="4" t="n">
        <v>1</v>
      </c>
      <c r="J1268" s="4" t="inlineStr">
        <is>
          <t>Escalation: State Health Mission to National Health Mission.</t>
        </is>
      </c>
      <c r="K1268" s="4" t="inlineStr">
        <is>
          <t>MS-C18</t>
        </is>
      </c>
      <c r="L1268" s="6" t="n">
        <v>46323</v>
      </c>
      <c r="M1268" s="4" t="inlineStr">
        <is>
          <t>Approved</t>
        </is>
      </c>
      <c r="N1268" s="4" t="inlineStr">
        <is>
          <t>paragraph</t>
        </is>
      </c>
    </row>
    <row r="1269" ht="68" customHeight="1">
      <c r="A1269" s="8" t="inlineStr">
        <is>
          <t>C18-P0063</t>
        </is>
      </c>
      <c r="B1269" s="8" t="inlineStr">
        <is>
          <t>C18</t>
        </is>
      </c>
      <c r="C1269" s="8" t="inlineStr">
        <is>
          <t>Pradhan Mantri Surakshit Matritva Abhiyan</t>
        </is>
      </c>
      <c r="D1269" s="8" t="inlineStr">
        <is>
          <t>FAQ</t>
        </is>
      </c>
      <c r="E1269" s="8" t="inlineStr"/>
      <c r="F1269" s="8" t="inlineStr">
        <is>
          <t>faqs.en.faqs[0]</t>
        </is>
      </c>
      <c r="G1269" s="8" t="inlineStr">
        <is>
          <t>C18@20261028-4c31c2aa</t>
        </is>
      </c>
      <c r="H1269" s="8" t="n">
        <v>1</v>
      </c>
      <c r="I1269" s="8" t="n">
        <v>1</v>
      </c>
      <c r="J1269" s="8" t="inlineStr">
        <is>
          <t>What is the specific date each month when I can receive free antenatal care services under this maternal health program?
You can receive comprehensive antenatal care services on the 9th of every month at designated government health facilities, or the next working day if the 9th falls on Sunday or holiday.</t>
        </is>
      </c>
      <c r="K1269" s="8" t="inlineStr">
        <is>
          <t>MS-C18</t>
        </is>
      </c>
      <c r="L1269" s="9" t="n">
        <v>46323</v>
      </c>
      <c r="M1269" s="8" t="inlineStr">
        <is>
          <t>Approved</t>
        </is>
      </c>
      <c r="N1269" s="8" t="inlineStr">
        <is>
          <t>faq</t>
        </is>
      </c>
    </row>
    <row r="1270" ht="68" customHeight="1">
      <c r="A1270" s="4" t="inlineStr">
        <is>
          <t>C18-P0064</t>
        </is>
      </c>
      <c r="B1270" s="4" t="inlineStr">
        <is>
          <t>C18</t>
        </is>
      </c>
      <c r="C1270" s="4" t="inlineStr">
        <is>
          <t>Pradhan Mantri Surakshit Matritva Abhiyan</t>
        </is>
      </c>
      <c r="D1270" s="4" t="inlineStr">
        <is>
          <t>FAQ</t>
        </is>
      </c>
      <c r="E1270" s="4" t="inlineStr"/>
      <c r="F1270" s="4" t="inlineStr">
        <is>
          <t>faqs.en.faqs[1]</t>
        </is>
      </c>
      <c r="G1270" s="4" t="inlineStr">
        <is>
          <t>C18@20261028-4c31c2aa</t>
        </is>
      </c>
      <c r="H1270" s="4" t="n">
        <v>1</v>
      </c>
      <c r="I1270" s="4" t="n">
        <v>1</v>
      </c>
      <c r="J1270" s="4" t="inlineStr">
        <is>
          <t>At what stage of my pregnancy can I start accessing the comprehensive antenatal care services provided under this national maternal health initiative?
You can access services if you are in your 2nd or 3rd trimester of pregnancy, meaning you must have completed the first trimester (beyond 12 weeks of gestation).</t>
        </is>
      </c>
      <c r="K1270" s="4" t="inlineStr">
        <is>
          <t>MS-C18</t>
        </is>
      </c>
      <c r="L1270" s="6" t="n">
        <v>46323</v>
      </c>
      <c r="M1270" s="4" t="inlineStr">
        <is>
          <t>Approved</t>
        </is>
      </c>
      <c r="N1270" s="4" t="inlineStr">
        <is>
          <t>faq</t>
        </is>
      </c>
    </row>
    <row r="1271" ht="68" customHeight="1">
      <c r="A1271" s="8" t="inlineStr">
        <is>
          <t>C18-P0065</t>
        </is>
      </c>
      <c r="B1271" s="8" t="inlineStr">
        <is>
          <t>C18</t>
        </is>
      </c>
      <c r="C1271" s="8" t="inlineStr">
        <is>
          <t>Pradhan Mantri Surakshit Matritva Abhiyan</t>
        </is>
      </c>
      <c r="D1271" s="8" t="inlineStr">
        <is>
          <t>FAQ</t>
        </is>
      </c>
      <c r="E1271" s="8" t="inlineStr"/>
      <c r="F1271" s="8" t="inlineStr">
        <is>
          <t>faqs.en.faqs[2]</t>
        </is>
      </c>
      <c r="G1271" s="8" t="inlineStr">
        <is>
          <t>C18@20261028-4c31c2aa</t>
        </is>
      </c>
      <c r="H1271" s="8" t="n">
        <v>1</v>
      </c>
      <c r="I1271" s="8" t="n">
        <v>1</v>
      </c>
      <c r="J1271" s="8" t="inlineStr">
        <is>
          <t>What type of medical specialists will provide antenatal care services to me when I visit the designated health facility on the scheduled day?
You will receive care from Obstetrics and Gynaecology specialists, Radiologists, and Physicians as part of the comprehensive antenatal care package at government health facilities.</t>
        </is>
      </c>
      <c r="K1271" s="8" t="inlineStr">
        <is>
          <t>MS-C18</t>
        </is>
      </c>
      <c r="L1271" s="9" t="n">
        <v>46323</v>
      </c>
      <c r="M1271" s="8" t="inlineStr">
        <is>
          <t>Approved</t>
        </is>
      </c>
      <c r="N1271" s="8" t="inlineStr">
        <is>
          <t>faq</t>
        </is>
      </c>
    </row>
    <row r="1272" ht="82" customHeight="1">
      <c r="A1272" s="4" t="inlineStr">
        <is>
          <t>C18-P0066</t>
        </is>
      </c>
      <c r="B1272" s="4" t="inlineStr">
        <is>
          <t>C18</t>
        </is>
      </c>
      <c r="C1272" s="4" t="inlineStr">
        <is>
          <t>Pradhan Mantri Surakshit Matritva Abhiyan</t>
        </is>
      </c>
      <c r="D1272" s="4" t="inlineStr">
        <is>
          <t>FAQ</t>
        </is>
      </c>
      <c r="E1272" s="4" t="inlineStr"/>
      <c r="F1272" s="4" t="inlineStr">
        <is>
          <t>faqs.en.faqs[3]</t>
        </is>
      </c>
      <c r="G1272" s="4" t="inlineStr">
        <is>
          <t>C18@20261028-4c31c2aa</t>
        </is>
      </c>
      <c r="H1272" s="4" t="n">
        <v>1</v>
      </c>
      <c r="I1272" s="4" t="n">
        <v>1</v>
      </c>
      <c r="J1272" s="4" t="inlineStr">
        <is>
          <t>How can I locate the nearest health facility participating in this monthly antenatal care program using digital resources available to pregnant women?
You can visit https://pmsma.nhp.gov.in/ or download the 'Pradhan Mantri Surakshit Matritva Abhiyan' mobile application to find your nearest facility using the 'Nearest Facility' search feature.</t>
        </is>
      </c>
      <c r="K1272" s="4" t="inlineStr">
        <is>
          <t>MS-C18</t>
        </is>
      </c>
      <c r="L1272" s="6" t="n">
        <v>46323</v>
      </c>
      <c r="M1272" s="4" t="inlineStr">
        <is>
          <t>Approved</t>
        </is>
      </c>
      <c r="N1272" s="4" t="inlineStr">
        <is>
          <t>faq</t>
        </is>
      </c>
    </row>
    <row r="1273" ht="68" customHeight="1">
      <c r="A1273" s="8" t="inlineStr">
        <is>
          <t>C18-P0067</t>
        </is>
      </c>
      <c r="B1273" s="8" t="inlineStr">
        <is>
          <t>C18</t>
        </is>
      </c>
      <c r="C1273" s="8" t="inlineStr">
        <is>
          <t>Pradhan Mantri Surakshit Matritva Abhiyan</t>
        </is>
      </c>
      <c r="D1273" s="8" t="inlineStr">
        <is>
          <t>FAQ</t>
        </is>
      </c>
      <c r="E1273" s="8" t="inlineStr"/>
      <c r="F1273" s="8" t="inlineStr">
        <is>
          <t>faqs.en.faqs[4]</t>
        </is>
      </c>
      <c r="G1273" s="8" t="inlineStr">
        <is>
          <t>C18@20261028-4c31c2aa</t>
        </is>
      </c>
      <c r="H1273" s="8" t="n">
        <v>1</v>
      </c>
      <c r="I1273" s="8" t="n">
        <v>1</v>
      </c>
      <c r="J1273" s="8" t="inlineStr">
        <is>
          <t>What essential medicines and supplements will I receive free of cost during my monthly antenatal care visits under this program?
You will receive Iron Folic Acid tablets, calcium supplements, and other necessary medications free of cost from the facility pharmacy as per medical requirements.</t>
        </is>
      </c>
      <c r="K1273" s="8" t="inlineStr">
        <is>
          <t>MS-C18</t>
        </is>
      </c>
      <c r="L1273" s="9" t="n">
        <v>46323</v>
      </c>
      <c r="M1273" s="8" t="inlineStr">
        <is>
          <t>Approved</t>
        </is>
      </c>
      <c r="N1273" s="8" t="inlineStr">
        <is>
          <t>faq</t>
        </is>
      </c>
    </row>
    <row r="1274" ht="68" customHeight="1">
      <c r="A1274" s="4" t="inlineStr">
        <is>
          <t>C18-P0068</t>
        </is>
      </c>
      <c r="B1274" s="4" t="inlineStr">
        <is>
          <t>C18</t>
        </is>
      </c>
      <c r="C1274" s="4" t="inlineStr">
        <is>
          <t>Pradhan Mantri Surakshit Matritva Abhiyan</t>
        </is>
      </c>
      <c r="D1274" s="4" t="inlineStr">
        <is>
          <t>FAQ</t>
        </is>
      </c>
      <c r="E1274" s="4" t="inlineStr"/>
      <c r="F1274" s="4" t="inlineStr">
        <is>
          <t>faqs.en.faqs[5]</t>
        </is>
      </c>
      <c r="G1274" s="4" t="inlineStr">
        <is>
          <t>C18@20261028-4c31c2aa</t>
        </is>
      </c>
      <c r="H1274" s="4" t="n">
        <v>1</v>
      </c>
      <c r="I1274" s="4" t="n">
        <v>1</v>
      </c>
      <c r="J1274" s="4" t="inlineStr">
        <is>
          <t>Are there any income or social criteria that would prevent me from accessing these monthly antenatal care services at government health facilities?
No, the scheme provides universal coverage regardless of income, caste, religion, or community background, ensuring all pregnant women can access these services free of cost.</t>
        </is>
      </c>
      <c r="K1274" s="4" t="inlineStr">
        <is>
          <t>MS-C18</t>
        </is>
      </c>
      <c r="L1274" s="6" t="n">
        <v>46323</v>
      </c>
      <c r="M1274" s="4" t="inlineStr">
        <is>
          <t>Approved</t>
        </is>
      </c>
      <c r="N1274" s="4" t="inlineStr">
        <is>
          <t>faq</t>
        </is>
      </c>
    </row>
    <row r="1275" ht="68" customHeight="1">
      <c r="A1275" s="8" t="inlineStr">
        <is>
          <t>C18-P0069</t>
        </is>
      </c>
      <c r="B1275" s="8" t="inlineStr">
        <is>
          <t>C18</t>
        </is>
      </c>
      <c r="C1275" s="8" t="inlineStr">
        <is>
          <t>Pradhan Mantri Surakshit Matritva Abhiyan</t>
        </is>
      </c>
      <c r="D1275" s="8" t="inlineStr">
        <is>
          <t>FAQ</t>
        </is>
      </c>
      <c r="E1275" s="8" t="inlineStr"/>
      <c r="F1275" s="8" t="inlineStr">
        <is>
          <t>faqs.en.faqs[6]</t>
        </is>
      </c>
      <c r="G1275" s="8" t="inlineStr">
        <is>
          <t>C18@20261028-4c31c2aa</t>
        </is>
      </c>
      <c r="H1275" s="8" t="n">
        <v>1</v>
      </c>
      <c r="I1275" s="8" t="n">
        <v>1</v>
      </c>
      <c r="J1275" s="8" t="inlineStr">
        <is>
          <t>What happens if healthcare providers identify my pregnancy as high-risk during the antenatal care examination under this monthly health program?
If identified as high-risk, a red sticker will be placed on your Mother and Child Protection card with necessary follow-up instructions and priority attention for continued care.</t>
        </is>
      </c>
      <c r="K1275" s="8" t="inlineStr">
        <is>
          <t>MS-C18</t>
        </is>
      </c>
      <c r="L1275" s="9" t="n">
        <v>46323</v>
      </c>
      <c r="M1275" s="8" t="inlineStr">
        <is>
          <t>Approved</t>
        </is>
      </c>
      <c r="N1275" s="8" t="inlineStr">
        <is>
          <t>faq</t>
        </is>
      </c>
    </row>
    <row r="1276" ht="82" customHeight="1">
      <c r="A1276" s="4" t="inlineStr">
        <is>
          <t>C18-P0070</t>
        </is>
      </c>
      <c r="B1276" s="4" t="inlineStr">
        <is>
          <t>C18</t>
        </is>
      </c>
      <c r="C1276" s="4" t="inlineStr">
        <is>
          <t>Pradhan Mantri Surakshit Matritva Abhiyan</t>
        </is>
      </c>
      <c r="D1276" s="4" t="inlineStr">
        <is>
          <t>FAQ</t>
        </is>
      </c>
      <c r="E1276" s="4" t="inlineStr"/>
      <c r="F1276" s="4" t="inlineStr">
        <is>
          <t>faqs.en.faqs[7]</t>
        </is>
      </c>
      <c r="G1276" s="4" t="inlineStr">
        <is>
          <t>C18@20261028-4c31c2aa</t>
        </is>
      </c>
      <c r="H1276" s="4" t="n">
        <v>1</v>
      </c>
      <c r="I1276" s="4" t="n">
        <v>1</v>
      </c>
      <c r="J1276" s="4" t="inlineStr">
        <is>
          <t>What is the minimum documentation required for me to register and receive antenatal care services at the designated health facility?
You need Mother and Child Protection Card (if available), Aadhaar Card or any government issued identity proof, and previous medical records, with minimal documentation to ensure universal access.</t>
        </is>
      </c>
      <c r="K1276" s="4" t="inlineStr">
        <is>
          <t>MS-C18</t>
        </is>
      </c>
      <c r="L1276" s="6" t="n">
        <v>46323</v>
      </c>
      <c r="M1276" s="4" t="inlineStr">
        <is>
          <t>Approved</t>
        </is>
      </c>
      <c r="N1276" s="4" t="inlineStr">
        <is>
          <t>faq</t>
        </is>
      </c>
    </row>
    <row r="1277" ht="68" customHeight="1">
      <c r="A1277" s="8" t="inlineStr">
        <is>
          <t>C18-P0071</t>
        </is>
      </c>
      <c r="B1277" s="8" t="inlineStr">
        <is>
          <t>C18</t>
        </is>
      </c>
      <c r="C1277" s="8" t="inlineStr">
        <is>
          <t>Pradhan Mantri Surakshit Matritva Abhiyan</t>
        </is>
      </c>
      <c r="D1277" s="8" t="inlineStr">
        <is>
          <t>FAQ</t>
        </is>
      </c>
      <c r="E1277" s="8" t="inlineStr"/>
      <c r="F1277" s="8" t="inlineStr">
        <is>
          <t>faqs.en.faqs[8]</t>
        </is>
      </c>
      <c r="G1277" s="8" t="inlineStr">
        <is>
          <t>C18@20261028-4c31c2aa</t>
        </is>
      </c>
      <c r="H1277" s="8" t="n">
        <v>1</v>
      </c>
      <c r="I1277" s="8" t="n">
        <v>1</v>
      </c>
      <c r="J1277" s="8" t="inlineStr">
        <is>
          <t>When was this national maternal health program launched and which government ministry is responsible for its implementation across the country?
The scheme was launched on 9th June 2016 by the Ministry of Health &amp; Family Welfare, Government of India, implemented through National Health Mission at state and district levels.</t>
        </is>
      </c>
      <c r="K1277" s="8" t="inlineStr">
        <is>
          <t>MS-C18</t>
        </is>
      </c>
      <c r="L1277" s="9" t="n">
        <v>46323</v>
      </c>
      <c r="M1277" s="8" t="inlineStr">
        <is>
          <t>Approved</t>
        </is>
      </c>
      <c r="N1277" s="8" t="inlineStr">
        <is>
          <t>faq</t>
        </is>
      </c>
    </row>
    <row r="1278" ht="68" customHeight="1">
      <c r="A1278" s="4" t="inlineStr">
        <is>
          <t>C18-P0072</t>
        </is>
      </c>
      <c r="B1278" s="4" t="inlineStr">
        <is>
          <t>C18</t>
        </is>
      </c>
      <c r="C1278" s="4" t="inlineStr">
        <is>
          <t>Pradhan Mantri Surakshit Matritva Abhiyan</t>
        </is>
      </c>
      <c r="D1278" s="4" t="inlineStr">
        <is>
          <t>FAQ</t>
        </is>
      </c>
      <c r="E1278" s="4" t="inlineStr"/>
      <c r="F1278" s="4" t="inlineStr">
        <is>
          <t>faqs.en.faqs[9]</t>
        </is>
      </c>
      <c r="G1278" s="4" t="inlineStr">
        <is>
          <t>C18@20261028-4c31c2aa</t>
        </is>
      </c>
      <c r="H1278" s="4" t="n">
        <v>1</v>
      </c>
      <c r="I1278" s="4" t="n">
        <v>1</v>
      </c>
      <c r="J1278" s="4" t="inlineStr">
        <is>
          <t>What types of government health facilities participate in providing these monthly antenatal care services under this comprehensive maternal health initiative?
Services are provided at Primary Health Centres, Community Health Centres, District Hospitals, and urban health facilities in both urban and rural areas across the country.</t>
        </is>
      </c>
      <c r="K1278" s="4" t="inlineStr">
        <is>
          <t>MS-C18</t>
        </is>
      </c>
      <c r="L1278" s="6" t="n">
        <v>46323</v>
      </c>
      <c r="M1278" s="4" t="inlineStr">
        <is>
          <t>Approved</t>
        </is>
      </c>
      <c r="N1278" s="4" t="inlineStr">
        <is>
          <t>faq</t>
        </is>
      </c>
    </row>
    <row r="1279" ht="68" customHeight="1">
      <c r="A1279" s="8" t="inlineStr">
        <is>
          <t>C18-P0073</t>
        </is>
      </c>
      <c r="B1279" s="8" t="inlineStr">
        <is>
          <t>C18</t>
        </is>
      </c>
      <c r="C1279" s="8" t="inlineStr">
        <is>
          <t>Pradhan Mantri Surakshit Matritva Abhiyan</t>
        </is>
      </c>
      <c r="D1279" s="8" t="inlineStr">
        <is>
          <t>FAQ</t>
        </is>
      </c>
      <c r="E1279" s="8" t="inlineStr"/>
      <c r="F1279" s="8" t="inlineStr">
        <is>
          <t>faqs.en.faqs[10]</t>
        </is>
      </c>
      <c r="G1279" s="8" t="inlineStr">
        <is>
          <t>C18@20261028-4c31c2aa</t>
        </is>
      </c>
      <c r="H1279" s="8" t="n">
        <v>1</v>
      </c>
      <c r="I1279" s="8" t="n">
        <v>1</v>
      </c>
      <c r="J1279" s="8" t="inlineStr">
        <is>
          <t>What specific medical investigations and screening procedures will be conducted during my monthly antenatal care visits under this standardized healthcare program?
Required medical investigations, tests, and screening procedures will be conducted as per standardized protocol for 2nd and 3rd trimester pregnant women under the single window system.</t>
        </is>
      </c>
      <c r="K1279" s="8" t="inlineStr">
        <is>
          <t>MS-C18</t>
        </is>
      </c>
      <c r="L1279" s="9" t="n">
        <v>46323</v>
      </c>
      <c r="M1279" s="8" t="inlineStr">
        <is>
          <t>Approved</t>
        </is>
      </c>
      <c r="N1279" s="8" t="inlineStr">
        <is>
          <t>faq</t>
        </is>
      </c>
    </row>
    <row r="1280" ht="68" customHeight="1">
      <c r="A1280" s="4" t="inlineStr">
        <is>
          <t>C18-P0074</t>
        </is>
      </c>
      <c r="B1280" s="4" t="inlineStr">
        <is>
          <t>C18</t>
        </is>
      </c>
      <c r="C1280" s="4" t="inlineStr">
        <is>
          <t>Pradhan Mantri Surakshit Matritva Abhiyan</t>
        </is>
      </c>
      <c r="D1280" s="4" t="inlineStr">
        <is>
          <t>FAQ</t>
        </is>
      </c>
      <c r="E1280" s="4" t="inlineStr"/>
      <c r="F1280" s="4" t="inlineStr">
        <is>
          <t>faqs.en.faqs[11]</t>
        </is>
      </c>
      <c r="G1280" s="4" t="inlineStr">
        <is>
          <t>C18@20261028-4c31c2aa</t>
        </is>
      </c>
      <c r="H1280" s="4" t="n">
        <v>1</v>
      </c>
      <c r="I1280" s="4" t="n">
        <v>1</v>
      </c>
      <c r="J1280" s="4" t="inlineStr">
        <is>
          <t>How can I access help or support if I face any issues or have complaints regarding the antenatal care services provided under this program?
You can contact the National Portal at https://pmsma.nhp.gov.in/, call toll free number 18001801104, or contact your District Health Officer or Chief Medical Officer for assistance.</t>
        </is>
      </c>
      <c r="K1280" s="4" t="inlineStr">
        <is>
          <t>MS-C18</t>
        </is>
      </c>
      <c r="L1280" s="6" t="n">
        <v>46323</v>
      </c>
      <c r="M1280" s="4" t="inlineStr">
        <is>
          <t>Approved</t>
        </is>
      </c>
      <c r="N1280" s="4" t="inlineStr">
        <is>
          <t>faq</t>
        </is>
      </c>
    </row>
    <row r="1281" ht="82" customHeight="1">
      <c r="A1281" s="8" t="inlineStr">
        <is>
          <t>C18-P0075</t>
        </is>
      </c>
      <c r="B1281" s="8" t="inlineStr">
        <is>
          <t>C18</t>
        </is>
      </c>
      <c r="C1281" s="8" t="inlineStr">
        <is>
          <t>Pradhan Mantri Surakshit Matritva Abhiyan</t>
        </is>
      </c>
      <c r="D1281" s="8" t="inlineStr">
        <is>
          <t>FAQ</t>
        </is>
      </c>
      <c r="E1281" s="8" t="inlineStr"/>
      <c r="F1281" s="8" t="inlineStr">
        <is>
          <t>faqs.en.faqs[12]</t>
        </is>
      </c>
      <c r="G1281" s="8" t="inlineStr">
        <is>
          <t>C18@20261028-4c31c2aa</t>
        </is>
      </c>
      <c r="H1281" s="8" t="n">
        <v>1</v>
      </c>
      <c r="I1281" s="8" t="n">
        <v>1</v>
      </c>
      <c r="J1281" s="8" t="inlineStr">
        <is>
          <t>What happens if I miss my scheduled monthly visit on the 9th and can I still receive antenatal care services later in the month?
While services are specifically provided on the 9th of every month (or next working day), you should contact your facility to inquire about makeup arrangements or wait for the next scheduled date.</t>
        </is>
      </c>
      <c r="K1281" s="8" t="inlineStr">
        <is>
          <t>MS-C18</t>
        </is>
      </c>
      <c r="L1281" s="9" t="n">
        <v>46323</v>
      </c>
      <c r="M1281" s="8" t="inlineStr">
        <is>
          <t>Approved</t>
        </is>
      </c>
      <c r="N1281" s="8" t="inlineStr">
        <is>
          <t>faq</t>
        </is>
      </c>
    </row>
    <row r="1282" ht="68" customHeight="1">
      <c r="A1282" s="4" t="inlineStr">
        <is>
          <t>C18-P0076</t>
        </is>
      </c>
      <c r="B1282" s="4" t="inlineStr">
        <is>
          <t>C18</t>
        </is>
      </c>
      <c r="C1282" s="4" t="inlineStr">
        <is>
          <t>Pradhan Mantri Surakshit Matritva Abhiyan</t>
        </is>
      </c>
      <c r="D1282" s="4" t="inlineStr">
        <is>
          <t>FAQ</t>
        </is>
      </c>
      <c r="E1282" s="4" t="inlineStr"/>
      <c r="F1282" s="4" t="inlineStr">
        <is>
          <t>faqs.en.faqs[13]</t>
        </is>
      </c>
      <c r="G1282" s="4" t="inlineStr">
        <is>
          <t>C18@20261028-4c31c2aa</t>
        </is>
      </c>
      <c r="H1282" s="4" t="n">
        <v>1</v>
      </c>
      <c r="I1282" s="4" t="n">
        <v>1</v>
      </c>
      <c r="J1282" s="4" t="inlineStr">
        <is>
          <t>What system is used to ensure efficient delivery of investigations and medicines during my antenatal care visits at the designated health facilities?
The program uses principles of single window system for providing investigations and medicines, ensuring streamlined service delivery to all pregnant women attending the clinics.</t>
        </is>
      </c>
      <c r="K1282" s="4" t="inlineStr">
        <is>
          <t>MS-C18</t>
        </is>
      </c>
      <c r="L1282" s="6" t="n">
        <v>46323</v>
      </c>
      <c r="M1282" s="4" t="inlineStr">
        <is>
          <t>Approved</t>
        </is>
      </c>
      <c r="N1282" s="4" t="inlineStr">
        <is>
          <t>faq</t>
        </is>
      </c>
    </row>
    <row r="1283" ht="68" customHeight="1">
      <c r="A1283" s="8" t="inlineStr">
        <is>
          <t>C19-P0001</t>
        </is>
      </c>
      <c r="B1283" s="8" t="inlineStr">
        <is>
          <t>C19</t>
        </is>
      </c>
      <c r="C1283" s="8" t="inlineStr">
        <is>
          <t>PM POSHAN - Prime Minister's Overarching Scheme For Holistic Nourishment</t>
        </is>
      </c>
      <c r="D1283" s="8" t="inlineStr">
        <is>
          <t>Details</t>
        </is>
      </c>
      <c r="E1283" s="8" t="inlineStr"/>
      <c r="F1283" s="8" t="inlineStr">
        <is>
          <t>en.schemeContent.detailedDescription[0]</t>
        </is>
      </c>
      <c r="G1283" s="8" t="inlineStr">
        <is>
          <t>C19@20261028-2209c130</t>
        </is>
      </c>
      <c r="H1283" s="8" t="n">
        <v>1</v>
      </c>
      <c r="I1283" s="8" t="n">
        <v>1</v>
      </c>
      <c r="J1283" s="8" t="inlineStr">
        <is>
          <t>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t>
        </is>
      </c>
      <c r="K1283" s="8" t="inlineStr">
        <is>
          <t>MS-C19</t>
        </is>
      </c>
      <c r="L1283" s="9" t="n">
        <v>46323</v>
      </c>
      <c r="M1283" s="8" t="inlineStr">
        <is>
          <t>Approved</t>
        </is>
      </c>
      <c r="N1283" s="8" t="inlineStr">
        <is>
          <t>paragraph</t>
        </is>
      </c>
    </row>
    <row r="1284" ht="82" customHeight="1">
      <c r="A1284" s="4" t="inlineStr">
        <is>
          <t>C19-P0002</t>
        </is>
      </c>
      <c r="B1284" s="4" t="inlineStr">
        <is>
          <t>C19</t>
        </is>
      </c>
      <c r="C1284" s="4" t="inlineStr">
        <is>
          <t>PM POSHAN - Prime Minister's Overarching Scheme For Holistic Nourishment</t>
        </is>
      </c>
      <c r="D1284" s="4" t="inlineStr">
        <is>
          <t>Details</t>
        </is>
      </c>
      <c r="E1284" s="4" t="inlineStr"/>
      <c r="F1284" s="4" t="inlineStr">
        <is>
          <t>en.schemeContent.detailedDescription[2]</t>
        </is>
      </c>
      <c r="G1284" s="4" t="inlineStr">
        <is>
          <t>C19@20261028-2209c130</t>
        </is>
      </c>
      <c r="H1284" s="4" t="n">
        <v>1</v>
      </c>
      <c r="I1284" s="4" t="n">
        <v>1</v>
      </c>
      <c r="J1284" s="4" t="inlineStr">
        <is>
          <t>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t>
        </is>
      </c>
      <c r="K1284" s="4" t="inlineStr">
        <is>
          <t>MS-C19</t>
        </is>
      </c>
      <c r="L1284" s="6" t="n">
        <v>46323</v>
      </c>
      <c r="M1284" s="4" t="inlineStr">
        <is>
          <t>Approved</t>
        </is>
      </c>
      <c r="N1284" s="4" t="inlineStr">
        <is>
          <t>paragraph</t>
        </is>
      </c>
    </row>
    <row r="1285" ht="54" customHeight="1">
      <c r="A1285" s="8" t="inlineStr">
        <is>
          <t>C19-P0003</t>
        </is>
      </c>
      <c r="B1285" s="8" t="inlineStr">
        <is>
          <t>C19</t>
        </is>
      </c>
      <c r="C1285" s="8" t="inlineStr">
        <is>
          <t>PM POSHAN - Prime Minister's Overarching Scheme For Holistic Nourishment</t>
        </is>
      </c>
      <c r="D1285" s="8" t="inlineStr">
        <is>
          <t>Details</t>
        </is>
      </c>
      <c r="E1285" s="8" t="inlineStr"/>
      <c r="F1285" s="8" t="inlineStr">
        <is>
          <t>en.schemeContent.detailedDescription[4]</t>
        </is>
      </c>
      <c r="G1285" s="8" t="inlineStr">
        <is>
          <t>C19@20261028-2209c130</t>
        </is>
      </c>
      <c r="H1285" s="8" t="n">
        <v>1</v>
      </c>
      <c r="I1285" s="8" t="n">
        <v>1</v>
      </c>
      <c r="J1285" s="8" t="inlineStr">
        <is>
          <t>POSHAN Abhiyaan is one of the many schemes under the umbrella scheme "Integrated Child Development Services Scheme (ICDS)". ICDS also includes Anganwadi Services Scheme, Pradhan Mantri Matru Vandana Yojana, and Scheme for Adolescent Girls.</t>
        </is>
      </c>
      <c r="K1285" s="8" t="inlineStr">
        <is>
          <t>MS-C19</t>
        </is>
      </c>
      <c r="L1285" s="9" t="n">
        <v>46323</v>
      </c>
      <c r="M1285" s="8" t="inlineStr">
        <is>
          <t>Approved</t>
        </is>
      </c>
      <c r="N1285" s="8" t="inlineStr">
        <is>
          <t>paragraph</t>
        </is>
      </c>
    </row>
    <row r="1286" ht="40" customHeight="1">
      <c r="A1286" s="4" t="inlineStr">
        <is>
          <t>C19-P0004</t>
        </is>
      </c>
      <c r="B1286" s="4" t="inlineStr">
        <is>
          <t>C19</t>
        </is>
      </c>
      <c r="C1286" s="4" t="inlineStr">
        <is>
          <t>PM POSHAN - Prime Minister's Overarching Scheme For Holistic Nourishment</t>
        </is>
      </c>
      <c r="D1286" s="4" t="inlineStr">
        <is>
          <t>Benefits</t>
        </is>
      </c>
      <c r="E1286" s="4" t="inlineStr">
        <is>
          <t>Nutrition norm per child per day:</t>
        </is>
      </c>
      <c r="F1286" s="4" t="inlineStr">
        <is>
          <t>en.schemeContent.benefits[0]</t>
        </is>
      </c>
      <c r="G1286" s="4" t="inlineStr">
        <is>
          <t>C19@20261028-2209c130</t>
        </is>
      </c>
      <c r="H1286" s="4" t="n">
        <v>1</v>
      </c>
      <c r="I1286" s="4" t="n">
        <v>1</v>
      </c>
      <c r="J1286" s="4" t="inlineStr">
        <is>
          <t>Nutrition norm per child per day:</t>
        </is>
      </c>
      <c r="K1286" s="4" t="inlineStr">
        <is>
          <t>MS-C19</t>
        </is>
      </c>
      <c r="L1286" s="6" t="n">
        <v>46323</v>
      </c>
      <c r="M1286" s="4" t="inlineStr">
        <is>
          <t>Approved</t>
        </is>
      </c>
      <c r="N1286" s="4" t="inlineStr">
        <is>
          <t>paragraph</t>
        </is>
      </c>
    </row>
    <row r="1287" ht="40" customHeight="1">
      <c r="A1287" s="8" t="inlineStr">
        <is>
          <t>C19-P0005</t>
        </is>
      </c>
      <c r="B1287" s="8" t="inlineStr">
        <is>
          <t>C19</t>
        </is>
      </c>
      <c r="C1287" s="8" t="inlineStr">
        <is>
          <t>PM POSHAN - Prime Minister's Overarching Scheme For Holistic Nourishment</t>
        </is>
      </c>
      <c r="D1287" s="8" t="inlineStr">
        <is>
          <t>Benefits</t>
        </is>
      </c>
      <c r="E1287" s="8" t="inlineStr">
        <is>
          <t>Nutrition norm per child per day:</t>
        </is>
      </c>
      <c r="F1287" s="8" t="inlineStr">
        <is>
          <t>en.schemeContent.benefits[1].children[0]</t>
        </is>
      </c>
      <c r="G1287" s="8" t="inlineStr">
        <is>
          <t>C19@20261028-2209c130</t>
        </is>
      </c>
      <c r="H1287" s="8" t="n">
        <v>1</v>
      </c>
      <c r="I1287" s="8" t="n">
        <v>1</v>
      </c>
      <c r="J1287" s="8" t="inlineStr">
        <is>
          <t>Primary: Calorie – 450; Protein - 12 gms</t>
        </is>
      </c>
      <c r="K1287" s="8" t="inlineStr">
        <is>
          <t>MS-C19</t>
        </is>
      </c>
      <c r="L1287" s="9" t="n">
        <v>46323</v>
      </c>
      <c r="M1287" s="8" t="inlineStr">
        <is>
          <t>Approved</t>
        </is>
      </c>
      <c r="N1287" s="8" t="inlineStr">
        <is>
          <t>list_item</t>
        </is>
      </c>
    </row>
    <row r="1288" ht="40" customHeight="1">
      <c r="A1288" s="4" t="inlineStr">
        <is>
          <t>C19-P0006</t>
        </is>
      </c>
      <c r="B1288" s="4" t="inlineStr">
        <is>
          <t>C19</t>
        </is>
      </c>
      <c r="C1288" s="4" t="inlineStr">
        <is>
          <t>PM POSHAN - Prime Minister's Overarching Scheme For Holistic Nourishment</t>
        </is>
      </c>
      <c r="D1288" s="4" t="inlineStr">
        <is>
          <t>Benefits</t>
        </is>
      </c>
      <c r="E1288" s="4" t="inlineStr">
        <is>
          <t>Nutrition norm per child per day:</t>
        </is>
      </c>
      <c r="F1288" s="4" t="inlineStr">
        <is>
          <t>en.schemeContent.benefits[1].children[1]</t>
        </is>
      </c>
      <c r="G1288" s="4" t="inlineStr">
        <is>
          <t>C19@20261028-2209c130</t>
        </is>
      </c>
      <c r="H1288" s="4" t="n">
        <v>1</v>
      </c>
      <c r="I1288" s="4" t="n">
        <v>1</v>
      </c>
      <c r="J1288" s="4" t="inlineStr">
        <is>
          <t>Upper Primary: Calorie – 700; Protein - 20 gms</t>
        </is>
      </c>
      <c r="K1288" s="4" t="inlineStr">
        <is>
          <t>MS-C19</t>
        </is>
      </c>
      <c r="L1288" s="6" t="n">
        <v>46323</v>
      </c>
      <c r="M1288" s="4" t="inlineStr">
        <is>
          <t>Approved</t>
        </is>
      </c>
      <c r="N1288" s="4" t="inlineStr">
        <is>
          <t>list_item</t>
        </is>
      </c>
    </row>
    <row r="1289" ht="40" customHeight="1">
      <c r="A1289" s="8" t="inlineStr">
        <is>
          <t>C19-P0007</t>
        </is>
      </c>
      <c r="B1289" s="8" t="inlineStr">
        <is>
          <t>C19</t>
        </is>
      </c>
      <c r="C1289" s="8" t="inlineStr">
        <is>
          <t>PM POSHAN - Prime Minister's Overarching Scheme For Holistic Nourishment</t>
        </is>
      </c>
      <c r="D1289" s="8" t="inlineStr">
        <is>
          <t>Benefits</t>
        </is>
      </c>
      <c r="E1289" s="8" t="inlineStr">
        <is>
          <t>Food norms per child per day:</t>
        </is>
      </c>
      <c r="F1289" s="8" t="inlineStr">
        <is>
          <t>en.schemeContent.benefits[3]</t>
        </is>
      </c>
      <c r="G1289" s="8" t="inlineStr">
        <is>
          <t>C19@20261028-2209c130</t>
        </is>
      </c>
      <c r="H1289" s="8" t="n">
        <v>1</v>
      </c>
      <c r="I1289" s="8" t="n">
        <v>1</v>
      </c>
      <c r="J1289" s="8" t="inlineStr">
        <is>
          <t>Food norms per child per day:</t>
        </is>
      </c>
      <c r="K1289" s="8" t="inlineStr">
        <is>
          <t>MS-C19</t>
        </is>
      </c>
      <c r="L1289" s="9" t="n">
        <v>46323</v>
      </c>
      <c r="M1289" s="8" t="inlineStr">
        <is>
          <t>Approved</t>
        </is>
      </c>
      <c r="N1289" s="8" t="inlineStr">
        <is>
          <t>paragraph</t>
        </is>
      </c>
    </row>
    <row r="1290" ht="40" customHeight="1">
      <c r="A1290" s="4" t="inlineStr">
        <is>
          <t>C19-P0008</t>
        </is>
      </c>
      <c r="B1290" s="4" t="inlineStr">
        <is>
          <t>C19</t>
        </is>
      </c>
      <c r="C1290" s="4" t="inlineStr">
        <is>
          <t>PM POSHAN - Prime Minister's Overarching Scheme For Holistic Nourishment</t>
        </is>
      </c>
      <c r="D1290" s="4" t="inlineStr">
        <is>
          <t>Benefits</t>
        </is>
      </c>
      <c r="E1290" s="4" t="inlineStr">
        <is>
          <t>Food norms per child per day:</t>
        </is>
      </c>
      <c r="F1290" s="4" t="inlineStr">
        <is>
          <t>en.schemeContent.benefits[4].children[0]</t>
        </is>
      </c>
      <c r="G1290" s="4" t="inlineStr">
        <is>
          <t>C19@20261028-2209c130</t>
        </is>
      </c>
      <c r="H1290" s="4" t="n">
        <v>1</v>
      </c>
      <c r="I1290" s="4" t="n">
        <v>1</v>
      </c>
      <c r="J1290" s="4" t="inlineStr">
        <is>
          <t>Primary: Food grains - 100 gms; Pulses - 20 gms; Vegetables - 50 gms; Oil &amp; fat - 5 gms, Salt &amp; condiments - As per need.</t>
        </is>
      </c>
      <c r="K1290" s="4" t="inlineStr">
        <is>
          <t>MS-C19</t>
        </is>
      </c>
      <c r="L1290" s="6" t="n">
        <v>46323</v>
      </c>
      <c r="M1290" s="4" t="inlineStr">
        <is>
          <t>Approved</t>
        </is>
      </c>
      <c r="N1290" s="4" t="inlineStr">
        <is>
          <t>list_item</t>
        </is>
      </c>
    </row>
    <row r="1291" ht="40" customHeight="1">
      <c r="A1291" s="8" t="inlineStr">
        <is>
          <t>C19-P0009</t>
        </is>
      </c>
      <c r="B1291" s="8" t="inlineStr">
        <is>
          <t>C19</t>
        </is>
      </c>
      <c r="C1291" s="8" t="inlineStr">
        <is>
          <t>PM POSHAN - Prime Minister's Overarching Scheme For Holistic Nourishment</t>
        </is>
      </c>
      <c r="D1291" s="8" t="inlineStr">
        <is>
          <t>Benefits</t>
        </is>
      </c>
      <c r="E1291" s="8" t="inlineStr">
        <is>
          <t>Food norms per child per day:</t>
        </is>
      </c>
      <c r="F1291" s="8" t="inlineStr">
        <is>
          <t>en.schemeContent.benefits[4].children[1]</t>
        </is>
      </c>
      <c r="G1291" s="8" t="inlineStr">
        <is>
          <t>C19@20261028-2209c130</t>
        </is>
      </c>
      <c r="H1291" s="8" t="n">
        <v>1</v>
      </c>
      <c r="I1291" s="8" t="n">
        <v>1</v>
      </c>
      <c r="J1291" s="8" t="inlineStr">
        <is>
          <t>Upper Primary: Food grains - 150 gms; Pulses - 30 gms; Vegetables - 75 gms; Oil &amp; fat – 7.5 gms, Salt &amp; condiments - As per need.</t>
        </is>
      </c>
      <c r="K1291" s="8" t="inlineStr">
        <is>
          <t>MS-C19</t>
        </is>
      </c>
      <c r="L1291" s="9" t="n">
        <v>46323</v>
      </c>
      <c r="M1291" s="8" t="inlineStr">
        <is>
          <t>Approved</t>
        </is>
      </c>
      <c r="N1291" s="8" t="inlineStr">
        <is>
          <t>list_item</t>
        </is>
      </c>
    </row>
    <row r="1292" ht="54" customHeight="1">
      <c r="A1292" s="4" t="inlineStr">
        <is>
          <t>C19-P0010</t>
        </is>
      </c>
      <c r="B1292" s="4" t="inlineStr">
        <is>
          <t>C19</t>
        </is>
      </c>
      <c r="C1292" s="4" t="inlineStr">
        <is>
          <t>PM POSHAN - Prime Minister's Overarching Scheme For Holistic Nourishment</t>
        </is>
      </c>
      <c r="D1292" s="4" t="inlineStr">
        <is>
          <t>Benefits</t>
        </is>
      </c>
      <c r="E1292" s="4" t="inlineStr">
        <is>
          <t>Food norms per child per day:</t>
        </is>
      </c>
      <c r="F1292" s="4" t="inlineStr">
        <is>
          <t>en.schemeContent.benefits[6]</t>
        </is>
      </c>
      <c r="G1292" s="4" t="inlineStr">
        <is>
          <t>C19@20261028-2209c130</t>
        </is>
      </c>
      <c r="H1292" s="4" t="n">
        <v>1</v>
      </c>
      <c r="I1292" s="4" t="n">
        <v>1</v>
      </c>
      <c r="J1292" s="4" t="inlineStr">
        <is>
          <t>Under the Scheme, there is the provision of hot cooked meals to children of pre-schools or Bal Vatika (before class I) in primary schools also in addition to the 11.80 crore children of classes I to VIII studying in 11.20 lakh schools.</t>
        </is>
      </c>
      <c r="K1292" s="4" t="inlineStr">
        <is>
          <t>MS-C19</t>
        </is>
      </c>
      <c r="L1292" s="6" t="n">
        <v>46323</v>
      </c>
      <c r="M1292" s="4" t="inlineStr">
        <is>
          <t>Approved</t>
        </is>
      </c>
      <c r="N1292" s="4" t="inlineStr">
        <is>
          <t>paragraph</t>
        </is>
      </c>
    </row>
    <row r="1293" ht="40" customHeight="1">
      <c r="A1293" s="8" t="inlineStr">
        <is>
          <t>C19-P0011</t>
        </is>
      </c>
      <c r="B1293" s="8" t="inlineStr">
        <is>
          <t>C19</t>
        </is>
      </c>
      <c r="C1293" s="8" t="inlineStr">
        <is>
          <t>PM POSHAN - Prime Minister's Overarching Scheme For Holistic Nourishment</t>
        </is>
      </c>
      <c r="D1293" s="8" t="inlineStr">
        <is>
          <t>Eligibility</t>
        </is>
      </c>
      <c r="E1293" s="8" t="inlineStr"/>
      <c r="F1293" s="8" t="inlineStr">
        <is>
          <t>en.eligibilityCriteria.eligibilityDescription[0].children[0]</t>
        </is>
      </c>
      <c r="G1293" s="8" t="inlineStr">
        <is>
          <t>C19@20261028-2209c130</t>
        </is>
      </c>
      <c r="H1293" s="8" t="n">
        <v>1</v>
      </c>
      <c r="I1293" s="8" t="n">
        <v>1</v>
      </c>
      <c r="J1293" s="8" t="inlineStr">
        <is>
          <t>The applicant must be a citizen of India.</t>
        </is>
      </c>
      <c r="K1293" s="8" t="inlineStr">
        <is>
          <t>MS-C19</t>
        </is>
      </c>
      <c r="L1293" s="9" t="n">
        <v>46323</v>
      </c>
      <c r="M1293" s="8" t="inlineStr">
        <is>
          <t>Approved</t>
        </is>
      </c>
      <c r="N1293" s="8" t="inlineStr">
        <is>
          <t>list_item</t>
        </is>
      </c>
    </row>
    <row r="1294" ht="40" customHeight="1">
      <c r="A1294" s="4" t="inlineStr">
        <is>
          <t>C19-P0012</t>
        </is>
      </c>
      <c r="B1294" s="4" t="inlineStr">
        <is>
          <t>C19</t>
        </is>
      </c>
      <c r="C1294" s="4" t="inlineStr">
        <is>
          <t>PM POSHAN - Prime Minister's Overarching Scheme For Holistic Nourishment</t>
        </is>
      </c>
      <c r="D1294" s="4" t="inlineStr">
        <is>
          <t>Eligibility</t>
        </is>
      </c>
      <c r="E1294" s="4" t="inlineStr"/>
      <c r="F1294" s="4" t="inlineStr">
        <is>
          <t>en.eligibilityCriteria.eligibilityDescription[0].children[1]</t>
        </is>
      </c>
      <c r="G1294" s="4" t="inlineStr">
        <is>
          <t>C19@20261028-2209c130</t>
        </is>
      </c>
      <c r="H1294" s="4" t="n">
        <v>1</v>
      </c>
      <c r="I1294" s="4" t="n">
        <v>1</v>
      </c>
      <c r="J1294" s="4" t="inlineStr">
        <is>
          <t>The applicant must be studying in a Primary or Upper Primary class (Class 1st to Class 8th) in a Government or a Government-aided school.</t>
        </is>
      </c>
      <c r="K1294" s="4" t="inlineStr">
        <is>
          <t>MS-C19</t>
        </is>
      </c>
      <c r="L1294" s="6" t="n">
        <v>46323</v>
      </c>
      <c r="M1294" s="4" t="inlineStr">
        <is>
          <t>Approved</t>
        </is>
      </c>
      <c r="N1294" s="4" t="inlineStr">
        <is>
          <t>list_item</t>
        </is>
      </c>
    </row>
    <row r="1295" ht="40" customHeight="1">
      <c r="A1295" s="8" t="inlineStr">
        <is>
          <t>C19-P0013</t>
        </is>
      </c>
      <c r="B1295" s="8" t="inlineStr">
        <is>
          <t>C19</t>
        </is>
      </c>
      <c r="C1295" s="8" t="inlineStr">
        <is>
          <t>PM POSHAN - Prime Minister's Overarching Scheme For Holistic Nourishment</t>
        </is>
      </c>
      <c r="D1295" s="8" t="inlineStr">
        <is>
          <t>Applicant documents</t>
        </is>
      </c>
      <c r="E1295" s="8" t="inlineStr"/>
      <c r="F1295" s="8" t="inlineStr">
        <is>
          <t>documents.en.documents_required[0]</t>
        </is>
      </c>
      <c r="G1295" s="8" t="inlineStr">
        <is>
          <t>C19@20261028-2209c130</t>
        </is>
      </c>
      <c r="H1295" s="8" t="n">
        <v>1</v>
      </c>
      <c r="I1295" s="8" t="n">
        <v>1</v>
      </c>
      <c r="J1295" s="8" t="inlineStr">
        <is>
          <t>No documents are required for availing the benefits of this scheme.</t>
        </is>
      </c>
      <c r="K1295" s="8" t="inlineStr">
        <is>
          <t>MS-C19</t>
        </is>
      </c>
      <c r="L1295" s="9" t="n">
        <v>46323</v>
      </c>
      <c r="M1295" s="8" t="inlineStr">
        <is>
          <t>Approved</t>
        </is>
      </c>
      <c r="N1295" s="8" t="inlineStr">
        <is>
          <t>paragraph</t>
        </is>
      </c>
    </row>
    <row r="1296" ht="40" customHeight="1">
      <c r="A1296" s="4" t="inlineStr">
        <is>
          <t>C19-P0014</t>
        </is>
      </c>
      <c r="B1296" s="4" t="inlineStr">
        <is>
          <t>C19</t>
        </is>
      </c>
      <c r="C1296" s="4" t="inlineStr">
        <is>
          <t>PM POSHAN - Prime Minister's Overarching Scheme For Holistic Nourishment</t>
        </is>
      </c>
      <c r="D1296" s="4" t="inlineStr">
        <is>
          <t>Application process</t>
        </is>
      </c>
      <c r="E1296" s="4" t="inlineStr"/>
      <c r="F1296" s="4" t="inlineStr">
        <is>
          <t>en.applicationProcess[0].process[0]</t>
        </is>
      </c>
      <c r="G1296" s="4" t="inlineStr">
        <is>
          <t>C19@20261028-2209c130</t>
        </is>
      </c>
      <c r="H1296" s="4" t="n">
        <v>1</v>
      </c>
      <c r="I1296" s="4" t="n">
        <v>1</v>
      </c>
      <c r="J1296" s="4" t="inlineStr">
        <is>
          <t>There is no application process for this scheme. PM POSHAN is equally applicable to all children who are studying in Government and Government – aided schools.</t>
        </is>
      </c>
      <c r="K1296" s="4" t="inlineStr">
        <is>
          <t>MS-C19</t>
        </is>
      </c>
      <c r="L1296" s="6" t="n">
        <v>46323</v>
      </c>
      <c r="M1296" s="4" t="inlineStr">
        <is>
          <t>Approved</t>
        </is>
      </c>
      <c r="N1296" s="4" t="inlineStr">
        <is>
          <t>paragraph</t>
        </is>
      </c>
    </row>
    <row r="1297" ht="68" customHeight="1">
      <c r="A1297" s="8" t="inlineStr">
        <is>
          <t>C19-P0015</t>
        </is>
      </c>
      <c r="B1297" s="8" t="inlineStr">
        <is>
          <t>C19</t>
        </is>
      </c>
      <c r="C1297" s="8" t="inlineStr">
        <is>
          <t>PM POSHAN - Prime Minister's Overarching Scheme For Holistic Nourishment</t>
        </is>
      </c>
      <c r="D1297" s="8" t="inlineStr">
        <is>
          <t>FAQ</t>
        </is>
      </c>
      <c r="E1297" s="8" t="inlineStr"/>
      <c r="F1297" s="8" t="inlineStr">
        <is>
          <t>faqs.en.faqs[0]</t>
        </is>
      </c>
      <c r="G1297" s="8" t="inlineStr">
        <is>
          <t>C19@20261028-2209c130</t>
        </is>
      </c>
      <c r="H1297" s="8" t="n">
        <v>1</v>
      </c>
      <c r="I1297" s="8" t="n">
        <v>1</v>
      </c>
      <c r="J1297" s="8" t="inlineStr">
        <is>
          <t>What is PM POSHAN Scheme?
PM POSHAN is a centrally sponsored scheme by the Ministry of Education that provides hot cooked meals to children studying in Government and Government-aided schools to improve their nutritional status and encourage regular school attendance.</t>
        </is>
      </c>
      <c r="K1297" s="8" t="inlineStr">
        <is>
          <t>MS-C19</t>
        </is>
      </c>
      <c r="L1297" s="9" t="n">
        <v>46323</v>
      </c>
      <c r="M1297" s="8" t="inlineStr">
        <is>
          <t>Approved</t>
        </is>
      </c>
      <c r="N1297" s="8" t="inlineStr">
        <is>
          <t>faq</t>
        </is>
      </c>
    </row>
    <row r="1298" ht="96" customHeight="1">
      <c r="A1298" s="4" t="inlineStr">
        <is>
          <t>C19-P0016</t>
        </is>
      </c>
      <c r="B1298" s="4" t="inlineStr">
        <is>
          <t>C19</t>
        </is>
      </c>
      <c r="C1298" s="4" t="inlineStr">
        <is>
          <t>PM POSHAN - Prime Minister's Overarching Scheme For Holistic Nourishment</t>
        </is>
      </c>
      <c r="D1298" s="4" t="inlineStr">
        <is>
          <t>FAQ</t>
        </is>
      </c>
      <c r="E1298" s="4" t="inlineStr"/>
      <c r="F1298" s="4" t="inlineStr">
        <is>
          <t>faqs.en.faqs[1]</t>
        </is>
      </c>
      <c r="G1298" s="4" t="inlineStr">
        <is>
          <t>C19@20261028-2209c130</t>
        </is>
      </c>
      <c r="H1298" s="4" t="n">
        <v>1</v>
      </c>
      <c r="I1298" s="4" t="n">
        <v>1</v>
      </c>
      <c r="J1298" s="4" t="inlineStr">
        <is>
          <t>Who is eligible to benefit from PM POSHAN?
All children studying in:
Pre-school (Bal Vatika) within primary schools
Class 1 to Class 8
in Government or Government-aided schools are eligible. There is no need to apply for the scheme.</t>
        </is>
      </c>
      <c r="K1298" s="4" t="inlineStr">
        <is>
          <t>MS-C19</t>
        </is>
      </c>
      <c r="L1298" s="6" t="n">
        <v>46323</v>
      </c>
      <c r="M1298" s="4" t="inlineStr">
        <is>
          <t>Approved</t>
        </is>
      </c>
      <c r="N1298" s="4" t="inlineStr">
        <is>
          <t>faq</t>
        </is>
      </c>
    </row>
    <row r="1299" ht="54" customHeight="1">
      <c r="A1299" s="8" t="inlineStr">
        <is>
          <t>C19-P0017</t>
        </is>
      </c>
      <c r="B1299" s="8" t="inlineStr">
        <is>
          <t>C19</t>
        </is>
      </c>
      <c r="C1299" s="8" t="inlineStr">
        <is>
          <t>PM POSHAN - Prime Minister's Overarching Scheme For Holistic Nourishment</t>
        </is>
      </c>
      <c r="D1299" s="8" t="inlineStr">
        <is>
          <t>FAQ</t>
        </is>
      </c>
      <c r="E1299" s="8" t="inlineStr"/>
      <c r="F1299" s="8" t="inlineStr">
        <is>
          <t>faqs.en.faqs[2]</t>
        </is>
      </c>
      <c r="G1299" s="8" t="inlineStr">
        <is>
          <t>C19@20261028-2209c130</t>
        </is>
      </c>
      <c r="H1299" s="8" t="n">
        <v>1</v>
      </c>
      <c r="I1299" s="8" t="n">
        <v>1</v>
      </c>
      <c r="J1299" s="8" t="inlineStr">
        <is>
          <t>What kind of meals are provided under this scheme?
The scheme provides one hot cooked meal per school day that meets specific calorie and protein norms. The meal includes food grains, pulses, vegetables, oil/fat, and condiments.</t>
        </is>
      </c>
      <c r="K1299" s="8" t="inlineStr">
        <is>
          <t>MS-C19</t>
        </is>
      </c>
      <c r="L1299" s="9" t="n">
        <v>46323</v>
      </c>
      <c r="M1299" s="8" t="inlineStr">
        <is>
          <t>Approved</t>
        </is>
      </c>
      <c r="N1299" s="8" t="inlineStr">
        <is>
          <t>faq</t>
        </is>
      </c>
    </row>
    <row r="1300" ht="110" customHeight="1">
      <c r="A1300" s="4" t="inlineStr">
        <is>
          <t>C19-P0018</t>
        </is>
      </c>
      <c r="B1300" s="4" t="inlineStr">
        <is>
          <t>C19</t>
        </is>
      </c>
      <c r="C1300" s="4" t="inlineStr">
        <is>
          <t>PM POSHAN - Prime Minister's Overarching Scheme For Holistic Nourishment</t>
        </is>
      </c>
      <c r="D1300" s="4" t="inlineStr">
        <is>
          <t>FAQ</t>
        </is>
      </c>
      <c r="E1300" s="4" t="inlineStr"/>
      <c r="F1300" s="4" t="inlineStr">
        <is>
          <t>faqs.en.faqs[3]</t>
        </is>
      </c>
      <c r="G1300" s="4" t="inlineStr">
        <is>
          <t>C19@20261028-2209c130</t>
        </is>
      </c>
      <c r="H1300" s="4" t="n">
        <v>1</v>
      </c>
      <c r="I1300" s="4" t="n">
        <v>1</v>
      </c>
      <c r="J1300" s="4" t="inlineStr">
        <is>
          <t>What are the nutrition norms per child per day under PM POSHAN?
Primary (Class 1–5):
Calories: 450 kcal
Protein: 12 grams
Upper Primary (Class 6–8):
Calories: 700 kcal
Protein: 20 grams</t>
        </is>
      </c>
      <c r="K1300" s="4" t="inlineStr">
        <is>
          <t>MS-C19</t>
        </is>
      </c>
      <c r="L1300" s="6" t="n">
        <v>46323</v>
      </c>
      <c r="M1300" s="4" t="inlineStr">
        <is>
          <t>Approved</t>
        </is>
      </c>
      <c r="N1300" s="4" t="inlineStr">
        <is>
          <t>faq</t>
        </is>
      </c>
    </row>
    <row r="1301" ht="180" customHeight="1">
      <c r="A1301" s="8" t="inlineStr">
        <is>
          <t>C19-P0019</t>
        </is>
      </c>
      <c r="B1301" s="8" t="inlineStr">
        <is>
          <t>C19</t>
        </is>
      </c>
      <c r="C1301" s="8" t="inlineStr">
        <is>
          <t>PM POSHAN - Prime Minister's Overarching Scheme For Holistic Nourishment</t>
        </is>
      </c>
      <c r="D1301" s="8" t="inlineStr">
        <is>
          <t>FAQ</t>
        </is>
      </c>
      <c r="E1301" s="8" t="inlineStr"/>
      <c r="F1301" s="8" t="inlineStr">
        <is>
          <t>faqs.en.faqs[4]</t>
        </is>
      </c>
      <c r="G1301" s="8" t="inlineStr">
        <is>
          <t>C19@20261028-2209c130</t>
        </is>
      </c>
      <c r="H1301" s="8" t="n">
        <v>1</v>
      </c>
      <c r="I1301" s="8" t="n">
        <v>1</v>
      </c>
      <c r="J1301" s="8" t="inlineStr">
        <is>
          <t>What are the food quantity norms per child per day?
Primary:
Food grains: 100 g
Pulses: 20 g
Vegetables: 50 g
Oil &amp; fat: 5 g
Upper Primary:
Food grains: 150 g
Pulses: 30 g
Vegetables: 75 g
Oil &amp; fat: 7.5 g
(Salt &amp; condiments as per need)</t>
        </is>
      </c>
      <c r="K1301" s="8" t="inlineStr">
        <is>
          <t>MS-C19</t>
        </is>
      </c>
      <c r="L1301" s="9" t="n">
        <v>46323</v>
      </c>
      <c r="M1301" s="8" t="inlineStr">
        <is>
          <t>Approved</t>
        </is>
      </c>
      <c r="N1301" s="8" t="inlineStr">
        <is>
          <t>faq</t>
        </is>
      </c>
    </row>
    <row r="1302" ht="54" customHeight="1">
      <c r="A1302" s="4" t="inlineStr">
        <is>
          <t>C19-P0020</t>
        </is>
      </c>
      <c r="B1302" s="4" t="inlineStr">
        <is>
          <t>C19</t>
        </is>
      </c>
      <c r="C1302" s="4" t="inlineStr">
        <is>
          <t>PM POSHAN - Prime Minister's Overarching Scheme For Holistic Nourishment</t>
        </is>
      </c>
      <c r="D1302" s="4" t="inlineStr">
        <is>
          <t>FAQ</t>
        </is>
      </c>
      <c r="E1302" s="4" t="inlineStr"/>
      <c r="F1302" s="4" t="inlineStr">
        <is>
          <t>faqs.en.faqs[5]</t>
        </is>
      </c>
      <c r="G1302" s="4" t="inlineStr">
        <is>
          <t>C19@20261028-2209c130</t>
        </is>
      </c>
      <c r="H1302" s="4" t="n">
        <v>1</v>
      </c>
      <c r="I1302" s="4" t="n">
        <v>1</v>
      </c>
      <c r="J1302" s="4" t="inlineStr">
        <is>
          <t>Is there any discrimination based on caste, religion, or gender under PM POSHAN?
No. The scheme is universal and inclusive, and benefits are provided to all eligible children without any discrimination.</t>
        </is>
      </c>
      <c r="K1302" s="4" t="inlineStr">
        <is>
          <t>MS-C19</t>
        </is>
      </c>
      <c r="L1302" s="6" t="n">
        <v>46323</v>
      </c>
      <c r="M1302" s="4" t="inlineStr">
        <is>
          <t>Approved</t>
        </is>
      </c>
      <c r="N1302" s="4" t="inlineStr">
        <is>
          <t>faq</t>
        </is>
      </c>
    </row>
    <row r="1303" ht="54" customHeight="1">
      <c r="A1303" s="8" t="inlineStr">
        <is>
          <t>C19-P0021</t>
        </is>
      </c>
      <c r="B1303" s="8" t="inlineStr">
        <is>
          <t>C19</t>
        </is>
      </c>
      <c r="C1303" s="8" t="inlineStr">
        <is>
          <t>PM POSHAN - Prime Minister's Overarching Scheme For Holistic Nourishment</t>
        </is>
      </c>
      <c r="D1303" s="8" t="inlineStr">
        <is>
          <t>FAQ</t>
        </is>
      </c>
      <c r="E1303" s="8" t="inlineStr"/>
      <c r="F1303" s="8" t="inlineStr">
        <is>
          <t>faqs.en.faqs[6]</t>
        </is>
      </c>
      <c r="G1303" s="8" t="inlineStr">
        <is>
          <t>C19@20261028-2209c130</t>
        </is>
      </c>
      <c r="H1303" s="8" t="n">
        <v>1</v>
      </c>
      <c r="I1303" s="8" t="n">
        <v>1</v>
      </c>
      <c r="J1303" s="8" t="inlineStr">
        <is>
          <t>Is there an application process for this scheme?
No application is required. All eligible children automatically receive the benefits as part of their school program.</t>
        </is>
      </c>
      <c r="K1303" s="8" t="inlineStr">
        <is>
          <t>MS-C19</t>
        </is>
      </c>
      <c r="L1303" s="9" t="n">
        <v>46323</v>
      </c>
      <c r="M1303" s="8" t="inlineStr">
        <is>
          <t>Approved</t>
        </is>
      </c>
      <c r="N1303" s="8" t="inlineStr">
        <is>
          <t>faq</t>
        </is>
      </c>
    </row>
    <row r="1304" ht="96" customHeight="1">
      <c r="A1304" s="4" t="inlineStr">
        <is>
          <t>C19-P0022</t>
        </is>
      </c>
      <c r="B1304" s="4" t="inlineStr">
        <is>
          <t>C19</t>
        </is>
      </c>
      <c r="C1304" s="4" t="inlineStr">
        <is>
          <t>PM POSHAN - Prime Minister's Overarching Scheme For Holistic Nourishment</t>
        </is>
      </c>
      <c r="D1304" s="4" t="inlineStr">
        <is>
          <t>FAQ</t>
        </is>
      </c>
      <c r="E1304" s="4" t="inlineStr"/>
      <c r="F1304" s="4" t="inlineStr">
        <is>
          <t>faqs.en.faqs[7]</t>
        </is>
      </c>
      <c r="G1304" s="4" t="inlineStr">
        <is>
          <t>C19@20261028-2209c130</t>
        </is>
      </c>
      <c r="H1304" s="4" t="n">
        <v>1</v>
      </c>
      <c r="I1304" s="4" t="n">
        <v>1</v>
      </c>
      <c r="J1304" s="4" t="inlineStr">
        <is>
          <t>What is the objective of PM POSHAN Scheme?
The scheme aims to:
Enhance nutrition for school children
Encourage school attendance
Improve concentration and learning outcomes
Promote social equity through common meals</t>
        </is>
      </c>
      <c r="K1304" s="4" t="inlineStr">
        <is>
          <t>MS-C19</t>
        </is>
      </c>
      <c r="L1304" s="6" t="n">
        <v>46323</v>
      </c>
      <c r="M1304" s="4" t="inlineStr">
        <is>
          <t>Approved</t>
        </is>
      </c>
      <c r="N1304" s="4" t="inlineStr">
        <is>
          <t>faq</t>
        </is>
      </c>
    </row>
    <row r="1305" ht="96" customHeight="1">
      <c r="A1305" s="8" t="inlineStr">
        <is>
          <t>C19-P0023</t>
        </is>
      </c>
      <c r="B1305" s="8" t="inlineStr">
        <is>
          <t>C19</t>
        </is>
      </c>
      <c r="C1305" s="8" t="inlineStr">
        <is>
          <t>PM POSHAN - Prime Minister's Overarching Scheme For Holistic Nourishment</t>
        </is>
      </c>
      <c r="D1305" s="8" t="inlineStr">
        <is>
          <t>FAQ</t>
        </is>
      </c>
      <c r="E1305" s="8" t="inlineStr"/>
      <c r="F1305" s="8" t="inlineStr">
        <is>
          <t>faqs.en.faqs[8]</t>
        </is>
      </c>
      <c r="G1305" s="8" t="inlineStr">
        <is>
          <t>C19@20261028-2209c130</t>
        </is>
      </c>
      <c r="H1305" s="8" t="n">
        <v>1</v>
      </c>
      <c r="I1305" s="8" t="n">
        <v>1</v>
      </c>
      <c r="J1305" s="8" t="inlineStr">
        <is>
          <t>Is this scheme part of a broader initiative?
Yes, PM POSHAN operates under the umbrella of the Integrated Child Development Services (ICDS), which includes:
Anganwadi Services Scheme
Pradhan Mantri Matru Vandana Yojana
Scheme for Adolescent Girls</t>
        </is>
      </c>
      <c r="K1305" s="8" t="inlineStr">
        <is>
          <t>MS-C19</t>
        </is>
      </c>
      <c r="L1305" s="9" t="n">
        <v>46323</v>
      </c>
      <c r="M1305" s="8" t="inlineStr">
        <is>
          <t>Approved</t>
        </is>
      </c>
      <c r="N1305" s="8" t="inlineStr">
        <is>
          <t>faq</t>
        </is>
      </c>
    </row>
    <row r="1306" ht="54" customHeight="1">
      <c r="A1306" s="4" t="inlineStr">
        <is>
          <t>C19-P0024</t>
        </is>
      </c>
      <c r="B1306" s="4" t="inlineStr">
        <is>
          <t>C19</t>
        </is>
      </c>
      <c r="C1306" s="4" t="inlineStr">
        <is>
          <t>PM POSHAN - Prime Minister's Overarching Scheme For Holistic Nourishment</t>
        </is>
      </c>
      <c r="D1306" s="4" t="inlineStr">
        <is>
          <t>FAQ</t>
        </is>
      </c>
      <c r="E1306" s="4" t="inlineStr"/>
      <c r="F1306" s="4" t="inlineStr">
        <is>
          <t>faqs.en.faqs[9]</t>
        </is>
      </c>
      <c r="G1306" s="4" t="inlineStr">
        <is>
          <t>C19@20261028-2209c130</t>
        </is>
      </c>
      <c r="H1306" s="4" t="n">
        <v>1</v>
      </c>
      <c r="I1306" s="4" t="n">
        <v>1</v>
      </c>
      <c r="J1306" s="4" t="inlineStr">
        <is>
          <t>How many children and schools are covered under PM POSHAN?
The scheme benefits approximately more than 11.80 crore children across 11.20 lakh schools throughout India, making it one of the world’s largest school nutrition programs.</t>
        </is>
      </c>
      <c r="K1306" s="4" t="inlineStr">
        <is>
          <t>MS-C19</t>
        </is>
      </c>
      <c r="L1306" s="6" t="n">
        <v>46323</v>
      </c>
      <c r="M1306" s="4" t="inlineStr">
        <is>
          <t>Approved</t>
        </is>
      </c>
      <c r="N1306" s="4" t="inlineStr">
        <is>
          <t>faq</t>
        </is>
      </c>
    </row>
    <row r="1307" ht="68" customHeight="1">
      <c r="A1307" s="8" t="inlineStr">
        <is>
          <t>C20-P0001</t>
        </is>
      </c>
      <c r="B1307" s="8" t="inlineStr">
        <is>
          <t>C20</t>
        </is>
      </c>
      <c r="C1307" s="8" t="inlineStr">
        <is>
          <t>Youth Hostel Scheme</t>
        </is>
      </c>
      <c r="D1307" s="8" t="inlineStr">
        <is>
          <t>Details</t>
        </is>
      </c>
      <c r="E1307" s="8" t="inlineStr"/>
      <c r="F1307" s="8" t="inlineStr">
        <is>
          <t>en.schemeContent.detailedDescription[0]</t>
        </is>
      </c>
      <c r="G1307" s="8" t="inlineStr">
        <is>
          <t>C20@20261028-f6115a0f</t>
        </is>
      </c>
      <c r="H1307" s="8" t="n">
        <v>1</v>
      </c>
      <c r="I1307" s="8" t="n">
        <v>1</v>
      </c>
      <c r="J1307" s="8" t="inlineStr">
        <is>
          <t>The Youth Hostel Scheme is managed by the Department of Youth Affairs &amp; Sports under the Ministry of Youth Affairs &amp; Sports, Government of India. The Central Government provides financial assistance to the State Governments for the construction and maintenance of youth hostels. The State Governments are responsible for the day-to-day management of youth hostels.</t>
        </is>
      </c>
      <c r="K1307" s="8" t="inlineStr">
        <is>
          <t>MS-C20</t>
        </is>
      </c>
      <c r="L1307" s="9" t="n">
        <v>46323</v>
      </c>
      <c r="M1307" s="8" t="inlineStr">
        <is>
          <t>Approved</t>
        </is>
      </c>
      <c r="N1307" s="8" t="inlineStr">
        <is>
          <t>paragraph</t>
        </is>
      </c>
    </row>
    <row r="1308" ht="40" customHeight="1">
      <c r="A1308" s="4" t="inlineStr">
        <is>
          <t>C20-P0002</t>
        </is>
      </c>
      <c r="B1308" s="4" t="inlineStr">
        <is>
          <t>C20</t>
        </is>
      </c>
      <c r="C1308" s="4" t="inlineStr">
        <is>
          <t>Youth Hostel Scheme</t>
        </is>
      </c>
      <c r="D1308" s="4" t="inlineStr">
        <is>
          <t>Benefits</t>
        </is>
      </c>
      <c r="E1308" s="4" t="inlineStr"/>
      <c r="F1308" s="4" t="inlineStr">
        <is>
          <t>en.schemeContent.benefits[0].children[0]</t>
        </is>
      </c>
      <c r="G1308" s="4" t="inlineStr">
        <is>
          <t>C20@20261028-f6115a0f</t>
        </is>
      </c>
      <c r="H1308" s="4" t="n">
        <v>1</v>
      </c>
      <c r="I1308" s="4" t="n">
        <v>1</v>
      </c>
      <c r="J1308" s="4" t="inlineStr">
        <is>
          <t>Affordable accommodation: Youth hostels offer a much cheaper alternative to hotels and guesthouses.</t>
        </is>
      </c>
      <c r="K1308" s="4" t="inlineStr">
        <is>
          <t>MS-C20</t>
        </is>
      </c>
      <c r="L1308" s="6" t="n">
        <v>46323</v>
      </c>
      <c r="M1308" s="4" t="inlineStr">
        <is>
          <t>Approved</t>
        </is>
      </c>
      <c r="N1308" s="4" t="inlineStr">
        <is>
          <t>list_item</t>
        </is>
      </c>
    </row>
    <row r="1309" ht="40" customHeight="1">
      <c r="A1309" s="8" t="inlineStr">
        <is>
          <t>C20-P0003</t>
        </is>
      </c>
      <c r="B1309" s="8" t="inlineStr">
        <is>
          <t>C20</t>
        </is>
      </c>
      <c r="C1309" s="8" t="inlineStr">
        <is>
          <t>Youth Hostel Scheme</t>
        </is>
      </c>
      <c r="D1309" s="8" t="inlineStr">
        <is>
          <t>Benefits</t>
        </is>
      </c>
      <c r="E1309" s="8" t="inlineStr"/>
      <c r="F1309" s="8" t="inlineStr">
        <is>
          <t>en.schemeContent.benefits[0].children[1]</t>
        </is>
      </c>
      <c r="G1309" s="8" t="inlineStr">
        <is>
          <t>C20@20261028-f6115a0f</t>
        </is>
      </c>
      <c r="H1309" s="8" t="n">
        <v>1</v>
      </c>
      <c r="I1309" s="8" t="n">
        <v>1</v>
      </c>
      <c r="J1309" s="8" t="inlineStr">
        <is>
          <t>Social atmosphere: Youth hostels are a great place to meet new people from all over the world.</t>
        </is>
      </c>
      <c r="K1309" s="8" t="inlineStr">
        <is>
          <t>MS-C20</t>
        </is>
      </c>
      <c r="L1309" s="9" t="n">
        <v>46323</v>
      </c>
      <c r="M1309" s="8" t="inlineStr">
        <is>
          <t>Approved</t>
        </is>
      </c>
      <c r="N1309" s="8" t="inlineStr">
        <is>
          <t>list_item</t>
        </is>
      </c>
    </row>
    <row r="1310" ht="40" customHeight="1">
      <c r="A1310" s="4" t="inlineStr">
        <is>
          <t>C20-P0004</t>
        </is>
      </c>
      <c r="B1310" s="4" t="inlineStr">
        <is>
          <t>C20</t>
        </is>
      </c>
      <c r="C1310" s="4" t="inlineStr">
        <is>
          <t>Youth Hostel Scheme</t>
        </is>
      </c>
      <c r="D1310" s="4" t="inlineStr">
        <is>
          <t>Benefits</t>
        </is>
      </c>
      <c r="E1310" s="4" t="inlineStr"/>
      <c r="F1310" s="4" t="inlineStr">
        <is>
          <t>en.schemeContent.benefits[0].children[2]</t>
        </is>
      </c>
      <c r="G1310" s="4" t="inlineStr">
        <is>
          <t>C20@20261028-f6115a0f</t>
        </is>
      </c>
      <c r="H1310" s="4" t="n">
        <v>1</v>
      </c>
      <c r="I1310" s="4" t="n">
        <v>1</v>
      </c>
      <c r="J1310" s="4" t="inlineStr">
        <is>
          <t>Cultural experience: Youth hostels are often located in places of cultural interest, giving you the opportunity to learn about the local culture and traditions.</t>
        </is>
      </c>
      <c r="K1310" s="4" t="inlineStr">
        <is>
          <t>MS-C20</t>
        </is>
      </c>
      <c r="L1310" s="6" t="n">
        <v>46323</v>
      </c>
      <c r="M1310" s="4" t="inlineStr">
        <is>
          <t>Approved</t>
        </is>
      </c>
      <c r="N1310" s="4" t="inlineStr">
        <is>
          <t>list_item</t>
        </is>
      </c>
    </row>
    <row r="1311" ht="54" customHeight="1">
      <c r="A1311" s="8" t="inlineStr">
        <is>
          <t>C20-P0005</t>
        </is>
      </c>
      <c r="B1311" s="8" t="inlineStr">
        <is>
          <t>C20</t>
        </is>
      </c>
      <c r="C1311" s="8" t="inlineStr">
        <is>
          <t>Youth Hostel Scheme</t>
        </is>
      </c>
      <c r="D1311" s="8" t="inlineStr">
        <is>
          <t>Benefits</t>
        </is>
      </c>
      <c r="E1311" s="8" t="inlineStr"/>
      <c r="F1311" s="8" t="inlineStr">
        <is>
          <t>en.schemeContent.benefits[0].children[3]</t>
        </is>
      </c>
      <c r="G1311" s="8" t="inlineStr">
        <is>
          <t>C20@20261028-f6115a0f</t>
        </is>
      </c>
      <c r="H1311" s="8" t="n">
        <v>1</v>
      </c>
      <c r="I1311" s="8" t="n">
        <v>1</v>
      </c>
      <c r="J1311" s="8" t="inlineStr">
        <is>
          <t>Flexible options: Youth hostels offer a variety of accommodation options, including dormitories, private rooms, and family rooms. You can also choose to book meals at the hostel or cook your own food.</t>
        </is>
      </c>
      <c r="K1311" s="8" t="inlineStr">
        <is>
          <t>MS-C20</t>
        </is>
      </c>
      <c r="L1311" s="9" t="n">
        <v>46323</v>
      </c>
      <c r="M1311" s="8" t="inlineStr">
        <is>
          <t>Approved</t>
        </is>
      </c>
      <c r="N1311" s="8" t="inlineStr">
        <is>
          <t>list_item</t>
        </is>
      </c>
    </row>
    <row r="1312" ht="40" customHeight="1">
      <c r="A1312" s="4" t="inlineStr">
        <is>
          <t>C20-P0006</t>
        </is>
      </c>
      <c r="B1312" s="4" t="inlineStr">
        <is>
          <t>C20</t>
        </is>
      </c>
      <c r="C1312" s="4" t="inlineStr">
        <is>
          <t>Youth Hostel Scheme</t>
        </is>
      </c>
      <c r="D1312" s="4" t="inlineStr">
        <is>
          <t>Eligibility</t>
        </is>
      </c>
      <c r="E1312" s="4" t="inlineStr"/>
      <c r="F1312" s="4" t="inlineStr">
        <is>
          <t>en.eligibilityCriteria.eligibilityDescription[0].children[0]</t>
        </is>
      </c>
      <c r="G1312" s="4" t="inlineStr">
        <is>
          <t>C20@20261028-f6115a0f</t>
        </is>
      </c>
      <c r="H1312" s="4" t="n">
        <v>1</v>
      </c>
      <c r="I1312" s="4" t="n">
        <v>1</v>
      </c>
      <c r="J1312" s="4" t="inlineStr">
        <is>
          <t>There is no age restriction but if applicant is below 18 then he/she  must be accompanied by a parent or guardian when staying in a youth hostel.</t>
        </is>
      </c>
      <c r="K1312" s="4" t="inlineStr">
        <is>
          <t>MS-C20</t>
        </is>
      </c>
      <c r="L1312" s="6" t="n">
        <v>46323</v>
      </c>
      <c r="M1312" s="4" t="inlineStr">
        <is>
          <t>Approved</t>
        </is>
      </c>
      <c r="N1312" s="4" t="inlineStr">
        <is>
          <t>list_item</t>
        </is>
      </c>
    </row>
    <row r="1313" ht="40" customHeight="1">
      <c r="A1313" s="8" t="inlineStr">
        <is>
          <t>C20-P0007</t>
        </is>
      </c>
      <c r="B1313" s="8" t="inlineStr">
        <is>
          <t>C20</t>
        </is>
      </c>
      <c r="C1313" s="8" t="inlineStr">
        <is>
          <t>Youth Hostel Scheme</t>
        </is>
      </c>
      <c r="D1313" s="8" t="inlineStr">
        <is>
          <t>Applicant documents</t>
        </is>
      </c>
      <c r="E1313" s="8" t="inlineStr"/>
      <c r="F1313" s="8" t="inlineStr">
        <is>
          <t>documents.en.documents_required[0].children[0]</t>
        </is>
      </c>
      <c r="G1313" s="8" t="inlineStr">
        <is>
          <t>C20@20261028-f6115a0f</t>
        </is>
      </c>
      <c r="H1313" s="8" t="n">
        <v>1</v>
      </c>
      <c r="I1313" s="8" t="n">
        <v>1</v>
      </c>
      <c r="J1313" s="8" t="inlineStr">
        <is>
          <t>Completed YHAI membership application form</t>
        </is>
      </c>
      <c r="K1313" s="8" t="inlineStr">
        <is>
          <t>MS-C20</t>
        </is>
      </c>
      <c r="L1313" s="9" t="n">
        <v>46323</v>
      </c>
      <c r="M1313" s="8" t="inlineStr">
        <is>
          <t>Approved</t>
        </is>
      </c>
      <c r="N1313" s="8" t="inlineStr">
        <is>
          <t>list_item</t>
        </is>
      </c>
    </row>
    <row r="1314" ht="40" customHeight="1">
      <c r="A1314" s="4" t="inlineStr">
        <is>
          <t>C20-P0008</t>
        </is>
      </c>
      <c r="B1314" s="4" t="inlineStr">
        <is>
          <t>C20</t>
        </is>
      </c>
      <c r="C1314" s="4" t="inlineStr">
        <is>
          <t>Youth Hostel Scheme</t>
        </is>
      </c>
      <c r="D1314" s="4" t="inlineStr">
        <is>
          <t>Applicant documents</t>
        </is>
      </c>
      <c r="E1314" s="4" t="inlineStr"/>
      <c r="F1314" s="4" t="inlineStr">
        <is>
          <t>documents.en.documents_required[0].children[1]</t>
        </is>
      </c>
      <c r="G1314" s="4" t="inlineStr">
        <is>
          <t>C20@20261028-f6115a0f</t>
        </is>
      </c>
      <c r="H1314" s="4" t="n">
        <v>1</v>
      </c>
      <c r="I1314" s="4" t="n">
        <v>1</v>
      </c>
      <c r="J1314" s="4" t="inlineStr">
        <is>
          <t>Passport size photograph</t>
        </is>
      </c>
      <c r="K1314" s="4" t="inlineStr">
        <is>
          <t>MS-C20</t>
        </is>
      </c>
      <c r="L1314" s="6" t="n">
        <v>46323</v>
      </c>
      <c r="M1314" s="4" t="inlineStr">
        <is>
          <t>Approved</t>
        </is>
      </c>
      <c r="N1314" s="4" t="inlineStr">
        <is>
          <t>list_item</t>
        </is>
      </c>
    </row>
    <row r="1315" ht="40" customHeight="1">
      <c r="A1315" s="8" t="inlineStr">
        <is>
          <t>C20-P0009</t>
        </is>
      </c>
      <c r="B1315" s="8" t="inlineStr">
        <is>
          <t>C20</t>
        </is>
      </c>
      <c r="C1315" s="8" t="inlineStr">
        <is>
          <t>Youth Hostel Scheme</t>
        </is>
      </c>
      <c r="D1315" s="8" t="inlineStr">
        <is>
          <t>Applicant documents</t>
        </is>
      </c>
      <c r="E1315" s="8" t="inlineStr"/>
      <c r="F1315" s="8" t="inlineStr">
        <is>
          <t>documents.en.documents_required[0].children[2]</t>
        </is>
      </c>
      <c r="G1315" s="8" t="inlineStr">
        <is>
          <t>C20@20261028-f6115a0f</t>
        </is>
      </c>
      <c r="H1315" s="8" t="n">
        <v>1</v>
      </c>
      <c r="I1315" s="8" t="n">
        <v>1</v>
      </c>
      <c r="J1315" s="8" t="inlineStr">
        <is>
          <t>Proof of identity, such as a copy of your passport, driver's license, or Aadhaar card</t>
        </is>
      </c>
      <c r="K1315" s="8" t="inlineStr">
        <is>
          <t>MS-C20</t>
        </is>
      </c>
      <c r="L1315" s="9" t="n">
        <v>46323</v>
      </c>
      <c r="M1315" s="8" t="inlineStr">
        <is>
          <t>Approved</t>
        </is>
      </c>
      <c r="N1315" s="8" t="inlineStr">
        <is>
          <t>list_item</t>
        </is>
      </c>
    </row>
    <row r="1316" ht="40" customHeight="1">
      <c r="A1316" s="4" t="inlineStr">
        <is>
          <t>C20-P0010</t>
        </is>
      </c>
      <c r="B1316" s="4" t="inlineStr">
        <is>
          <t>C20</t>
        </is>
      </c>
      <c r="C1316" s="4" t="inlineStr">
        <is>
          <t>Youth Hostel Scheme</t>
        </is>
      </c>
      <c r="D1316" s="4" t="inlineStr">
        <is>
          <t>Application process</t>
        </is>
      </c>
      <c r="E1316" s="4" t="inlineStr"/>
      <c r="F1316" s="4" t="inlineStr">
        <is>
          <t>en.applicationProcess[0].process[0].children[0]</t>
        </is>
      </c>
      <c r="G1316" s="4" t="inlineStr">
        <is>
          <t>C20@20261028-f6115a0f</t>
        </is>
      </c>
      <c r="H1316" s="4" t="n">
        <v>1</v>
      </c>
      <c r="I1316" s="4" t="n">
        <v>1</v>
      </c>
      <c r="J1316" s="4" t="inlineStr">
        <is>
          <t>Applicant must visit the official website.</t>
        </is>
      </c>
      <c r="K1316" s="4" t="inlineStr">
        <is>
          <t>MS-C20</t>
        </is>
      </c>
      <c r="L1316" s="6" t="n">
        <v>46323</v>
      </c>
      <c r="M1316" s="4" t="inlineStr">
        <is>
          <t>Approved</t>
        </is>
      </c>
      <c r="N1316" s="4" t="inlineStr">
        <is>
          <t>list_item</t>
        </is>
      </c>
    </row>
    <row r="1317" ht="40" customHeight="1">
      <c r="A1317" s="8" t="inlineStr">
        <is>
          <t>C20-P0011</t>
        </is>
      </c>
      <c r="B1317" s="8" t="inlineStr">
        <is>
          <t>C20</t>
        </is>
      </c>
      <c r="C1317" s="8" t="inlineStr">
        <is>
          <t>Youth Hostel Scheme</t>
        </is>
      </c>
      <c r="D1317" s="8" t="inlineStr">
        <is>
          <t>Application process</t>
        </is>
      </c>
      <c r="E1317" s="8" t="inlineStr"/>
      <c r="F1317" s="8" t="inlineStr">
        <is>
          <t>en.applicationProcess[0].process[0].children[1]</t>
        </is>
      </c>
      <c r="G1317" s="8" t="inlineStr">
        <is>
          <t>C20@20261028-f6115a0f</t>
        </is>
      </c>
      <c r="H1317" s="8" t="n">
        <v>1</v>
      </c>
      <c r="I1317" s="8" t="n">
        <v>1</v>
      </c>
      <c r="J1317" s="8" t="inlineStr">
        <is>
          <t>Click on "Apply Now" under the Youth Hostel scheme.</t>
        </is>
      </c>
      <c r="K1317" s="8" t="inlineStr">
        <is>
          <t>MS-C20</t>
        </is>
      </c>
      <c r="L1317" s="9" t="n">
        <v>46323</v>
      </c>
      <c r="M1317" s="8" t="inlineStr">
        <is>
          <t>Approved</t>
        </is>
      </c>
      <c r="N1317" s="8" t="inlineStr">
        <is>
          <t>list_item</t>
        </is>
      </c>
    </row>
    <row r="1318" ht="40" customHeight="1">
      <c r="A1318" s="4" t="inlineStr">
        <is>
          <t>C20-P0012</t>
        </is>
      </c>
      <c r="B1318" s="4" t="inlineStr">
        <is>
          <t>C20</t>
        </is>
      </c>
      <c r="C1318" s="4" t="inlineStr">
        <is>
          <t>Youth Hostel Scheme</t>
        </is>
      </c>
      <c r="D1318" s="4" t="inlineStr">
        <is>
          <t>Application process</t>
        </is>
      </c>
      <c r="E1318" s="4" t="inlineStr"/>
      <c r="F1318" s="4" t="inlineStr">
        <is>
          <t>en.applicationProcess[0].process[0].children[2]</t>
        </is>
      </c>
      <c r="G1318" s="4" t="inlineStr">
        <is>
          <t>C20@20261028-f6115a0f</t>
        </is>
      </c>
      <c r="H1318" s="4" t="n">
        <v>1</v>
      </c>
      <c r="I1318" s="4" t="n">
        <v>1</v>
      </c>
      <c r="J1318" s="4" t="inlineStr">
        <is>
          <t>Select the user type and scheme name.</t>
        </is>
      </c>
      <c r="K1318" s="4" t="inlineStr">
        <is>
          <t>MS-C20</t>
        </is>
      </c>
      <c r="L1318" s="6" t="n">
        <v>46323</v>
      </c>
      <c r="M1318" s="4" t="inlineStr">
        <is>
          <t>Approved</t>
        </is>
      </c>
      <c r="N1318" s="4" t="inlineStr">
        <is>
          <t>list_item</t>
        </is>
      </c>
    </row>
    <row r="1319" ht="40" customHeight="1">
      <c r="A1319" s="8" t="inlineStr">
        <is>
          <t>C20-P0013</t>
        </is>
      </c>
      <c r="B1319" s="8" t="inlineStr">
        <is>
          <t>C20</t>
        </is>
      </c>
      <c r="C1319" s="8" t="inlineStr">
        <is>
          <t>Youth Hostel Scheme</t>
        </is>
      </c>
      <c r="D1319" s="8" t="inlineStr">
        <is>
          <t>Application process</t>
        </is>
      </c>
      <c r="E1319" s="8" t="inlineStr"/>
      <c r="F1319" s="8" t="inlineStr">
        <is>
          <t>en.applicationProcess[0].process[0].children[3]</t>
        </is>
      </c>
      <c r="G1319" s="8" t="inlineStr">
        <is>
          <t>C20@20261028-f6115a0f</t>
        </is>
      </c>
      <c r="H1319" s="8" t="n">
        <v>1</v>
      </c>
      <c r="I1319" s="8" t="n">
        <v>1</v>
      </c>
      <c r="J1319" s="8" t="inlineStr">
        <is>
          <t>Now fill out the require details.</t>
        </is>
      </c>
      <c r="K1319" s="8" t="inlineStr">
        <is>
          <t>MS-C20</t>
        </is>
      </c>
      <c r="L1319" s="9" t="n">
        <v>46323</v>
      </c>
      <c r="M1319" s="8" t="inlineStr">
        <is>
          <t>Approved</t>
        </is>
      </c>
      <c r="N1319" s="8" t="inlineStr">
        <is>
          <t>list_item</t>
        </is>
      </c>
    </row>
    <row r="1320" ht="40" customHeight="1">
      <c r="A1320" s="4" t="inlineStr">
        <is>
          <t>C20-P0014</t>
        </is>
      </c>
      <c r="B1320" s="4" t="inlineStr">
        <is>
          <t>C20</t>
        </is>
      </c>
      <c r="C1320" s="4" t="inlineStr">
        <is>
          <t>Youth Hostel Scheme</t>
        </is>
      </c>
      <c r="D1320" s="4" t="inlineStr">
        <is>
          <t>Application process</t>
        </is>
      </c>
      <c r="E1320" s="4" t="inlineStr"/>
      <c r="F1320" s="4" t="inlineStr">
        <is>
          <t>en.applicationProcess[0].process[0].children[4]</t>
        </is>
      </c>
      <c r="G1320" s="4" t="inlineStr">
        <is>
          <t>C20@20261028-f6115a0f</t>
        </is>
      </c>
      <c r="H1320" s="4" t="n">
        <v>1</v>
      </c>
      <c r="I1320" s="4" t="n">
        <v>1</v>
      </c>
      <c r="J1320" s="4" t="inlineStr">
        <is>
          <t>Upload the recent photograph.</t>
        </is>
      </c>
      <c r="K1320" s="4" t="inlineStr">
        <is>
          <t>MS-C20</t>
        </is>
      </c>
      <c r="L1320" s="6" t="n">
        <v>46323</v>
      </c>
      <c r="M1320" s="4" t="inlineStr">
        <is>
          <t>Approved</t>
        </is>
      </c>
      <c r="N1320" s="4" t="inlineStr">
        <is>
          <t>list_item</t>
        </is>
      </c>
    </row>
    <row r="1321" ht="40" customHeight="1">
      <c r="A1321" s="8" t="inlineStr">
        <is>
          <t>C20-P0015</t>
        </is>
      </c>
      <c r="B1321" s="8" t="inlineStr">
        <is>
          <t>C20</t>
        </is>
      </c>
      <c r="C1321" s="8" t="inlineStr">
        <is>
          <t>Youth Hostel Scheme</t>
        </is>
      </c>
      <c r="D1321" s="8" t="inlineStr">
        <is>
          <t>Application process</t>
        </is>
      </c>
      <c r="E1321" s="8" t="inlineStr"/>
      <c r="F1321" s="8" t="inlineStr">
        <is>
          <t>en.applicationProcess[0].process[0].children[5]</t>
        </is>
      </c>
      <c r="G1321" s="8" t="inlineStr">
        <is>
          <t>C20@20261028-f6115a0f</t>
        </is>
      </c>
      <c r="H1321" s="8" t="n">
        <v>1</v>
      </c>
      <c r="I1321" s="8" t="n">
        <v>1</v>
      </c>
      <c r="J1321" s="8" t="inlineStr">
        <is>
          <t>Give the consent for the Aadhaar to use as biometric and KYC .</t>
        </is>
      </c>
      <c r="K1321" s="8" t="inlineStr">
        <is>
          <t>MS-C20</t>
        </is>
      </c>
      <c r="L1321" s="9" t="n">
        <v>46323</v>
      </c>
      <c r="M1321" s="8" t="inlineStr">
        <is>
          <t>Approved</t>
        </is>
      </c>
      <c r="N1321" s="8" t="inlineStr">
        <is>
          <t>list_item</t>
        </is>
      </c>
    </row>
    <row r="1322" ht="68" customHeight="1">
      <c r="A1322" s="4" t="inlineStr">
        <is>
          <t>C20-P0016</t>
        </is>
      </c>
      <c r="B1322" s="4" t="inlineStr">
        <is>
          <t>C20</t>
        </is>
      </c>
      <c r="C1322" s="4" t="inlineStr">
        <is>
          <t>Youth Hostel Scheme</t>
        </is>
      </c>
      <c r="D1322" s="4" t="inlineStr">
        <is>
          <t>FAQ</t>
        </is>
      </c>
      <c r="E1322" s="4" t="inlineStr"/>
      <c r="F1322" s="4" t="inlineStr">
        <is>
          <t>faqs.en.faqs[0]</t>
        </is>
      </c>
      <c r="G1322" s="4" t="inlineStr">
        <is>
          <t>C20@20261028-f6115a0f</t>
        </is>
      </c>
      <c r="H1322" s="4" t="n">
        <v>1</v>
      </c>
      <c r="I1322" s="4" t="n">
        <v>1</v>
      </c>
      <c r="J1322" s="4" t="inlineStr">
        <is>
          <t>What is the Youth Hostel Scheme?
The Youth Hostel Scheme is a joint venture of the Central and State Governments of India to promote youth travel within the country by providing low-cost budget accommodation and facilities to students and youth groups traveling on excursions or study tours.</t>
        </is>
      </c>
      <c r="K1322" s="4" t="inlineStr">
        <is>
          <t>MS-C20</t>
        </is>
      </c>
      <c r="L1322" s="6" t="n">
        <v>46323</v>
      </c>
      <c r="M1322" s="4" t="inlineStr">
        <is>
          <t>Approved</t>
        </is>
      </c>
      <c r="N1322" s="4" t="inlineStr">
        <is>
          <t>faq</t>
        </is>
      </c>
    </row>
    <row r="1323" ht="82" customHeight="1">
      <c r="A1323" s="8" t="inlineStr">
        <is>
          <t>C20-P0017</t>
        </is>
      </c>
      <c r="B1323" s="8" t="inlineStr">
        <is>
          <t>C20</t>
        </is>
      </c>
      <c r="C1323" s="8" t="inlineStr">
        <is>
          <t>Youth Hostel Scheme</t>
        </is>
      </c>
      <c r="D1323" s="8" t="inlineStr">
        <is>
          <t>FAQ</t>
        </is>
      </c>
      <c r="E1323" s="8" t="inlineStr"/>
      <c r="F1323" s="8" t="inlineStr">
        <is>
          <t>faqs.en.faqs[1]</t>
        </is>
      </c>
      <c r="G1323" s="8" t="inlineStr">
        <is>
          <t>C20@20261028-f6115a0f</t>
        </is>
      </c>
      <c r="H1323" s="8" t="n">
        <v>1</v>
      </c>
      <c r="I1323" s="8" t="n">
        <v>1</v>
      </c>
      <c r="J1323" s="8" t="inlineStr">
        <is>
          <t>Who can stay in a youth hostel?
To stay in a youth hostel, you must be a member of the Youth Hostels Association of India (YHAI). YHAI membership is open to all Indian nationals and foreign nationals residing in India. There is no age limit for YHAI membership, but individuals under the age of 18 must be accompanied by a parent or guardian when staying in a youth hostel.</t>
        </is>
      </c>
      <c r="K1323" s="8" t="inlineStr">
        <is>
          <t>MS-C20</t>
        </is>
      </c>
      <c r="L1323" s="9" t="n">
        <v>46323</v>
      </c>
      <c r="M1323" s="8" t="inlineStr">
        <is>
          <t>Approved</t>
        </is>
      </c>
      <c r="N1323" s="8" t="inlineStr">
        <is>
          <t>faq</t>
        </is>
      </c>
    </row>
    <row r="1324" ht="54" customHeight="1">
      <c r="A1324" s="4" t="inlineStr">
        <is>
          <t>C20-P0018</t>
        </is>
      </c>
      <c r="B1324" s="4" t="inlineStr">
        <is>
          <t>C20</t>
        </is>
      </c>
      <c r="C1324" s="4" t="inlineStr">
        <is>
          <t>Youth Hostel Scheme</t>
        </is>
      </c>
      <c r="D1324" s="4" t="inlineStr">
        <is>
          <t>FAQ</t>
        </is>
      </c>
      <c r="E1324" s="4" t="inlineStr"/>
      <c r="F1324" s="4" t="inlineStr">
        <is>
          <t>faqs.en.faqs[2]</t>
        </is>
      </c>
      <c r="G1324" s="4" t="inlineStr">
        <is>
          <t>C20@20261028-f6115a0f</t>
        </is>
      </c>
      <c r="H1324" s="4" t="n">
        <v>1</v>
      </c>
      <c r="I1324" s="4" t="n">
        <v>1</v>
      </c>
      <c r="J1324" s="4" t="inlineStr">
        <is>
          <t>How do I become a YHAI member?
To become a YHAI member, you can visit the YHAI website or contact the YHAI office in your state. You will need to provide your personal details and pay a membership fee.</t>
        </is>
      </c>
      <c r="K1324" s="4" t="inlineStr">
        <is>
          <t>MS-C20</t>
        </is>
      </c>
      <c r="L1324" s="6" t="n">
        <v>46323</v>
      </c>
      <c r="M1324" s="4" t="inlineStr">
        <is>
          <t>Approved</t>
        </is>
      </c>
      <c r="N1324" s="4" t="inlineStr">
        <is>
          <t>faq</t>
        </is>
      </c>
    </row>
    <row r="1325" ht="68" customHeight="1">
      <c r="A1325" s="8" t="inlineStr">
        <is>
          <t>C20-P0019</t>
        </is>
      </c>
      <c r="B1325" s="8" t="inlineStr">
        <is>
          <t>C20</t>
        </is>
      </c>
      <c r="C1325" s="8" t="inlineStr">
        <is>
          <t>Youth Hostel Scheme</t>
        </is>
      </c>
      <c r="D1325" s="8" t="inlineStr">
        <is>
          <t>FAQ</t>
        </is>
      </c>
      <c r="E1325" s="8" t="inlineStr"/>
      <c r="F1325" s="8" t="inlineStr">
        <is>
          <t>faqs.en.faqs[3]</t>
        </is>
      </c>
      <c r="G1325" s="8" t="inlineStr">
        <is>
          <t>C20@20261028-f6115a0f</t>
        </is>
      </c>
      <c r="H1325" s="8" t="n">
        <v>1</v>
      </c>
      <c r="I1325" s="8" t="n">
        <v>1</v>
      </c>
      <c r="J1325" s="8" t="inlineStr">
        <is>
          <t>What documents are required for YHAI membership?
1. Completed YHAI membership application form
2. Passport size photograph
3. Proof of identity, such as a copy of your passport, driver's license, or Aadhaar card</t>
        </is>
      </c>
      <c r="K1325" s="8" t="inlineStr">
        <is>
          <t>MS-C20</t>
        </is>
      </c>
      <c r="L1325" s="9" t="n">
        <v>46323</v>
      </c>
      <c r="M1325" s="8" t="inlineStr">
        <is>
          <t>Approved</t>
        </is>
      </c>
      <c r="N1325" s="8" t="inlineStr">
        <is>
          <t>faq</t>
        </is>
      </c>
    </row>
    <row r="1326" ht="110" customHeight="1">
      <c r="A1326" s="4" t="inlineStr">
        <is>
          <t>C20-P0020</t>
        </is>
      </c>
      <c r="B1326" s="4" t="inlineStr">
        <is>
          <t>C20</t>
        </is>
      </c>
      <c r="C1326" s="4" t="inlineStr">
        <is>
          <t>Youth Hostel Scheme</t>
        </is>
      </c>
      <c r="D1326" s="4" t="inlineStr">
        <is>
          <t>FAQ</t>
        </is>
      </c>
      <c r="E1326" s="4" t="inlineStr"/>
      <c r="F1326" s="4" t="inlineStr">
        <is>
          <t>faqs.en.faqs[4]</t>
        </is>
      </c>
      <c r="G1326" s="4" t="inlineStr">
        <is>
          <t>C20@20261028-f6115a0f</t>
        </is>
      </c>
      <c r="H1326" s="4" t="n">
        <v>1</v>
      </c>
      <c r="I1326" s="4" t="n">
        <v>1</v>
      </c>
      <c r="J1326" s="4" t="inlineStr">
        <is>
          <t xml:space="preserve"> How do I book accommodation in a youth hostel?
1. Applicant must visit the official website. 
2. Click on "Apply Now" under the Youth Hostel scheme. 
3. Select the user type and scheme name. 
4. Now fill out the require details.
5. Upload the recent photograph. 
6. Give the consent for the Aadhaar to use as biometric and KYC .</t>
        </is>
      </c>
      <c r="K1326" s="4" t="inlineStr">
        <is>
          <t>MS-C20</t>
        </is>
      </c>
      <c r="L1326" s="6" t="n">
        <v>46323</v>
      </c>
      <c r="M1326" s="4" t="inlineStr">
        <is>
          <t>Approved</t>
        </is>
      </c>
      <c r="N1326" s="4" t="inlineStr">
        <is>
          <t>faq</t>
        </is>
      </c>
    </row>
    <row r="1327" ht="68" customHeight="1">
      <c r="A1327" s="8" t="inlineStr">
        <is>
          <t>C20-P0021</t>
        </is>
      </c>
      <c r="B1327" s="8" t="inlineStr">
        <is>
          <t>C20</t>
        </is>
      </c>
      <c r="C1327" s="8" t="inlineStr">
        <is>
          <t>Youth Hostel Scheme</t>
        </is>
      </c>
      <c r="D1327" s="8" t="inlineStr">
        <is>
          <t>FAQ</t>
        </is>
      </c>
      <c r="E1327" s="8" t="inlineStr"/>
      <c r="F1327" s="8" t="inlineStr">
        <is>
          <t>faqs.en.faqs[5]</t>
        </is>
      </c>
      <c r="G1327" s="8" t="inlineStr">
        <is>
          <t>C20@20261028-f6115a0f</t>
        </is>
      </c>
      <c r="H1327" s="8" t="n">
        <v>1</v>
      </c>
      <c r="I1327" s="8" t="n">
        <v>1</v>
      </c>
      <c r="J1327" s="8" t="inlineStr">
        <is>
          <t>How much does it cost to stay in a youth hostel?
The cost of staying in a youth hostel varies depending on the location of the hostel and the type of accommodation you choose. Dormitory beds are typically the most affordable option, while private rooms are more expensive</t>
        </is>
      </c>
      <c r="K1327" s="8" t="inlineStr">
        <is>
          <t>MS-C20</t>
        </is>
      </c>
      <c r="L1327" s="9" t="n">
        <v>46323</v>
      </c>
      <c r="M1327" s="8" t="inlineStr">
        <is>
          <t>Approved</t>
        </is>
      </c>
      <c r="N1327" s="8" t="inlineStr">
        <is>
          <t>faq</t>
        </is>
      </c>
    </row>
    <row r="1328" ht="54" customHeight="1">
      <c r="A1328" s="4" t="inlineStr">
        <is>
          <t>C20-P0022</t>
        </is>
      </c>
      <c r="B1328" s="4" t="inlineStr">
        <is>
          <t>C20</t>
        </is>
      </c>
      <c r="C1328" s="4" t="inlineStr">
        <is>
          <t>Youth Hostel Scheme</t>
        </is>
      </c>
      <c r="D1328" s="4" t="inlineStr">
        <is>
          <t>FAQ</t>
        </is>
      </c>
      <c r="E1328" s="4" t="inlineStr"/>
      <c r="F1328" s="4" t="inlineStr">
        <is>
          <t>faqs.en.faqs[6]</t>
        </is>
      </c>
      <c r="G1328" s="4" t="inlineStr">
        <is>
          <t>C20@20261028-f6115a0f</t>
        </is>
      </c>
      <c r="H1328" s="4" t="n">
        <v>1</v>
      </c>
      <c r="I1328" s="4" t="n">
        <v>1</v>
      </c>
      <c r="J1328" s="4" t="inlineStr">
        <is>
          <t>Are there any age restrictions for staying in a youth hostel?
There is no age limit for YHAI membership, but individuals under the age of 18 must be accompanied by a parent or guardian when staying in a youth hostel.</t>
        </is>
      </c>
      <c r="K1328" s="4" t="inlineStr">
        <is>
          <t>MS-C20</t>
        </is>
      </c>
      <c r="L1328" s="6" t="n">
        <v>46323</v>
      </c>
      <c r="M1328" s="4" t="inlineStr">
        <is>
          <t>Approved</t>
        </is>
      </c>
      <c r="N1328" s="4" t="inlineStr">
        <is>
          <t>faq</t>
        </is>
      </c>
    </row>
    <row r="1329" ht="82" customHeight="1">
      <c r="A1329" s="8" t="inlineStr">
        <is>
          <t>C20-P0023</t>
        </is>
      </c>
      <c r="B1329" s="8" t="inlineStr">
        <is>
          <t>C20</t>
        </is>
      </c>
      <c r="C1329" s="8" t="inlineStr">
        <is>
          <t>Youth Hostel Scheme</t>
        </is>
      </c>
      <c r="D1329" s="8" t="inlineStr">
        <is>
          <t>FAQ</t>
        </is>
      </c>
      <c r="E1329" s="8" t="inlineStr"/>
      <c r="F1329" s="8" t="inlineStr">
        <is>
          <t>faqs.en.faqs[7]</t>
        </is>
      </c>
      <c r="G1329" s="8" t="inlineStr">
        <is>
          <t>C20@20261028-f6115a0f</t>
        </is>
      </c>
      <c r="H1329" s="8" t="n">
        <v>1</v>
      </c>
      <c r="I1329" s="8" t="n">
        <v>1</v>
      </c>
      <c r="J1329" s="8" t="inlineStr">
        <is>
          <t>What are the benefits of staying in a youth hostel?
1. Affordable accommodation
2. Social atmosphere
3. Cultural experience
4. Flexible options</t>
        </is>
      </c>
      <c r="K1329" s="8" t="inlineStr">
        <is>
          <t>MS-C20</t>
        </is>
      </c>
      <c r="L1329" s="9" t="n">
        <v>46323</v>
      </c>
      <c r="M1329" s="8" t="inlineStr">
        <is>
          <t>Approved</t>
        </is>
      </c>
      <c r="N1329" s="8" t="inlineStr">
        <is>
          <t>faq</t>
        </is>
      </c>
    </row>
    <row r="1330" ht="152" customHeight="1">
      <c r="A1330" s="4" t="inlineStr">
        <is>
          <t>C21-P0001</t>
        </is>
      </c>
      <c r="B1330" s="4" t="inlineStr">
        <is>
          <t>C21</t>
        </is>
      </c>
      <c r="C1330" s="4" t="inlineStr">
        <is>
          <t>AVYAY - National Action Plan for Senior Citizens: Health and Shelter for Senior Citizens</t>
        </is>
      </c>
      <c r="D1330" s="4" t="inlineStr">
        <is>
          <t>Details</t>
        </is>
      </c>
      <c r="E1330" s="4" t="inlineStr"/>
      <c r="F1330" s="4" t="inlineStr">
        <is>
          <t>en.schemeContent.detailedDescription[0]</t>
        </is>
      </c>
      <c r="G1330" s="4" t="inlineStr">
        <is>
          <t>C21@20261028-3ca35454</t>
        </is>
      </c>
      <c r="H1330" s="4" t="n">
        <v>1</v>
      </c>
      <c r="I1330" s="4" t="n">
        <v>1</v>
      </c>
      <c r="J1330" s="4" t="inlineStr">
        <is>
          <t>The scheme "AVYAY - National Action Plan for Senior Citizens: Health and Shelter for Senior Citizens" was launched by the Department of Social Justice and Empowerment, Ministry of Social Justice and Empowerment, Govt. of India. The scheme is a component of the umbrella scheme " Atal Vayo Abhyuday Yojana (AVYAY)". The scheme aims to improve the quality of life of Senior Citizens, particularly those who are indigent, by providing basic amenities like shelter, food, medical care and entertainment opportunities. The scheme provides financial assistance for projects such as the maintenance of Senior Citizen Homes (popularly known as Old Age Homes), Continuous Care Homes, Regional Resource and Training Centres (RRTCs), Mobile Medicare Units, and Physiotherapy Clinics under its two sub-schemes: the Integrated Programme for Senior Citizens (IPSrC) and the State Action Plan for Senior Citizens (SAPSrC).</t>
        </is>
      </c>
      <c r="K1330" s="4" t="inlineStr">
        <is>
          <t>MS-C21</t>
        </is>
      </c>
      <c r="L1330" s="6" t="n">
        <v>46323</v>
      </c>
      <c r="M1330" s="4" t="inlineStr">
        <is>
          <t>Approved</t>
        </is>
      </c>
      <c r="N1330" s="4" t="inlineStr">
        <is>
          <t>paragraph</t>
        </is>
      </c>
    </row>
    <row r="1331" ht="54" customHeight="1">
      <c r="A1331" s="8" t="inlineStr">
        <is>
          <t>C21-P0002</t>
        </is>
      </c>
      <c r="B1331" s="8" t="inlineStr">
        <is>
          <t>C21</t>
        </is>
      </c>
      <c r="C1331" s="8" t="inlineStr">
        <is>
          <t>AVYAY - National Action Plan for Senior Citizens: Health and Shelter for Senior Citizens</t>
        </is>
      </c>
      <c r="D1331" s="8" t="inlineStr">
        <is>
          <t>Benefits</t>
        </is>
      </c>
      <c r="E1331" s="8" t="inlineStr">
        <is>
          <t>Grant-in-Aid (GIA) for Senior Citizen Homes (25 beneficiaries)</t>
        </is>
      </c>
      <c r="F1331" s="8" t="inlineStr">
        <is>
          <t>en.schemeContent.benefits[0]</t>
        </is>
      </c>
      <c r="G1331" s="8" t="inlineStr">
        <is>
          <t>C21@20261028-3ca35454</t>
        </is>
      </c>
      <c r="H1331" s="8" t="n">
        <v>1</v>
      </c>
      <c r="I1331" s="8" t="n">
        <v>1</v>
      </c>
      <c r="J1331" s="8" t="inlineStr">
        <is>
          <t>Grant-in-Aid (GIA) for Senior Citizen Homes (25 beneficiaries)</t>
        </is>
      </c>
      <c r="K1331" s="8" t="inlineStr">
        <is>
          <t>MS-C21</t>
        </is>
      </c>
      <c r="L1331" s="9" t="n">
        <v>46323</v>
      </c>
      <c r="M1331" s="8" t="inlineStr">
        <is>
          <t>Approved</t>
        </is>
      </c>
      <c r="N1331" s="8" t="inlineStr">
        <is>
          <t>paragraph</t>
        </is>
      </c>
    </row>
    <row r="1332" ht="54" customHeight="1">
      <c r="A1332" s="4" t="inlineStr">
        <is>
          <t>C21-P0003</t>
        </is>
      </c>
      <c r="B1332" s="4" t="inlineStr">
        <is>
          <t>C21</t>
        </is>
      </c>
      <c r="C1332" s="4" t="inlineStr">
        <is>
          <t>AVYAY - National Action Plan for Senior Citizens: Health and Shelter for Senior Citizens</t>
        </is>
      </c>
      <c r="D1332" s="4" t="inlineStr">
        <is>
          <t>Benefits</t>
        </is>
      </c>
      <c r="E1332" s="4" t="inlineStr">
        <is>
          <t>Grant-in-Aid (GIA) for Senior Citizen Homes (25 beneficiaries)</t>
        </is>
      </c>
      <c r="F1332" s="4" t="inlineStr">
        <is>
          <t>en.schemeContent.benefits[1]</t>
        </is>
      </c>
      <c r="G1332" s="4" t="inlineStr">
        <is>
          <t>C21@20261028-3ca35454</t>
        </is>
      </c>
      <c r="H1332" s="4" t="n">
        <v>1</v>
      </c>
      <c r="I1332" s="4" t="n">
        <v>1</v>
      </c>
      <c r="J1332" s="4" t="inlineStr">
        <is>
          <t>Annual recurring expenditure grants are provided based on the classification of the city (X, Y, or Z), ranging from ₹25,04,355/- (X Category) to ₹24,38,355/- (Z Category).</t>
        </is>
      </c>
      <c r="K1332" s="4" t="inlineStr">
        <is>
          <t>MS-C21</t>
        </is>
      </c>
      <c r="L1332" s="6" t="n">
        <v>46323</v>
      </c>
      <c r="M1332" s="4" t="inlineStr">
        <is>
          <t>Approved</t>
        </is>
      </c>
      <c r="N1332" s="4" t="inlineStr">
        <is>
          <t>paragraph</t>
        </is>
      </c>
    </row>
    <row r="1333" ht="54" customHeight="1">
      <c r="A1333" s="8" t="inlineStr">
        <is>
          <t>C21-P0004</t>
        </is>
      </c>
      <c r="B1333" s="8" t="inlineStr">
        <is>
          <t>C21</t>
        </is>
      </c>
      <c r="C1333" s="8" t="inlineStr">
        <is>
          <t>AVYAY - National Action Plan for Senior Citizens: Health and Shelter for Senior Citizens</t>
        </is>
      </c>
      <c r="D1333" s="8" t="inlineStr">
        <is>
          <t>Benefits</t>
        </is>
      </c>
      <c r="E1333" s="8" t="inlineStr">
        <is>
          <t>Grant-in-Aid (GIA) for Senior Citizen Homes (50 beneficiaries/50 elderly women only)</t>
        </is>
      </c>
      <c r="F1333" s="8" t="inlineStr">
        <is>
          <t>en.schemeContent.benefits[2]</t>
        </is>
      </c>
      <c r="G1333" s="8" t="inlineStr">
        <is>
          <t>C21@20261028-3ca35454</t>
        </is>
      </c>
      <c r="H1333" s="8" t="n">
        <v>1</v>
      </c>
      <c r="I1333" s="8" t="n">
        <v>1</v>
      </c>
      <c r="J1333" s="8" t="inlineStr">
        <is>
          <t>Grant-in-Aid (GIA) for Senior Citizen Homes (50 beneficiaries/50 elderly women only)</t>
        </is>
      </c>
      <c r="K1333" s="8" t="inlineStr">
        <is>
          <t>MS-C21</t>
        </is>
      </c>
      <c r="L1333" s="9" t="n">
        <v>46323</v>
      </c>
      <c r="M1333" s="8" t="inlineStr">
        <is>
          <t>Approved</t>
        </is>
      </c>
      <c r="N1333" s="8" t="inlineStr">
        <is>
          <t>paragraph</t>
        </is>
      </c>
    </row>
    <row r="1334" ht="54" customHeight="1">
      <c r="A1334" s="4" t="inlineStr">
        <is>
          <t>C21-P0005</t>
        </is>
      </c>
      <c r="B1334" s="4" t="inlineStr">
        <is>
          <t>C21</t>
        </is>
      </c>
      <c r="C1334" s="4" t="inlineStr">
        <is>
          <t>AVYAY - National Action Plan for Senior Citizens: Health and Shelter for Senior Citizens</t>
        </is>
      </c>
      <c r="D1334" s="4" t="inlineStr">
        <is>
          <t>Benefits</t>
        </is>
      </c>
      <c r="E1334" s="4" t="inlineStr">
        <is>
          <t>Grant-in-Aid (GIA) for Senior Citizen Homes (50 beneficiaries/50 elderly women only)</t>
        </is>
      </c>
      <c r="F1334" s="4" t="inlineStr">
        <is>
          <t>en.schemeContent.benefits[3]</t>
        </is>
      </c>
      <c r="G1334" s="4" t="inlineStr">
        <is>
          <t>C21@20261028-3ca35454</t>
        </is>
      </c>
      <c r="H1334" s="4" t="n">
        <v>1</v>
      </c>
      <c r="I1334" s="4" t="n">
        <v>1</v>
      </c>
      <c r="J1334" s="4" t="inlineStr">
        <is>
          <t>Annual recurring expenditure grants range from ₹42,11,228/- (X Category) to ₹41,12,228/- (Z Category).</t>
        </is>
      </c>
      <c r="K1334" s="4" t="inlineStr">
        <is>
          <t>MS-C21</t>
        </is>
      </c>
      <c r="L1334" s="6" t="n">
        <v>46323</v>
      </c>
      <c r="M1334" s="4" t="inlineStr">
        <is>
          <t>Approved</t>
        </is>
      </c>
      <c r="N1334" s="4" t="inlineStr">
        <is>
          <t>paragraph</t>
        </is>
      </c>
    </row>
    <row r="1335" ht="54" customHeight="1">
      <c r="A1335" s="8" t="inlineStr">
        <is>
          <t>C21-P0006</t>
        </is>
      </c>
      <c r="B1335" s="8" t="inlineStr">
        <is>
          <t>C21</t>
        </is>
      </c>
      <c r="C1335" s="8" t="inlineStr">
        <is>
          <t>AVYAY - National Action Plan for Senior Citizens: Health and Shelter for Senior Citizens</t>
        </is>
      </c>
      <c r="D1335" s="8" t="inlineStr">
        <is>
          <t>Benefits</t>
        </is>
      </c>
      <c r="E1335" s="8" t="inlineStr">
        <is>
          <t>Grant-in-Aid (GIA) for Continuous Care Homes (minimum 20 beneficiaries)</t>
        </is>
      </c>
      <c r="F1335" s="8" t="inlineStr">
        <is>
          <t>en.schemeContent.benefits[4]</t>
        </is>
      </c>
      <c r="G1335" s="8" t="inlineStr">
        <is>
          <t>C21@20261028-3ca35454</t>
        </is>
      </c>
      <c r="H1335" s="8" t="n">
        <v>1</v>
      </c>
      <c r="I1335" s="8" t="n">
        <v>1</v>
      </c>
      <c r="J1335" s="8" t="inlineStr">
        <is>
          <t>Grant-in-Aid (GIA) for Continuous Care Homes (minimum 20 beneficiaries)</t>
        </is>
      </c>
      <c r="K1335" s="8" t="inlineStr">
        <is>
          <t>MS-C21</t>
        </is>
      </c>
      <c r="L1335" s="9" t="n">
        <v>46323</v>
      </c>
      <c r="M1335" s="8" t="inlineStr">
        <is>
          <t>Approved</t>
        </is>
      </c>
      <c r="N1335" s="8" t="inlineStr">
        <is>
          <t>paragraph</t>
        </is>
      </c>
    </row>
    <row r="1336" ht="54" customHeight="1">
      <c r="A1336" s="4" t="inlineStr">
        <is>
          <t>C21-P0007</t>
        </is>
      </c>
      <c r="B1336" s="4" t="inlineStr">
        <is>
          <t>C21</t>
        </is>
      </c>
      <c r="C1336" s="4" t="inlineStr">
        <is>
          <t>AVYAY - National Action Plan for Senior Citizens: Health and Shelter for Senior Citizens</t>
        </is>
      </c>
      <c r="D1336" s="4" t="inlineStr">
        <is>
          <t>Benefits</t>
        </is>
      </c>
      <c r="E1336" s="4" t="inlineStr">
        <is>
          <t>Grant-in-Aid (GIA) for Continuous Care Homes (minimum 20 beneficiaries)</t>
        </is>
      </c>
      <c r="F1336" s="4" t="inlineStr">
        <is>
          <t>en.schemeContent.benefits[5]</t>
        </is>
      </c>
      <c r="G1336" s="4" t="inlineStr">
        <is>
          <t>C21@20261028-3ca35454</t>
        </is>
      </c>
      <c r="H1336" s="4" t="n">
        <v>1</v>
      </c>
      <c r="I1336" s="4" t="n">
        <v>1</v>
      </c>
      <c r="J1336" s="4" t="inlineStr">
        <is>
          <t>Annual recurring expenditure grants range from ₹30,77,310/- (X Category) to ₹30,11,310/- (Z Category).</t>
        </is>
      </c>
      <c r="K1336" s="4" t="inlineStr">
        <is>
          <t>MS-C21</t>
        </is>
      </c>
      <c r="L1336" s="6" t="n">
        <v>46323</v>
      </c>
      <c r="M1336" s="4" t="inlineStr">
        <is>
          <t>Approved</t>
        </is>
      </c>
      <c r="N1336" s="4" t="inlineStr">
        <is>
          <t>paragraph</t>
        </is>
      </c>
    </row>
    <row r="1337" ht="54" customHeight="1">
      <c r="A1337" s="8" t="inlineStr">
        <is>
          <t>C21-P0008</t>
        </is>
      </c>
      <c r="B1337" s="8" t="inlineStr">
        <is>
          <t>C21</t>
        </is>
      </c>
      <c r="C1337" s="8" t="inlineStr">
        <is>
          <t>AVYAY - National Action Plan for Senior Citizens: Health and Shelter for Senior Citizens</t>
        </is>
      </c>
      <c r="D1337" s="8" t="inlineStr">
        <is>
          <t>Benefits</t>
        </is>
      </c>
      <c r="E1337" s="8" t="inlineStr">
        <is>
          <t>Non-Recurring Grant for Senior Citizen Homes (25 indigent)</t>
        </is>
      </c>
      <c r="F1337" s="8" t="inlineStr">
        <is>
          <t>en.schemeContent.benefits[6]</t>
        </is>
      </c>
      <c r="G1337" s="8" t="inlineStr">
        <is>
          <t>C21@20261028-3ca35454</t>
        </is>
      </c>
      <c r="H1337" s="8" t="n">
        <v>1</v>
      </c>
      <c r="I1337" s="8" t="n">
        <v>1</v>
      </c>
      <c r="J1337" s="8" t="inlineStr">
        <is>
          <t>Non-Recurring Grant for Senior Citizen Homes (25 indigent)</t>
        </is>
      </c>
      <c r="K1337" s="8" t="inlineStr">
        <is>
          <t>MS-C21</t>
        </is>
      </c>
      <c r="L1337" s="9" t="n">
        <v>46323</v>
      </c>
      <c r="M1337" s="8" t="inlineStr">
        <is>
          <t>Approved</t>
        </is>
      </c>
      <c r="N1337" s="8" t="inlineStr">
        <is>
          <t>paragraph</t>
        </is>
      </c>
    </row>
    <row r="1338" ht="54" customHeight="1">
      <c r="A1338" s="4" t="inlineStr">
        <is>
          <t>C21-P0009</t>
        </is>
      </c>
      <c r="B1338" s="4" t="inlineStr">
        <is>
          <t>C21</t>
        </is>
      </c>
      <c r="C1338" s="4" t="inlineStr">
        <is>
          <t>AVYAY - National Action Plan for Senior Citizens: Health and Shelter for Senior Citizens</t>
        </is>
      </c>
      <c r="D1338" s="4" t="inlineStr">
        <is>
          <t>Benefits</t>
        </is>
      </c>
      <c r="E1338" s="4" t="inlineStr">
        <is>
          <t>Non-Recurring Grant for Senior Citizen Homes (25 indigent)</t>
        </is>
      </c>
      <c r="F1338" s="4" t="inlineStr">
        <is>
          <t>en.schemeContent.benefits[7]</t>
        </is>
      </c>
      <c r="G1338" s="4" t="inlineStr">
        <is>
          <t>C21@20261028-3ca35454</t>
        </is>
      </c>
      <c r="H1338" s="4" t="n">
        <v>1</v>
      </c>
      <c r="I1338" s="4" t="n">
        <v>1</v>
      </c>
      <c r="J1338" s="4" t="inlineStr">
        <is>
          <t>A grant of ₹3,09,105/- is admissible every five years, which includes the cost of Closed-Circuit Television (CCTV) cameras and website development charges.</t>
        </is>
      </c>
      <c r="K1338" s="4" t="inlineStr">
        <is>
          <t>MS-C21</t>
        </is>
      </c>
      <c r="L1338" s="6" t="n">
        <v>46323</v>
      </c>
      <c r="M1338" s="4" t="inlineStr">
        <is>
          <t>Approved</t>
        </is>
      </c>
      <c r="N1338" s="4" t="inlineStr">
        <is>
          <t>paragraph</t>
        </is>
      </c>
    </row>
    <row r="1339" ht="54" customHeight="1">
      <c r="A1339" s="8" t="inlineStr">
        <is>
          <t>C21-P0010</t>
        </is>
      </c>
      <c r="B1339" s="8" t="inlineStr">
        <is>
          <t>C21</t>
        </is>
      </c>
      <c r="C1339" s="8" t="inlineStr">
        <is>
          <t>AVYAY - National Action Plan for Senior Citizens: Health and Shelter for Senior Citizens</t>
        </is>
      </c>
      <c r="D1339" s="8" t="inlineStr">
        <is>
          <t>Benefits</t>
        </is>
      </c>
      <c r="E1339" s="8" t="inlineStr">
        <is>
          <t>Non-Recurring Grant for Senior Citizen Homes (50 indigent)</t>
        </is>
      </c>
      <c r="F1339" s="8" t="inlineStr">
        <is>
          <t>en.schemeContent.benefits[8]</t>
        </is>
      </c>
      <c r="G1339" s="8" t="inlineStr">
        <is>
          <t>C21@20261028-3ca35454</t>
        </is>
      </c>
      <c r="H1339" s="8" t="n">
        <v>1</v>
      </c>
      <c r="I1339" s="8" t="n">
        <v>1</v>
      </c>
      <c r="J1339" s="8" t="inlineStr">
        <is>
          <t>Non-Recurring Grant for Senior Citizen Homes (50 indigent)</t>
        </is>
      </c>
      <c r="K1339" s="8" t="inlineStr">
        <is>
          <t>MS-C21</t>
        </is>
      </c>
      <c r="L1339" s="9" t="n">
        <v>46323</v>
      </c>
      <c r="M1339" s="8" t="inlineStr">
        <is>
          <t>Approved</t>
        </is>
      </c>
      <c r="N1339" s="8" t="inlineStr">
        <is>
          <t>paragraph</t>
        </is>
      </c>
    </row>
    <row r="1340" ht="54" customHeight="1">
      <c r="A1340" s="4" t="inlineStr">
        <is>
          <t>C21-P0011</t>
        </is>
      </c>
      <c r="B1340" s="4" t="inlineStr">
        <is>
          <t>C21</t>
        </is>
      </c>
      <c r="C1340" s="4" t="inlineStr">
        <is>
          <t>AVYAY - National Action Plan for Senior Citizens: Health and Shelter for Senior Citizens</t>
        </is>
      </c>
      <c r="D1340" s="4" t="inlineStr">
        <is>
          <t>Benefits</t>
        </is>
      </c>
      <c r="E1340" s="4" t="inlineStr">
        <is>
          <t>Non-Recurring Grant for Senior Citizen Homes (50 indigent)</t>
        </is>
      </c>
      <c r="F1340" s="4" t="inlineStr">
        <is>
          <t>en.schemeContent.benefits[9]</t>
        </is>
      </c>
      <c r="G1340" s="4" t="inlineStr">
        <is>
          <t>C21@20261028-3ca35454</t>
        </is>
      </c>
      <c r="H1340" s="4" t="n">
        <v>1</v>
      </c>
      <c r="I1340" s="4" t="n">
        <v>1</v>
      </c>
      <c r="J1340" s="4" t="inlineStr">
        <is>
          <t>A grant of ₹4,12,140/- is admissible every five years.</t>
        </is>
      </c>
      <c r="K1340" s="4" t="inlineStr">
        <is>
          <t>MS-C21</t>
        </is>
      </c>
      <c r="L1340" s="6" t="n">
        <v>46323</v>
      </c>
      <c r="M1340" s="4" t="inlineStr">
        <is>
          <t>Approved</t>
        </is>
      </c>
      <c r="N1340" s="4" t="inlineStr">
        <is>
          <t>paragraph</t>
        </is>
      </c>
    </row>
    <row r="1341" ht="54" customHeight="1">
      <c r="A1341" s="8" t="inlineStr">
        <is>
          <t>C21-P0012</t>
        </is>
      </c>
      <c r="B1341" s="8" t="inlineStr">
        <is>
          <t>C21</t>
        </is>
      </c>
      <c r="C1341" s="8" t="inlineStr">
        <is>
          <t>AVYAY - National Action Plan for Senior Citizens: Health and Shelter for Senior Citizens</t>
        </is>
      </c>
      <c r="D1341" s="8" t="inlineStr">
        <is>
          <t>Benefits</t>
        </is>
      </c>
      <c r="E1341" s="8" t="inlineStr">
        <is>
          <t>Non-Recurring Grant for Continuous Care Homes (20 indigent)</t>
        </is>
      </c>
      <c r="F1341" s="8" t="inlineStr">
        <is>
          <t>en.schemeContent.benefits[10]</t>
        </is>
      </c>
      <c r="G1341" s="8" t="inlineStr">
        <is>
          <t>C21@20261028-3ca35454</t>
        </is>
      </c>
      <c r="H1341" s="8" t="n">
        <v>1</v>
      </c>
      <c r="I1341" s="8" t="n">
        <v>1</v>
      </c>
      <c r="J1341" s="8" t="inlineStr">
        <is>
          <t>Non-Recurring Grant for Continuous Care Homes (20 indigent)</t>
        </is>
      </c>
      <c r="K1341" s="8" t="inlineStr">
        <is>
          <t>MS-C21</t>
        </is>
      </c>
      <c r="L1341" s="9" t="n">
        <v>46323</v>
      </c>
      <c r="M1341" s="8" t="inlineStr">
        <is>
          <t>Approved</t>
        </is>
      </c>
      <c r="N1341" s="8" t="inlineStr">
        <is>
          <t>paragraph</t>
        </is>
      </c>
    </row>
    <row r="1342" ht="54" customHeight="1">
      <c r="A1342" s="4" t="inlineStr">
        <is>
          <t>C21-P0013</t>
        </is>
      </c>
      <c r="B1342" s="4" t="inlineStr">
        <is>
          <t>C21</t>
        </is>
      </c>
      <c r="C1342" s="4" t="inlineStr">
        <is>
          <t>AVYAY - National Action Plan for Senior Citizens: Health and Shelter for Senior Citizens</t>
        </is>
      </c>
      <c r="D1342" s="4" t="inlineStr">
        <is>
          <t>Benefits</t>
        </is>
      </c>
      <c r="E1342" s="4" t="inlineStr">
        <is>
          <t>Non-Recurring Grant for Continuous Care Homes (20 indigent)</t>
        </is>
      </c>
      <c r="F1342" s="4" t="inlineStr">
        <is>
          <t>en.schemeContent.benefits[11]</t>
        </is>
      </c>
      <c r="G1342" s="4" t="inlineStr">
        <is>
          <t>C21@20261028-3ca35454</t>
        </is>
      </c>
      <c r="H1342" s="4" t="n">
        <v>1</v>
      </c>
      <c r="I1342" s="4" t="n">
        <v>1</v>
      </c>
      <c r="J1342" s="4" t="inlineStr">
        <is>
          <t>A grant of ₹3,09,105/- is admissible every five years.</t>
        </is>
      </c>
      <c r="K1342" s="4" t="inlineStr">
        <is>
          <t>MS-C21</t>
        </is>
      </c>
      <c r="L1342" s="6" t="n">
        <v>46323</v>
      </c>
      <c r="M1342" s="4" t="inlineStr">
        <is>
          <t>Approved</t>
        </is>
      </c>
      <c r="N1342" s="4" t="inlineStr">
        <is>
          <t>paragraph</t>
        </is>
      </c>
    </row>
    <row r="1343" ht="54" customHeight="1">
      <c r="A1343" s="8" t="inlineStr">
        <is>
          <t>C21-P0014</t>
        </is>
      </c>
      <c r="B1343" s="8" t="inlineStr">
        <is>
          <t>C21</t>
        </is>
      </c>
      <c r="C1343" s="8" t="inlineStr">
        <is>
          <t>AVYAY - National Action Plan for Senior Citizens: Health and Shelter for Senior Citizens</t>
        </is>
      </c>
      <c r="D1343" s="8" t="inlineStr">
        <is>
          <t>Benefits</t>
        </is>
      </c>
      <c r="E1343" s="8" t="inlineStr">
        <is>
          <t>Funeral Expenses</t>
        </is>
      </c>
      <c r="F1343" s="8" t="inlineStr">
        <is>
          <t>en.schemeContent.benefits[12]</t>
        </is>
      </c>
      <c r="G1343" s="8" t="inlineStr">
        <is>
          <t>C21@20261028-3ca35454</t>
        </is>
      </c>
      <c r="H1343" s="8" t="n">
        <v>1</v>
      </c>
      <c r="I1343" s="8" t="n">
        <v>1</v>
      </c>
      <c r="J1343" s="8" t="inlineStr">
        <is>
          <t>Funeral Expenses</t>
        </is>
      </c>
      <c r="K1343" s="8" t="inlineStr">
        <is>
          <t>MS-C21</t>
        </is>
      </c>
      <c r="L1343" s="9" t="n">
        <v>46323</v>
      </c>
      <c r="M1343" s="8" t="inlineStr">
        <is>
          <t>Approved</t>
        </is>
      </c>
      <c r="N1343" s="8" t="inlineStr">
        <is>
          <t>paragraph</t>
        </is>
      </c>
    </row>
    <row r="1344" ht="54" customHeight="1">
      <c r="A1344" s="4" t="inlineStr">
        <is>
          <t>C21-P0015</t>
        </is>
      </c>
      <c r="B1344" s="4" t="inlineStr">
        <is>
          <t>C21</t>
        </is>
      </c>
      <c r="C1344" s="4" t="inlineStr">
        <is>
          <t>AVYAY - National Action Plan for Senior Citizens: Health and Shelter for Senior Citizens</t>
        </is>
      </c>
      <c r="D1344" s="4" t="inlineStr">
        <is>
          <t>Benefits</t>
        </is>
      </c>
      <c r="E1344" s="4" t="inlineStr">
        <is>
          <t>Funeral Expenses</t>
        </is>
      </c>
      <c r="F1344" s="4" t="inlineStr">
        <is>
          <t>en.schemeContent.benefits[13]</t>
        </is>
      </c>
      <c r="G1344" s="4" t="inlineStr">
        <is>
          <t>C21@20261028-3ca35454</t>
        </is>
      </c>
      <c r="H1344" s="4" t="n">
        <v>1</v>
      </c>
      <c r="I1344" s="4" t="n">
        <v>1</v>
      </c>
      <c r="J1344" s="4" t="inlineStr">
        <is>
          <t>Reimbursement of funeral expenses is provided at ₹10,000/- per person or the actual expenses incurred, whichever is less, in case of the demise of any inmate.</t>
        </is>
      </c>
      <c r="K1344" s="4" t="inlineStr">
        <is>
          <t>MS-C21</t>
        </is>
      </c>
      <c r="L1344" s="6" t="n">
        <v>46323</v>
      </c>
      <c r="M1344" s="4" t="inlineStr">
        <is>
          <t>Approved</t>
        </is>
      </c>
      <c r="N1344" s="4" t="inlineStr">
        <is>
          <t>paragraph</t>
        </is>
      </c>
    </row>
    <row r="1345" ht="54" customHeight="1">
      <c r="A1345" s="8" t="inlineStr">
        <is>
          <t>C21-P0016</t>
        </is>
      </c>
      <c r="B1345" s="8" t="inlineStr">
        <is>
          <t>C21</t>
        </is>
      </c>
      <c r="C1345" s="8" t="inlineStr">
        <is>
          <t>AVYAY - National Action Plan for Senior Citizens: Health and Shelter for Senior Citizens</t>
        </is>
      </c>
      <c r="D1345" s="8" t="inlineStr">
        <is>
          <t>Benefits</t>
        </is>
      </c>
      <c r="E1345" s="8" t="inlineStr">
        <is>
          <t>State Action Plan for Senior Citizens (SAPSrC) Funding</t>
        </is>
      </c>
      <c r="F1345" s="8" t="inlineStr">
        <is>
          <t>en.schemeContent.benefits[14]</t>
        </is>
      </c>
      <c r="G1345" s="8" t="inlineStr">
        <is>
          <t>C21@20261028-3ca35454</t>
        </is>
      </c>
      <c r="H1345" s="8" t="n">
        <v>1</v>
      </c>
      <c r="I1345" s="8" t="n">
        <v>1</v>
      </c>
      <c r="J1345" s="8" t="inlineStr">
        <is>
          <t>State Action Plan for Senior Citizens (SAPSrC) Funding</t>
        </is>
      </c>
      <c r="K1345" s="8" t="inlineStr">
        <is>
          <t>MS-C21</t>
        </is>
      </c>
      <c r="L1345" s="9" t="n">
        <v>46323</v>
      </c>
      <c r="M1345" s="8" t="inlineStr">
        <is>
          <t>Approved</t>
        </is>
      </c>
      <c r="N1345" s="8" t="inlineStr">
        <is>
          <t>paragraph</t>
        </is>
      </c>
    </row>
    <row r="1346" ht="54" customHeight="1">
      <c r="A1346" s="4" t="inlineStr">
        <is>
          <t>C21-P0017</t>
        </is>
      </c>
      <c r="B1346" s="4" t="inlineStr">
        <is>
          <t>C21</t>
        </is>
      </c>
      <c r="C1346" s="4" t="inlineStr">
        <is>
          <t>AVYAY - National Action Plan for Senior Citizens: Health and Shelter for Senior Citizens</t>
        </is>
      </c>
      <c r="D1346" s="4" t="inlineStr">
        <is>
          <t>Benefits</t>
        </is>
      </c>
      <c r="E1346" s="4" t="inlineStr">
        <is>
          <t>State Action Plan for Senior Citizens (SAPSrC) Funding</t>
        </is>
      </c>
      <c r="F1346" s="4" t="inlineStr">
        <is>
          <t>en.schemeContent.benefits[15]</t>
        </is>
      </c>
      <c r="G1346" s="4" t="inlineStr">
        <is>
          <t>C21@20261028-3ca35454</t>
        </is>
      </c>
      <c r="H1346" s="4" t="n">
        <v>1</v>
      </c>
      <c r="I1346" s="4" t="n">
        <v>1</v>
      </c>
      <c r="J1346" s="4" t="inlineStr">
        <is>
          <t>Financial support equivalent to 90% of the project cost is provided for admissible programmes proposed under State Action Plans.</t>
        </is>
      </c>
      <c r="K1346" s="4" t="inlineStr">
        <is>
          <t>MS-C21</t>
        </is>
      </c>
      <c r="L1346" s="6" t="n">
        <v>46323</v>
      </c>
      <c r="M1346" s="4" t="inlineStr">
        <is>
          <t>Approved</t>
        </is>
      </c>
      <c r="N1346" s="4" t="inlineStr">
        <is>
          <t>paragraph</t>
        </is>
      </c>
    </row>
    <row r="1347" ht="54" customHeight="1">
      <c r="A1347" s="8" t="inlineStr">
        <is>
          <t>C21-P0018</t>
        </is>
      </c>
      <c r="B1347" s="8" t="inlineStr">
        <is>
          <t>C21</t>
        </is>
      </c>
      <c r="C1347" s="8" t="inlineStr">
        <is>
          <t>AVYAY - National Action Plan for Senior Citizens: Health and Shelter for Senior Citizens</t>
        </is>
      </c>
      <c r="D1347" s="8" t="inlineStr">
        <is>
          <t>Benefits</t>
        </is>
      </c>
      <c r="E1347" s="8" t="inlineStr">
        <is>
          <t>State Action Plan for Senior Citizens (SAPSrC) Funding</t>
        </is>
      </c>
      <c r="F1347" s="8" t="inlineStr">
        <is>
          <t>en.schemeContent.benefits[17].children[0]</t>
        </is>
      </c>
      <c r="G1347" s="8" t="inlineStr">
        <is>
          <t>C21@20261028-3ca35454</t>
        </is>
      </c>
      <c r="H1347" s="8" t="n">
        <v>1</v>
      </c>
      <c r="I1347" s="8" t="n">
        <v>1</v>
      </c>
      <c r="J1347" s="8" t="inlineStr">
        <is>
          <t>Disbursal Mode, Frequency, and Conditions</t>
        </is>
      </c>
      <c r="K1347" s="8" t="inlineStr">
        <is>
          <t>MS-C21</t>
        </is>
      </c>
      <c r="L1347" s="9" t="n">
        <v>46323</v>
      </c>
      <c r="M1347" s="8" t="inlineStr">
        <is>
          <t>Approved</t>
        </is>
      </c>
      <c r="N1347" s="8" t="inlineStr">
        <is>
          <t>text</t>
        </is>
      </c>
    </row>
    <row r="1348" ht="54" customHeight="1">
      <c r="A1348" s="4" t="inlineStr">
        <is>
          <t>C21-P0019</t>
        </is>
      </c>
      <c r="B1348" s="4" t="inlineStr">
        <is>
          <t>C21</t>
        </is>
      </c>
      <c r="C1348" s="4" t="inlineStr">
        <is>
          <t>AVYAY - National Action Plan for Senior Citizens: Health and Shelter for Senior Citizens</t>
        </is>
      </c>
      <c r="D1348" s="4" t="inlineStr">
        <is>
          <t>Benefits</t>
        </is>
      </c>
      <c r="E1348" s="4" t="inlineStr">
        <is>
          <t>State Action Plan for Senior Citizens (SAPSrC) Funding</t>
        </is>
      </c>
      <c r="F1348" s="4" t="inlineStr">
        <is>
          <t>en.schemeContent.benefits[18].children[0]</t>
        </is>
      </c>
      <c r="G1348" s="4" t="inlineStr">
        <is>
          <t>C21@20261028-3ca35454</t>
        </is>
      </c>
      <c r="H1348" s="4" t="n">
        <v>1</v>
      </c>
      <c r="I1348" s="4" t="n">
        <v>1</v>
      </c>
      <c r="J1348" s="4" t="inlineStr">
        <is>
          <t>Grant-in-aid is provided through the E-anudaan portal and the Public Financial Management System (PFMS)/Expenditure, Audit and Tender (EAT) module.</t>
        </is>
      </c>
      <c r="K1348" s="4" t="inlineStr">
        <is>
          <t>MS-C21</t>
        </is>
      </c>
      <c r="L1348" s="6" t="n">
        <v>46323</v>
      </c>
      <c r="M1348" s="4" t="inlineStr">
        <is>
          <t>Approved</t>
        </is>
      </c>
      <c r="N1348" s="4" t="inlineStr">
        <is>
          <t>list_item</t>
        </is>
      </c>
    </row>
    <row r="1349" ht="54" customHeight="1">
      <c r="A1349" s="8" t="inlineStr">
        <is>
          <t>C21-P0020</t>
        </is>
      </c>
      <c r="B1349" s="8" t="inlineStr">
        <is>
          <t>C21</t>
        </is>
      </c>
      <c r="C1349" s="8" t="inlineStr">
        <is>
          <t>AVYAY - National Action Plan for Senior Citizens: Health and Shelter for Senior Citizens</t>
        </is>
      </c>
      <c r="D1349" s="8" t="inlineStr">
        <is>
          <t>Benefits</t>
        </is>
      </c>
      <c r="E1349" s="8" t="inlineStr">
        <is>
          <t>State Action Plan for Senior Citizens (SAPSrC) Funding</t>
        </is>
      </c>
      <c r="F1349" s="8" t="inlineStr">
        <is>
          <t>en.schemeContent.benefits[18].children[1]</t>
        </is>
      </c>
      <c r="G1349" s="8" t="inlineStr">
        <is>
          <t>C21@20261028-3ca35454</t>
        </is>
      </c>
      <c r="H1349" s="8" t="n">
        <v>1</v>
      </c>
      <c r="I1349" s="8" t="n">
        <v>1</v>
      </c>
      <c r="J1349" s="8" t="inlineStr">
        <is>
          <t>The total annual grant is released in two equal half-yearly instalments.</t>
        </is>
      </c>
      <c r="K1349" s="8" t="inlineStr">
        <is>
          <t>MS-C21</t>
        </is>
      </c>
      <c r="L1349" s="9" t="n">
        <v>46323</v>
      </c>
      <c r="M1349" s="8" t="inlineStr">
        <is>
          <t>Approved</t>
        </is>
      </c>
      <c r="N1349" s="8" t="inlineStr">
        <is>
          <t>list_item</t>
        </is>
      </c>
    </row>
    <row r="1350" ht="54" customHeight="1">
      <c r="A1350" s="4" t="inlineStr">
        <is>
          <t>C21-P0021</t>
        </is>
      </c>
      <c r="B1350" s="4" t="inlineStr">
        <is>
          <t>C21</t>
        </is>
      </c>
      <c r="C1350" s="4" t="inlineStr">
        <is>
          <t>AVYAY - National Action Plan for Senior Citizens: Health and Shelter for Senior Citizens</t>
        </is>
      </c>
      <c r="D1350" s="4" t="inlineStr">
        <is>
          <t>Benefits</t>
        </is>
      </c>
      <c r="E1350" s="4" t="inlineStr">
        <is>
          <t>Conditions for Disbursement</t>
        </is>
      </c>
      <c r="F1350" s="4" t="inlineStr">
        <is>
          <t>en.schemeContent.benefits[19]</t>
        </is>
      </c>
      <c r="G1350" s="4" t="inlineStr">
        <is>
          <t>C21@20261028-3ca35454</t>
        </is>
      </c>
      <c r="H1350" s="4" t="n">
        <v>1</v>
      </c>
      <c r="I1350" s="4" t="n">
        <v>1</v>
      </c>
      <c r="J1350" s="4" t="inlineStr">
        <is>
          <t>Conditions for Disbursement</t>
        </is>
      </c>
      <c r="K1350" s="4" t="inlineStr">
        <is>
          <t>MS-C21</t>
        </is>
      </c>
      <c r="L1350" s="6" t="n">
        <v>46323</v>
      </c>
      <c r="M1350" s="4" t="inlineStr">
        <is>
          <t>Approved</t>
        </is>
      </c>
      <c r="N1350" s="4" t="inlineStr">
        <is>
          <t>paragraph</t>
        </is>
      </c>
    </row>
    <row r="1351" ht="54" customHeight="1">
      <c r="A1351" s="8" t="inlineStr">
        <is>
          <t>C21-P0022</t>
        </is>
      </c>
      <c r="B1351" s="8" t="inlineStr">
        <is>
          <t>C21</t>
        </is>
      </c>
      <c r="C1351" s="8" t="inlineStr">
        <is>
          <t>AVYAY - National Action Plan for Senior Citizens: Health and Shelter for Senior Citizens</t>
        </is>
      </c>
      <c r="D1351" s="8" t="inlineStr">
        <is>
          <t>Benefits</t>
        </is>
      </c>
      <c r="E1351" s="8" t="inlineStr">
        <is>
          <t>Conditions for Disbursement</t>
        </is>
      </c>
      <c r="F1351" s="8" t="inlineStr">
        <is>
          <t>en.schemeContent.benefits[20].children[0]</t>
        </is>
      </c>
      <c r="G1351" s="8" t="inlineStr">
        <is>
          <t>C21@20261028-3ca35454</t>
        </is>
      </c>
      <c r="H1351" s="8" t="n">
        <v>1</v>
      </c>
      <c r="I1351" s="8" t="n">
        <v>1</v>
      </c>
      <c r="J1351" s="8" t="inlineStr">
        <is>
          <t>Recurring Grant-in-aid for Senior Citizen Homes is based on the number of days of attendance of beneficiaries as recorded through a contactless Information Technology (IT) system.</t>
        </is>
      </c>
      <c r="K1351" s="8" t="inlineStr">
        <is>
          <t>MS-C21</t>
        </is>
      </c>
      <c r="L1351" s="9" t="n">
        <v>46323</v>
      </c>
      <c r="M1351" s="8" t="inlineStr">
        <is>
          <t>Approved</t>
        </is>
      </c>
      <c r="N1351" s="8" t="inlineStr">
        <is>
          <t>list_item</t>
        </is>
      </c>
    </row>
    <row r="1352" ht="54" customHeight="1">
      <c r="A1352" s="4" t="inlineStr">
        <is>
          <t>C21-P0023</t>
        </is>
      </c>
      <c r="B1352" s="4" t="inlineStr">
        <is>
          <t>C21</t>
        </is>
      </c>
      <c r="C1352" s="4" t="inlineStr">
        <is>
          <t>AVYAY - National Action Plan for Senior Citizens: Health and Shelter for Senior Citizens</t>
        </is>
      </c>
      <c r="D1352" s="4" t="inlineStr">
        <is>
          <t>Benefits</t>
        </is>
      </c>
      <c r="E1352" s="4" t="inlineStr">
        <is>
          <t>Conditions for Disbursement</t>
        </is>
      </c>
      <c r="F1352" s="4" t="inlineStr">
        <is>
          <t>en.schemeContent.benefits[20].children[1]</t>
        </is>
      </c>
      <c r="G1352" s="4" t="inlineStr">
        <is>
          <t>C21@20261028-3ca35454</t>
        </is>
      </c>
      <c r="H1352" s="4" t="n">
        <v>1</v>
      </c>
      <c r="I1352" s="4" t="n">
        <v>1</v>
      </c>
      <c r="J1352" s="4" t="inlineStr">
        <is>
          <t>The second half-yearly instalment is released only after the inspection report of the State Government, the officers of the Central Ministry, or the Project Monitoring Unit (PMU) is received.</t>
        </is>
      </c>
      <c r="K1352" s="4" t="inlineStr">
        <is>
          <t>MS-C21</t>
        </is>
      </c>
      <c r="L1352" s="6" t="n">
        <v>46323</v>
      </c>
      <c r="M1352" s="4" t="inlineStr">
        <is>
          <t>Approved</t>
        </is>
      </c>
      <c r="N1352" s="4" t="inlineStr">
        <is>
          <t>list_item</t>
        </is>
      </c>
    </row>
    <row r="1353" ht="54" customHeight="1">
      <c r="A1353" s="8" t="inlineStr">
        <is>
          <t>C21-P0024</t>
        </is>
      </c>
      <c r="B1353" s="8" t="inlineStr">
        <is>
          <t>C21</t>
        </is>
      </c>
      <c r="C1353" s="8" t="inlineStr">
        <is>
          <t>AVYAY - National Action Plan for Senior Citizens: Health and Shelter for Senior Citizens</t>
        </is>
      </c>
      <c r="D1353" s="8" t="inlineStr">
        <is>
          <t>Benefits</t>
        </is>
      </c>
      <c r="E1353" s="8" t="inlineStr">
        <is>
          <t>Conditions for Continuation</t>
        </is>
      </c>
      <c r="F1353" s="8" t="inlineStr">
        <is>
          <t>en.schemeContent.benefits[21]</t>
        </is>
      </c>
      <c r="G1353" s="8" t="inlineStr">
        <is>
          <t>C21@20261028-3ca35454</t>
        </is>
      </c>
      <c r="H1353" s="8" t="n">
        <v>1</v>
      </c>
      <c r="I1353" s="8" t="n">
        <v>1</v>
      </c>
      <c r="J1353" s="8" t="inlineStr">
        <is>
          <t>Conditions for Continuation</t>
        </is>
      </c>
      <c r="K1353" s="8" t="inlineStr">
        <is>
          <t>MS-C21</t>
        </is>
      </c>
      <c r="L1353" s="9" t="n">
        <v>46323</v>
      </c>
      <c r="M1353" s="8" t="inlineStr">
        <is>
          <t>Approved</t>
        </is>
      </c>
      <c r="N1353" s="8" t="inlineStr">
        <is>
          <t>paragraph</t>
        </is>
      </c>
    </row>
    <row r="1354" ht="54" customHeight="1">
      <c r="A1354" s="4" t="inlineStr">
        <is>
          <t>C21-P0025</t>
        </is>
      </c>
      <c r="B1354" s="4" t="inlineStr">
        <is>
          <t>C21</t>
        </is>
      </c>
      <c r="C1354" s="4" t="inlineStr">
        <is>
          <t>AVYAY - National Action Plan for Senior Citizens: Health and Shelter for Senior Citizens</t>
        </is>
      </c>
      <c r="D1354" s="4" t="inlineStr">
        <is>
          <t>Benefits</t>
        </is>
      </c>
      <c r="E1354" s="4" t="inlineStr">
        <is>
          <t>Conditions for Continuation</t>
        </is>
      </c>
      <c r="F1354" s="4" t="inlineStr">
        <is>
          <t>en.schemeContent.benefits[22].children[0]</t>
        </is>
      </c>
      <c r="G1354" s="4" t="inlineStr">
        <is>
          <t>C21@20261028-3ca35454</t>
        </is>
      </c>
      <c r="H1354" s="4" t="n">
        <v>1</v>
      </c>
      <c r="I1354" s="4" t="n">
        <v>1</v>
      </c>
      <c r="J1354" s="4" t="inlineStr">
        <is>
          <t>Implementing Agencies must maintain the standards laid down in the scheme guidelines.</t>
        </is>
      </c>
      <c r="K1354" s="4" t="inlineStr">
        <is>
          <t>MS-C21</t>
        </is>
      </c>
      <c r="L1354" s="6" t="n">
        <v>46323</v>
      </c>
      <c r="M1354" s="4" t="inlineStr">
        <is>
          <t>Approved</t>
        </is>
      </c>
      <c r="N1354" s="4" t="inlineStr">
        <is>
          <t>list_item</t>
        </is>
      </c>
    </row>
    <row r="1355" ht="54" customHeight="1">
      <c r="A1355" s="8" t="inlineStr">
        <is>
          <t>C21-P0026</t>
        </is>
      </c>
      <c r="B1355" s="8" t="inlineStr">
        <is>
          <t>C21</t>
        </is>
      </c>
      <c r="C1355" s="8" t="inlineStr">
        <is>
          <t>AVYAY - National Action Plan for Senior Citizens: Health and Shelter for Senior Citizens</t>
        </is>
      </c>
      <c r="D1355" s="8" t="inlineStr">
        <is>
          <t>Benefits</t>
        </is>
      </c>
      <c r="E1355" s="8" t="inlineStr">
        <is>
          <t>Conditions for Continuation</t>
        </is>
      </c>
      <c r="F1355" s="8" t="inlineStr">
        <is>
          <t>en.schemeContent.benefits[22].children[1]</t>
        </is>
      </c>
      <c r="G1355" s="8" t="inlineStr">
        <is>
          <t>C21@20261028-3ca35454</t>
        </is>
      </c>
      <c r="H1355" s="8" t="n">
        <v>1</v>
      </c>
      <c r="I1355" s="8" t="n">
        <v>1</v>
      </c>
      <c r="J1355" s="8" t="inlineStr">
        <is>
          <t>Implementing Agencies must use the Expenditure, Audit and Tender (EAT) module of the Public Financial Management System (PFMS).</t>
        </is>
      </c>
      <c r="K1355" s="8" t="inlineStr">
        <is>
          <t>MS-C21</t>
        </is>
      </c>
      <c r="L1355" s="9" t="n">
        <v>46323</v>
      </c>
      <c r="M1355" s="8" t="inlineStr">
        <is>
          <t>Approved</t>
        </is>
      </c>
      <c r="N1355" s="8" t="inlineStr">
        <is>
          <t>list_item</t>
        </is>
      </c>
    </row>
    <row r="1356" ht="54" customHeight="1">
      <c r="A1356" s="4" t="inlineStr">
        <is>
          <t>C21-P0027</t>
        </is>
      </c>
      <c r="B1356" s="4" t="inlineStr">
        <is>
          <t>C21</t>
        </is>
      </c>
      <c r="C1356" s="4" t="inlineStr">
        <is>
          <t>AVYAY - National Action Plan for Senior Citizens: Health and Shelter for Senior Citizens</t>
        </is>
      </c>
      <c r="D1356" s="4" t="inlineStr">
        <is>
          <t>Benefits</t>
        </is>
      </c>
      <c r="E1356" s="4" t="inlineStr">
        <is>
          <t>Conditions for Continuation</t>
        </is>
      </c>
      <c r="F1356" s="4" t="inlineStr">
        <is>
          <t>en.schemeContent.benefits[22].children[2]</t>
        </is>
      </c>
      <c r="G1356" s="4" t="inlineStr">
        <is>
          <t>C21@20261028-3ca35454</t>
        </is>
      </c>
      <c r="H1356" s="4" t="n">
        <v>1</v>
      </c>
      <c r="I1356" s="4" t="n">
        <v>1</v>
      </c>
      <c r="J1356" s="4" t="inlineStr">
        <is>
          <t>Implementing Agencies must provide live streaming of the institution's functioning via Closed-Circuit Television (CCTV) cameras on their websites/E-anudaan website.</t>
        </is>
      </c>
      <c r="K1356" s="4" t="inlineStr">
        <is>
          <t>MS-C21</t>
        </is>
      </c>
      <c r="L1356" s="6" t="n">
        <v>46323</v>
      </c>
      <c r="M1356" s="4" t="inlineStr">
        <is>
          <t>Approved</t>
        </is>
      </c>
      <c r="N1356" s="4" t="inlineStr">
        <is>
          <t>list_item</t>
        </is>
      </c>
    </row>
    <row r="1357" ht="54" customHeight="1">
      <c r="A1357" s="8" t="inlineStr">
        <is>
          <t>C21-P0028</t>
        </is>
      </c>
      <c r="B1357" s="8" t="inlineStr">
        <is>
          <t>C21</t>
        </is>
      </c>
      <c r="C1357" s="8" t="inlineStr">
        <is>
          <t>AVYAY - National Action Plan for Senior Citizens: Health and Shelter for Senior Citizens</t>
        </is>
      </c>
      <c r="D1357" s="8" t="inlineStr">
        <is>
          <t>Benefits</t>
        </is>
      </c>
      <c r="E1357" s="8" t="inlineStr">
        <is>
          <t>Conditions for Continuation</t>
        </is>
      </c>
      <c r="F1357" s="8" t="inlineStr">
        <is>
          <t>en.schemeContent.benefits[22].children[3]</t>
        </is>
      </c>
      <c r="G1357" s="8" t="inlineStr">
        <is>
          <t>C21@20261028-3ca35454</t>
        </is>
      </c>
      <c r="H1357" s="8" t="n">
        <v>1</v>
      </c>
      <c r="I1357" s="8" t="n">
        <v>1</v>
      </c>
      <c r="J1357" s="8" t="inlineStr">
        <is>
          <t>The assistance provided is subject to the Implementing Agency maintaining the institution in the manner prescribed in the guidelines and standards.</t>
        </is>
      </c>
      <c r="K1357" s="8" t="inlineStr">
        <is>
          <t>MS-C21</t>
        </is>
      </c>
      <c r="L1357" s="9" t="n">
        <v>46323</v>
      </c>
      <c r="M1357" s="8" t="inlineStr">
        <is>
          <t>Approved</t>
        </is>
      </c>
      <c r="N1357" s="8" t="inlineStr">
        <is>
          <t>list_item</t>
        </is>
      </c>
    </row>
    <row r="1358" ht="54" customHeight="1">
      <c r="A1358" s="4" t="inlineStr">
        <is>
          <t>C21-P0029</t>
        </is>
      </c>
      <c r="B1358" s="4" t="inlineStr">
        <is>
          <t>C21</t>
        </is>
      </c>
      <c r="C1358" s="4" t="inlineStr">
        <is>
          <t>AVYAY - National Action Plan for Senior Citizens: Health and Shelter for Senior Citizens</t>
        </is>
      </c>
      <c r="D1358" s="4" t="inlineStr">
        <is>
          <t>Eligibility</t>
        </is>
      </c>
      <c r="E1358" s="4" t="inlineStr"/>
      <c r="F1358" s="4" t="inlineStr">
        <is>
          <t>en.eligibilityCriteria.eligibilityDescription[0].children[0]</t>
        </is>
      </c>
      <c r="G1358" s="4" t="inlineStr">
        <is>
          <t>C21@20261028-3ca35454</t>
        </is>
      </c>
      <c r="H1358" s="4" t="n">
        <v>1</v>
      </c>
      <c r="I1358" s="4" t="n">
        <v>1</v>
      </c>
      <c r="J1358" s="4" t="inlineStr">
        <is>
          <t>For Senior Citizens</t>
        </is>
      </c>
      <c r="K1358" s="4" t="inlineStr">
        <is>
          <t>MS-C21</t>
        </is>
      </c>
      <c r="L1358" s="6" t="n">
        <v>46323</v>
      </c>
      <c r="M1358" s="4" t="inlineStr">
        <is>
          <t>Approved</t>
        </is>
      </c>
      <c r="N1358" s="4" t="inlineStr">
        <is>
          <t>text</t>
        </is>
      </c>
    </row>
    <row r="1359" ht="54" customHeight="1">
      <c r="A1359" s="8" t="inlineStr">
        <is>
          <t>C21-P0030</t>
        </is>
      </c>
      <c r="B1359" s="8" t="inlineStr">
        <is>
          <t>C21</t>
        </is>
      </c>
      <c r="C1359" s="8" t="inlineStr">
        <is>
          <t>AVYAY - National Action Plan for Senior Citizens: Health and Shelter for Senior Citizens</t>
        </is>
      </c>
      <c r="D1359" s="8" t="inlineStr">
        <is>
          <t>Eligibility</t>
        </is>
      </c>
      <c r="E1359" s="8" t="inlineStr"/>
      <c r="F1359" s="8" t="inlineStr">
        <is>
          <t>en.eligibilityCriteria.eligibilityDescription[1]</t>
        </is>
      </c>
      <c r="G1359" s="8" t="inlineStr">
        <is>
          <t>C21@20261028-3ca35454</t>
        </is>
      </c>
      <c r="H1359" s="8" t="n">
        <v>1</v>
      </c>
      <c r="I1359" s="8" t="n">
        <v>1</v>
      </c>
      <c r="J1359" s="8" t="inlineStr">
        <is>
          <t>1.  The applicant must be a Senior Citizen.</t>
        </is>
      </c>
      <c r="K1359" s="8" t="inlineStr">
        <is>
          <t>MS-C21</t>
        </is>
      </c>
      <c r="L1359" s="9" t="n">
        <v>46323</v>
      </c>
      <c r="M1359" s="8" t="inlineStr">
        <is>
          <t>Approved</t>
        </is>
      </c>
      <c r="N1359" s="8" t="inlineStr">
        <is>
          <t>paragraph</t>
        </is>
      </c>
    </row>
    <row r="1360" ht="54" customHeight="1">
      <c r="A1360" s="4" t="inlineStr">
        <is>
          <t>C21-P0031</t>
        </is>
      </c>
      <c r="B1360" s="4" t="inlineStr">
        <is>
          <t>C21</t>
        </is>
      </c>
      <c r="C1360" s="4" t="inlineStr">
        <is>
          <t>AVYAY - National Action Plan for Senior Citizens: Health and Shelter for Senior Citizens</t>
        </is>
      </c>
      <c r="D1360" s="4" t="inlineStr">
        <is>
          <t>Eligibility</t>
        </is>
      </c>
      <c r="E1360" s="4" t="inlineStr"/>
      <c r="F1360" s="4" t="inlineStr">
        <is>
          <t>en.eligibilityCriteria.eligibilityDescription[2]</t>
        </is>
      </c>
      <c r="G1360" s="4" t="inlineStr">
        <is>
          <t>C21@20261028-3ca35454</t>
        </is>
      </c>
      <c r="H1360" s="4" t="n">
        <v>1</v>
      </c>
      <c r="I1360" s="4" t="n">
        <v>1</v>
      </c>
      <c r="J1360" s="4" t="inlineStr">
        <is>
          <t>2.  The applicant must be one of the following:</t>
        </is>
      </c>
      <c r="K1360" s="4" t="inlineStr">
        <is>
          <t>MS-C21</t>
        </is>
      </c>
      <c r="L1360" s="6" t="n">
        <v>46323</v>
      </c>
      <c r="M1360" s="4" t="inlineStr">
        <is>
          <t>Approved</t>
        </is>
      </c>
      <c r="N1360" s="4" t="inlineStr">
        <is>
          <t>paragraph</t>
        </is>
      </c>
    </row>
    <row r="1361" ht="54" customHeight="1">
      <c r="A1361" s="8" t="inlineStr">
        <is>
          <t>C21-P0032</t>
        </is>
      </c>
      <c r="B1361" s="8" t="inlineStr">
        <is>
          <t>C21</t>
        </is>
      </c>
      <c r="C1361" s="8" t="inlineStr">
        <is>
          <t>AVYAY - National Action Plan for Senior Citizens: Health and Shelter for Senior Citizens</t>
        </is>
      </c>
      <c r="D1361" s="8" t="inlineStr">
        <is>
          <t>Eligibility</t>
        </is>
      </c>
      <c r="E1361" s="8" t="inlineStr"/>
      <c r="F1361" s="8" t="inlineStr">
        <is>
          <t>en.eligibilityCriteria.eligibilityDescription[3].children[0]</t>
        </is>
      </c>
      <c r="G1361" s="8" t="inlineStr">
        <is>
          <t>C21@20261028-3ca35454</t>
        </is>
      </c>
      <c r="H1361" s="8" t="n">
        <v>1</v>
      </c>
      <c r="I1361" s="8" t="n">
        <v>1</v>
      </c>
      <c r="J1361" s="8" t="inlineStr">
        <is>
          <t>Indigent, having no sufficient means to maintain himself/herself, as determined by the State Government.</t>
        </is>
      </c>
      <c r="K1361" s="8" t="inlineStr">
        <is>
          <t>MS-C21</t>
        </is>
      </c>
      <c r="L1361" s="9" t="n">
        <v>46323</v>
      </c>
      <c r="M1361" s="8" t="inlineStr">
        <is>
          <t>Approved</t>
        </is>
      </c>
      <c r="N1361" s="8" t="inlineStr">
        <is>
          <t>list_item</t>
        </is>
      </c>
    </row>
    <row r="1362" ht="54" customHeight="1">
      <c r="A1362" s="4" t="inlineStr">
        <is>
          <t>C21-P0033</t>
        </is>
      </c>
      <c r="B1362" s="4" t="inlineStr">
        <is>
          <t>C21</t>
        </is>
      </c>
      <c r="C1362" s="4" t="inlineStr">
        <is>
          <t>AVYAY - National Action Plan for Senior Citizens: Health and Shelter for Senior Citizens</t>
        </is>
      </c>
      <c r="D1362" s="4" t="inlineStr">
        <is>
          <t>Eligibility</t>
        </is>
      </c>
      <c r="E1362" s="4" t="inlineStr"/>
      <c r="F1362" s="4" t="inlineStr">
        <is>
          <t>en.eligibilityCriteria.eligibilityDescription[3].children[1]</t>
        </is>
      </c>
      <c r="G1362" s="4" t="inlineStr">
        <is>
          <t>C21@20261028-3ca35454</t>
        </is>
      </c>
      <c r="H1362" s="4" t="n">
        <v>1</v>
      </c>
      <c r="I1362" s="4" t="n">
        <v>1</v>
      </c>
      <c r="J1362" s="4" t="inlineStr">
        <is>
          <t>Afflicted with Alzheimer's disease/Dementia or seriously ill requiring continuous nursing care, for admittance into Continuous Care Homes.</t>
        </is>
      </c>
      <c r="K1362" s="4" t="inlineStr">
        <is>
          <t>MS-C21</t>
        </is>
      </c>
      <c r="L1362" s="6" t="n">
        <v>46323</v>
      </c>
      <c r="M1362" s="4" t="inlineStr">
        <is>
          <t>Approved</t>
        </is>
      </c>
      <c r="N1362" s="4" t="inlineStr">
        <is>
          <t>list_item</t>
        </is>
      </c>
    </row>
    <row r="1363" ht="54" customHeight="1">
      <c r="A1363" s="8" t="inlineStr">
        <is>
          <t>C21-P0034</t>
        </is>
      </c>
      <c r="B1363" s="8" t="inlineStr">
        <is>
          <t>C21</t>
        </is>
      </c>
      <c r="C1363" s="8" t="inlineStr">
        <is>
          <t>AVYAY - National Action Plan for Senior Citizens: Health and Shelter for Senior Citizens</t>
        </is>
      </c>
      <c r="D1363" s="8" t="inlineStr">
        <is>
          <t>Eligibility</t>
        </is>
      </c>
      <c r="E1363" s="8" t="inlineStr"/>
      <c r="F1363" s="8" t="inlineStr">
        <is>
          <t>en.eligibilityCriteria.eligibilityDescription[4].children[0]</t>
        </is>
      </c>
      <c r="G1363" s="8" t="inlineStr">
        <is>
          <t>C21@20261028-3ca35454</t>
        </is>
      </c>
      <c r="H1363" s="8" t="n">
        <v>1</v>
      </c>
      <c r="I1363" s="8" t="n">
        <v>1</v>
      </c>
      <c r="J1363" s="8" t="inlineStr">
        <is>
          <t>For Implementing Agencies (General)</t>
        </is>
      </c>
      <c r="K1363" s="8" t="inlineStr">
        <is>
          <t>MS-C21</t>
        </is>
      </c>
      <c r="L1363" s="9" t="n">
        <v>46323</v>
      </c>
      <c r="M1363" s="8" t="inlineStr">
        <is>
          <t>Approved</t>
        </is>
      </c>
      <c r="N1363" s="8" t="inlineStr">
        <is>
          <t>text</t>
        </is>
      </c>
    </row>
    <row r="1364" ht="54" customHeight="1">
      <c r="A1364" s="4" t="inlineStr">
        <is>
          <t>C21-P0035</t>
        </is>
      </c>
      <c r="B1364" s="4" t="inlineStr">
        <is>
          <t>C21</t>
        </is>
      </c>
      <c r="C1364" s="4" t="inlineStr">
        <is>
          <t>AVYAY - National Action Plan for Senior Citizens: Health and Shelter for Senior Citizens</t>
        </is>
      </c>
      <c r="D1364" s="4" t="inlineStr">
        <is>
          <t>Eligibility</t>
        </is>
      </c>
      <c r="E1364" s="4" t="inlineStr"/>
      <c r="F1364" s="4" t="inlineStr">
        <is>
          <t>en.eligibilityCriteria.eligibilityDescription[5]</t>
        </is>
      </c>
      <c r="G1364" s="4" t="inlineStr">
        <is>
          <t>C21@20261028-3ca35454</t>
        </is>
      </c>
      <c r="H1364" s="4" t="n">
        <v>1</v>
      </c>
      <c r="I1364" s="4" t="n">
        <v>1</v>
      </c>
      <c r="J1364" s="4" t="inlineStr">
        <is>
          <t>1.  The applicant must be one of the following:</t>
        </is>
      </c>
      <c r="K1364" s="4" t="inlineStr">
        <is>
          <t>MS-C21</t>
        </is>
      </c>
      <c r="L1364" s="6" t="n">
        <v>46323</v>
      </c>
      <c r="M1364" s="4" t="inlineStr">
        <is>
          <t>Approved</t>
        </is>
      </c>
      <c r="N1364" s="4" t="inlineStr">
        <is>
          <t>paragraph</t>
        </is>
      </c>
    </row>
    <row r="1365" ht="54" customHeight="1">
      <c r="A1365" s="8" t="inlineStr">
        <is>
          <t>C21-P0036</t>
        </is>
      </c>
      <c r="B1365" s="8" t="inlineStr">
        <is>
          <t>C21</t>
        </is>
      </c>
      <c r="C1365" s="8" t="inlineStr">
        <is>
          <t>AVYAY - National Action Plan for Senior Citizens: Health and Shelter for Senior Citizens</t>
        </is>
      </c>
      <c r="D1365" s="8" t="inlineStr">
        <is>
          <t>Eligibility</t>
        </is>
      </c>
      <c r="E1365" s="8" t="inlineStr"/>
      <c r="F1365" s="8" t="inlineStr">
        <is>
          <t>en.eligibilityCriteria.eligibilityDescription[6].children[0]</t>
        </is>
      </c>
      <c r="G1365" s="8" t="inlineStr">
        <is>
          <t>C21@20261028-3ca35454</t>
        </is>
      </c>
      <c r="H1365" s="8" t="n">
        <v>1</v>
      </c>
      <c r="I1365" s="8" t="n">
        <v>1</v>
      </c>
      <c r="J1365" s="8" t="inlineStr">
        <is>
          <t>State/Union Territory Government.</t>
        </is>
      </c>
      <c r="K1365" s="8" t="inlineStr">
        <is>
          <t>MS-C21</t>
        </is>
      </c>
      <c r="L1365" s="9" t="n">
        <v>46323</v>
      </c>
      <c r="M1365" s="8" t="inlineStr">
        <is>
          <t>Approved</t>
        </is>
      </c>
      <c r="N1365" s="8" t="inlineStr">
        <is>
          <t>list_item</t>
        </is>
      </c>
    </row>
    <row r="1366" ht="54" customHeight="1">
      <c r="A1366" s="4" t="inlineStr">
        <is>
          <t>C21-P0037</t>
        </is>
      </c>
      <c r="B1366" s="4" t="inlineStr">
        <is>
          <t>C21</t>
        </is>
      </c>
      <c r="C1366" s="4" t="inlineStr">
        <is>
          <t>AVYAY - National Action Plan for Senior Citizens: Health and Shelter for Senior Citizens</t>
        </is>
      </c>
      <c r="D1366" s="4" t="inlineStr">
        <is>
          <t>Eligibility</t>
        </is>
      </c>
      <c r="E1366" s="4" t="inlineStr"/>
      <c r="F1366" s="4" t="inlineStr">
        <is>
          <t>en.eligibilityCriteria.eligibilityDescription[6].children[1]</t>
        </is>
      </c>
      <c r="G1366" s="4" t="inlineStr">
        <is>
          <t>C21@20261028-3ca35454</t>
        </is>
      </c>
      <c r="H1366" s="4" t="n">
        <v>1</v>
      </c>
      <c r="I1366" s="4" t="n">
        <v>1</v>
      </c>
      <c r="J1366" s="4" t="inlineStr">
        <is>
          <t>Panchayati Raj Institution (PRI).</t>
        </is>
      </c>
      <c r="K1366" s="4" t="inlineStr">
        <is>
          <t>MS-C21</t>
        </is>
      </c>
      <c r="L1366" s="6" t="n">
        <v>46323</v>
      </c>
      <c r="M1366" s="4" t="inlineStr">
        <is>
          <t>Approved</t>
        </is>
      </c>
      <c r="N1366" s="4" t="inlineStr">
        <is>
          <t>list_item</t>
        </is>
      </c>
    </row>
    <row r="1367" ht="54" customHeight="1">
      <c r="A1367" s="8" t="inlineStr">
        <is>
          <t>C21-P0038</t>
        </is>
      </c>
      <c r="B1367" s="8" t="inlineStr">
        <is>
          <t>C21</t>
        </is>
      </c>
      <c r="C1367" s="8" t="inlineStr">
        <is>
          <t>AVYAY - National Action Plan for Senior Citizens: Health and Shelter for Senior Citizens</t>
        </is>
      </c>
      <c r="D1367" s="8" t="inlineStr">
        <is>
          <t>Eligibility</t>
        </is>
      </c>
      <c r="E1367" s="8" t="inlineStr"/>
      <c r="F1367" s="8" t="inlineStr">
        <is>
          <t>en.eligibilityCriteria.eligibilityDescription[6].children[2]</t>
        </is>
      </c>
      <c r="G1367" s="8" t="inlineStr">
        <is>
          <t>C21@20261028-3ca35454</t>
        </is>
      </c>
      <c r="H1367" s="8" t="n">
        <v>1</v>
      </c>
      <c r="I1367" s="8" t="n">
        <v>1</v>
      </c>
      <c r="J1367" s="8" t="inlineStr">
        <is>
          <t>Urban Local Body (ULB).</t>
        </is>
      </c>
      <c r="K1367" s="8" t="inlineStr">
        <is>
          <t>MS-C21</t>
        </is>
      </c>
      <c r="L1367" s="9" t="n">
        <v>46323</v>
      </c>
      <c r="M1367" s="8" t="inlineStr">
        <is>
          <t>Approved</t>
        </is>
      </c>
      <c r="N1367" s="8" t="inlineStr">
        <is>
          <t>list_item</t>
        </is>
      </c>
    </row>
    <row r="1368" ht="54" customHeight="1">
      <c r="A1368" s="4" t="inlineStr">
        <is>
          <t>C21-P0039</t>
        </is>
      </c>
      <c r="B1368" s="4" t="inlineStr">
        <is>
          <t>C21</t>
        </is>
      </c>
      <c r="C1368" s="4" t="inlineStr">
        <is>
          <t>AVYAY - National Action Plan for Senior Citizens: Health and Shelter for Senior Citizens</t>
        </is>
      </c>
      <c r="D1368" s="4" t="inlineStr">
        <is>
          <t>Eligibility</t>
        </is>
      </c>
      <c r="E1368" s="4" t="inlineStr"/>
      <c r="F1368" s="4" t="inlineStr">
        <is>
          <t>en.eligibilityCriteria.eligibilityDescription[6].children[3]</t>
        </is>
      </c>
      <c r="G1368" s="4" t="inlineStr">
        <is>
          <t>C21@20261028-3ca35454</t>
        </is>
      </c>
      <c r="H1368" s="4" t="n">
        <v>1</v>
      </c>
      <c r="I1368" s="4" t="n">
        <v>1</v>
      </c>
      <c r="J1368" s="4" t="inlineStr">
        <is>
          <t>An Institution or Organization set up by the Government as autonomous/subordinate bodies.</t>
        </is>
      </c>
      <c r="K1368" s="4" t="inlineStr">
        <is>
          <t>MS-C21</t>
        </is>
      </c>
      <c r="L1368" s="6" t="n">
        <v>46323</v>
      </c>
      <c r="M1368" s="4" t="inlineStr">
        <is>
          <t>Approved</t>
        </is>
      </c>
      <c r="N1368" s="4" t="inlineStr">
        <is>
          <t>list_item</t>
        </is>
      </c>
    </row>
    <row r="1369" ht="54" customHeight="1">
      <c r="A1369" s="8" t="inlineStr">
        <is>
          <t>C21-P0040</t>
        </is>
      </c>
      <c r="B1369" s="8" t="inlineStr">
        <is>
          <t>C21</t>
        </is>
      </c>
      <c r="C1369" s="8" t="inlineStr">
        <is>
          <t>AVYAY - National Action Plan for Senior Citizens: Health and Shelter for Senior Citizens</t>
        </is>
      </c>
      <c r="D1369" s="8" t="inlineStr">
        <is>
          <t>Eligibility</t>
        </is>
      </c>
      <c r="E1369" s="8" t="inlineStr"/>
      <c r="F1369" s="8" t="inlineStr">
        <is>
          <t>en.eligibilityCriteria.eligibilityDescription[6].children[4]</t>
        </is>
      </c>
      <c r="G1369" s="8" t="inlineStr">
        <is>
          <t>C21@20261028-3ca35454</t>
        </is>
      </c>
      <c r="H1369" s="8" t="n">
        <v>1</v>
      </c>
      <c r="I1369" s="8" t="n">
        <v>1</v>
      </c>
      <c r="J1369" s="8" t="inlineStr">
        <is>
          <t>A Government Recognized Educational Institution.</t>
        </is>
      </c>
      <c r="K1369" s="8" t="inlineStr">
        <is>
          <t>MS-C21</t>
        </is>
      </c>
      <c r="L1369" s="9" t="n">
        <v>46323</v>
      </c>
      <c r="M1369" s="8" t="inlineStr">
        <is>
          <t>Approved</t>
        </is>
      </c>
      <c r="N1369" s="8" t="inlineStr">
        <is>
          <t>list_item</t>
        </is>
      </c>
    </row>
    <row r="1370" ht="54" customHeight="1">
      <c r="A1370" s="4" t="inlineStr">
        <is>
          <t>C21-P0041</t>
        </is>
      </c>
      <c r="B1370" s="4" t="inlineStr">
        <is>
          <t>C21</t>
        </is>
      </c>
      <c r="C1370" s="4" t="inlineStr">
        <is>
          <t>AVYAY - National Action Plan for Senior Citizens: Health and Shelter for Senior Citizens</t>
        </is>
      </c>
      <c r="D1370" s="4" t="inlineStr">
        <is>
          <t>Eligibility</t>
        </is>
      </c>
      <c r="E1370" s="4" t="inlineStr"/>
      <c r="F1370" s="4" t="inlineStr">
        <is>
          <t>en.eligibilityCriteria.eligibilityDescription[6].children[5]</t>
        </is>
      </c>
      <c r="G1370" s="4" t="inlineStr">
        <is>
          <t>C21@20261028-3ca35454</t>
        </is>
      </c>
      <c r="H1370" s="4" t="n">
        <v>1</v>
      </c>
      <c r="I1370" s="4" t="n">
        <v>1</v>
      </c>
      <c r="J1370" s="4" t="inlineStr">
        <is>
          <t>A recognized youth organization such as Nehru Yuva Kendra Sangathan (NYKS).</t>
        </is>
      </c>
      <c r="K1370" s="4" t="inlineStr">
        <is>
          <t>MS-C21</t>
        </is>
      </c>
      <c r="L1370" s="6" t="n">
        <v>46323</v>
      </c>
      <c r="M1370" s="4" t="inlineStr">
        <is>
          <t>Approved</t>
        </is>
      </c>
      <c r="N1370" s="4" t="inlineStr">
        <is>
          <t>list_item</t>
        </is>
      </c>
    </row>
    <row r="1371" ht="54" customHeight="1">
      <c r="A1371" s="8" t="inlineStr">
        <is>
          <t>C21-P0042</t>
        </is>
      </c>
      <c r="B1371" s="8" t="inlineStr">
        <is>
          <t>C21</t>
        </is>
      </c>
      <c r="C1371" s="8" t="inlineStr">
        <is>
          <t>AVYAY - National Action Plan for Senior Citizens: Health and Shelter for Senior Citizens</t>
        </is>
      </c>
      <c r="D1371" s="8" t="inlineStr">
        <is>
          <t>Eligibility</t>
        </is>
      </c>
      <c r="E1371" s="8" t="inlineStr"/>
      <c r="F1371" s="8" t="inlineStr">
        <is>
          <t>en.eligibilityCriteria.eligibilityDescription[7].children[0]</t>
        </is>
      </c>
      <c r="G1371" s="8" t="inlineStr">
        <is>
          <t>C21@20261028-3ca35454</t>
        </is>
      </c>
      <c r="H1371" s="8" t="n">
        <v>1</v>
      </c>
      <c r="I1371" s="8" t="n">
        <v>1</v>
      </c>
      <c r="J1371" s="8" t="inlineStr">
        <is>
          <t>For Implementing Agencies (Non-Governmental Organizations/Voluntary Organizations)</t>
        </is>
      </c>
      <c r="K1371" s="8" t="inlineStr">
        <is>
          <t>MS-C21</t>
        </is>
      </c>
      <c r="L1371" s="9" t="n">
        <v>46323</v>
      </c>
      <c r="M1371" s="8" t="inlineStr">
        <is>
          <t>Approved</t>
        </is>
      </c>
      <c r="N1371" s="8" t="inlineStr">
        <is>
          <t>text</t>
        </is>
      </c>
    </row>
    <row r="1372" ht="54" customHeight="1">
      <c r="A1372" s="4" t="inlineStr">
        <is>
          <t>C21-P0043</t>
        </is>
      </c>
      <c r="B1372" s="4" t="inlineStr">
        <is>
          <t>C21</t>
        </is>
      </c>
      <c r="C1372" s="4" t="inlineStr">
        <is>
          <t>AVYAY - National Action Plan for Senior Citizens: Health and Shelter for Senior Citizens</t>
        </is>
      </c>
      <c r="D1372" s="4" t="inlineStr">
        <is>
          <t>Eligibility</t>
        </is>
      </c>
      <c r="E1372" s="4" t="inlineStr"/>
      <c r="F1372" s="4" t="inlineStr">
        <is>
          <t>en.eligibilityCriteria.eligibilityDescription[8]</t>
        </is>
      </c>
      <c r="G1372" s="4" t="inlineStr">
        <is>
          <t>C21@20261028-3ca35454</t>
        </is>
      </c>
      <c r="H1372" s="4" t="n">
        <v>1</v>
      </c>
      <c r="I1372" s="4" t="n">
        <v>1</v>
      </c>
      <c r="J1372" s="4" t="inlineStr">
        <is>
          <t>1.  The applicant must be registered under the Societies Registration Act, 1860 (XXI of 1860) or any relevant Act of the State/Union Territory.</t>
        </is>
      </c>
      <c r="K1372" s="4" t="inlineStr">
        <is>
          <t>MS-C21</t>
        </is>
      </c>
      <c r="L1372" s="6" t="n">
        <v>46323</v>
      </c>
      <c r="M1372" s="4" t="inlineStr">
        <is>
          <t>Approved</t>
        </is>
      </c>
      <c r="N1372" s="4" t="inlineStr">
        <is>
          <t>paragraph</t>
        </is>
      </c>
    </row>
    <row r="1373" ht="54" customHeight="1">
      <c r="A1373" s="8" t="inlineStr">
        <is>
          <t>C21-P0044</t>
        </is>
      </c>
      <c r="B1373" s="8" t="inlineStr">
        <is>
          <t>C21</t>
        </is>
      </c>
      <c r="C1373" s="8" t="inlineStr">
        <is>
          <t>AVYAY - National Action Plan for Senior Citizens: Health and Shelter for Senior Citizens</t>
        </is>
      </c>
      <c r="D1373" s="8" t="inlineStr">
        <is>
          <t>Eligibility</t>
        </is>
      </c>
      <c r="E1373" s="8" t="inlineStr"/>
      <c r="F1373" s="8" t="inlineStr">
        <is>
          <t>en.eligibilityCriteria.eligibilityDescription[9]</t>
        </is>
      </c>
      <c r="G1373" s="8" t="inlineStr">
        <is>
          <t>C21@20261028-3ca35454</t>
        </is>
      </c>
      <c r="H1373" s="8" t="n">
        <v>1</v>
      </c>
      <c r="I1373" s="8" t="n">
        <v>1</v>
      </c>
      <c r="J1373" s="8" t="inlineStr">
        <is>
          <t>2.  The applicant must be one of the following:</t>
        </is>
      </c>
      <c r="K1373" s="8" t="inlineStr">
        <is>
          <t>MS-C21</t>
        </is>
      </c>
      <c r="L1373" s="9" t="n">
        <v>46323</v>
      </c>
      <c r="M1373" s="8" t="inlineStr">
        <is>
          <t>Approved</t>
        </is>
      </c>
      <c r="N1373" s="8" t="inlineStr">
        <is>
          <t>paragraph</t>
        </is>
      </c>
    </row>
    <row r="1374" ht="54" customHeight="1">
      <c r="A1374" s="4" t="inlineStr">
        <is>
          <t>C21-P0045</t>
        </is>
      </c>
      <c r="B1374" s="4" t="inlineStr">
        <is>
          <t>C21</t>
        </is>
      </c>
      <c r="C1374" s="4" t="inlineStr">
        <is>
          <t>AVYAY - National Action Plan for Senior Citizens: Health and Shelter for Senior Citizens</t>
        </is>
      </c>
      <c r="D1374" s="4" t="inlineStr">
        <is>
          <t>Eligibility</t>
        </is>
      </c>
      <c r="E1374" s="4" t="inlineStr"/>
      <c r="F1374" s="4" t="inlineStr">
        <is>
          <t>en.eligibilityCriteria.eligibilityDescription[10].children[0]</t>
        </is>
      </c>
      <c r="G1374" s="4" t="inlineStr">
        <is>
          <t>C21@20261028-3ca35454</t>
        </is>
      </c>
      <c r="H1374" s="4" t="n">
        <v>1</v>
      </c>
      <c r="I1374" s="4" t="n">
        <v>1</v>
      </c>
      <c r="J1374" s="4" t="inlineStr">
        <is>
          <t>A Public Trust registered under the law for the time being in force.</t>
        </is>
      </c>
      <c r="K1374" s="4" t="inlineStr">
        <is>
          <t>MS-C21</t>
        </is>
      </c>
      <c r="L1374" s="6" t="n">
        <v>46323</v>
      </c>
      <c r="M1374" s="4" t="inlineStr">
        <is>
          <t>Approved</t>
        </is>
      </c>
      <c r="N1374" s="4" t="inlineStr">
        <is>
          <t>list_item</t>
        </is>
      </c>
    </row>
    <row r="1375" ht="54" customHeight="1">
      <c r="A1375" s="8" t="inlineStr">
        <is>
          <t>C21-P0046</t>
        </is>
      </c>
      <c r="B1375" s="8" t="inlineStr">
        <is>
          <t>C21</t>
        </is>
      </c>
      <c r="C1375" s="8" t="inlineStr">
        <is>
          <t>AVYAY - National Action Plan for Senior Citizens: Health and Shelter for Senior Citizens</t>
        </is>
      </c>
      <c r="D1375" s="8" t="inlineStr">
        <is>
          <t>Eligibility</t>
        </is>
      </c>
      <c r="E1375" s="8" t="inlineStr"/>
      <c r="F1375" s="8" t="inlineStr">
        <is>
          <t>en.eligibilityCriteria.eligibilityDescription[10].children[1]</t>
        </is>
      </c>
      <c r="G1375" s="8" t="inlineStr">
        <is>
          <t>C21@20261028-3ca35454</t>
        </is>
      </c>
      <c r="H1375" s="8" t="n">
        <v>1</v>
      </c>
      <c r="I1375" s="8" t="n">
        <v>1</v>
      </c>
      <c r="J1375" s="8" t="inlineStr">
        <is>
          <t>A charitable company licensed under Section 25 of the Companies Act, 1958.</t>
        </is>
      </c>
      <c r="K1375" s="8" t="inlineStr">
        <is>
          <t>MS-C21</t>
        </is>
      </c>
      <c r="L1375" s="9" t="n">
        <v>46323</v>
      </c>
      <c r="M1375" s="8" t="inlineStr">
        <is>
          <t>Approved</t>
        </is>
      </c>
      <c r="N1375" s="8" t="inlineStr">
        <is>
          <t>list_item</t>
        </is>
      </c>
    </row>
    <row r="1376" ht="54" customHeight="1">
      <c r="A1376" s="4" t="inlineStr">
        <is>
          <t>C21-P0047</t>
        </is>
      </c>
      <c r="B1376" s="4" t="inlineStr">
        <is>
          <t>C21</t>
        </is>
      </c>
      <c r="C1376" s="4" t="inlineStr">
        <is>
          <t>AVYAY - National Action Plan for Senior Citizens: Health and Shelter for Senior Citizens</t>
        </is>
      </c>
      <c r="D1376" s="4" t="inlineStr">
        <is>
          <t>Eligibility</t>
        </is>
      </c>
      <c r="E1376" s="4" t="inlineStr"/>
      <c r="F1376" s="4" t="inlineStr">
        <is>
          <t>en.eligibilityCriteria.eligibilityDescription[10].children[2]</t>
        </is>
      </c>
      <c r="G1376" s="4" t="inlineStr">
        <is>
          <t>C21@20261028-3ca35454</t>
        </is>
      </c>
      <c r="H1376" s="4" t="n">
        <v>1</v>
      </c>
      <c r="I1376" s="4" t="n">
        <v>1</v>
      </c>
      <c r="J1376" s="4" t="inlineStr">
        <is>
          <t>Indian Red Cross Society or its branches.</t>
        </is>
      </c>
      <c r="K1376" s="4" t="inlineStr">
        <is>
          <t>MS-C21</t>
        </is>
      </c>
      <c r="L1376" s="6" t="n">
        <v>46323</v>
      </c>
      <c r="M1376" s="4" t="inlineStr">
        <is>
          <t>Approved</t>
        </is>
      </c>
      <c r="N1376" s="4" t="inlineStr">
        <is>
          <t>list_item</t>
        </is>
      </c>
    </row>
    <row r="1377" ht="54" customHeight="1">
      <c r="A1377" s="8" t="inlineStr">
        <is>
          <t>C21-P0048</t>
        </is>
      </c>
      <c r="B1377" s="8" t="inlineStr">
        <is>
          <t>C21</t>
        </is>
      </c>
      <c r="C1377" s="8" t="inlineStr">
        <is>
          <t>AVYAY - National Action Plan for Senior Citizens: Health and Shelter for Senior Citizens</t>
        </is>
      </c>
      <c r="D1377" s="8" t="inlineStr">
        <is>
          <t>Eligibility</t>
        </is>
      </c>
      <c r="E1377" s="8" t="inlineStr"/>
      <c r="F1377" s="8" t="inlineStr">
        <is>
          <t>en.eligibilityCriteria.eligibilityDescription[10].children[3]</t>
        </is>
      </c>
      <c r="G1377" s="8" t="inlineStr">
        <is>
          <t>C21@20261028-3ca35454</t>
        </is>
      </c>
      <c r="H1377" s="8" t="n">
        <v>1</v>
      </c>
      <c r="I1377" s="8" t="n">
        <v>1</v>
      </c>
      <c r="J1377" s="8" t="inlineStr">
        <is>
          <t>Any other public body or institution having a legal status of its own.</t>
        </is>
      </c>
      <c r="K1377" s="8" t="inlineStr">
        <is>
          <t>MS-C21</t>
        </is>
      </c>
      <c r="L1377" s="9" t="n">
        <v>46323</v>
      </c>
      <c r="M1377" s="8" t="inlineStr">
        <is>
          <t>Approved</t>
        </is>
      </c>
      <c r="N1377" s="8" t="inlineStr">
        <is>
          <t>list_item</t>
        </is>
      </c>
    </row>
    <row r="1378" ht="54" customHeight="1">
      <c r="A1378" s="4" t="inlineStr">
        <is>
          <t>C21-P0049</t>
        </is>
      </c>
      <c r="B1378" s="4" t="inlineStr">
        <is>
          <t>C21</t>
        </is>
      </c>
      <c r="C1378" s="4" t="inlineStr">
        <is>
          <t>AVYAY - National Action Plan for Senior Citizens: Health and Shelter for Senior Citizens</t>
        </is>
      </c>
      <c r="D1378" s="4" t="inlineStr">
        <is>
          <t>Eligibility</t>
        </is>
      </c>
      <c r="E1378" s="4" t="inlineStr"/>
      <c r="F1378" s="4" t="inlineStr">
        <is>
          <t>en.eligibilityCriteria.eligibilityDescription[10].children[4]</t>
        </is>
      </c>
      <c r="G1378" s="4" t="inlineStr">
        <is>
          <t>C21@20261028-3ca35454</t>
        </is>
      </c>
      <c r="H1378" s="4" t="n">
        <v>1</v>
      </c>
      <c r="I1378" s="4" t="n">
        <v>1</v>
      </c>
      <c r="J1378" s="4" t="inlineStr">
        <is>
          <t>Any other organization of repute, which may be approved by the Secretary, Department of Social Justice and Empowerment.</t>
        </is>
      </c>
      <c r="K1378" s="4" t="inlineStr">
        <is>
          <t>MS-C21</t>
        </is>
      </c>
      <c r="L1378" s="6" t="n">
        <v>46323</v>
      </c>
      <c r="M1378" s="4" t="inlineStr">
        <is>
          <t>Approved</t>
        </is>
      </c>
      <c r="N1378" s="4" t="inlineStr">
        <is>
          <t>list_item</t>
        </is>
      </c>
    </row>
    <row r="1379" ht="54" customHeight="1">
      <c r="A1379" s="8" t="inlineStr">
        <is>
          <t>C21-P0050</t>
        </is>
      </c>
      <c r="B1379" s="8" t="inlineStr">
        <is>
          <t>C21</t>
        </is>
      </c>
      <c r="C1379" s="8" t="inlineStr">
        <is>
          <t>AVYAY - National Action Plan for Senior Citizens: Health and Shelter for Senior Citizens</t>
        </is>
      </c>
      <c r="D1379" s="8" t="inlineStr">
        <is>
          <t>Eligibility</t>
        </is>
      </c>
      <c r="E1379" s="8" t="inlineStr"/>
      <c r="F1379" s="8" t="inlineStr">
        <is>
          <t>en.eligibilityCriteria.eligibilityDescription[11]</t>
        </is>
      </c>
      <c r="G1379" s="8" t="inlineStr">
        <is>
          <t>C21@20261028-3ca35454</t>
        </is>
      </c>
      <c r="H1379" s="8" t="n">
        <v>1</v>
      </c>
      <c r="I1379" s="8" t="n">
        <v>1</v>
      </c>
      <c r="J1379" s="8" t="inlineStr">
        <is>
          <t>3.  The applicant (Voluntary Organization) should have been registered for at least two years.</t>
        </is>
      </c>
      <c r="K1379" s="8" t="inlineStr">
        <is>
          <t>MS-C21</t>
        </is>
      </c>
      <c r="L1379" s="9" t="n">
        <v>46323</v>
      </c>
      <c r="M1379" s="8" t="inlineStr">
        <is>
          <t>Approved</t>
        </is>
      </c>
      <c r="N1379" s="8" t="inlineStr">
        <is>
          <t>paragraph</t>
        </is>
      </c>
    </row>
    <row r="1380" ht="54" customHeight="1">
      <c r="A1380" s="4" t="inlineStr">
        <is>
          <t>C21-P0051</t>
        </is>
      </c>
      <c r="B1380" s="4" t="inlineStr">
        <is>
          <t>C21</t>
        </is>
      </c>
      <c r="C1380" s="4" t="inlineStr">
        <is>
          <t>AVYAY - National Action Plan for Senior Citizens: Health and Shelter for Senior Citizens</t>
        </is>
      </c>
      <c r="D1380" s="4" t="inlineStr">
        <is>
          <t>Eligibility</t>
        </is>
      </c>
      <c r="E1380" s="4" t="inlineStr"/>
      <c r="F1380" s="4" t="inlineStr">
        <is>
          <t>en.eligibilityCriteria.eligibilityDescription[12]</t>
        </is>
      </c>
      <c r="G1380" s="4" t="inlineStr">
        <is>
          <t>C21@20261028-3ca35454</t>
        </is>
      </c>
      <c r="H1380" s="4" t="n">
        <v>1</v>
      </c>
      <c r="I1380" s="4" t="n">
        <v>1</v>
      </c>
      <c r="J1380" s="4" t="inlineStr">
        <is>
          <t>4.  The applicant should have had at least two years' experience in the social sector at the time of applying for the grant.</t>
        </is>
      </c>
      <c r="K1380" s="4" t="inlineStr">
        <is>
          <t>MS-C21</t>
        </is>
      </c>
      <c r="L1380" s="6" t="n">
        <v>46323</v>
      </c>
      <c r="M1380" s="4" t="inlineStr">
        <is>
          <t>Approved</t>
        </is>
      </c>
      <c r="N1380" s="4" t="inlineStr">
        <is>
          <t>paragraph</t>
        </is>
      </c>
    </row>
    <row r="1381" ht="54" customHeight="1">
      <c r="A1381" s="8" t="inlineStr">
        <is>
          <t>C21-P0052</t>
        </is>
      </c>
      <c r="B1381" s="8" t="inlineStr">
        <is>
          <t>C21</t>
        </is>
      </c>
      <c r="C1381" s="8" t="inlineStr">
        <is>
          <t>AVYAY - National Action Plan for Senior Citizens: Health and Shelter for Senior Citizens</t>
        </is>
      </c>
      <c r="D1381" s="8" t="inlineStr">
        <is>
          <t>Eligibility</t>
        </is>
      </c>
      <c r="E1381" s="8" t="inlineStr"/>
      <c r="F1381" s="8" t="inlineStr">
        <is>
          <t>en.eligibilityCriteria.eligibilityDescription[13]</t>
        </is>
      </c>
      <c r="G1381" s="8" t="inlineStr">
        <is>
          <t>C21@20261028-3ca35454</t>
        </is>
      </c>
      <c r="H1381" s="8" t="n">
        <v>1</v>
      </c>
      <c r="I1381" s="8" t="n">
        <v>1</v>
      </c>
      <c r="J1381" s="8" t="inlineStr">
        <is>
          <t>5.  The applicant must have a Bank Account maintained and operated in the joint name of the Non-Governmental Organization/Voluntary Organization.</t>
        </is>
      </c>
      <c r="K1381" s="8" t="inlineStr">
        <is>
          <t>MS-C21</t>
        </is>
      </c>
      <c r="L1381" s="9" t="n">
        <v>46323</v>
      </c>
      <c r="M1381" s="8" t="inlineStr">
        <is>
          <t>Approved</t>
        </is>
      </c>
      <c r="N1381" s="8" t="inlineStr">
        <is>
          <t>paragraph</t>
        </is>
      </c>
    </row>
    <row r="1382" ht="54" customHeight="1">
      <c r="A1382" s="4" t="inlineStr">
        <is>
          <t>C21-P0053</t>
        </is>
      </c>
      <c r="B1382" s="4" t="inlineStr">
        <is>
          <t>C21</t>
        </is>
      </c>
      <c r="C1382" s="4" t="inlineStr">
        <is>
          <t>AVYAY - National Action Plan for Senior Citizens: Health and Shelter for Senior Citizens</t>
        </is>
      </c>
      <c r="D1382" s="4" t="inlineStr">
        <is>
          <t>Eligibility</t>
        </is>
      </c>
      <c r="E1382" s="4" t="inlineStr"/>
      <c r="F1382" s="4" t="inlineStr">
        <is>
          <t>en.eligibilityCriteria.eligibilityDescription[14]</t>
        </is>
      </c>
      <c r="G1382" s="4" t="inlineStr">
        <is>
          <t>C21@20261028-3ca35454</t>
        </is>
      </c>
      <c r="H1382" s="4" t="n">
        <v>1</v>
      </c>
      <c r="I1382" s="4" t="n">
        <v>1</v>
      </c>
      <c r="J1382" s="4" t="inlineStr">
        <is>
          <t>6.  The applicant (for Continuous Care Homes) must have shown a credible track record in running Charitable Hospitals/Nursing Homes/Medical Institutions/Colleges.</t>
        </is>
      </c>
      <c r="K1382" s="4" t="inlineStr">
        <is>
          <t>MS-C21</t>
        </is>
      </c>
      <c r="L1382" s="6" t="n">
        <v>46323</v>
      </c>
      <c r="M1382" s="4" t="inlineStr">
        <is>
          <t>Approved</t>
        </is>
      </c>
      <c r="N1382" s="4" t="inlineStr">
        <is>
          <t>paragraph</t>
        </is>
      </c>
    </row>
    <row r="1383" ht="54" customHeight="1">
      <c r="A1383" s="8" t="inlineStr">
        <is>
          <t>C21-P0054</t>
        </is>
      </c>
      <c r="B1383" s="8" t="inlineStr">
        <is>
          <t>C21</t>
        </is>
      </c>
      <c r="C1383" s="8" t="inlineStr">
        <is>
          <t>AVYAY - National Action Plan for Senior Citizens: Health and Shelter for Senior Citizens</t>
        </is>
      </c>
      <c r="D1383" s="8" t="inlineStr">
        <is>
          <t>Eligibility</t>
        </is>
      </c>
      <c r="E1383" s="8" t="inlineStr"/>
      <c r="F1383" s="8" t="inlineStr">
        <is>
          <t>en.eligibilityCriteria.eligibilityDescription[15].children[0]</t>
        </is>
      </c>
      <c r="G1383" s="8" t="inlineStr">
        <is>
          <t>C21@20261028-3ca35454</t>
        </is>
      </c>
      <c r="H1383" s="8" t="n">
        <v>1</v>
      </c>
      <c r="I1383" s="8" t="n">
        <v>1</v>
      </c>
      <c r="J1383" s="8" t="inlineStr">
        <is>
          <t>Preference/Priority</t>
        </is>
      </c>
      <c r="K1383" s="8" t="inlineStr">
        <is>
          <t>MS-C21</t>
        </is>
      </c>
      <c r="L1383" s="9" t="n">
        <v>46323</v>
      </c>
      <c r="M1383" s="8" t="inlineStr">
        <is>
          <t>Approved</t>
        </is>
      </c>
      <c r="N1383" s="8" t="inlineStr">
        <is>
          <t>text</t>
        </is>
      </c>
    </row>
    <row r="1384" ht="68" customHeight="1">
      <c r="A1384" s="4" t="inlineStr">
        <is>
          <t>C21-P0055</t>
        </is>
      </c>
      <c r="B1384" s="4" t="inlineStr">
        <is>
          <t>C21</t>
        </is>
      </c>
      <c r="C1384" s="4" t="inlineStr">
        <is>
          <t>AVYAY - National Action Plan for Senior Citizens: Health and Shelter for Senior Citizens</t>
        </is>
      </c>
      <c r="D1384" s="4" t="inlineStr">
        <is>
          <t>Eligibility</t>
        </is>
      </c>
      <c r="E1384" s="4" t="inlineStr"/>
      <c r="F1384" s="4" t="inlineStr">
        <is>
          <t>en.eligibilityCriteria.eligibilityDescription[16]</t>
        </is>
      </c>
      <c r="G1384" s="4" t="inlineStr">
        <is>
          <t>C21@20261028-3ca35454</t>
        </is>
      </c>
      <c r="H1384" s="4" t="n">
        <v>1</v>
      </c>
      <c r="I1384" s="4" t="n">
        <v>1</v>
      </c>
      <c r="J1384" s="4" t="inlineStr">
        <is>
          <t>The applicant agency will be selected in the order of preference as follows: Self Help Groups of the senior citizens, Corporate Social Responsibility (CSR) Foundations/Charities already in the field of elderly care, Start-ups in the segment of elderly care, and Non-Governmental Organizations/Trusts operating in the elderly care segment.</t>
        </is>
      </c>
      <c r="K1384" s="4" t="inlineStr">
        <is>
          <t>MS-C21</t>
        </is>
      </c>
      <c r="L1384" s="6" t="n">
        <v>46323</v>
      </c>
      <c r="M1384" s="4" t="inlineStr">
        <is>
          <t>Approved</t>
        </is>
      </c>
      <c r="N1384" s="4" t="inlineStr">
        <is>
          <t>paragraph</t>
        </is>
      </c>
    </row>
    <row r="1385" ht="54" customHeight="1">
      <c r="A1385" s="8" t="inlineStr">
        <is>
          <t>C21-P0056</t>
        </is>
      </c>
      <c r="B1385" s="8" t="inlineStr">
        <is>
          <t>C21</t>
        </is>
      </c>
      <c r="C1385" s="8" t="inlineStr">
        <is>
          <t>AVYAY - National Action Plan for Senior Citizens: Health and Shelter for Senior Citizens</t>
        </is>
      </c>
      <c r="D1385" s="8" t="inlineStr">
        <is>
          <t>Exclusions</t>
        </is>
      </c>
      <c r="E1385" s="8" t="inlineStr"/>
      <c r="F1385" s="8" t="inlineStr">
        <is>
          <t>en.schemeContent.exclusions[0].children[0]</t>
        </is>
      </c>
      <c r="G1385" s="8" t="inlineStr">
        <is>
          <t>C21@20261028-3ca35454</t>
        </is>
      </c>
      <c r="H1385" s="8" t="n">
        <v>1</v>
      </c>
      <c r="I1385" s="8" t="n">
        <v>1</v>
      </c>
      <c r="J1385" s="8" t="inlineStr">
        <is>
          <t>New Mobile Medicare Units shall not be supported under the Integrated Programme for Senior Citizens (IPSrC) scheme.</t>
        </is>
      </c>
      <c r="K1385" s="8" t="inlineStr">
        <is>
          <t>MS-C21</t>
        </is>
      </c>
      <c r="L1385" s="9" t="n">
        <v>46323</v>
      </c>
      <c r="M1385" s="8" t="inlineStr">
        <is>
          <t>Approved</t>
        </is>
      </c>
      <c r="N1385" s="8" t="inlineStr">
        <is>
          <t>list_item</t>
        </is>
      </c>
    </row>
    <row r="1386" ht="54" customHeight="1">
      <c r="A1386" s="4" t="inlineStr">
        <is>
          <t>C21-P0057</t>
        </is>
      </c>
      <c r="B1386" s="4" t="inlineStr">
        <is>
          <t>C21</t>
        </is>
      </c>
      <c r="C1386" s="4" t="inlineStr">
        <is>
          <t>AVYAY - National Action Plan for Senior Citizens: Health and Shelter for Senior Citizens</t>
        </is>
      </c>
      <c r="D1386" s="4" t="inlineStr">
        <is>
          <t>Exclusions</t>
        </is>
      </c>
      <c r="E1386" s="4" t="inlineStr"/>
      <c r="F1386" s="4" t="inlineStr">
        <is>
          <t>en.schemeContent.exclusions[0].children[1]</t>
        </is>
      </c>
      <c r="G1386" s="4" t="inlineStr">
        <is>
          <t>C21@20261028-3ca35454</t>
        </is>
      </c>
      <c r="H1386" s="4" t="n">
        <v>1</v>
      </c>
      <c r="I1386" s="4" t="n">
        <v>1</v>
      </c>
      <c r="J1386" s="4" t="inlineStr">
        <is>
          <t>No Grant-in-Aid shall be released for new Physiotherapy Clinics under State Action Plan for Senior Citizens (SAPSrC).</t>
        </is>
      </c>
      <c r="K1386" s="4" t="inlineStr">
        <is>
          <t>MS-C21</t>
        </is>
      </c>
      <c r="L1386" s="6" t="n">
        <v>46323</v>
      </c>
      <c r="M1386" s="4" t="inlineStr">
        <is>
          <t>Approved</t>
        </is>
      </c>
      <c r="N1386" s="4" t="inlineStr">
        <is>
          <t>list_item</t>
        </is>
      </c>
    </row>
    <row r="1387" ht="54" customHeight="1">
      <c r="A1387" s="8" t="inlineStr">
        <is>
          <t>C21-P0058</t>
        </is>
      </c>
      <c r="B1387" s="8" t="inlineStr">
        <is>
          <t>C21</t>
        </is>
      </c>
      <c r="C1387" s="8" t="inlineStr">
        <is>
          <t>AVYAY - National Action Plan for Senior Citizens: Health and Shelter for Senior Citizens</t>
        </is>
      </c>
      <c r="D1387" s="8" t="inlineStr">
        <is>
          <t>Applicant documents</t>
        </is>
      </c>
      <c r="E1387" s="8" t="inlineStr"/>
      <c r="F1387" s="8" t="inlineStr">
        <is>
          <t>documents.en.documents_required[0].children[0]</t>
        </is>
      </c>
      <c r="G1387" s="8" t="inlineStr">
        <is>
          <t>C21@20261028-3ca35454</t>
        </is>
      </c>
      <c r="H1387" s="8" t="n">
        <v>1</v>
      </c>
      <c r="I1387" s="8" t="n">
        <v>1</v>
      </c>
      <c r="J1387" s="8" t="inlineStr">
        <is>
          <t>Organizational/Legal Documents</t>
        </is>
      </c>
      <c r="K1387" s="8" t="inlineStr">
        <is>
          <t>MS-C21</t>
        </is>
      </c>
      <c r="L1387" s="9" t="n">
        <v>46323</v>
      </c>
      <c r="M1387" s="8" t="inlineStr">
        <is>
          <t>Approved</t>
        </is>
      </c>
      <c r="N1387" s="8" t="inlineStr">
        <is>
          <t>text</t>
        </is>
      </c>
    </row>
    <row r="1388" ht="54" customHeight="1">
      <c r="A1388" s="4" t="inlineStr">
        <is>
          <t>C21-P0059</t>
        </is>
      </c>
      <c r="B1388" s="4" t="inlineStr">
        <is>
          <t>C21</t>
        </is>
      </c>
      <c r="C1388" s="4" t="inlineStr">
        <is>
          <t>AVYAY - National Action Plan for Senior Citizens: Health and Shelter for Senior Citizens</t>
        </is>
      </c>
      <c r="D1388" s="4" t="inlineStr">
        <is>
          <t>Applicant documents</t>
        </is>
      </c>
      <c r="E1388" s="4" t="inlineStr"/>
      <c r="F1388" s="4" t="inlineStr">
        <is>
          <t>documents.en.documents_required[1].children[0]</t>
        </is>
      </c>
      <c r="G1388" s="4" t="inlineStr">
        <is>
          <t>C21@20261028-3ca35454</t>
        </is>
      </c>
      <c r="H1388" s="4" t="n">
        <v>1</v>
      </c>
      <c r="I1388" s="4" t="n">
        <v>1</v>
      </c>
      <c r="J1388" s="4" t="inlineStr">
        <is>
          <t>Certified Copy of the Registration Certificate Under Societies Registration Act, 1860 Or Charitable Trust Act Etc.</t>
        </is>
      </c>
      <c r="K1388" s="4" t="inlineStr">
        <is>
          <t>MS-C21</t>
        </is>
      </c>
      <c r="L1388" s="6" t="n">
        <v>46323</v>
      </c>
      <c r="M1388" s="4" t="inlineStr">
        <is>
          <t>Approved</t>
        </is>
      </c>
      <c r="N1388" s="4" t="inlineStr">
        <is>
          <t>list_item</t>
        </is>
      </c>
    </row>
    <row r="1389" ht="54" customHeight="1">
      <c r="A1389" s="8" t="inlineStr">
        <is>
          <t>C21-P0060</t>
        </is>
      </c>
      <c r="B1389" s="8" t="inlineStr">
        <is>
          <t>C21</t>
        </is>
      </c>
      <c r="C1389" s="8" t="inlineStr">
        <is>
          <t>AVYAY - National Action Plan for Senior Citizens: Health and Shelter for Senior Citizens</t>
        </is>
      </c>
      <c r="D1389" s="8" t="inlineStr">
        <is>
          <t>Applicant documents</t>
        </is>
      </c>
      <c r="E1389" s="8" t="inlineStr"/>
      <c r="F1389" s="8" t="inlineStr">
        <is>
          <t>documents.en.documents_required[1].children[1]</t>
        </is>
      </c>
      <c r="G1389" s="8" t="inlineStr">
        <is>
          <t>C21@20261028-3ca35454</t>
        </is>
      </c>
      <c r="H1389" s="8" t="n">
        <v>1</v>
      </c>
      <c r="I1389" s="8" t="n">
        <v>1</v>
      </c>
      <c r="J1389" s="8" t="inlineStr">
        <is>
          <t>Non-Governmental Organization Memorandum of Association (MOA).</t>
        </is>
      </c>
      <c r="K1389" s="8" t="inlineStr">
        <is>
          <t>MS-C21</t>
        </is>
      </c>
      <c r="L1389" s="9" t="n">
        <v>46323</v>
      </c>
      <c r="M1389" s="8" t="inlineStr">
        <is>
          <t>Approved</t>
        </is>
      </c>
      <c r="N1389" s="8" t="inlineStr">
        <is>
          <t>list_item</t>
        </is>
      </c>
    </row>
    <row r="1390" ht="54" customHeight="1">
      <c r="A1390" s="4" t="inlineStr">
        <is>
          <t>C21-P0061</t>
        </is>
      </c>
      <c r="B1390" s="4" t="inlineStr">
        <is>
          <t>C21</t>
        </is>
      </c>
      <c r="C1390" s="4" t="inlineStr">
        <is>
          <t>AVYAY - National Action Plan for Senior Citizens: Health and Shelter for Senior Citizens</t>
        </is>
      </c>
      <c r="D1390" s="4" t="inlineStr">
        <is>
          <t>Applicant documents</t>
        </is>
      </c>
      <c r="E1390" s="4" t="inlineStr"/>
      <c r="F1390" s="4" t="inlineStr">
        <is>
          <t>documents.en.documents_required[1].children[2]</t>
        </is>
      </c>
      <c r="G1390" s="4" t="inlineStr">
        <is>
          <t>C21@20261028-3ca35454</t>
        </is>
      </c>
      <c r="H1390" s="4" t="n">
        <v>1</v>
      </c>
      <c r="I1390" s="4" t="n">
        <v>1</v>
      </c>
      <c r="J1390" s="4" t="inlineStr">
        <is>
          <t>Valid Registration Certificate for the Project (License From the District Authorities).</t>
        </is>
      </c>
      <c r="K1390" s="4" t="inlineStr">
        <is>
          <t>MS-C21</t>
        </is>
      </c>
      <c r="L1390" s="6" t="n">
        <v>46323</v>
      </c>
      <c r="M1390" s="4" t="inlineStr">
        <is>
          <t>Approved</t>
        </is>
      </c>
      <c r="N1390" s="4" t="inlineStr">
        <is>
          <t>list_item</t>
        </is>
      </c>
    </row>
    <row r="1391" ht="54" customHeight="1">
      <c r="A1391" s="8" t="inlineStr">
        <is>
          <t>C21-P0062</t>
        </is>
      </c>
      <c r="B1391" s="8" t="inlineStr">
        <is>
          <t>C21</t>
        </is>
      </c>
      <c r="C1391" s="8" t="inlineStr">
        <is>
          <t>AVYAY - National Action Plan for Senior Citizens: Health and Shelter for Senior Citizens</t>
        </is>
      </c>
      <c r="D1391" s="8" t="inlineStr">
        <is>
          <t>Applicant documents</t>
        </is>
      </c>
      <c r="E1391" s="8" t="inlineStr"/>
      <c r="F1391" s="8" t="inlineStr">
        <is>
          <t>documents.en.documents_required[1].children[3]</t>
        </is>
      </c>
      <c r="G1391" s="8" t="inlineStr">
        <is>
          <t>C21@20261028-3ca35454</t>
        </is>
      </c>
      <c r="H1391" s="8" t="n">
        <v>1</v>
      </c>
      <c r="I1391" s="8" t="n">
        <v>1</v>
      </c>
      <c r="J1391" s="8" t="inlineStr">
        <is>
          <t>Copies of Rules, Aims, And Objectives of the Organization.</t>
        </is>
      </c>
      <c r="K1391" s="8" t="inlineStr">
        <is>
          <t>MS-C21</t>
        </is>
      </c>
      <c r="L1391" s="9" t="n">
        <v>46323</v>
      </c>
      <c r="M1391" s="8" t="inlineStr">
        <is>
          <t>Approved</t>
        </is>
      </c>
      <c r="N1391" s="8" t="inlineStr">
        <is>
          <t>list_item</t>
        </is>
      </c>
    </row>
    <row r="1392" ht="54" customHeight="1">
      <c r="A1392" s="4" t="inlineStr">
        <is>
          <t>C21-P0063</t>
        </is>
      </c>
      <c r="B1392" s="4" t="inlineStr">
        <is>
          <t>C21</t>
        </is>
      </c>
      <c r="C1392" s="4" t="inlineStr">
        <is>
          <t>AVYAY - National Action Plan for Senior Citizens: Health and Shelter for Senior Citizens</t>
        </is>
      </c>
      <c r="D1392" s="4" t="inlineStr">
        <is>
          <t>Applicant documents</t>
        </is>
      </c>
      <c r="E1392" s="4" t="inlineStr"/>
      <c r="F1392" s="4" t="inlineStr">
        <is>
          <t>documents.en.documents_required[1].children[4]</t>
        </is>
      </c>
      <c r="G1392" s="4" t="inlineStr">
        <is>
          <t>C21@20261028-3ca35454</t>
        </is>
      </c>
      <c r="H1392" s="4" t="n">
        <v>1</v>
      </c>
      <c r="I1392" s="4" t="n">
        <v>1</v>
      </c>
      <c r="J1392" s="4" t="inlineStr">
        <is>
          <t>List of Management/Managing Committee Members.</t>
        </is>
      </c>
      <c r="K1392" s="4" t="inlineStr">
        <is>
          <t>MS-C21</t>
        </is>
      </c>
      <c r="L1392" s="6" t="n">
        <v>46323</v>
      </c>
      <c r="M1392" s="4" t="inlineStr">
        <is>
          <t>Approved</t>
        </is>
      </c>
      <c r="N1392" s="4" t="inlineStr">
        <is>
          <t>list_item</t>
        </is>
      </c>
    </row>
    <row r="1393" ht="54" customHeight="1">
      <c r="A1393" s="8" t="inlineStr">
        <is>
          <t>C21-P0064</t>
        </is>
      </c>
      <c r="B1393" s="8" t="inlineStr">
        <is>
          <t>C21</t>
        </is>
      </c>
      <c r="C1393" s="8" t="inlineStr">
        <is>
          <t>AVYAY - National Action Plan for Senior Citizens: Health and Shelter for Senior Citizens</t>
        </is>
      </c>
      <c r="D1393" s="8" t="inlineStr">
        <is>
          <t>Applicant documents</t>
        </is>
      </c>
      <c r="E1393" s="8" t="inlineStr"/>
      <c r="F1393" s="8" t="inlineStr">
        <is>
          <t>documents.en.documents_required[1].children[5]</t>
        </is>
      </c>
      <c r="G1393" s="8" t="inlineStr">
        <is>
          <t>C21@20261028-3ca35454</t>
        </is>
      </c>
      <c r="H1393" s="8" t="n">
        <v>1</v>
      </c>
      <c r="I1393" s="8" t="n">
        <v>1</v>
      </c>
      <c r="J1393" s="8" t="inlineStr">
        <is>
          <t>Valid Managing Committee Details of the Project.</t>
        </is>
      </c>
      <c r="K1393" s="8" t="inlineStr">
        <is>
          <t>MS-C21</t>
        </is>
      </c>
      <c r="L1393" s="9" t="n">
        <v>46323</v>
      </c>
      <c r="M1393" s="8" t="inlineStr">
        <is>
          <t>Approved</t>
        </is>
      </c>
      <c r="N1393" s="8" t="inlineStr">
        <is>
          <t>list_item</t>
        </is>
      </c>
    </row>
    <row r="1394" ht="54" customHeight="1">
      <c r="A1394" s="4" t="inlineStr">
        <is>
          <t>C21-P0065</t>
        </is>
      </c>
      <c r="B1394" s="4" t="inlineStr">
        <is>
          <t>C21</t>
        </is>
      </c>
      <c r="C1394" s="4" t="inlineStr">
        <is>
          <t>AVYAY - National Action Plan for Senior Citizens: Health and Shelter for Senior Citizens</t>
        </is>
      </c>
      <c r="D1394" s="4" t="inlineStr">
        <is>
          <t>Applicant documents</t>
        </is>
      </c>
      <c r="E1394" s="4" t="inlineStr"/>
      <c r="F1394" s="4" t="inlineStr">
        <is>
          <t>documents.en.documents_required[1].children[6]</t>
        </is>
      </c>
      <c r="G1394" s="4" t="inlineStr">
        <is>
          <t>C21@20261028-3ca35454</t>
        </is>
      </c>
      <c r="H1394" s="4" t="n">
        <v>1</v>
      </c>
      <c r="I1394" s="4" t="n">
        <v>1</v>
      </c>
      <c r="J1394" s="4" t="inlineStr">
        <is>
          <t>Copy of Permanent Account Number (PAN) Card of the Organization.</t>
        </is>
      </c>
      <c r="K1394" s="4" t="inlineStr">
        <is>
          <t>MS-C21</t>
        </is>
      </c>
      <c r="L1394" s="6" t="n">
        <v>46323</v>
      </c>
      <c r="M1394" s="4" t="inlineStr">
        <is>
          <t>Approved</t>
        </is>
      </c>
      <c r="N1394" s="4" t="inlineStr">
        <is>
          <t>list_item</t>
        </is>
      </c>
    </row>
    <row r="1395" ht="54" customHeight="1">
      <c r="A1395" s="8" t="inlineStr">
        <is>
          <t>C21-P0066</t>
        </is>
      </c>
      <c r="B1395" s="8" t="inlineStr">
        <is>
          <t>C21</t>
        </is>
      </c>
      <c r="C1395" s="8" t="inlineStr">
        <is>
          <t>AVYAY - National Action Plan for Senior Citizens: Health and Shelter for Senior Citizens</t>
        </is>
      </c>
      <c r="D1395" s="8" t="inlineStr">
        <is>
          <t>Applicant documents</t>
        </is>
      </c>
      <c r="E1395" s="8" t="inlineStr"/>
      <c r="F1395" s="8" t="inlineStr">
        <is>
          <t>documents.en.documents_required[1].children[7]</t>
        </is>
      </c>
      <c r="G1395" s="8" t="inlineStr">
        <is>
          <t>C21@20261028-3ca35454</t>
        </is>
      </c>
      <c r="H1395" s="8" t="n">
        <v>1</v>
      </c>
      <c r="I1395" s="8" t="n">
        <v>1</v>
      </c>
      <c r="J1395" s="8" t="inlineStr">
        <is>
          <t>Bond Execution, Rule 231(2) &amp; 3 (Required for Implementing Agencies, Not Quasi-Government Institutions, Central Autonomous Organisations, Or Institutions With Government-Approved Budgets).</t>
        </is>
      </c>
      <c r="K1395" s="8" t="inlineStr">
        <is>
          <t>MS-C21</t>
        </is>
      </c>
      <c r="L1395" s="9" t="n">
        <v>46323</v>
      </c>
      <c r="M1395" s="8" t="inlineStr">
        <is>
          <t>Approved</t>
        </is>
      </c>
      <c r="N1395" s="8" t="inlineStr">
        <is>
          <t>list_item</t>
        </is>
      </c>
    </row>
    <row r="1396" ht="54" customHeight="1">
      <c r="A1396" s="4" t="inlineStr">
        <is>
          <t>C21-P0067</t>
        </is>
      </c>
      <c r="B1396" s="4" t="inlineStr">
        <is>
          <t>C21</t>
        </is>
      </c>
      <c r="C1396" s="4" t="inlineStr">
        <is>
          <t>AVYAY - National Action Plan for Senior Citizens: Health and Shelter for Senior Citizens</t>
        </is>
      </c>
      <c r="D1396" s="4" t="inlineStr">
        <is>
          <t>Applicant documents</t>
        </is>
      </c>
      <c r="E1396" s="4" t="inlineStr"/>
      <c r="F1396" s="4" t="inlineStr">
        <is>
          <t>documents.en.documents_required[2].children[0]</t>
        </is>
      </c>
      <c r="G1396" s="4" t="inlineStr">
        <is>
          <t>C21@20261028-3ca35454</t>
        </is>
      </c>
      <c r="H1396" s="4" t="n">
        <v>1</v>
      </c>
      <c r="I1396" s="4" t="n">
        <v>1</v>
      </c>
      <c r="J1396" s="4" t="inlineStr">
        <is>
          <t>Financial and Annual Reporting Documents</t>
        </is>
      </c>
      <c r="K1396" s="4" t="inlineStr">
        <is>
          <t>MS-C21</t>
        </is>
      </c>
      <c r="L1396" s="6" t="n">
        <v>46323</v>
      </c>
      <c r="M1396" s="4" t="inlineStr">
        <is>
          <t>Approved</t>
        </is>
      </c>
      <c r="N1396" s="4" t="inlineStr">
        <is>
          <t>text</t>
        </is>
      </c>
    </row>
    <row r="1397" ht="54" customHeight="1">
      <c r="A1397" s="8" t="inlineStr">
        <is>
          <t>C21-P0068</t>
        </is>
      </c>
      <c r="B1397" s="8" t="inlineStr">
        <is>
          <t>C21</t>
        </is>
      </c>
      <c r="C1397" s="8" t="inlineStr">
        <is>
          <t>AVYAY - National Action Plan for Senior Citizens: Health and Shelter for Senior Citizens</t>
        </is>
      </c>
      <c r="D1397" s="8" t="inlineStr">
        <is>
          <t>Applicant documents</t>
        </is>
      </c>
      <c r="E1397" s="8" t="inlineStr"/>
      <c r="F1397" s="8" t="inlineStr">
        <is>
          <t>documents.en.documents_required[3].children[0]</t>
        </is>
      </c>
      <c r="G1397" s="8" t="inlineStr">
        <is>
          <t>C21@20261028-3ca35454</t>
        </is>
      </c>
      <c r="H1397" s="8" t="n">
        <v>1</v>
      </c>
      <c r="I1397" s="8" t="n">
        <v>1</v>
      </c>
      <c r="J1397" s="8" t="inlineStr">
        <is>
          <t>Annual Report for the Year for Which Grant-In-Aid Is Sought.</t>
        </is>
      </c>
      <c r="K1397" s="8" t="inlineStr">
        <is>
          <t>MS-C21</t>
        </is>
      </c>
      <c r="L1397" s="9" t="n">
        <v>46323</v>
      </c>
      <c r="M1397" s="8" t="inlineStr">
        <is>
          <t>Approved</t>
        </is>
      </c>
      <c r="N1397" s="8" t="inlineStr">
        <is>
          <t>list_item</t>
        </is>
      </c>
    </row>
    <row r="1398" ht="54" customHeight="1">
      <c r="A1398" s="4" t="inlineStr">
        <is>
          <t>C21-P0069</t>
        </is>
      </c>
      <c r="B1398" s="4" t="inlineStr">
        <is>
          <t>C21</t>
        </is>
      </c>
      <c r="C1398" s="4" t="inlineStr">
        <is>
          <t>AVYAY - National Action Plan for Senior Citizens: Health and Shelter for Senior Citizens</t>
        </is>
      </c>
      <c r="D1398" s="4" t="inlineStr">
        <is>
          <t>Applicant documents</t>
        </is>
      </c>
      <c r="E1398" s="4" t="inlineStr"/>
      <c r="F1398" s="4" t="inlineStr">
        <is>
          <t>documents.en.documents_required[3].children[1]</t>
        </is>
      </c>
      <c r="G1398" s="4" t="inlineStr">
        <is>
          <t>C21@20261028-3ca35454</t>
        </is>
      </c>
      <c r="H1398" s="4" t="n">
        <v>1</v>
      </c>
      <c r="I1398" s="4" t="n">
        <v>1</v>
      </c>
      <c r="J1398" s="4" t="inlineStr">
        <is>
          <t>Annual Report for Last Two Years (If Non-Governmental Organization).</t>
        </is>
      </c>
      <c r="K1398" s="4" t="inlineStr">
        <is>
          <t>MS-C21</t>
        </is>
      </c>
      <c r="L1398" s="6" t="n">
        <v>46323</v>
      </c>
      <c r="M1398" s="4" t="inlineStr">
        <is>
          <t>Approved</t>
        </is>
      </c>
      <c r="N1398" s="4" t="inlineStr">
        <is>
          <t>list_item</t>
        </is>
      </c>
    </row>
    <row r="1399" ht="54" customHeight="1">
      <c r="A1399" s="8" t="inlineStr">
        <is>
          <t>C21-P0070</t>
        </is>
      </c>
      <c r="B1399" s="8" t="inlineStr">
        <is>
          <t>C21</t>
        </is>
      </c>
      <c r="C1399" s="8" t="inlineStr">
        <is>
          <t>AVYAY - National Action Plan for Senior Citizens: Health and Shelter for Senior Citizens</t>
        </is>
      </c>
      <c r="D1399" s="8" t="inlineStr">
        <is>
          <t>Applicant documents</t>
        </is>
      </c>
      <c r="E1399" s="8" t="inlineStr"/>
      <c r="F1399" s="8" t="inlineStr">
        <is>
          <t>documents.en.documents_required[3].children[2]</t>
        </is>
      </c>
      <c r="G1399" s="8" t="inlineStr">
        <is>
          <t>C21@20261028-3ca35454</t>
        </is>
      </c>
      <c r="H1399" s="8" t="n">
        <v>1</v>
      </c>
      <c r="I1399" s="8" t="n">
        <v>1</v>
      </c>
      <c r="J1399" s="8" t="inlineStr">
        <is>
          <t>Audited Statement of Accounts (Income-Expenditure Statement, Receipt-Payment Statement, Balance Sheet, Audit Report of Chartered Accountant).</t>
        </is>
      </c>
      <c r="K1399" s="8" t="inlineStr">
        <is>
          <t>MS-C21</t>
        </is>
      </c>
      <c r="L1399" s="9" t="n">
        <v>46323</v>
      </c>
      <c r="M1399" s="8" t="inlineStr">
        <is>
          <t>Approved</t>
        </is>
      </c>
      <c r="N1399" s="8" t="inlineStr">
        <is>
          <t>list_item</t>
        </is>
      </c>
    </row>
    <row r="1400" ht="54" customHeight="1">
      <c r="A1400" s="4" t="inlineStr">
        <is>
          <t>C21-P0071</t>
        </is>
      </c>
      <c r="B1400" s="4" t="inlineStr">
        <is>
          <t>C21</t>
        </is>
      </c>
      <c r="C1400" s="4" t="inlineStr">
        <is>
          <t>AVYAY - National Action Plan for Senior Citizens: Health and Shelter for Senior Citizens</t>
        </is>
      </c>
      <c r="D1400" s="4" t="inlineStr">
        <is>
          <t>Applicant documents</t>
        </is>
      </c>
      <c r="E1400" s="4" t="inlineStr"/>
      <c r="F1400" s="4" t="inlineStr">
        <is>
          <t>documents.en.documents_required[3].children[3]</t>
        </is>
      </c>
      <c r="G1400" s="4" t="inlineStr">
        <is>
          <t>C21@20261028-3ca35454</t>
        </is>
      </c>
      <c r="H1400" s="4" t="n">
        <v>1</v>
      </c>
      <c r="I1400" s="4" t="n">
        <v>1</v>
      </c>
      <c r="J1400" s="4" t="inlineStr">
        <is>
          <t>Audited Accounts of Previous Year (Required If Current Year Grant-In-Aid Is Proposed).</t>
        </is>
      </c>
      <c r="K1400" s="4" t="inlineStr">
        <is>
          <t>MS-C21</t>
        </is>
      </c>
      <c r="L1400" s="6" t="n">
        <v>46323</v>
      </c>
      <c r="M1400" s="4" t="inlineStr">
        <is>
          <t>Approved</t>
        </is>
      </c>
      <c r="N1400" s="4" t="inlineStr">
        <is>
          <t>list_item</t>
        </is>
      </c>
    </row>
    <row r="1401" ht="54" customHeight="1">
      <c r="A1401" s="8" t="inlineStr">
        <is>
          <t>C21-P0072</t>
        </is>
      </c>
      <c r="B1401" s="8" t="inlineStr">
        <is>
          <t>C21</t>
        </is>
      </c>
      <c r="C1401" s="8" t="inlineStr">
        <is>
          <t>AVYAY - National Action Plan for Senior Citizens: Health and Shelter for Senior Citizens</t>
        </is>
      </c>
      <c r="D1401" s="8" t="inlineStr">
        <is>
          <t>Applicant documents</t>
        </is>
      </c>
      <c r="E1401" s="8" t="inlineStr"/>
      <c r="F1401" s="8" t="inlineStr">
        <is>
          <t>documents.en.documents_required[3].children[4]</t>
        </is>
      </c>
      <c r="G1401" s="8" t="inlineStr">
        <is>
          <t>C21@20261028-3ca35454</t>
        </is>
      </c>
      <c r="H1401" s="8" t="n">
        <v>1</v>
      </c>
      <c r="I1401" s="8" t="n">
        <v>1</v>
      </c>
      <c r="J1401" s="8" t="inlineStr">
        <is>
          <t>Utilization Certificate Duly Certified By Chartered Accountant for Previous Recurring Grant-In-Aid As Per Rule 238 of General Financial Rules (GFR) (Required for Renewal/On-Going Proposals).</t>
        </is>
      </c>
      <c r="K1401" s="8" t="inlineStr">
        <is>
          <t>MS-C21</t>
        </is>
      </c>
      <c r="L1401" s="9" t="n">
        <v>46323</v>
      </c>
      <c r="M1401" s="8" t="inlineStr">
        <is>
          <t>Approved</t>
        </is>
      </c>
      <c r="N1401" s="8" t="inlineStr">
        <is>
          <t>list_item</t>
        </is>
      </c>
    </row>
    <row r="1402" ht="54" customHeight="1">
      <c r="A1402" s="4" t="inlineStr">
        <is>
          <t>C21-P0073</t>
        </is>
      </c>
      <c r="B1402" s="4" t="inlineStr">
        <is>
          <t>C21</t>
        </is>
      </c>
      <c r="C1402" s="4" t="inlineStr">
        <is>
          <t>AVYAY - National Action Plan for Senior Citizens: Health and Shelter for Senior Citizens</t>
        </is>
      </c>
      <c r="D1402" s="4" t="inlineStr">
        <is>
          <t>Applicant documents</t>
        </is>
      </c>
      <c r="E1402" s="4" t="inlineStr"/>
      <c r="F1402" s="4" t="inlineStr">
        <is>
          <t>documents.en.documents_required[3].children[5]</t>
        </is>
      </c>
      <c r="G1402" s="4" t="inlineStr">
        <is>
          <t>C21@20261028-3ca35454</t>
        </is>
      </c>
      <c r="H1402" s="4" t="n">
        <v>1</v>
      </c>
      <c r="I1402" s="4" t="n">
        <v>1</v>
      </c>
      <c r="J1402" s="4" t="inlineStr">
        <is>
          <t>Budget Estimates for the Proposed Year Is Uploaded.</t>
        </is>
      </c>
      <c r="K1402" s="4" t="inlineStr">
        <is>
          <t>MS-C21</t>
        </is>
      </c>
      <c r="L1402" s="6" t="n">
        <v>46323</v>
      </c>
      <c r="M1402" s="4" t="inlineStr">
        <is>
          <t>Approved</t>
        </is>
      </c>
      <c r="N1402" s="4" t="inlineStr">
        <is>
          <t>list_item</t>
        </is>
      </c>
    </row>
    <row r="1403" ht="54" customHeight="1">
      <c r="A1403" s="8" t="inlineStr">
        <is>
          <t>C21-P0074</t>
        </is>
      </c>
      <c r="B1403" s="8" t="inlineStr">
        <is>
          <t>C21</t>
        </is>
      </c>
      <c r="C1403" s="8" t="inlineStr">
        <is>
          <t>AVYAY - National Action Plan for Senior Citizens: Health and Shelter for Senior Citizens</t>
        </is>
      </c>
      <c r="D1403" s="8" t="inlineStr">
        <is>
          <t>Applicant documents</t>
        </is>
      </c>
      <c r="E1403" s="8" t="inlineStr"/>
      <c r="F1403" s="8" t="inlineStr">
        <is>
          <t>documents.en.documents_required[3].children[6]</t>
        </is>
      </c>
      <c r="G1403" s="8" t="inlineStr">
        <is>
          <t>C21@20261028-3ca35454</t>
        </is>
      </c>
      <c r="H1403" s="8" t="n">
        <v>1</v>
      </c>
      <c r="I1403" s="8" t="n">
        <v>1</v>
      </c>
      <c r="J1403" s="8" t="inlineStr">
        <is>
          <t>Budget Estimate Details (Item Wise Recurring &amp; Non-Recurring Expenditure).</t>
        </is>
      </c>
      <c r="K1403" s="8" t="inlineStr">
        <is>
          <t>MS-C21</t>
        </is>
      </c>
      <c r="L1403" s="9" t="n">
        <v>46323</v>
      </c>
      <c r="M1403" s="8" t="inlineStr">
        <is>
          <t>Approved</t>
        </is>
      </c>
      <c r="N1403" s="8" t="inlineStr">
        <is>
          <t>list_item</t>
        </is>
      </c>
    </row>
    <row r="1404" ht="54" customHeight="1">
      <c r="A1404" s="4" t="inlineStr">
        <is>
          <t>C21-P0075</t>
        </is>
      </c>
      <c r="B1404" s="4" t="inlineStr">
        <is>
          <t>C21</t>
        </is>
      </c>
      <c r="C1404" s="4" t="inlineStr">
        <is>
          <t>AVYAY - National Action Plan for Senior Citizens: Health and Shelter for Senior Citizens</t>
        </is>
      </c>
      <c r="D1404" s="4" t="inlineStr">
        <is>
          <t>Applicant documents</t>
        </is>
      </c>
      <c r="E1404" s="4" t="inlineStr"/>
      <c r="F1404" s="4" t="inlineStr">
        <is>
          <t>documents.en.documents_required[3].children[7]</t>
        </is>
      </c>
      <c r="G1404" s="4" t="inlineStr">
        <is>
          <t>C21@20261028-3ca35454</t>
        </is>
      </c>
      <c r="H1404" s="4" t="n">
        <v>1</v>
      </c>
      <c r="I1404" s="4" t="n">
        <v>1</v>
      </c>
      <c r="J1404" s="4" t="inlineStr">
        <is>
          <t>Bank Authorization Letter.</t>
        </is>
      </c>
      <c r="K1404" s="4" t="inlineStr">
        <is>
          <t>MS-C21</t>
        </is>
      </c>
      <c r="L1404" s="6" t="n">
        <v>46323</v>
      </c>
      <c r="M1404" s="4" t="inlineStr">
        <is>
          <t>Approved</t>
        </is>
      </c>
      <c r="N1404" s="4" t="inlineStr">
        <is>
          <t>list_item</t>
        </is>
      </c>
    </row>
    <row r="1405" ht="54" customHeight="1">
      <c r="A1405" s="8" t="inlineStr">
        <is>
          <t>C21-P0076</t>
        </is>
      </c>
      <c r="B1405" s="8" t="inlineStr">
        <is>
          <t>C21</t>
        </is>
      </c>
      <c r="C1405" s="8" t="inlineStr">
        <is>
          <t>AVYAY - National Action Plan for Senior Citizens: Health and Shelter for Senior Citizens</t>
        </is>
      </c>
      <c r="D1405" s="8" t="inlineStr">
        <is>
          <t>Applicant documents</t>
        </is>
      </c>
      <c r="E1405" s="8" t="inlineStr"/>
      <c r="F1405" s="8" t="inlineStr">
        <is>
          <t>documents.en.documents_required[4].children[0]</t>
        </is>
      </c>
      <c r="G1405" s="8" t="inlineStr">
        <is>
          <t>C21@20261028-3ca35454</t>
        </is>
      </c>
      <c r="H1405" s="8" t="n">
        <v>1</v>
      </c>
      <c r="I1405" s="8" t="n">
        <v>1</v>
      </c>
      <c r="J1405" s="8" t="inlineStr">
        <is>
          <t>Project Specific Documents</t>
        </is>
      </c>
      <c r="K1405" s="8" t="inlineStr">
        <is>
          <t>MS-C21</t>
        </is>
      </c>
      <c r="L1405" s="9" t="n">
        <v>46323</v>
      </c>
      <c r="M1405" s="8" t="inlineStr">
        <is>
          <t>Approved</t>
        </is>
      </c>
      <c r="N1405" s="8" t="inlineStr">
        <is>
          <t>text</t>
        </is>
      </c>
    </row>
    <row r="1406" ht="54" customHeight="1">
      <c r="A1406" s="4" t="inlineStr">
        <is>
          <t>C21-P0077</t>
        </is>
      </c>
      <c r="B1406" s="4" t="inlineStr">
        <is>
          <t>C21</t>
        </is>
      </c>
      <c r="C1406" s="4" t="inlineStr">
        <is>
          <t>AVYAY - National Action Plan for Senior Citizens: Health and Shelter for Senior Citizens</t>
        </is>
      </c>
      <c r="D1406" s="4" t="inlineStr">
        <is>
          <t>Applicant documents</t>
        </is>
      </c>
      <c r="E1406" s="4" t="inlineStr"/>
      <c r="F1406" s="4" t="inlineStr">
        <is>
          <t>documents.en.documents_required[5].children[0]</t>
        </is>
      </c>
      <c r="G1406" s="4" t="inlineStr">
        <is>
          <t>C21@20261028-3ca35454</t>
        </is>
      </c>
      <c r="H1406" s="4" t="n">
        <v>1</v>
      </c>
      <c r="I1406" s="4" t="n">
        <v>1</v>
      </c>
      <c r="J1406" s="4" t="inlineStr">
        <is>
          <t>Staff List Along With Their Requisite Qualification In the Prescribed Format.</t>
        </is>
      </c>
      <c r="K1406" s="4" t="inlineStr">
        <is>
          <t>MS-C21</t>
        </is>
      </c>
      <c r="L1406" s="6" t="n">
        <v>46323</v>
      </c>
      <c r="M1406" s="4" t="inlineStr">
        <is>
          <t>Approved</t>
        </is>
      </c>
      <c r="N1406" s="4" t="inlineStr">
        <is>
          <t>list_item</t>
        </is>
      </c>
    </row>
    <row r="1407" ht="54" customHeight="1">
      <c r="A1407" s="8" t="inlineStr">
        <is>
          <t>C21-P0078</t>
        </is>
      </c>
      <c r="B1407" s="8" t="inlineStr">
        <is>
          <t>C21</t>
        </is>
      </c>
      <c r="C1407" s="8" t="inlineStr">
        <is>
          <t>AVYAY - National Action Plan for Senior Citizens: Health and Shelter for Senior Citizens</t>
        </is>
      </c>
      <c r="D1407" s="8" t="inlineStr">
        <is>
          <t>Applicant documents</t>
        </is>
      </c>
      <c r="E1407" s="8" t="inlineStr"/>
      <c r="F1407" s="8" t="inlineStr">
        <is>
          <t>documents.en.documents_required[5].children[1]</t>
        </is>
      </c>
      <c r="G1407" s="8" t="inlineStr">
        <is>
          <t>C21@20261028-3ca35454</t>
        </is>
      </c>
      <c r="H1407" s="8" t="n">
        <v>1</v>
      </c>
      <c r="I1407" s="8" t="n">
        <v>1</v>
      </c>
      <c r="J1407" s="8" t="inlineStr">
        <is>
          <t>List of Beneficiaries.</t>
        </is>
      </c>
      <c r="K1407" s="8" t="inlineStr">
        <is>
          <t>MS-C21</t>
        </is>
      </c>
      <c r="L1407" s="9" t="n">
        <v>46323</v>
      </c>
      <c r="M1407" s="8" t="inlineStr">
        <is>
          <t>Approved</t>
        </is>
      </c>
      <c r="N1407" s="8" t="inlineStr">
        <is>
          <t>list_item</t>
        </is>
      </c>
    </row>
    <row r="1408" ht="54" customHeight="1">
      <c r="A1408" s="4" t="inlineStr">
        <is>
          <t>C21-P0079</t>
        </is>
      </c>
      <c r="B1408" s="4" t="inlineStr">
        <is>
          <t>C21</t>
        </is>
      </c>
      <c r="C1408" s="4" t="inlineStr">
        <is>
          <t>AVYAY - National Action Plan for Senior Citizens: Health and Shelter for Senior Citizens</t>
        </is>
      </c>
      <c r="D1408" s="4" t="inlineStr">
        <is>
          <t>Applicant documents</t>
        </is>
      </c>
      <c r="E1408" s="4" t="inlineStr"/>
      <c r="F1408" s="4" t="inlineStr">
        <is>
          <t>documents.en.documents_required[5].children[2]</t>
        </is>
      </c>
      <c r="G1408" s="4" t="inlineStr">
        <is>
          <t>C21@20261028-3ca35454</t>
        </is>
      </c>
      <c r="H1408" s="4" t="n">
        <v>1</v>
      </c>
      <c r="I1408" s="4" t="n">
        <v>1</v>
      </c>
      <c r="J1408" s="4" t="inlineStr">
        <is>
          <t>Notarized Rent/Lease Agreement If Rented Building.</t>
        </is>
      </c>
      <c r="K1408" s="4" t="inlineStr">
        <is>
          <t>MS-C21</t>
        </is>
      </c>
      <c r="L1408" s="6" t="n">
        <v>46323</v>
      </c>
      <c r="M1408" s="4" t="inlineStr">
        <is>
          <t>Approved</t>
        </is>
      </c>
      <c r="N1408" s="4" t="inlineStr">
        <is>
          <t>list_item</t>
        </is>
      </c>
    </row>
    <row r="1409" ht="54" customHeight="1">
      <c r="A1409" s="8" t="inlineStr">
        <is>
          <t>C21-P0080</t>
        </is>
      </c>
      <c r="B1409" s="8" t="inlineStr">
        <is>
          <t>C21</t>
        </is>
      </c>
      <c r="C1409" s="8" t="inlineStr">
        <is>
          <t>AVYAY - National Action Plan for Senior Citizens: Health and Shelter for Senior Citizens</t>
        </is>
      </c>
      <c r="D1409" s="8" t="inlineStr">
        <is>
          <t>Applicant documents</t>
        </is>
      </c>
      <c r="E1409" s="8" t="inlineStr"/>
      <c r="F1409" s="8" t="inlineStr">
        <is>
          <t>documents.en.documents_required[5].children[3]</t>
        </is>
      </c>
      <c r="G1409" s="8" t="inlineStr">
        <is>
          <t>C21@20261028-3ca35454</t>
        </is>
      </c>
      <c r="H1409" s="8" t="n">
        <v>1</v>
      </c>
      <c r="I1409" s="8" t="n">
        <v>1</v>
      </c>
      <c r="J1409" s="8" t="inlineStr">
        <is>
          <t>Satisfactory Certificate From All Beneficiaries (Required for Renewal/On-Going Proposals).</t>
        </is>
      </c>
      <c r="K1409" s="8" t="inlineStr">
        <is>
          <t>MS-C21</t>
        </is>
      </c>
      <c r="L1409" s="9" t="n">
        <v>46323</v>
      </c>
      <c r="M1409" s="8" t="inlineStr">
        <is>
          <t>Approved</t>
        </is>
      </c>
      <c r="N1409" s="8" t="inlineStr">
        <is>
          <t>list_item</t>
        </is>
      </c>
    </row>
    <row r="1410" ht="54" customHeight="1">
      <c r="A1410" s="4" t="inlineStr">
        <is>
          <t>C21-P0081</t>
        </is>
      </c>
      <c r="B1410" s="4" t="inlineStr">
        <is>
          <t>C21</t>
        </is>
      </c>
      <c r="C1410" s="4" t="inlineStr">
        <is>
          <t>AVYAY - National Action Plan for Senior Citizens: Health and Shelter for Senior Citizens</t>
        </is>
      </c>
      <c r="D1410" s="4" t="inlineStr">
        <is>
          <t>Applicant documents</t>
        </is>
      </c>
      <c r="E1410" s="4" t="inlineStr"/>
      <c r="F1410" s="4" t="inlineStr">
        <is>
          <t>documents.en.documents_required[5].children[4]</t>
        </is>
      </c>
      <c r="G1410" s="4" t="inlineStr">
        <is>
          <t>C21@20261028-3ca35454</t>
        </is>
      </c>
      <c r="H1410" s="4" t="n">
        <v>1</v>
      </c>
      <c r="I1410" s="4" t="n">
        <v>1</v>
      </c>
      <c r="J1410" s="4" t="inlineStr">
        <is>
          <t>Rural Area Certificate From Competent Authority (May Be Uploaded In Case of Centre Located In Rural Area, Along With Rent Agreement).</t>
        </is>
      </c>
      <c r="K1410" s="4" t="inlineStr">
        <is>
          <t>MS-C21</t>
        </is>
      </c>
      <c r="L1410" s="6" t="n">
        <v>46323</v>
      </c>
      <c r="M1410" s="4" t="inlineStr">
        <is>
          <t>Approved</t>
        </is>
      </c>
      <c r="N1410" s="4" t="inlineStr">
        <is>
          <t>list_item</t>
        </is>
      </c>
    </row>
    <row r="1411" ht="54" customHeight="1">
      <c r="A1411" s="8" t="inlineStr">
        <is>
          <t>C21-P0082</t>
        </is>
      </c>
      <c r="B1411" s="8" t="inlineStr">
        <is>
          <t>C21</t>
        </is>
      </c>
      <c r="C1411" s="8" t="inlineStr">
        <is>
          <t>AVYAY - National Action Plan for Senior Citizens: Health and Shelter for Senior Citizens</t>
        </is>
      </c>
      <c r="D1411" s="8" t="inlineStr">
        <is>
          <t>Applicant documents</t>
        </is>
      </c>
      <c r="E1411" s="8" t="inlineStr"/>
      <c r="F1411" s="8" t="inlineStr">
        <is>
          <t>documents.en.documents_required[5].children[5]</t>
        </is>
      </c>
      <c r="G1411" s="8" t="inlineStr">
        <is>
          <t>C21@20261028-3ca35454</t>
        </is>
      </c>
      <c r="H1411" s="8" t="n">
        <v>1</v>
      </c>
      <c r="I1411" s="8" t="n">
        <v>1</v>
      </c>
      <c r="J1411" s="8" t="inlineStr">
        <is>
          <t>State/Union Territory Annual Action Plan (For State Government Proposals).</t>
        </is>
      </c>
      <c r="K1411" s="8" t="inlineStr">
        <is>
          <t>MS-C21</t>
        </is>
      </c>
      <c r="L1411" s="9" t="n">
        <v>46323</v>
      </c>
      <c r="M1411" s="8" t="inlineStr">
        <is>
          <t>Approved</t>
        </is>
      </c>
      <c r="N1411" s="8" t="inlineStr">
        <is>
          <t>list_item</t>
        </is>
      </c>
    </row>
    <row r="1412" ht="54" customHeight="1">
      <c r="A1412" s="4" t="inlineStr">
        <is>
          <t>C21-P0083</t>
        </is>
      </c>
      <c r="B1412" s="4" t="inlineStr">
        <is>
          <t>C21</t>
        </is>
      </c>
      <c r="C1412" s="4" t="inlineStr">
        <is>
          <t>AVYAY - National Action Plan for Senior Citizens: Health and Shelter for Senior Citizens</t>
        </is>
      </c>
      <c r="D1412" s="4" t="inlineStr">
        <is>
          <t>Applicant documents</t>
        </is>
      </c>
      <c r="E1412" s="4" t="inlineStr"/>
      <c r="F1412" s="4" t="inlineStr">
        <is>
          <t>documents.en.documents_required[5].children[6]</t>
        </is>
      </c>
      <c r="G1412" s="4" t="inlineStr">
        <is>
          <t>C21@20261028-3ca35454</t>
        </is>
      </c>
      <c r="H1412" s="4" t="n">
        <v>1</v>
      </c>
      <c r="I1412" s="4" t="n">
        <v>1</v>
      </c>
      <c r="J1412" s="4" t="inlineStr">
        <is>
          <t>Affirmative Statement Regarding Implementation of Expenditure, Audit and Tender (EAT) Module and Opening of Corresponding Code (For State Government Proposals).</t>
        </is>
      </c>
      <c r="K1412" s="4" t="inlineStr">
        <is>
          <t>MS-C21</t>
        </is>
      </c>
      <c r="L1412" s="6" t="n">
        <v>46323</v>
      </c>
      <c r="M1412" s="4" t="inlineStr">
        <is>
          <t>Approved</t>
        </is>
      </c>
      <c r="N1412" s="4" t="inlineStr">
        <is>
          <t>list_item</t>
        </is>
      </c>
    </row>
    <row r="1413" ht="54" customHeight="1">
      <c r="A1413" s="8" t="inlineStr">
        <is>
          <t>C21-P0084</t>
        </is>
      </c>
      <c r="B1413" s="8" t="inlineStr">
        <is>
          <t>C21</t>
        </is>
      </c>
      <c r="C1413" s="8" t="inlineStr">
        <is>
          <t>AVYAY - National Action Plan for Senior Citizens: Health and Shelter for Senior Citizens</t>
        </is>
      </c>
      <c r="D1413" s="8" t="inlineStr">
        <is>
          <t>Applicant documents</t>
        </is>
      </c>
      <c r="E1413" s="8" t="inlineStr"/>
      <c r="F1413" s="8" t="inlineStr">
        <is>
          <t>documents.en.documents_required[5].children[7]</t>
        </is>
      </c>
      <c r="G1413" s="8" t="inlineStr">
        <is>
          <t>C21@20261028-3ca35454</t>
        </is>
      </c>
      <c r="H1413" s="8" t="n">
        <v>1</v>
      </c>
      <c r="I1413" s="8" t="n">
        <v>1</v>
      </c>
      <c r="J1413" s="8" t="inlineStr">
        <is>
          <t>Confirmations of the Compliance of Instructions Issued By Public Financial Management System (PFMS) Division (For State Government Proposals).</t>
        </is>
      </c>
      <c r="K1413" s="8" t="inlineStr">
        <is>
          <t>MS-C21</t>
        </is>
      </c>
      <c r="L1413" s="9" t="n">
        <v>46323</v>
      </c>
      <c r="M1413" s="8" t="inlineStr">
        <is>
          <t>Approved</t>
        </is>
      </c>
      <c r="N1413" s="8" t="inlineStr">
        <is>
          <t>list_item</t>
        </is>
      </c>
    </row>
    <row r="1414" ht="54" customHeight="1">
      <c r="A1414" s="4" t="inlineStr">
        <is>
          <t>C21-P0085</t>
        </is>
      </c>
      <c r="B1414" s="4" t="inlineStr">
        <is>
          <t>C21</t>
        </is>
      </c>
      <c r="C1414" s="4" t="inlineStr">
        <is>
          <t>AVYAY - National Action Plan for Senior Citizens: Health and Shelter for Senior Citizens</t>
        </is>
      </c>
      <c r="D1414" s="4" t="inlineStr">
        <is>
          <t>Application process</t>
        </is>
      </c>
      <c r="E1414" s="4" t="inlineStr"/>
      <c r="F1414" s="4" t="inlineStr">
        <is>
          <t>en.applicationProcess[0].process[0].children[0]</t>
        </is>
      </c>
      <c r="G1414" s="4" t="inlineStr">
        <is>
          <t>C21@20261028-3ca35454</t>
        </is>
      </c>
      <c r="H1414" s="4" t="n">
        <v>1</v>
      </c>
      <c r="I1414" s="4" t="n">
        <v>1</v>
      </c>
      <c r="J1414" s="4" t="inlineStr">
        <is>
          <t>Step 1: Survey and Notification</t>
        </is>
      </c>
      <c r="K1414" s="4" t="inlineStr">
        <is>
          <t>MS-C21</t>
        </is>
      </c>
      <c r="L1414" s="6" t="n">
        <v>46323</v>
      </c>
      <c r="M1414" s="4" t="inlineStr">
        <is>
          <t>Approved</t>
        </is>
      </c>
      <c r="N1414" s="4" t="inlineStr">
        <is>
          <t>text</t>
        </is>
      </c>
    </row>
    <row r="1415" ht="54" customHeight="1">
      <c r="A1415" s="8" t="inlineStr">
        <is>
          <t>C21-P0086</t>
        </is>
      </c>
      <c r="B1415" s="8" t="inlineStr">
        <is>
          <t>C21</t>
        </is>
      </c>
      <c r="C1415" s="8" t="inlineStr">
        <is>
          <t>AVYAY - National Action Plan for Senior Citizens: Health and Shelter for Senior Citizens</t>
        </is>
      </c>
      <c r="D1415" s="8" t="inlineStr">
        <is>
          <t>Application process</t>
        </is>
      </c>
      <c r="E1415" s="8" t="inlineStr"/>
      <c r="F1415" s="8" t="inlineStr">
        <is>
          <t>en.applicationProcess[0].process[1].children[0]</t>
        </is>
      </c>
      <c r="G1415" s="8" t="inlineStr">
        <is>
          <t>C21@20261028-3ca35454</t>
        </is>
      </c>
      <c r="H1415" s="8" t="n">
        <v>1</v>
      </c>
      <c r="I1415" s="8" t="n">
        <v>1</v>
      </c>
      <c r="J1415" s="8" t="inlineStr">
        <is>
          <t>The State/Union Territory Government must first conduct a district-wise survey of existing homes and upload the details of Gap Districts or Districts of having insufficient capacity onto the E-anudaan Portal.</t>
        </is>
      </c>
      <c r="K1415" s="8" t="inlineStr">
        <is>
          <t>MS-C21</t>
        </is>
      </c>
      <c r="L1415" s="9" t="n">
        <v>46323</v>
      </c>
      <c r="M1415" s="8" t="inlineStr">
        <is>
          <t>Approved</t>
        </is>
      </c>
      <c r="N1415" s="8" t="inlineStr">
        <is>
          <t>list_item</t>
        </is>
      </c>
    </row>
    <row r="1416" ht="54" customHeight="1">
      <c r="A1416" s="4" t="inlineStr">
        <is>
          <t>C21-P0087</t>
        </is>
      </c>
      <c r="B1416" s="4" t="inlineStr">
        <is>
          <t>C21</t>
        </is>
      </c>
      <c r="C1416" s="4" t="inlineStr">
        <is>
          <t>AVYAY - National Action Plan for Senior Citizens: Health and Shelter for Senior Citizens</t>
        </is>
      </c>
      <c r="D1416" s="4" t="inlineStr">
        <is>
          <t>Application process</t>
        </is>
      </c>
      <c r="E1416" s="4" t="inlineStr"/>
      <c r="F1416" s="4" t="inlineStr">
        <is>
          <t>en.applicationProcess[0].process[1].children[1]</t>
        </is>
      </c>
      <c r="G1416" s="4" t="inlineStr">
        <is>
          <t>C21@20261028-3ca35454</t>
        </is>
      </c>
      <c r="H1416" s="4" t="n">
        <v>1</v>
      </c>
      <c r="I1416" s="4" t="n">
        <v>1</v>
      </c>
      <c r="J1416" s="4" t="inlineStr">
        <is>
          <t>If the State/Union Territory Government records that it is unable to establish the Home on its own, the Central Government publishes an open notification inviting applications with wide publicity.</t>
        </is>
      </c>
      <c r="K1416" s="4" t="inlineStr">
        <is>
          <t>MS-C21</t>
        </is>
      </c>
      <c r="L1416" s="6" t="n">
        <v>46323</v>
      </c>
      <c r="M1416" s="4" t="inlineStr">
        <is>
          <t>Approved</t>
        </is>
      </c>
      <c r="N1416" s="4" t="inlineStr">
        <is>
          <t>list_item</t>
        </is>
      </c>
    </row>
    <row r="1417" ht="54" customHeight="1">
      <c r="A1417" s="8" t="inlineStr">
        <is>
          <t>C21-P0088</t>
        </is>
      </c>
      <c r="B1417" s="8" t="inlineStr">
        <is>
          <t>C21</t>
        </is>
      </c>
      <c r="C1417" s="8" t="inlineStr">
        <is>
          <t>AVYAY - National Action Plan for Senior Citizens: Health and Shelter for Senior Citizens</t>
        </is>
      </c>
      <c r="D1417" s="8" t="inlineStr">
        <is>
          <t>Application process</t>
        </is>
      </c>
      <c r="E1417" s="8" t="inlineStr"/>
      <c r="F1417" s="8" t="inlineStr">
        <is>
          <t>en.applicationProcess[0].process[2].children[0]</t>
        </is>
      </c>
      <c r="G1417" s="8" t="inlineStr">
        <is>
          <t>C21@20261028-3ca35454</t>
        </is>
      </c>
      <c r="H1417" s="8" t="n">
        <v>1</v>
      </c>
      <c r="I1417" s="8" t="n">
        <v>1</v>
      </c>
      <c r="J1417" s="8" t="inlineStr">
        <is>
          <t>Step 2: Submission of Proposal</t>
        </is>
      </c>
      <c r="K1417" s="8" t="inlineStr">
        <is>
          <t>MS-C21</t>
        </is>
      </c>
      <c r="L1417" s="9" t="n">
        <v>46323</v>
      </c>
      <c r="M1417" s="8" t="inlineStr">
        <is>
          <t>Approved</t>
        </is>
      </c>
      <c r="N1417" s="8" t="inlineStr">
        <is>
          <t>text</t>
        </is>
      </c>
    </row>
    <row r="1418" ht="54" customHeight="1">
      <c r="A1418" s="4" t="inlineStr">
        <is>
          <t>C21-P0089</t>
        </is>
      </c>
      <c r="B1418" s="4" t="inlineStr">
        <is>
          <t>C21</t>
        </is>
      </c>
      <c r="C1418" s="4" t="inlineStr">
        <is>
          <t>AVYAY - National Action Plan for Senior Citizens: Health and Shelter for Senior Citizens</t>
        </is>
      </c>
      <c r="D1418" s="4" t="inlineStr">
        <is>
          <t>Application process</t>
        </is>
      </c>
      <c r="E1418" s="4" t="inlineStr"/>
      <c r="F1418" s="4" t="inlineStr">
        <is>
          <t>en.applicationProcess[0].process[3].children[0]</t>
        </is>
      </c>
      <c r="G1418" s="4" t="inlineStr">
        <is>
          <t>C21@20261028-3ca35454</t>
        </is>
      </c>
      <c r="H1418" s="4" t="n">
        <v>1</v>
      </c>
      <c r="I1418" s="4" t="n">
        <v>1</v>
      </c>
      <c r="J1418" s="4" t="inlineStr">
        <is>
          <t>New Proposals: All fresh proposals for project sanction must be submitted online on the E-anudaan portal in the prescribed proforma along with relevant documents within the stipulated timeline.</t>
        </is>
      </c>
      <c r="K1418" s="4" t="inlineStr">
        <is>
          <t>MS-C21</t>
        </is>
      </c>
      <c r="L1418" s="6" t="n">
        <v>46323</v>
      </c>
      <c r="M1418" s="4" t="inlineStr">
        <is>
          <t>Approved</t>
        </is>
      </c>
      <c r="N1418" s="4" t="inlineStr">
        <is>
          <t>list_item</t>
        </is>
      </c>
    </row>
    <row r="1419" ht="54" customHeight="1">
      <c r="A1419" s="8" t="inlineStr">
        <is>
          <t>C21-P0090</t>
        </is>
      </c>
      <c r="B1419" s="8" t="inlineStr">
        <is>
          <t>C21</t>
        </is>
      </c>
      <c r="C1419" s="8" t="inlineStr">
        <is>
          <t>AVYAY - National Action Plan for Senior Citizens: Health and Shelter for Senior Citizens</t>
        </is>
      </c>
      <c r="D1419" s="8" t="inlineStr">
        <is>
          <t>Application process</t>
        </is>
      </c>
      <c r="E1419" s="8" t="inlineStr"/>
      <c r="F1419" s="8" t="inlineStr">
        <is>
          <t>en.applicationProcess[0].process[3].children[1]</t>
        </is>
      </c>
      <c r="G1419" s="8" t="inlineStr">
        <is>
          <t>C21@20261028-3ca35454</t>
        </is>
      </c>
      <c r="H1419" s="8" t="n">
        <v>1</v>
      </c>
      <c r="I1419" s="8" t="n">
        <v>1</v>
      </c>
      <c r="J1419" s="8" t="inlineStr">
        <is>
          <t>On-going/Renewal Proposals: Applications for the release of grants must be made in the prescribed proforma along with relevant documents and the Utilization Certificate of expenditure from the previous Financial Year before April 30th each year.</t>
        </is>
      </c>
      <c r="K1419" s="8" t="inlineStr">
        <is>
          <t>MS-C21</t>
        </is>
      </c>
      <c r="L1419" s="9" t="n">
        <v>46323</v>
      </c>
      <c r="M1419" s="8" t="inlineStr">
        <is>
          <t>Approved</t>
        </is>
      </c>
      <c r="N1419" s="8" t="inlineStr">
        <is>
          <t>list_item</t>
        </is>
      </c>
    </row>
    <row r="1420" ht="54" customHeight="1">
      <c r="A1420" s="4" t="inlineStr">
        <is>
          <t>C21-P0091</t>
        </is>
      </c>
      <c r="B1420" s="4" t="inlineStr">
        <is>
          <t>C21</t>
        </is>
      </c>
      <c r="C1420" s="4" t="inlineStr">
        <is>
          <t>AVYAY - National Action Plan for Senior Citizens: Health and Shelter for Senior Citizens</t>
        </is>
      </c>
      <c r="D1420" s="4" t="inlineStr">
        <is>
          <t>Application process</t>
        </is>
      </c>
      <c r="E1420" s="4" t="inlineStr"/>
      <c r="F1420" s="4" t="inlineStr">
        <is>
          <t>en.applicationProcess[0].process[4].children[0]</t>
        </is>
      </c>
      <c r="G1420" s="4" t="inlineStr">
        <is>
          <t>C21@20261028-3ca35454</t>
        </is>
      </c>
      <c r="H1420" s="4" t="n">
        <v>1</v>
      </c>
      <c r="I1420" s="4" t="n">
        <v>1</v>
      </c>
      <c r="J1420" s="4" t="inlineStr">
        <is>
          <t>Step 3: Verification and Approval</t>
        </is>
      </c>
      <c r="K1420" s="4" t="inlineStr">
        <is>
          <t>MS-C21</t>
        </is>
      </c>
      <c r="L1420" s="6" t="n">
        <v>46323</v>
      </c>
      <c r="M1420" s="4" t="inlineStr">
        <is>
          <t>Approved</t>
        </is>
      </c>
      <c r="N1420" s="4" t="inlineStr">
        <is>
          <t>text</t>
        </is>
      </c>
    </row>
    <row r="1421" ht="68" customHeight="1">
      <c r="A1421" s="8" t="inlineStr">
        <is>
          <t>C21-P0092</t>
        </is>
      </c>
      <c r="B1421" s="8" t="inlineStr">
        <is>
          <t>C21</t>
        </is>
      </c>
      <c r="C1421" s="8" t="inlineStr">
        <is>
          <t>AVYAY - National Action Plan for Senior Citizens: Health and Shelter for Senior Citizens</t>
        </is>
      </c>
      <c r="D1421" s="8" t="inlineStr">
        <is>
          <t>Application process</t>
        </is>
      </c>
      <c r="E1421" s="8" t="inlineStr"/>
      <c r="F1421" s="8" t="inlineStr">
        <is>
          <t>en.applicationProcess[0].process[5].children[0]</t>
        </is>
      </c>
      <c r="G1421" s="8" t="inlineStr">
        <is>
          <t>C21@20261028-3ca35454</t>
        </is>
      </c>
      <c r="H1421" s="8" t="n">
        <v>1</v>
      </c>
      <c r="I1421" s="8" t="n">
        <v>1</v>
      </c>
      <c r="J1421" s="8" t="inlineStr">
        <is>
          <t>District Level Authentication: Once uploaded, the proposal is made available to the Central Ministry and the District Administration/State Government level for examination. The District Collector (or representative) is required to authenticate all certificates submitted by the applicant.</t>
        </is>
      </c>
      <c r="K1421" s="8" t="inlineStr">
        <is>
          <t>MS-C21</t>
        </is>
      </c>
      <c r="L1421" s="9" t="n">
        <v>46323</v>
      </c>
      <c r="M1421" s="8" t="inlineStr">
        <is>
          <t>Approved</t>
        </is>
      </c>
      <c r="N1421" s="8" t="inlineStr">
        <is>
          <t>list_item</t>
        </is>
      </c>
    </row>
    <row r="1422" ht="54" customHeight="1">
      <c r="A1422" s="4" t="inlineStr">
        <is>
          <t>C21-P0093</t>
        </is>
      </c>
      <c r="B1422" s="4" t="inlineStr">
        <is>
          <t>C21</t>
        </is>
      </c>
      <c r="C1422" s="4" t="inlineStr">
        <is>
          <t>AVYAY - National Action Plan for Senior Citizens: Health and Shelter for Senior Citizens</t>
        </is>
      </c>
      <c r="D1422" s="4" t="inlineStr">
        <is>
          <t>Application process</t>
        </is>
      </c>
      <c r="E1422" s="4" t="inlineStr"/>
      <c r="F1422" s="4" t="inlineStr">
        <is>
          <t>en.applicationProcess[0].process[5].children[1]</t>
        </is>
      </c>
      <c r="G1422" s="4" t="inlineStr">
        <is>
          <t>C21@20261028-3ca35454</t>
        </is>
      </c>
      <c r="H1422" s="4" t="n">
        <v>1</v>
      </c>
      <c r="I1422" s="4" t="n">
        <v>1</v>
      </c>
      <c r="J1422" s="4" t="inlineStr">
        <is>
          <t>Recommendation: District Administration/State Government shall recommend New/Fresh proposals, along with Inspection reports, by June 15th each year.</t>
        </is>
      </c>
      <c r="K1422" s="4" t="inlineStr">
        <is>
          <t>MS-C21</t>
        </is>
      </c>
      <c r="L1422" s="6" t="n">
        <v>46323</v>
      </c>
      <c r="M1422" s="4" t="inlineStr">
        <is>
          <t>Approved</t>
        </is>
      </c>
      <c r="N1422" s="4" t="inlineStr">
        <is>
          <t>list_item</t>
        </is>
      </c>
    </row>
    <row r="1423" ht="68" customHeight="1">
      <c r="A1423" s="8" t="inlineStr">
        <is>
          <t>C21-P0094</t>
        </is>
      </c>
      <c r="B1423" s="8" t="inlineStr">
        <is>
          <t>C21</t>
        </is>
      </c>
      <c r="C1423" s="8" t="inlineStr">
        <is>
          <t>AVYAY - National Action Plan for Senior Citizens: Health and Shelter for Senior Citizens</t>
        </is>
      </c>
      <c r="D1423" s="8" t="inlineStr">
        <is>
          <t>Application process</t>
        </is>
      </c>
      <c r="E1423" s="8" t="inlineStr"/>
      <c r="F1423" s="8" t="inlineStr">
        <is>
          <t>en.applicationProcess[0].process[5].children[2]</t>
        </is>
      </c>
      <c r="G1423" s="8" t="inlineStr">
        <is>
          <t>C21@20261028-3ca35454</t>
        </is>
      </c>
      <c r="H1423" s="8" t="n">
        <v>1</v>
      </c>
      <c r="I1423" s="8" t="n">
        <v>1</v>
      </c>
      <c r="J1423" s="8" t="inlineStr">
        <is>
          <t>Screening and Sanction: The Screening Committee meeting is held by June 20th each year to assess and recommend new proposals based on fund availability. After approval by the Secretary, Department of Social Justice and Empowerment and concurrence of the Finance Division, sanction orders are issued by the programme division in one lot by June 25th each year.</t>
        </is>
      </c>
      <c r="K1423" s="8" t="inlineStr">
        <is>
          <t>MS-C21</t>
        </is>
      </c>
      <c r="L1423" s="9" t="n">
        <v>46323</v>
      </c>
      <c r="M1423" s="8" t="inlineStr">
        <is>
          <t>Approved</t>
        </is>
      </c>
      <c r="N1423" s="8" t="inlineStr">
        <is>
          <t>list_item</t>
        </is>
      </c>
    </row>
    <row r="1424" ht="54" customHeight="1">
      <c r="A1424" s="4" t="inlineStr">
        <is>
          <t>C21-P0095</t>
        </is>
      </c>
      <c r="B1424" s="4" t="inlineStr">
        <is>
          <t>C21</t>
        </is>
      </c>
      <c r="C1424" s="4" t="inlineStr">
        <is>
          <t>AVYAY - National Action Plan for Senior Citizens: Health and Shelter for Senior Citizens</t>
        </is>
      </c>
      <c r="D1424" s="4" t="inlineStr">
        <is>
          <t>Application process</t>
        </is>
      </c>
      <c r="E1424" s="4" t="inlineStr"/>
      <c r="F1424" s="4" t="inlineStr">
        <is>
          <t>en.applicationProcess[0].process[6].children[0]</t>
        </is>
      </c>
      <c r="G1424" s="4" t="inlineStr">
        <is>
          <t>C21@20261028-3ca35454</t>
        </is>
      </c>
      <c r="H1424" s="4" t="n">
        <v>1</v>
      </c>
      <c r="I1424" s="4" t="n">
        <v>1</v>
      </c>
      <c r="J1424" s="4" t="inlineStr">
        <is>
          <t>Step 4: Fund Disbursement</t>
        </is>
      </c>
      <c r="K1424" s="4" t="inlineStr">
        <is>
          <t>MS-C21</t>
        </is>
      </c>
      <c r="L1424" s="6" t="n">
        <v>46323</v>
      </c>
      <c r="M1424" s="4" t="inlineStr">
        <is>
          <t>Approved</t>
        </is>
      </c>
      <c r="N1424" s="4" t="inlineStr">
        <is>
          <t>text</t>
        </is>
      </c>
    </row>
    <row r="1425" ht="54" customHeight="1">
      <c r="A1425" s="8" t="inlineStr">
        <is>
          <t>C21-P0096</t>
        </is>
      </c>
      <c r="B1425" s="8" t="inlineStr">
        <is>
          <t>C21</t>
        </is>
      </c>
      <c r="C1425" s="8" t="inlineStr">
        <is>
          <t>AVYAY - National Action Plan for Senior Citizens: Health and Shelter for Senior Citizens</t>
        </is>
      </c>
      <c r="D1425" s="8" t="inlineStr">
        <is>
          <t>Application process</t>
        </is>
      </c>
      <c r="E1425" s="8" t="inlineStr"/>
      <c r="F1425" s="8" t="inlineStr">
        <is>
          <t>en.applicationProcess[0].process[7].children[0]</t>
        </is>
      </c>
      <c r="G1425" s="8" t="inlineStr">
        <is>
          <t>C21@20261028-3ca35454</t>
        </is>
      </c>
      <c r="H1425" s="8" t="n">
        <v>1</v>
      </c>
      <c r="I1425" s="8" t="n">
        <v>1</v>
      </c>
      <c r="J1425" s="8" t="inlineStr">
        <is>
          <t>First Instalment Release: Grants should be released before June 30th each year. The total annual grant is released in two equal half-yearly instalments.</t>
        </is>
      </c>
      <c r="K1425" s="8" t="inlineStr">
        <is>
          <t>MS-C21</t>
        </is>
      </c>
      <c r="L1425" s="9" t="n">
        <v>46323</v>
      </c>
      <c r="M1425" s="8" t="inlineStr">
        <is>
          <t>Approved</t>
        </is>
      </c>
      <c r="N1425" s="8" t="inlineStr">
        <is>
          <t>list_item</t>
        </is>
      </c>
    </row>
    <row r="1426" ht="54" customHeight="1">
      <c r="A1426" s="4" t="inlineStr">
        <is>
          <t>C21-P0097</t>
        </is>
      </c>
      <c r="B1426" s="4" t="inlineStr">
        <is>
          <t>C21</t>
        </is>
      </c>
      <c r="C1426" s="4" t="inlineStr">
        <is>
          <t>AVYAY - National Action Plan for Senior Citizens: Health and Shelter for Senior Citizens</t>
        </is>
      </c>
      <c r="D1426" s="4" t="inlineStr">
        <is>
          <t>Application process</t>
        </is>
      </c>
      <c r="E1426" s="4" t="inlineStr"/>
      <c r="F1426" s="4" t="inlineStr">
        <is>
          <t>en.applicationProcess[0].process[7].children[1]</t>
        </is>
      </c>
      <c r="G1426" s="4" t="inlineStr">
        <is>
          <t>C21@20261028-3ca35454</t>
        </is>
      </c>
      <c r="H1426" s="4" t="n">
        <v>1</v>
      </c>
      <c r="I1426" s="4" t="n">
        <v>1</v>
      </c>
      <c r="J1426" s="4" t="inlineStr">
        <is>
          <t>Recurring Grant Calculation: Recurring Grant-in-aid is calculated based on the number of days of attendance of beneficiaries, using a contactless IT system that seamlessly ports data into the E-anudaan portal.</t>
        </is>
      </c>
      <c r="K1426" s="4" t="inlineStr">
        <is>
          <t>MS-C21</t>
        </is>
      </c>
      <c r="L1426" s="6" t="n">
        <v>46323</v>
      </c>
      <c r="M1426" s="4" t="inlineStr">
        <is>
          <t>Approved</t>
        </is>
      </c>
      <c r="N1426" s="4" t="inlineStr">
        <is>
          <t>list_item</t>
        </is>
      </c>
    </row>
    <row r="1427" ht="54" customHeight="1">
      <c r="A1427" s="8" t="inlineStr">
        <is>
          <t>C21-P0098</t>
        </is>
      </c>
      <c r="B1427" s="8" t="inlineStr">
        <is>
          <t>C21</t>
        </is>
      </c>
      <c r="C1427" s="8" t="inlineStr">
        <is>
          <t>AVYAY - National Action Plan for Senior Citizens: Health and Shelter for Senior Citizens</t>
        </is>
      </c>
      <c r="D1427" s="8" t="inlineStr">
        <is>
          <t>Application process</t>
        </is>
      </c>
      <c r="E1427" s="8" t="inlineStr"/>
      <c r="F1427" s="8" t="inlineStr">
        <is>
          <t>en.applicationProcess[0].process[7].children[2]</t>
        </is>
      </c>
      <c r="G1427" s="8" t="inlineStr">
        <is>
          <t>C21@20261028-3ca35454</t>
        </is>
      </c>
      <c r="H1427" s="8" t="n">
        <v>1</v>
      </c>
      <c r="I1427" s="8" t="n">
        <v>1</v>
      </c>
      <c r="J1427" s="8" t="inlineStr">
        <is>
          <t>Second Instalment Release: The second half-yearly instalment (balance based on attendance) is released before December 31st each year, only after the inspection report of the State Government, Central Ministry officers, or the Project Monitoring Unit is received.</t>
        </is>
      </c>
      <c r="K1427" s="8" t="inlineStr">
        <is>
          <t>MS-C21</t>
        </is>
      </c>
      <c r="L1427" s="9" t="n">
        <v>46323</v>
      </c>
      <c r="M1427" s="8" t="inlineStr">
        <is>
          <t>Approved</t>
        </is>
      </c>
      <c r="N1427" s="8" t="inlineStr">
        <is>
          <t>list_item</t>
        </is>
      </c>
    </row>
    <row r="1428" ht="82" customHeight="1">
      <c r="A1428" s="4" t="inlineStr">
        <is>
          <t>C21-P0099</t>
        </is>
      </c>
      <c r="B1428" s="4" t="inlineStr">
        <is>
          <t>C21</t>
        </is>
      </c>
      <c r="C1428" s="4" t="inlineStr">
        <is>
          <t>AVYAY - National Action Plan for Senior Citizens: Health and Shelter for Senior Citizens</t>
        </is>
      </c>
      <c r="D1428" s="4" t="inlineStr">
        <is>
          <t>FAQ</t>
        </is>
      </c>
      <c r="E1428" s="4" t="inlineStr"/>
      <c r="F1428" s="4" t="inlineStr">
        <is>
          <t>faqs.en.faqs[0]</t>
        </is>
      </c>
      <c r="G1428" s="4" t="inlineStr">
        <is>
          <t>C21@20261028-3ca35454</t>
        </is>
      </c>
      <c r="H1428" s="4" t="n">
        <v>1</v>
      </c>
      <c r="I1428" s="4" t="n">
        <v>1</v>
      </c>
      <c r="J1428" s="4" t="inlineStr">
        <is>
          <t>What are the minimum requirements regarding organizational history concerning both registration and actual work experience in the social sector?
The Voluntary Organization must have been registered for a minimum of two years and must demonstrate a track record of at least two years' experience operating in the social sector when submitting the application for the grant.</t>
        </is>
      </c>
      <c r="K1428" s="4" t="inlineStr">
        <is>
          <t>MS-C21</t>
        </is>
      </c>
      <c r="L1428" s="6" t="n">
        <v>46323</v>
      </c>
      <c r="M1428" s="4" t="inlineStr">
        <is>
          <t>Approved</t>
        </is>
      </c>
      <c r="N1428" s="4" t="inlineStr">
        <is>
          <t>faq</t>
        </is>
      </c>
    </row>
    <row r="1429" ht="82" customHeight="1">
      <c r="A1429" s="8" t="inlineStr">
        <is>
          <t>C21-P0100</t>
        </is>
      </c>
      <c r="B1429" s="8" t="inlineStr">
        <is>
          <t>C21</t>
        </is>
      </c>
      <c r="C1429" s="8" t="inlineStr">
        <is>
          <t>AVYAY - National Action Plan for Senior Citizens: Health and Shelter for Senior Citizens</t>
        </is>
      </c>
      <c r="D1429" s="8" t="inlineStr">
        <is>
          <t>FAQ</t>
        </is>
      </c>
      <c r="E1429" s="8" t="inlineStr"/>
      <c r="F1429" s="8" t="inlineStr">
        <is>
          <t>faqs.en.faqs[1]</t>
        </is>
      </c>
      <c r="G1429" s="8" t="inlineStr">
        <is>
          <t>C21@20261028-3ca35454</t>
        </is>
      </c>
      <c r="H1429" s="8" t="n">
        <v>1</v>
      </c>
      <c r="I1429" s="8" t="n">
        <v>1</v>
      </c>
      <c r="J1429" s="8" t="inlineStr">
        <is>
          <t>If my project focuses on individuals with severe health needs, what specific age-related conditions make senior citizens eligible for Continuous Care Homes?
Senior Citizens who are seriously ill requiring continuous nursing care, or those afflicted specifically with Alzheimer's disease or Dementia, are the target beneficiaries eligible for Continuous Care Homes.</t>
        </is>
      </c>
      <c r="K1429" s="8" t="inlineStr">
        <is>
          <t>MS-C21</t>
        </is>
      </c>
      <c r="L1429" s="9" t="n">
        <v>46323</v>
      </c>
      <c r="M1429" s="8" t="inlineStr">
        <is>
          <t>Approved</t>
        </is>
      </c>
      <c r="N1429" s="8" t="inlineStr">
        <is>
          <t>faq</t>
        </is>
      </c>
    </row>
    <row r="1430" ht="68" customHeight="1">
      <c r="A1430" s="4" t="inlineStr">
        <is>
          <t>C21-P0101</t>
        </is>
      </c>
      <c r="B1430" s="4" t="inlineStr">
        <is>
          <t>C21</t>
        </is>
      </c>
      <c r="C1430" s="4" t="inlineStr">
        <is>
          <t>AVYAY - National Action Plan for Senior Citizens: Health and Shelter for Senior Citizens</t>
        </is>
      </c>
      <c r="D1430" s="4" t="inlineStr">
        <is>
          <t>FAQ</t>
        </is>
      </c>
      <c r="E1430" s="4" t="inlineStr"/>
      <c r="F1430" s="4" t="inlineStr">
        <is>
          <t>faqs.en.faqs[2]</t>
        </is>
      </c>
      <c r="G1430" s="4" t="inlineStr">
        <is>
          <t>C21@20261028-3ca35454</t>
        </is>
      </c>
      <c r="H1430" s="4" t="n">
        <v>1</v>
      </c>
      <c r="I1430" s="4" t="n">
        <v>1</v>
      </c>
      <c r="J1430" s="4" t="inlineStr">
        <is>
          <t>Can any non-governmental entity that possesses its own distinct legal status submit a proposal for financial support, or are there limitations on their type?
Any public body or institution that holds a legal status of its own is eligible to apply for assistance under the guidelines set forth, provided they meet all other stipulated criteria.</t>
        </is>
      </c>
      <c r="K1430" s="4" t="inlineStr">
        <is>
          <t>MS-C21</t>
        </is>
      </c>
      <c r="L1430" s="6" t="n">
        <v>46323</v>
      </c>
      <c r="M1430" s="4" t="inlineStr">
        <is>
          <t>Approved</t>
        </is>
      </c>
      <c r="N1430" s="4" t="inlineStr">
        <is>
          <t>faq</t>
        </is>
      </c>
    </row>
    <row r="1431" ht="68" customHeight="1">
      <c r="A1431" s="8" t="inlineStr">
        <is>
          <t>C21-P0102</t>
        </is>
      </c>
      <c r="B1431" s="8" t="inlineStr">
        <is>
          <t>C21</t>
        </is>
      </c>
      <c r="C1431" s="8" t="inlineStr">
        <is>
          <t>AVYAY - National Action Plan for Senior Citizens: Health and Shelter for Senior Citizens</t>
        </is>
      </c>
      <c r="D1431" s="8" t="inlineStr">
        <is>
          <t>FAQ</t>
        </is>
      </c>
      <c r="E1431" s="8" t="inlineStr"/>
      <c r="F1431" s="8" t="inlineStr">
        <is>
          <t>faqs.en.faqs[3]</t>
        </is>
      </c>
      <c r="G1431" s="8" t="inlineStr">
        <is>
          <t>C21@20261028-3ca35454</t>
        </is>
      </c>
      <c r="H1431" s="8" t="n">
        <v>1</v>
      </c>
      <c r="I1431" s="8" t="n">
        <v>1</v>
      </c>
      <c r="J1431" s="8" t="inlineStr">
        <is>
          <t>What is the highest level of priority given among applying agencies that are seeking grant-in-aid assistance for senior care projects?
The highest priority for selection is assigned to Self Help Groups of senior citizens, followed by Corporate Social Responsibility Foundations and Start-ups focusing on elderly care.</t>
        </is>
      </c>
      <c r="K1431" s="8" t="inlineStr">
        <is>
          <t>MS-C21</t>
        </is>
      </c>
      <c r="L1431" s="9" t="n">
        <v>46323</v>
      </c>
      <c r="M1431" s="8" t="inlineStr">
        <is>
          <t>Approved</t>
        </is>
      </c>
      <c r="N1431" s="8" t="inlineStr">
        <is>
          <t>faq</t>
        </is>
      </c>
    </row>
    <row r="1432" ht="68" customHeight="1">
      <c r="A1432" s="4" t="inlineStr">
        <is>
          <t>C21-P0103</t>
        </is>
      </c>
      <c r="B1432" s="4" t="inlineStr">
        <is>
          <t>C21</t>
        </is>
      </c>
      <c r="C1432" s="4" t="inlineStr">
        <is>
          <t>AVYAY - National Action Plan for Senior Citizens: Health and Shelter for Senior Citizens</t>
        </is>
      </c>
      <c r="D1432" s="4" t="inlineStr">
        <is>
          <t>FAQ</t>
        </is>
      </c>
      <c r="E1432" s="4" t="inlineStr"/>
      <c r="F1432" s="4" t="inlineStr">
        <is>
          <t>faqs.en.faqs[4]</t>
        </is>
      </c>
      <c r="G1432" s="4" t="inlineStr">
        <is>
          <t>C21@20261028-3ca35454</t>
        </is>
      </c>
      <c r="H1432" s="4" t="n">
        <v>1</v>
      </c>
      <c r="I1432" s="4" t="n">
        <v>1</v>
      </c>
      <c r="J1432" s="4" t="inlineStr">
        <is>
          <t>If I intend to provide services through a project, is it acceptable for the bank account to be held solely in the name of the Non-Governmental Organization?
No, the bank account used by the Non-Governmental Organization or Voluntary Organization for receiving the assistance must be maintained and operated jointly.</t>
        </is>
      </c>
      <c r="K1432" s="4" t="inlineStr">
        <is>
          <t>MS-C21</t>
        </is>
      </c>
      <c r="L1432" s="6" t="n">
        <v>46323</v>
      </c>
      <c r="M1432" s="4" t="inlineStr">
        <is>
          <t>Approved</t>
        </is>
      </c>
      <c r="N1432" s="4" t="inlineStr">
        <is>
          <t>faq</t>
        </is>
      </c>
    </row>
    <row r="1433" ht="82" customHeight="1">
      <c r="A1433" s="8" t="inlineStr">
        <is>
          <t>C21-P0104</t>
        </is>
      </c>
      <c r="B1433" s="8" t="inlineStr">
        <is>
          <t>C21</t>
        </is>
      </c>
      <c r="C1433" s="8" t="inlineStr">
        <is>
          <t>AVYAY - National Action Plan for Senior Citizens: Health and Shelter for Senior Citizens</t>
        </is>
      </c>
      <c r="D1433" s="8" t="inlineStr">
        <is>
          <t>FAQ</t>
        </is>
      </c>
      <c r="E1433" s="8" t="inlineStr"/>
      <c r="F1433" s="8" t="inlineStr">
        <is>
          <t>faqs.en.faqs[5]</t>
        </is>
      </c>
      <c r="G1433" s="8" t="inlineStr">
        <is>
          <t>C21@20261028-3ca35454</t>
        </is>
      </c>
      <c r="H1433" s="8" t="n">
        <v>1</v>
      </c>
      <c r="I1433" s="8" t="n">
        <v>1</v>
      </c>
      <c r="J1433" s="8" t="inlineStr">
        <is>
          <t>If the proposed project involves establishing a new physiotherapy clinic, can I expect to receive a grant-in-aid under the State Action Plan for Senior Citizens sub-scheme?
No Grant-in-Aid will be released for starting new Physiotherapy Clinics; this project type is permitted only in existing Government District Hospitals under the State Action Plan for Senior Citizens.</t>
        </is>
      </c>
      <c r="K1433" s="8" t="inlineStr">
        <is>
          <t>MS-C21</t>
        </is>
      </c>
      <c r="L1433" s="9" t="n">
        <v>46323</v>
      </c>
      <c r="M1433" s="8" t="inlineStr">
        <is>
          <t>Approved</t>
        </is>
      </c>
      <c r="N1433" s="8" t="inlineStr">
        <is>
          <t>faq</t>
        </is>
      </c>
    </row>
    <row r="1434" ht="68" customHeight="1">
      <c r="A1434" s="4" t="inlineStr">
        <is>
          <t>C21-P0105</t>
        </is>
      </c>
      <c r="B1434" s="4" t="inlineStr">
        <is>
          <t>C21</t>
        </is>
      </c>
      <c r="C1434" s="4" t="inlineStr">
        <is>
          <t>AVYAY - National Action Plan for Senior Citizens: Health and Shelter for Senior Citizens</t>
        </is>
      </c>
      <c r="D1434" s="4" t="inlineStr">
        <is>
          <t>FAQ</t>
        </is>
      </c>
      <c r="E1434" s="4" t="inlineStr"/>
      <c r="F1434" s="4" t="inlineStr">
        <is>
          <t>faqs.en.faqs[6]</t>
        </is>
      </c>
      <c r="G1434" s="4" t="inlineStr">
        <is>
          <t>C21@20261028-3ca35454</t>
        </is>
      </c>
      <c r="H1434" s="4" t="n">
        <v>1</v>
      </c>
      <c r="I1434" s="4" t="n">
        <v>1</v>
      </c>
      <c r="J1434" s="4" t="inlineStr">
        <is>
          <t>If my organization is registered under the Societies Registration Act, 1860, or any equivalent state law, is this sufficient to meet the general organizational criteria?
Yes, registration under the Societies Registration Act, 1860 (XXI of 1860) or any relevant Act of the State or Union Territory qualifies your organization for applying for the grant.</t>
        </is>
      </c>
      <c r="K1434" s="4" t="inlineStr">
        <is>
          <t>MS-C21</t>
        </is>
      </c>
      <c r="L1434" s="6" t="n">
        <v>46323</v>
      </c>
      <c r="M1434" s="4" t="inlineStr">
        <is>
          <t>Approved</t>
        </is>
      </c>
      <c r="N1434" s="4" t="inlineStr">
        <is>
          <t>faq</t>
        </is>
      </c>
    </row>
    <row r="1435" ht="96" customHeight="1">
      <c r="A1435" s="8" t="inlineStr">
        <is>
          <t>C21-P0106</t>
        </is>
      </c>
      <c r="B1435" s="8" t="inlineStr">
        <is>
          <t>C21</t>
        </is>
      </c>
      <c r="C1435" s="8" t="inlineStr">
        <is>
          <t>AVYAY - National Action Plan for Senior Citizens: Health and Shelter for Senior Citizens</t>
        </is>
      </c>
      <c r="D1435" s="8" t="inlineStr">
        <is>
          <t>FAQ</t>
        </is>
      </c>
      <c r="E1435" s="8" t="inlineStr"/>
      <c r="F1435" s="8" t="inlineStr">
        <is>
          <t>faqs.en.faqs[7]</t>
        </is>
      </c>
      <c r="G1435" s="8" t="inlineStr">
        <is>
          <t>C21@20261028-3ca35454</t>
        </is>
      </c>
      <c r="H1435" s="8" t="n">
        <v>1</v>
      </c>
      <c r="I1435" s="8" t="n">
        <v>1</v>
      </c>
      <c r="J1435" s="8" t="inlineStr">
        <is>
          <t>I am applying to establish a new facility for mobile medical outreach services; does this category of project receive financial assistance under the Integrated Programme for Senior Citizens?
No, the scheme explicitly states that financial assistance will not be provided to support the establishment of new Mobile Medicare Units under the Integrated Programme for Senior Citizens sub-scheme.</t>
        </is>
      </c>
      <c r="K1435" s="8" t="inlineStr">
        <is>
          <t>MS-C21</t>
        </is>
      </c>
      <c r="L1435" s="9" t="n">
        <v>46323</v>
      </c>
      <c r="M1435" s="8" t="inlineStr">
        <is>
          <t>Approved</t>
        </is>
      </c>
      <c r="N1435" s="8" t="inlineStr">
        <is>
          <t>faq</t>
        </is>
      </c>
    </row>
    <row r="1436" ht="82" customHeight="1">
      <c r="A1436" s="4" t="inlineStr">
        <is>
          <t>C21-P0107</t>
        </is>
      </c>
      <c r="B1436" s="4" t="inlineStr">
        <is>
          <t>C21</t>
        </is>
      </c>
      <c r="C1436" s="4" t="inlineStr">
        <is>
          <t>AVYAY - National Action Plan for Senior Citizens: Health and Shelter for Senior Citizens</t>
        </is>
      </c>
      <c r="D1436" s="4" t="inlineStr">
        <is>
          <t>FAQ</t>
        </is>
      </c>
      <c r="E1436" s="4" t="inlineStr"/>
      <c r="F1436" s="4" t="inlineStr">
        <is>
          <t>faqs.en.faqs[8]</t>
        </is>
      </c>
      <c r="G1436" s="4" t="inlineStr">
        <is>
          <t>C21@20261028-3ca35454</t>
        </is>
      </c>
      <c r="H1436" s="4" t="n">
        <v>1</v>
      </c>
      <c r="I1436" s="4" t="n">
        <v>1</v>
      </c>
      <c r="J1436" s="4" t="inlineStr">
        <is>
          <t>What specific legal category must an applying non-governmental institution fulfill if it is registered under the Companies Act to be considered eligible for funding?
The Non-Governmental Organization must be a charitable company licensed specifically under Section 25 of the Companies Act, 1958, to meet the eligibility requirements for receiving grant-in-aid.</t>
        </is>
      </c>
      <c r="K1436" s="4" t="inlineStr">
        <is>
          <t>MS-C21</t>
        </is>
      </c>
      <c r="L1436" s="6" t="n">
        <v>46323</v>
      </c>
      <c r="M1436" s="4" t="inlineStr">
        <is>
          <t>Approved</t>
        </is>
      </c>
      <c r="N1436" s="4" t="inlineStr">
        <is>
          <t>faq</t>
        </is>
      </c>
    </row>
    <row r="1437" ht="68" customHeight="1">
      <c r="A1437" s="8" t="inlineStr">
        <is>
          <t>C21-P0108</t>
        </is>
      </c>
      <c r="B1437" s="8" t="inlineStr">
        <is>
          <t>C21</t>
        </is>
      </c>
      <c r="C1437" s="8" t="inlineStr">
        <is>
          <t>AVYAY - National Action Plan for Senior Citizens: Health and Shelter for Senior Citizens</t>
        </is>
      </c>
      <c r="D1437" s="8" t="inlineStr">
        <is>
          <t>FAQ</t>
        </is>
      </c>
      <c r="E1437" s="8" t="inlineStr"/>
      <c r="F1437" s="8" t="inlineStr">
        <is>
          <t>faqs.en.faqs[9]</t>
        </is>
      </c>
      <c r="G1437" s="8" t="inlineStr">
        <is>
          <t>C21@20261028-3ca35454</t>
        </is>
      </c>
      <c r="H1437" s="8" t="n">
        <v>1</v>
      </c>
      <c r="I1437" s="8" t="n">
        <v>1</v>
      </c>
      <c r="J1437" s="8" t="inlineStr">
        <is>
          <t>If I operate a Continuous Care Home providing specialized services, what prior credible expertise must my implementing agency demonstrate to receive a grant?
To run Continuous Care Homes, the implementing agency must demonstrate a proven and credible track record in running Charitable Hospitals, Nursing Homes, Medical Institutions, or Colleges.</t>
        </is>
      </c>
      <c r="K1437" s="8" t="inlineStr">
        <is>
          <t>MS-C21</t>
        </is>
      </c>
      <c r="L1437" s="9" t="n">
        <v>46323</v>
      </c>
      <c r="M1437" s="8" t="inlineStr">
        <is>
          <t>Approved</t>
        </is>
      </c>
      <c r="N1437" s="8" t="inlineStr">
        <is>
          <t>faq</t>
        </is>
      </c>
    </row>
    <row r="1438" ht="82" customHeight="1">
      <c r="A1438" s="4" t="inlineStr">
        <is>
          <t>C21-P0109</t>
        </is>
      </c>
      <c r="B1438" s="4" t="inlineStr">
        <is>
          <t>C21</t>
        </is>
      </c>
      <c r="C1438" s="4" t="inlineStr">
        <is>
          <t>AVYAY - National Action Plan for Senior Citizens: Health and Shelter for Senior Citizens</t>
        </is>
      </c>
      <c r="D1438" s="4" t="inlineStr">
        <is>
          <t>FAQ</t>
        </is>
      </c>
      <c r="E1438" s="4" t="inlineStr"/>
      <c r="F1438" s="4" t="inlineStr">
        <is>
          <t>faqs.en.faqs[10]</t>
        </is>
      </c>
      <c r="G1438" s="4" t="inlineStr">
        <is>
          <t>C21@20261028-3ca35454</t>
        </is>
      </c>
      <c r="H1438" s="4" t="n">
        <v>1</v>
      </c>
      <c r="I1438" s="4" t="n">
        <v>1</v>
      </c>
      <c r="J1438" s="4" t="inlineStr">
        <is>
          <t>What is the primary financial classification used to determine which elderly citizens are eligible for shelter and food benefits provided by the homes?
The scheme primarily targets Indigent Senior Citizens. An indigent senior citizen is defined as lacking sufficient means for self-maintenance, the determination of which is made by the concerned State Government.</t>
        </is>
      </c>
      <c r="K1438" s="4" t="inlineStr">
        <is>
          <t>MS-C21</t>
        </is>
      </c>
      <c r="L1438" s="6" t="n">
        <v>46323</v>
      </c>
      <c r="M1438" s="4" t="inlineStr">
        <is>
          <t>Approved</t>
        </is>
      </c>
      <c r="N1438" s="4" t="inlineStr">
        <is>
          <t>faq</t>
        </is>
      </c>
    </row>
    <row r="1439" ht="82" customHeight="1">
      <c r="A1439" s="8" t="inlineStr">
        <is>
          <t>C21-P0110</t>
        </is>
      </c>
      <c r="B1439" s="8" t="inlineStr">
        <is>
          <t>C21</t>
        </is>
      </c>
      <c r="C1439" s="8" t="inlineStr">
        <is>
          <t>AVYAY - National Action Plan for Senior Citizens: Health and Shelter for Senior Citizens</t>
        </is>
      </c>
      <c r="D1439" s="8" t="inlineStr">
        <is>
          <t>FAQ</t>
        </is>
      </c>
      <c r="E1439" s="8" t="inlineStr"/>
      <c r="F1439" s="8" t="inlineStr">
        <is>
          <t>faqs.en.faqs[11]</t>
        </is>
      </c>
      <c r="G1439" s="8" t="inlineStr">
        <is>
          <t>C21@20261028-3ca35454</t>
        </is>
      </c>
      <c r="H1439" s="8" t="n">
        <v>1</v>
      </c>
      <c r="I1439" s="8" t="n">
        <v>1</v>
      </c>
      <c r="J1439" s="8" t="inlineStr">
        <is>
          <t>Does the Indian Red Cross Society or its regional branches qualify as an admissible implementing agency capable of applying for this financial assistance?
Yes, the Indian Red Cross Society or any of its branches are explicitly listed as eligible organizational types for receiving financial assistance under the Integrated Programme for Senior Citizens.</t>
        </is>
      </c>
      <c r="K1439" s="8" t="inlineStr">
        <is>
          <t>MS-C21</t>
        </is>
      </c>
      <c r="L1439" s="9" t="n">
        <v>46323</v>
      </c>
      <c r="M1439" s="8" t="inlineStr">
        <is>
          <t>Approved</t>
        </is>
      </c>
      <c r="N1439" s="8" t="inlineStr">
        <is>
          <t>faq</t>
        </is>
      </c>
    </row>
    <row r="1440" ht="138" customHeight="1">
      <c r="A1440" s="4" t="inlineStr">
        <is>
          <t>C22-P0001</t>
        </is>
      </c>
      <c r="B1440" s="4" t="inlineStr">
        <is>
          <t>C22</t>
        </is>
      </c>
      <c r="C1440" s="4" t="inlineStr">
        <is>
          <t>Nyaya Mitra Scheme</t>
        </is>
      </c>
      <c r="D1440" s="4" t="inlineStr">
        <is>
          <t>Details</t>
        </is>
      </c>
      <c r="E1440" s="4" t="inlineStr"/>
      <c r="F1440" s="4" t="inlineStr">
        <is>
          <t>en.schemeContent.detailedDescription[0]</t>
        </is>
      </c>
      <c r="G1440" s="4" t="inlineStr">
        <is>
          <t>C22@20261028-610abbf9</t>
        </is>
      </c>
      <c r="H1440" s="4" t="n">
        <v>1</v>
      </c>
      <c r="I1440" s="4" t="n">
        <v>1</v>
      </c>
      <c r="J1440" s="4" t="inlineStr">
        <is>
          <t>The scheme "Nyaya Mitra Scheme" was launched by the Department of Justice, Ministry of Law and Justice, in April 2017, and the scheme aims to facilitate the expeditious disposal of ten to fifteen-year-old pending cases in High Courts and Subordinate Courts. The scheme provides assistance to litigants suffering due to delayed trials by actively identifying cases, offering legal advice, and referring marginalized applicants to Lok Adalats for priority resolution. The applicant must be a retired judicial or executive officer with legal experience who acts as a Nyaya Mitra to support affected individuals. The scheme is implemented by the Department of Justice, and the applications for this scheme are accepted and managed at District Facilitation Centres housed within Common Service Centers.</t>
        </is>
      </c>
      <c r="K1440" s="4" t="inlineStr">
        <is>
          <t>MS-C22</t>
        </is>
      </c>
      <c r="L1440" s="6" t="n">
        <v>46323</v>
      </c>
      <c r="M1440" s="4" t="inlineStr">
        <is>
          <t>Approved</t>
        </is>
      </c>
      <c r="N1440" s="4" t="inlineStr">
        <is>
          <t>paragraph</t>
        </is>
      </c>
    </row>
    <row r="1441" ht="40" customHeight="1">
      <c r="A1441" s="8" t="inlineStr">
        <is>
          <t>C22-P0002</t>
        </is>
      </c>
      <c r="B1441" s="8" t="inlineStr">
        <is>
          <t>C22</t>
        </is>
      </c>
      <c r="C1441" s="8" t="inlineStr">
        <is>
          <t>Nyaya Mitra Scheme</t>
        </is>
      </c>
      <c r="D1441" s="8" t="inlineStr">
        <is>
          <t>Benefits</t>
        </is>
      </c>
      <c r="E1441" s="8" t="inlineStr"/>
      <c r="F1441" s="8" t="inlineStr">
        <is>
          <t>en.schemeContent.benefits[0].children[0]</t>
        </is>
      </c>
      <c r="G1441" s="8" t="inlineStr">
        <is>
          <t>C22@20261028-610abbf9</t>
        </is>
      </c>
      <c r="H1441" s="8" t="n">
        <v>1</v>
      </c>
      <c r="I1441" s="8" t="n">
        <v>1</v>
      </c>
      <c r="J1441" s="8" t="inlineStr">
        <is>
          <t>Expeditious disposal of ten to fifteen-year-old pending cases in High Courts and Subordinate Courts, including matrimonial cases, accident claims, and criminal cases.</t>
        </is>
      </c>
      <c r="K1441" s="8" t="inlineStr">
        <is>
          <t>MS-C22</t>
        </is>
      </c>
      <c r="L1441" s="9" t="n">
        <v>46323</v>
      </c>
      <c r="M1441" s="8" t="inlineStr">
        <is>
          <t>Approved</t>
        </is>
      </c>
      <c r="N1441" s="8" t="inlineStr">
        <is>
          <t>list_item</t>
        </is>
      </c>
    </row>
    <row r="1442" ht="40" customHeight="1">
      <c r="A1442" s="4" t="inlineStr">
        <is>
          <t>C22-P0003</t>
        </is>
      </c>
      <c r="B1442" s="4" t="inlineStr">
        <is>
          <t>C22</t>
        </is>
      </c>
      <c r="C1442" s="4" t="inlineStr">
        <is>
          <t>Nyaya Mitra Scheme</t>
        </is>
      </c>
      <c r="D1442" s="4" t="inlineStr">
        <is>
          <t>Benefits</t>
        </is>
      </c>
      <c r="E1442" s="4" t="inlineStr"/>
      <c r="F1442" s="4" t="inlineStr">
        <is>
          <t>en.schemeContent.benefits[0].children[1]</t>
        </is>
      </c>
      <c r="G1442" s="4" t="inlineStr">
        <is>
          <t>C22@20261028-610abbf9</t>
        </is>
      </c>
      <c r="H1442" s="4" t="n">
        <v>1</v>
      </c>
      <c r="I1442" s="4" t="n">
        <v>1</v>
      </c>
      <c r="J1442" s="4" t="inlineStr">
        <is>
          <t>Active identification of delayed cases through the National Judicial Data Grid.</t>
        </is>
      </c>
      <c r="K1442" s="4" t="inlineStr">
        <is>
          <t>MS-C22</t>
        </is>
      </c>
      <c r="L1442" s="6" t="n">
        <v>46323</v>
      </c>
      <c r="M1442" s="4" t="inlineStr">
        <is>
          <t>Approved</t>
        </is>
      </c>
      <c r="N1442" s="4" t="inlineStr">
        <is>
          <t>list_item</t>
        </is>
      </c>
    </row>
    <row r="1443" ht="40" customHeight="1">
      <c r="A1443" s="8" t="inlineStr">
        <is>
          <t>C22-P0004</t>
        </is>
      </c>
      <c r="B1443" s="8" t="inlineStr">
        <is>
          <t>C22</t>
        </is>
      </c>
      <c r="C1443" s="8" t="inlineStr">
        <is>
          <t>Nyaya Mitra Scheme</t>
        </is>
      </c>
      <c r="D1443" s="8" t="inlineStr">
        <is>
          <t>Benefits</t>
        </is>
      </c>
      <c r="E1443" s="8" t="inlineStr"/>
      <c r="F1443" s="8" t="inlineStr">
        <is>
          <t>en.schemeContent.benefits[0].children[2]</t>
        </is>
      </c>
      <c r="G1443" s="8" t="inlineStr">
        <is>
          <t>C22@20261028-610abbf9</t>
        </is>
      </c>
      <c r="H1443" s="8" t="n">
        <v>1</v>
      </c>
      <c r="I1443" s="8" t="n">
        <v>1</v>
      </c>
      <c r="J1443" s="8" t="inlineStr">
        <is>
          <t>Provision of legal advice and connection of litigants to the District Legal Services Authority, Common Service Centers Tele Law, other government agencies, and civil society organisations.</t>
        </is>
      </c>
      <c r="K1443" s="8" t="inlineStr">
        <is>
          <t>MS-C22</t>
        </is>
      </c>
      <c r="L1443" s="9" t="n">
        <v>46323</v>
      </c>
      <c r="M1443" s="8" t="inlineStr">
        <is>
          <t>Approved</t>
        </is>
      </c>
      <c r="N1443" s="8" t="inlineStr">
        <is>
          <t>list_item</t>
        </is>
      </c>
    </row>
    <row r="1444" ht="40" customHeight="1">
      <c r="A1444" s="4" t="inlineStr">
        <is>
          <t>C22-P0005</t>
        </is>
      </c>
      <c r="B1444" s="4" t="inlineStr">
        <is>
          <t>C22</t>
        </is>
      </c>
      <c r="C1444" s="4" t="inlineStr">
        <is>
          <t>Nyaya Mitra Scheme</t>
        </is>
      </c>
      <c r="D1444" s="4" t="inlineStr">
        <is>
          <t>Benefits</t>
        </is>
      </c>
      <c r="E1444" s="4" t="inlineStr"/>
      <c r="F1444" s="4" t="inlineStr">
        <is>
          <t>en.schemeContent.benefits[0].children[3]</t>
        </is>
      </c>
      <c r="G1444" s="4" t="inlineStr">
        <is>
          <t>C22@20261028-610abbf9</t>
        </is>
      </c>
      <c r="H1444" s="4" t="n">
        <v>1</v>
      </c>
      <c r="I1444" s="4" t="n">
        <v>1</v>
      </c>
      <c r="J1444" s="4" t="inlineStr">
        <is>
          <t>Referral of marginalized applicants to Lok Adalats for prioritized dispute resolution.</t>
        </is>
      </c>
      <c r="K1444" s="4" t="inlineStr">
        <is>
          <t>MS-C22</t>
        </is>
      </c>
      <c r="L1444" s="6" t="n">
        <v>46323</v>
      </c>
      <c r="M1444" s="4" t="inlineStr">
        <is>
          <t>Approved</t>
        </is>
      </c>
      <c r="N1444" s="4" t="inlineStr">
        <is>
          <t>list_item</t>
        </is>
      </c>
    </row>
    <row r="1445" ht="40" customHeight="1">
      <c r="A1445" s="8" t="inlineStr">
        <is>
          <t>C22-P0006</t>
        </is>
      </c>
      <c r="B1445" s="8" t="inlineStr">
        <is>
          <t>C22</t>
        </is>
      </c>
      <c r="C1445" s="8" t="inlineStr">
        <is>
          <t>Nyaya Mitra Scheme</t>
        </is>
      </c>
      <c r="D1445" s="8" t="inlineStr">
        <is>
          <t>Benefits</t>
        </is>
      </c>
      <c r="E1445" s="8" t="inlineStr"/>
      <c r="F1445" s="8" t="inlineStr">
        <is>
          <t>en.schemeContent.benefits[0].children[4]</t>
        </is>
      </c>
      <c r="G1445" s="8" t="inlineStr">
        <is>
          <t>C22@20261028-610abbf9</t>
        </is>
      </c>
      <c r="H1445" s="8" t="n">
        <v>1</v>
      </c>
      <c r="I1445" s="8" t="n">
        <v>1</v>
      </c>
      <c r="J1445" s="8" t="inlineStr">
        <is>
          <t>Assistance towards prison reforms within the district in coordination with the district judiciary and other stakeholders.</t>
        </is>
      </c>
      <c r="K1445" s="8" t="inlineStr">
        <is>
          <t>MS-C22</t>
        </is>
      </c>
      <c r="L1445" s="9" t="n">
        <v>46323</v>
      </c>
      <c r="M1445" s="8" t="inlineStr">
        <is>
          <t>Approved</t>
        </is>
      </c>
      <c r="N1445" s="8" t="inlineStr">
        <is>
          <t>list_item</t>
        </is>
      </c>
    </row>
    <row r="1446" ht="40" customHeight="1">
      <c r="A1446" s="4" t="inlineStr">
        <is>
          <t>C22-P0007</t>
        </is>
      </c>
      <c r="B1446" s="4" t="inlineStr">
        <is>
          <t>C22</t>
        </is>
      </c>
      <c r="C1446" s="4" t="inlineStr">
        <is>
          <t>Nyaya Mitra Scheme</t>
        </is>
      </c>
      <c r="D1446" s="4" t="inlineStr">
        <is>
          <t>Benefits</t>
        </is>
      </c>
      <c r="E1446" s="4" t="inlineStr"/>
      <c r="F1446" s="4" t="inlineStr">
        <is>
          <t>en.schemeContent.benefits[0].children[5]</t>
        </is>
      </c>
      <c r="G1446" s="4" t="inlineStr">
        <is>
          <t>C22@20261028-610abbf9</t>
        </is>
      </c>
      <c r="H1446" s="4" t="n">
        <v>1</v>
      </c>
      <c r="I1446" s="4" t="n">
        <v>1</v>
      </c>
      <c r="J1446" s="4" t="inlineStr">
        <is>
          <t>Critical analysis of pending cases to assist Registrar Generals and district judges in understanding bottlenecks and finding solutions.</t>
        </is>
      </c>
      <c r="K1446" s="4" t="inlineStr">
        <is>
          <t>MS-C22</t>
        </is>
      </c>
      <c r="L1446" s="6" t="n">
        <v>46323</v>
      </c>
      <c r="M1446" s="4" t="inlineStr">
        <is>
          <t>Approved</t>
        </is>
      </c>
      <c r="N1446" s="4" t="inlineStr">
        <is>
          <t>list_item</t>
        </is>
      </c>
    </row>
    <row r="1447" ht="40" customHeight="1">
      <c r="A1447" s="8" t="inlineStr">
        <is>
          <t>C22-P0008</t>
        </is>
      </c>
      <c r="B1447" s="8" t="inlineStr">
        <is>
          <t>C22</t>
        </is>
      </c>
      <c r="C1447" s="8" t="inlineStr">
        <is>
          <t>Nyaya Mitra Scheme</t>
        </is>
      </c>
      <c r="D1447" s="8" t="inlineStr">
        <is>
          <t>Benefits</t>
        </is>
      </c>
      <c r="E1447" s="8" t="inlineStr"/>
      <c r="F1447" s="8" t="inlineStr">
        <is>
          <t>en.schemeContent.benefits[0].children[6]</t>
        </is>
      </c>
      <c r="G1447" s="8" t="inlineStr">
        <is>
          <t>C22@20261028-610abbf9</t>
        </is>
      </c>
      <c r="H1447" s="8" t="n">
        <v>1</v>
      </c>
      <c r="I1447" s="8" t="n">
        <v>1</v>
      </c>
      <c r="J1447" s="8" t="inlineStr">
        <is>
          <t>Coordination with state and district authorities to enable witnesses to arrive on time or within a stipulated time frame for the early disposal of cases.</t>
        </is>
      </c>
      <c r="K1447" s="8" t="inlineStr">
        <is>
          <t>MS-C22</t>
        </is>
      </c>
      <c r="L1447" s="9" t="n">
        <v>46323</v>
      </c>
      <c r="M1447" s="8" t="inlineStr">
        <is>
          <t>Approved</t>
        </is>
      </c>
      <c r="N1447" s="8" t="inlineStr">
        <is>
          <t>list_item</t>
        </is>
      </c>
    </row>
    <row r="1448" ht="40" customHeight="1">
      <c r="A1448" s="4" t="inlineStr">
        <is>
          <t>C22-P0009</t>
        </is>
      </c>
      <c r="B1448" s="4" t="inlineStr">
        <is>
          <t>C22</t>
        </is>
      </c>
      <c r="C1448" s="4" t="inlineStr">
        <is>
          <t>Nyaya Mitra Scheme</t>
        </is>
      </c>
      <c r="D1448" s="4" t="inlineStr">
        <is>
          <t>Benefits</t>
        </is>
      </c>
      <c r="E1448" s="4" t="inlineStr"/>
      <c r="F1448" s="4" t="inlineStr">
        <is>
          <t>en.schemeContent.benefits[0].children[7]</t>
        </is>
      </c>
      <c r="G1448" s="4" t="inlineStr">
        <is>
          <t>C22@20261028-610abbf9</t>
        </is>
      </c>
      <c r="H1448" s="4" t="n">
        <v>1</v>
      </c>
      <c r="I1448" s="4" t="n">
        <v>1</v>
      </c>
      <c r="J1448" s="4" t="inlineStr">
        <is>
          <t>Execution of follow-up actions such as issuing notices, summons, stays, injunctions, and letters to lower courts for summoning records pursuant to court orders.</t>
        </is>
      </c>
      <c r="K1448" s="4" t="inlineStr">
        <is>
          <t>MS-C22</t>
        </is>
      </c>
      <c r="L1448" s="6" t="n">
        <v>46323</v>
      </c>
      <c r="M1448" s="4" t="inlineStr">
        <is>
          <t>Approved</t>
        </is>
      </c>
      <c r="N1448" s="4" t="inlineStr">
        <is>
          <t>list_item</t>
        </is>
      </c>
    </row>
    <row r="1449" ht="40" customHeight="1">
      <c r="A1449" s="8" t="inlineStr">
        <is>
          <t>C22-P0010</t>
        </is>
      </c>
      <c r="B1449" s="8" t="inlineStr">
        <is>
          <t>C22</t>
        </is>
      </c>
      <c r="C1449" s="8" t="inlineStr">
        <is>
          <t>Nyaya Mitra Scheme</t>
        </is>
      </c>
      <c r="D1449" s="8" t="inlineStr">
        <is>
          <t>Eligibility</t>
        </is>
      </c>
      <c r="E1449" s="8" t="inlineStr"/>
      <c r="F1449" s="8" t="inlineStr">
        <is>
          <t>en.eligibilityCriteria.eligibilityDescription[0].children[0]</t>
        </is>
      </c>
      <c r="G1449" s="8" t="inlineStr">
        <is>
          <t>C22@20261028-610abbf9</t>
        </is>
      </c>
      <c r="H1449" s="8" t="n">
        <v>1</v>
      </c>
      <c r="I1449" s="8" t="n">
        <v>1</v>
      </c>
      <c r="J1449" s="8" t="inlineStr">
        <is>
          <t>For Nyaya Mitras</t>
        </is>
      </c>
      <c r="K1449" s="8" t="inlineStr">
        <is>
          <t>MS-C22</t>
        </is>
      </c>
      <c r="L1449" s="9" t="n">
        <v>46323</v>
      </c>
      <c r="M1449" s="8" t="inlineStr">
        <is>
          <t>Approved</t>
        </is>
      </c>
      <c r="N1449" s="8" t="inlineStr">
        <is>
          <t>text</t>
        </is>
      </c>
    </row>
    <row r="1450" ht="40" customHeight="1">
      <c r="A1450" s="4" t="inlineStr">
        <is>
          <t>C22-P0011</t>
        </is>
      </c>
      <c r="B1450" s="4" t="inlineStr">
        <is>
          <t>C22</t>
        </is>
      </c>
      <c r="C1450" s="4" t="inlineStr">
        <is>
          <t>Nyaya Mitra Scheme</t>
        </is>
      </c>
      <c r="D1450" s="4" t="inlineStr">
        <is>
          <t>Eligibility</t>
        </is>
      </c>
      <c r="E1450" s="4" t="inlineStr"/>
      <c r="F1450" s="4" t="inlineStr">
        <is>
          <t>en.eligibilityCriteria.eligibilityDescription[1].children[0]</t>
        </is>
      </c>
      <c r="G1450" s="4" t="inlineStr">
        <is>
          <t>C22@20261028-610abbf9</t>
        </is>
      </c>
      <c r="H1450" s="4" t="n">
        <v>1</v>
      </c>
      <c r="I1450" s="4" t="n">
        <v>1</v>
      </c>
      <c r="J1450" s="4" t="inlineStr">
        <is>
          <t>The applicant must be a retired judicial officer or a retired executive officer.</t>
        </is>
      </c>
      <c r="K1450" s="4" t="inlineStr">
        <is>
          <t>MS-C22</t>
        </is>
      </c>
      <c r="L1450" s="6" t="n">
        <v>46323</v>
      </c>
      <c r="M1450" s="4" t="inlineStr">
        <is>
          <t>Approved</t>
        </is>
      </c>
      <c r="N1450" s="4" t="inlineStr">
        <is>
          <t>list_item</t>
        </is>
      </c>
    </row>
    <row r="1451" ht="40" customHeight="1">
      <c r="A1451" s="8" t="inlineStr">
        <is>
          <t>C22-P0012</t>
        </is>
      </c>
      <c r="B1451" s="8" t="inlineStr">
        <is>
          <t>C22</t>
        </is>
      </c>
      <c r="C1451" s="8" t="inlineStr">
        <is>
          <t>Nyaya Mitra Scheme</t>
        </is>
      </c>
      <c r="D1451" s="8" t="inlineStr">
        <is>
          <t>Eligibility</t>
        </is>
      </c>
      <c r="E1451" s="8" t="inlineStr"/>
      <c r="F1451" s="8" t="inlineStr">
        <is>
          <t>en.eligibilityCriteria.eligibilityDescription[1].children[1]</t>
        </is>
      </c>
      <c r="G1451" s="8" t="inlineStr">
        <is>
          <t>C22@20261028-610abbf9</t>
        </is>
      </c>
      <c r="H1451" s="8" t="n">
        <v>1</v>
      </c>
      <c r="I1451" s="8" t="n">
        <v>1</v>
      </c>
      <c r="J1451" s="8" t="inlineStr">
        <is>
          <t>The applicant must possess legal experience or an educational background in law.</t>
        </is>
      </c>
      <c r="K1451" s="8" t="inlineStr">
        <is>
          <t>MS-C22</t>
        </is>
      </c>
      <c r="L1451" s="9" t="n">
        <v>46323</v>
      </c>
      <c r="M1451" s="8" t="inlineStr">
        <is>
          <t>Approved</t>
        </is>
      </c>
      <c r="N1451" s="8" t="inlineStr">
        <is>
          <t>list_item</t>
        </is>
      </c>
    </row>
    <row r="1452" ht="40" customHeight="1">
      <c r="A1452" s="4" t="inlineStr">
        <is>
          <t>C22-P0013</t>
        </is>
      </c>
      <c r="B1452" s="4" t="inlineStr">
        <is>
          <t>C22</t>
        </is>
      </c>
      <c r="C1452" s="4" t="inlineStr">
        <is>
          <t>Nyaya Mitra Scheme</t>
        </is>
      </c>
      <c r="D1452" s="4" t="inlineStr">
        <is>
          <t>Eligibility</t>
        </is>
      </c>
      <c r="E1452" s="4" t="inlineStr"/>
      <c r="F1452" s="4" t="inlineStr">
        <is>
          <t>en.eligibilityCriteria.eligibilityDescription[2].children[0]</t>
        </is>
      </c>
      <c r="G1452" s="4" t="inlineStr">
        <is>
          <t>C22@20261028-610abbf9</t>
        </is>
      </c>
      <c r="H1452" s="4" t="n">
        <v>1</v>
      </c>
      <c r="I1452" s="4" t="n">
        <v>1</v>
      </c>
      <c r="J1452" s="4" t="inlineStr">
        <is>
          <t>For Beneficiaries (Litigants)</t>
        </is>
      </c>
      <c r="K1452" s="4" t="inlineStr">
        <is>
          <t>MS-C22</t>
        </is>
      </c>
      <c r="L1452" s="6" t="n">
        <v>46323</v>
      </c>
      <c r="M1452" s="4" t="inlineStr">
        <is>
          <t>Approved</t>
        </is>
      </c>
      <c r="N1452" s="4" t="inlineStr">
        <is>
          <t>text</t>
        </is>
      </c>
    </row>
    <row r="1453" ht="40" customHeight="1">
      <c r="A1453" s="8" t="inlineStr">
        <is>
          <t>C22-P0014</t>
        </is>
      </c>
      <c r="B1453" s="8" t="inlineStr">
        <is>
          <t>C22</t>
        </is>
      </c>
      <c r="C1453" s="8" t="inlineStr">
        <is>
          <t>Nyaya Mitra Scheme</t>
        </is>
      </c>
      <c r="D1453" s="8" t="inlineStr">
        <is>
          <t>Eligibility</t>
        </is>
      </c>
      <c r="E1453" s="8" t="inlineStr"/>
      <c r="F1453" s="8" t="inlineStr">
        <is>
          <t>en.eligibilityCriteria.eligibilityDescription[3].children[0]</t>
        </is>
      </c>
      <c r="G1453" s="8" t="inlineStr">
        <is>
          <t>C22@20261028-610abbf9</t>
        </is>
      </c>
      <c r="H1453" s="8" t="n">
        <v>1</v>
      </c>
      <c r="I1453" s="8" t="n">
        <v>1</v>
      </c>
      <c r="J1453" s="8" t="inlineStr">
        <is>
          <t>The applicant must be a litigant whose case has been languishing in the subordinate courts for more than ten years.</t>
        </is>
      </c>
      <c r="K1453" s="8" t="inlineStr">
        <is>
          <t>MS-C22</t>
        </is>
      </c>
      <c r="L1453" s="9" t="n">
        <v>46323</v>
      </c>
      <c r="M1453" s="8" t="inlineStr">
        <is>
          <t>Approved</t>
        </is>
      </c>
      <c r="N1453" s="8" t="inlineStr">
        <is>
          <t>list_item</t>
        </is>
      </c>
    </row>
    <row r="1454" ht="40" customHeight="1">
      <c r="A1454" s="4" t="inlineStr">
        <is>
          <t>C22-P0015</t>
        </is>
      </c>
      <c r="B1454" s="4" t="inlineStr">
        <is>
          <t>C22</t>
        </is>
      </c>
      <c r="C1454" s="4" t="inlineStr">
        <is>
          <t>Nyaya Mitra Scheme</t>
        </is>
      </c>
      <c r="D1454" s="4" t="inlineStr">
        <is>
          <t>Eligibility</t>
        </is>
      </c>
      <c r="E1454" s="4" t="inlineStr"/>
      <c r="F1454" s="4" t="inlineStr">
        <is>
          <t>en.eligibilityCriteria.eligibilityDescription[3].children[1]</t>
        </is>
      </c>
      <c r="G1454" s="4" t="inlineStr">
        <is>
          <t>C22@20261028-610abbf9</t>
        </is>
      </c>
      <c r="H1454" s="4" t="n">
        <v>1</v>
      </c>
      <c r="I1454" s="4" t="n">
        <v>1</v>
      </c>
      <c r="J1454" s="4" t="inlineStr">
        <is>
          <t>The applicant must be an individual for whom quality legal aid is not available due to social and economic barriers.</t>
        </is>
      </c>
      <c r="K1454" s="4" t="inlineStr">
        <is>
          <t>MS-C22</t>
        </is>
      </c>
      <c r="L1454" s="6" t="n">
        <v>46323</v>
      </c>
      <c r="M1454" s="4" t="inlineStr">
        <is>
          <t>Approved</t>
        </is>
      </c>
      <c r="N1454" s="4" t="inlineStr">
        <is>
          <t>list_item</t>
        </is>
      </c>
    </row>
    <row r="1455" ht="40" customHeight="1">
      <c r="A1455" s="8" t="inlineStr">
        <is>
          <t>C22-P0016</t>
        </is>
      </c>
      <c r="B1455" s="8" t="inlineStr">
        <is>
          <t>C22</t>
        </is>
      </c>
      <c r="C1455" s="8" t="inlineStr">
        <is>
          <t>Nyaya Mitra Scheme</t>
        </is>
      </c>
      <c r="D1455" s="8" t="inlineStr">
        <is>
          <t>Eligibility</t>
        </is>
      </c>
      <c r="E1455" s="8" t="inlineStr"/>
      <c r="F1455" s="8" t="inlineStr">
        <is>
          <t>en.eligibilityCriteria.eligibilityDescription[3].children[2]</t>
        </is>
      </c>
      <c r="G1455" s="8" t="inlineStr">
        <is>
          <t>C22@20261028-610abbf9</t>
        </is>
      </c>
      <c r="H1455" s="8" t="n">
        <v>1</v>
      </c>
      <c r="I1455" s="8" t="n">
        <v>1</v>
      </c>
      <c r="J1455" s="8" t="inlineStr">
        <is>
          <t>The applicant must be suffering due to a delay in investigations or trial.</t>
        </is>
      </c>
      <c r="K1455" s="8" t="inlineStr">
        <is>
          <t>MS-C22</t>
        </is>
      </c>
      <c r="L1455" s="9" t="n">
        <v>46323</v>
      </c>
      <c r="M1455" s="8" t="inlineStr">
        <is>
          <t>Approved</t>
        </is>
      </c>
      <c r="N1455" s="8" t="inlineStr">
        <is>
          <t>list_item</t>
        </is>
      </c>
    </row>
    <row r="1456" ht="40" customHeight="1">
      <c r="A1456" s="4" t="inlineStr">
        <is>
          <t>C22-P0017</t>
        </is>
      </c>
      <c r="B1456" s="4" t="inlineStr">
        <is>
          <t>C22</t>
        </is>
      </c>
      <c r="C1456" s="4" t="inlineStr">
        <is>
          <t>Nyaya Mitra Scheme</t>
        </is>
      </c>
      <c r="D1456" s="4" t="inlineStr">
        <is>
          <t>Applicant documents</t>
        </is>
      </c>
      <c r="E1456" s="4" t="inlineStr">
        <is>
          <t>*The following list of documents has been inferred from the eligibility criteria.</t>
        </is>
      </c>
      <c r="F1456" s="4" t="inlineStr">
        <is>
          <t>documents.en.documents_required[0]</t>
        </is>
      </c>
      <c r="G1456" s="4" t="inlineStr">
        <is>
          <t>C22@20261028-610abbf9</t>
        </is>
      </c>
      <c r="H1456" s="4" t="n">
        <v>1</v>
      </c>
      <c r="I1456" s="4" t="n">
        <v>1</v>
      </c>
      <c r="J1456" s="4" t="inlineStr">
        <is>
          <t>*The following list of documents has been inferred from the eligibility criteria.</t>
        </is>
      </c>
      <c r="K1456" s="4" t="inlineStr">
        <is>
          <t>MS-C22</t>
        </is>
      </c>
      <c r="L1456" s="6" t="n">
        <v>46323</v>
      </c>
      <c r="M1456" s="4" t="inlineStr">
        <is>
          <t>Approved</t>
        </is>
      </c>
      <c r="N1456" s="4" t="inlineStr">
        <is>
          <t>paragraph</t>
        </is>
      </c>
    </row>
    <row r="1457" ht="40" customHeight="1">
      <c r="A1457" s="8" t="inlineStr">
        <is>
          <t>C22-P0018</t>
        </is>
      </c>
      <c r="B1457" s="8" t="inlineStr">
        <is>
          <t>C22</t>
        </is>
      </c>
      <c r="C1457" s="8" t="inlineStr">
        <is>
          <t>Nyaya Mitra Scheme</t>
        </is>
      </c>
      <c r="D1457" s="8" t="inlineStr">
        <is>
          <t>Applicant documents</t>
        </is>
      </c>
      <c r="E1457" s="8" t="inlineStr">
        <is>
          <t>*The following list of documents has been inferred from the eligibility criteria.</t>
        </is>
      </c>
      <c r="F1457" s="8" t="inlineStr">
        <is>
          <t>documents.en.documents_required[1].children[0]</t>
        </is>
      </c>
      <c r="G1457" s="8" t="inlineStr">
        <is>
          <t>C22@20261028-610abbf9</t>
        </is>
      </c>
      <c r="H1457" s="8" t="n">
        <v>1</v>
      </c>
      <c r="I1457" s="8" t="n">
        <v>1</v>
      </c>
      <c r="J1457" s="8" t="inlineStr">
        <is>
          <t>Proof of Retirement as a Judicial Officer or Executive Officer.</t>
        </is>
      </c>
      <c r="K1457" s="8" t="inlineStr">
        <is>
          <t>MS-C22</t>
        </is>
      </c>
      <c r="L1457" s="9" t="n">
        <v>46323</v>
      </c>
      <c r="M1457" s="8" t="inlineStr">
        <is>
          <t>Approved</t>
        </is>
      </c>
      <c r="N1457" s="8" t="inlineStr">
        <is>
          <t>list_item</t>
        </is>
      </c>
    </row>
    <row r="1458" ht="40" customHeight="1">
      <c r="A1458" s="4" t="inlineStr">
        <is>
          <t>C22-P0019</t>
        </is>
      </c>
      <c r="B1458" s="4" t="inlineStr">
        <is>
          <t>C22</t>
        </is>
      </c>
      <c r="C1458" s="4" t="inlineStr">
        <is>
          <t>Nyaya Mitra Scheme</t>
        </is>
      </c>
      <c r="D1458" s="4" t="inlineStr">
        <is>
          <t>Applicant documents</t>
        </is>
      </c>
      <c r="E1458" s="4" t="inlineStr">
        <is>
          <t>*The following list of documents has been inferred from the eligibility criteria.</t>
        </is>
      </c>
      <c r="F1458" s="4" t="inlineStr">
        <is>
          <t>documents.en.documents_required[1].children[1]</t>
        </is>
      </c>
      <c r="G1458" s="4" t="inlineStr">
        <is>
          <t>C22@20261028-610abbf9</t>
        </is>
      </c>
      <c r="H1458" s="4" t="n">
        <v>1</v>
      </c>
      <c r="I1458" s="4" t="n">
        <v>1</v>
      </c>
      <c r="J1458" s="4" t="inlineStr">
        <is>
          <t>Proof of Legal Experience or Legal Background.</t>
        </is>
      </c>
      <c r="K1458" s="4" t="inlineStr">
        <is>
          <t>MS-C22</t>
        </is>
      </c>
      <c r="L1458" s="6" t="n">
        <v>46323</v>
      </c>
      <c r="M1458" s="4" t="inlineStr">
        <is>
          <t>Approved</t>
        </is>
      </c>
      <c r="N1458" s="4" t="inlineStr">
        <is>
          <t>list_item</t>
        </is>
      </c>
    </row>
    <row r="1459" ht="40" customHeight="1">
      <c r="A1459" s="8" t="inlineStr">
        <is>
          <t>C22-P0020</t>
        </is>
      </c>
      <c r="B1459" s="8" t="inlineStr">
        <is>
          <t>C22</t>
        </is>
      </c>
      <c r="C1459" s="8" t="inlineStr">
        <is>
          <t>Nyaya Mitra Scheme</t>
        </is>
      </c>
      <c r="D1459" s="8" t="inlineStr">
        <is>
          <t>Applicant documents</t>
        </is>
      </c>
      <c r="E1459" s="8" t="inlineStr">
        <is>
          <t>*The following list of documents has been inferred from the eligibility criteria.</t>
        </is>
      </c>
      <c r="F1459" s="8" t="inlineStr">
        <is>
          <t>documents.en.documents_required[1].children[2]</t>
        </is>
      </c>
      <c r="G1459" s="8" t="inlineStr">
        <is>
          <t>C22@20261028-610abbf9</t>
        </is>
      </c>
      <c r="H1459" s="8" t="n">
        <v>1</v>
      </c>
      <c r="I1459" s="8" t="n">
        <v>1</v>
      </c>
      <c r="J1459" s="8" t="inlineStr">
        <is>
          <t>Pending Case Details and Case History from the National Judicial Data Grid.</t>
        </is>
      </c>
      <c r="K1459" s="8" t="inlineStr">
        <is>
          <t>MS-C22</t>
        </is>
      </c>
      <c r="L1459" s="9" t="n">
        <v>46323</v>
      </c>
      <c r="M1459" s="8" t="inlineStr">
        <is>
          <t>Approved</t>
        </is>
      </c>
      <c r="N1459" s="8" t="inlineStr">
        <is>
          <t>list_item</t>
        </is>
      </c>
    </row>
    <row r="1460" ht="40" customHeight="1">
      <c r="A1460" s="4" t="inlineStr">
        <is>
          <t>C22-P0021</t>
        </is>
      </c>
      <c r="B1460" s="4" t="inlineStr">
        <is>
          <t>C22</t>
        </is>
      </c>
      <c r="C1460" s="4" t="inlineStr">
        <is>
          <t>Nyaya Mitra Scheme</t>
        </is>
      </c>
      <c r="D1460" s="4" t="inlineStr">
        <is>
          <t>Applicant documents</t>
        </is>
      </c>
      <c r="E1460" s="4" t="inlineStr">
        <is>
          <t>*The following list of documents has been inferred from the eligibility criteria.</t>
        </is>
      </c>
      <c r="F1460" s="4" t="inlineStr">
        <is>
          <t>documents.en.documents_required[1].children[3]</t>
        </is>
      </c>
      <c r="G1460" s="4" t="inlineStr">
        <is>
          <t>C22@20261028-610abbf9</t>
        </is>
      </c>
      <c r="H1460" s="4" t="n">
        <v>1</v>
      </c>
      <c r="I1460" s="4" t="n">
        <v>1</v>
      </c>
      <c r="J1460" s="4" t="inlineStr">
        <is>
          <t>Proof of Socio-Economic Status or Income Certificate.</t>
        </is>
      </c>
      <c r="K1460" s="4" t="inlineStr">
        <is>
          <t>MS-C22</t>
        </is>
      </c>
      <c r="L1460" s="6" t="n">
        <v>46323</v>
      </c>
      <c r="M1460" s="4" t="inlineStr">
        <is>
          <t>Approved</t>
        </is>
      </c>
      <c r="N1460" s="4" t="inlineStr">
        <is>
          <t>list_item</t>
        </is>
      </c>
    </row>
    <row r="1461" ht="40" customHeight="1">
      <c r="A1461" s="8" t="inlineStr">
        <is>
          <t>C22-P0022</t>
        </is>
      </c>
      <c r="B1461" s="8" t="inlineStr">
        <is>
          <t>C22</t>
        </is>
      </c>
      <c r="C1461" s="8" t="inlineStr">
        <is>
          <t>Nyaya Mitra Scheme</t>
        </is>
      </c>
      <c r="D1461" s="8" t="inlineStr">
        <is>
          <t>Applicant documents</t>
        </is>
      </c>
      <c r="E1461" s="8" t="inlineStr">
        <is>
          <t>*The following list of documents has been inferred from the eligibility criteria.</t>
        </is>
      </c>
      <c r="F1461" s="8" t="inlineStr">
        <is>
          <t>documents.en.documents_required[1].children[4]</t>
        </is>
      </c>
      <c r="G1461" s="8" t="inlineStr">
        <is>
          <t>C22@20261028-610abbf9</t>
        </is>
      </c>
      <c r="H1461" s="8" t="n">
        <v>1</v>
      </c>
      <c r="I1461" s="8" t="n">
        <v>1</v>
      </c>
      <c r="J1461" s="8" t="inlineStr">
        <is>
          <t>Valid Identity Proof of the Applicant.</t>
        </is>
      </c>
      <c r="K1461" s="8" t="inlineStr">
        <is>
          <t>MS-C22</t>
        </is>
      </c>
      <c r="L1461" s="9" t="n">
        <v>46323</v>
      </c>
      <c r="M1461" s="8" t="inlineStr">
        <is>
          <t>Approved</t>
        </is>
      </c>
      <c r="N1461" s="8" t="inlineStr">
        <is>
          <t>list_item</t>
        </is>
      </c>
    </row>
    <row r="1462" ht="68" customHeight="1">
      <c r="A1462" s="4" t="inlineStr">
        <is>
          <t>C22-P0023</t>
        </is>
      </c>
      <c r="B1462" s="4" t="inlineStr">
        <is>
          <t>C22</t>
        </is>
      </c>
      <c r="C1462" s="4" t="inlineStr">
        <is>
          <t>Nyaya Mitra Scheme</t>
        </is>
      </c>
      <c r="D1462" s="4" t="inlineStr">
        <is>
          <t>Application process</t>
        </is>
      </c>
      <c r="E1462" s="4" t="inlineStr"/>
      <c r="F1462" s="4" t="inlineStr">
        <is>
          <t>en.applicationProcess[0].process[0]</t>
        </is>
      </c>
      <c r="G1462" s="4" t="inlineStr">
        <is>
          <t>C22@20261028-610abbf9</t>
        </is>
      </c>
      <c r="H1462" s="4" t="n">
        <v>1</v>
      </c>
      <c r="I1462" s="4" t="n">
        <v>1</v>
      </c>
      <c r="J1462" s="4" t="inlineStr">
        <is>
          <t>Step 1: The applicant must visit the designated District Facilitation Centres housed within the Common Service Centers of the selected districts to seek legal assistance. The designated Nyaya Mitra actively identifies pending cases through the National Judicial Data Grid and reaches out to the affected parties to initiate support.</t>
        </is>
      </c>
      <c r="K1462" s="4" t="inlineStr">
        <is>
          <t>MS-C22</t>
        </is>
      </c>
      <c r="L1462" s="6" t="n">
        <v>46323</v>
      </c>
      <c r="M1462" s="4" t="inlineStr">
        <is>
          <t>Approved</t>
        </is>
      </c>
      <c r="N1462" s="4" t="inlineStr">
        <is>
          <t>paragraph</t>
        </is>
      </c>
    </row>
    <row r="1463" ht="68" customHeight="1">
      <c r="A1463" s="8" t="inlineStr">
        <is>
          <t>C22-P0024</t>
        </is>
      </c>
      <c r="B1463" s="8" t="inlineStr">
        <is>
          <t>C22</t>
        </is>
      </c>
      <c r="C1463" s="8" t="inlineStr">
        <is>
          <t>Nyaya Mitra Scheme</t>
        </is>
      </c>
      <c r="D1463" s="8" t="inlineStr">
        <is>
          <t>Application process</t>
        </is>
      </c>
      <c r="E1463" s="8" t="inlineStr"/>
      <c r="F1463" s="8" t="inlineStr">
        <is>
          <t>en.applicationProcess[0].process[1]</t>
        </is>
      </c>
      <c r="G1463" s="8" t="inlineStr">
        <is>
          <t>C22@20261028-610abbf9</t>
        </is>
      </c>
      <c r="H1463" s="8" t="n">
        <v>1</v>
      </c>
      <c r="I1463" s="8" t="n">
        <v>1</v>
      </c>
      <c r="J1463" s="8" t="inlineStr">
        <is>
          <t>Step 2: The applicant must interact with the Nyaya Mitra to undergo a critical analysis of their pending case and understand the specific bottlenecks causing the judicial delay. The Nyaya Mitra then provides necessary legal advice and explores practical solutions in coordination with relevant government departments.</t>
        </is>
      </c>
      <c r="K1463" s="8" t="inlineStr">
        <is>
          <t>MS-C22</t>
        </is>
      </c>
      <c r="L1463" s="9" t="n">
        <v>46323</v>
      </c>
      <c r="M1463" s="8" t="inlineStr">
        <is>
          <t>Approved</t>
        </is>
      </c>
      <c r="N1463" s="8" t="inlineStr">
        <is>
          <t>paragraph</t>
        </is>
      </c>
    </row>
    <row r="1464" ht="68" customHeight="1">
      <c r="A1464" s="4" t="inlineStr">
        <is>
          <t>C22-P0025</t>
        </is>
      </c>
      <c r="B1464" s="4" t="inlineStr">
        <is>
          <t>C22</t>
        </is>
      </c>
      <c r="C1464" s="4" t="inlineStr">
        <is>
          <t>Nyaya Mitra Scheme</t>
        </is>
      </c>
      <c r="D1464" s="4" t="inlineStr">
        <is>
          <t>Application process</t>
        </is>
      </c>
      <c r="E1464" s="4" t="inlineStr"/>
      <c r="F1464" s="4" t="inlineStr">
        <is>
          <t>en.applicationProcess[0].process[2]</t>
        </is>
      </c>
      <c r="G1464" s="4" t="inlineStr">
        <is>
          <t>C22@20261028-610abbf9</t>
        </is>
      </c>
      <c r="H1464" s="4" t="n">
        <v>1</v>
      </c>
      <c r="I1464" s="4" t="n">
        <v>1</v>
      </c>
      <c r="J1464" s="4" t="inlineStr">
        <is>
          <t>Step 3: The applicant must follow the guidance of the Nyaya Mitra to connect with the District Legal Services Authority, Common Service Centers Tele Law, or other civil society organizations. Cases identified as suitable are systematically referred to Lok Adalats by the Nyaya Mitra for prioritized and expedited dispute resolution.</t>
        </is>
      </c>
      <c r="K1464" s="4" t="inlineStr">
        <is>
          <t>MS-C22</t>
        </is>
      </c>
      <c r="L1464" s="6" t="n">
        <v>46323</v>
      </c>
      <c r="M1464" s="4" t="inlineStr">
        <is>
          <t>Approved</t>
        </is>
      </c>
      <c r="N1464" s="4" t="inlineStr">
        <is>
          <t>paragraph</t>
        </is>
      </c>
    </row>
    <row r="1465" ht="40" customHeight="1">
      <c r="A1465" s="8" t="inlineStr">
        <is>
          <t>C22-P0026</t>
        </is>
      </c>
      <c r="B1465" s="8" t="inlineStr">
        <is>
          <t>C22</t>
        </is>
      </c>
      <c r="C1465" s="8" t="inlineStr">
        <is>
          <t>Nyaya Mitra Scheme</t>
        </is>
      </c>
      <c r="D1465" s="8" t="inlineStr">
        <is>
          <t>Application process</t>
        </is>
      </c>
      <c r="E1465" s="8" t="inlineStr"/>
      <c r="F1465" s="8" t="inlineStr">
        <is>
          <t>en.applicationProcess[0].process[4].children[0]</t>
        </is>
      </c>
      <c r="G1465" s="8" t="inlineStr">
        <is>
          <t>C22@20261028-610abbf9</t>
        </is>
      </c>
      <c r="H1465" s="8" t="n">
        <v>1</v>
      </c>
      <c r="I1465" s="8" t="n">
        <v>1</v>
      </c>
      <c r="J1465" s="8" t="inlineStr">
        <is>
          <t>Place of Work</t>
        </is>
      </c>
      <c r="K1465" s="8" t="inlineStr">
        <is>
          <t>MS-C22</t>
        </is>
      </c>
      <c r="L1465" s="9" t="n">
        <v>46323</v>
      </c>
      <c r="M1465" s="8" t="inlineStr">
        <is>
          <t>Approved</t>
        </is>
      </c>
      <c r="N1465" s="8" t="inlineStr">
        <is>
          <t>text</t>
        </is>
      </c>
    </row>
    <row r="1466" ht="40" customHeight="1">
      <c r="A1466" s="4" t="inlineStr">
        <is>
          <t>C22-P0027</t>
        </is>
      </c>
      <c r="B1466" s="4" t="inlineStr">
        <is>
          <t>C22</t>
        </is>
      </c>
      <c r="C1466" s="4" t="inlineStr">
        <is>
          <t>Nyaya Mitra Scheme</t>
        </is>
      </c>
      <c r="D1466" s="4" t="inlineStr">
        <is>
          <t>Application process</t>
        </is>
      </c>
      <c r="E1466" s="4" t="inlineStr"/>
      <c r="F1466" s="4" t="inlineStr">
        <is>
          <t>en.applicationProcess[0].process[5].children[0]</t>
        </is>
      </c>
      <c r="G1466" s="4" t="inlineStr">
        <is>
          <t>C22@20261028-610abbf9</t>
        </is>
      </c>
      <c r="H1466" s="4" t="n">
        <v>1</v>
      </c>
      <c r="I1466" s="4" t="n">
        <v>1</v>
      </c>
      <c r="J1466" s="4" t="inlineStr">
        <is>
          <t>The sitting space for the Nyaya Mitra placed at the High Court will be allocated by the respective High Court.</t>
        </is>
      </c>
      <c r="K1466" s="4" t="inlineStr">
        <is>
          <t>MS-C22</t>
        </is>
      </c>
      <c r="L1466" s="6" t="n">
        <v>46323</v>
      </c>
      <c r="M1466" s="4" t="inlineStr">
        <is>
          <t>Approved</t>
        </is>
      </c>
      <c r="N1466" s="4" t="inlineStr">
        <is>
          <t>list_item</t>
        </is>
      </c>
    </row>
    <row r="1467" ht="40" customHeight="1">
      <c r="A1467" s="8" t="inlineStr">
        <is>
          <t>C22-P0028</t>
        </is>
      </c>
      <c r="B1467" s="8" t="inlineStr">
        <is>
          <t>C22</t>
        </is>
      </c>
      <c r="C1467" s="8" t="inlineStr">
        <is>
          <t>Nyaya Mitra Scheme</t>
        </is>
      </c>
      <c r="D1467" s="8" t="inlineStr">
        <is>
          <t>Application process</t>
        </is>
      </c>
      <c r="E1467" s="8" t="inlineStr"/>
      <c r="F1467" s="8" t="inlineStr">
        <is>
          <t>en.applicationProcess[0].process[5].children[1]</t>
        </is>
      </c>
      <c r="G1467" s="8" t="inlineStr">
        <is>
          <t>C22@20261028-610abbf9</t>
        </is>
      </c>
      <c r="H1467" s="8" t="n">
        <v>1</v>
      </c>
      <c r="I1467" s="8" t="n">
        <v>1</v>
      </c>
      <c r="J1467" s="8" t="inlineStr">
        <is>
          <t>The Nyaya Mitra will be provided sitting space either at the District Legal Services Authority or the District Court, and no clerical support will be provided.</t>
        </is>
      </c>
      <c r="K1467" s="8" t="inlineStr">
        <is>
          <t>MS-C22</t>
        </is>
      </c>
      <c r="L1467" s="9" t="n">
        <v>46323</v>
      </c>
      <c r="M1467" s="8" t="inlineStr">
        <is>
          <t>Approved</t>
        </is>
      </c>
      <c r="N1467" s="8" t="inlineStr">
        <is>
          <t>list_item</t>
        </is>
      </c>
    </row>
    <row r="1468" ht="68" customHeight="1">
      <c r="A1468" s="4" t="inlineStr">
        <is>
          <t>C22-P0029</t>
        </is>
      </c>
      <c r="B1468" s="4" t="inlineStr">
        <is>
          <t>C22</t>
        </is>
      </c>
      <c r="C1468" s="4" t="inlineStr">
        <is>
          <t>Nyaya Mitra Scheme</t>
        </is>
      </c>
      <c r="D1468" s="4" t="inlineStr">
        <is>
          <t>FAQ</t>
        </is>
      </c>
      <c r="E1468" s="4" t="inlineStr"/>
      <c r="F1468" s="4" t="inlineStr">
        <is>
          <t>faqs.en.faqs[0]</t>
        </is>
      </c>
      <c r="G1468" s="4" t="inlineStr">
        <is>
          <t>C22@20261028-610abbf9</t>
        </is>
      </c>
      <c r="H1468" s="4" t="n">
        <v>1</v>
      </c>
      <c r="I1468" s="4" t="n">
        <v>1</v>
      </c>
      <c r="J1468" s="4" t="inlineStr">
        <is>
          <t>Although the investigation of my case was completed on time, the actual trial proceedings have been drastically delayed; does this trial-specific delay make me eligible for legal aid?
Individuals who are suffering due to prolonged delays specifically during the trial phase of their legal proceedings are fully eligible to receive professional guidance and support.</t>
        </is>
      </c>
      <c r="K1468" s="4" t="inlineStr">
        <is>
          <t>MS-C22</t>
        </is>
      </c>
      <c r="L1468" s="6" t="n">
        <v>46323</v>
      </c>
      <c r="M1468" s="4" t="inlineStr">
        <is>
          <t>Approved</t>
        </is>
      </c>
      <c r="N1468" s="4" t="inlineStr">
        <is>
          <t>faq</t>
        </is>
      </c>
    </row>
    <row r="1469" ht="68" customHeight="1">
      <c r="A1469" s="8" t="inlineStr">
        <is>
          <t>C22-P0030</t>
        </is>
      </c>
      <c r="B1469" s="8" t="inlineStr">
        <is>
          <t>C22</t>
        </is>
      </c>
      <c r="C1469" s="8" t="inlineStr">
        <is>
          <t>Nyaya Mitra Scheme</t>
        </is>
      </c>
      <c r="D1469" s="8" t="inlineStr">
        <is>
          <t>FAQ</t>
        </is>
      </c>
      <c r="E1469" s="8" t="inlineStr"/>
      <c r="F1469" s="8" t="inlineStr">
        <is>
          <t>faqs.en.faqs[1]</t>
        </is>
      </c>
      <c r="G1469" s="8" t="inlineStr">
        <is>
          <t>C22@20261028-610abbf9</t>
        </is>
      </c>
      <c r="H1469" s="8" t="n">
        <v>1</v>
      </c>
      <c r="I1469" s="8" t="n">
        <v>1</v>
      </c>
      <c r="J1469" s="8" t="inlineStr">
        <is>
          <t>I am a retired executive officer who worked in the government sector, but I possess formal legal experience; does this combination of qualifications meet the mandatory selection criteria?
Retired government or executive officers are strictly eligible to be engaged for this role provided they possess a legal background or relevant legal experience.</t>
        </is>
      </c>
      <c r="K1469" s="8" t="inlineStr">
        <is>
          <t>MS-C22</t>
        </is>
      </c>
      <c r="L1469" s="9" t="n">
        <v>46323</v>
      </c>
      <c r="M1469" s="8" t="inlineStr">
        <is>
          <t>Approved</t>
        </is>
      </c>
      <c r="N1469" s="8" t="inlineStr">
        <is>
          <t>faq</t>
        </is>
      </c>
    </row>
    <row r="1470" ht="68" customHeight="1">
      <c r="A1470" s="4" t="inlineStr">
        <is>
          <t>C22-P0031</t>
        </is>
      </c>
      <c r="B1470" s="4" t="inlineStr">
        <is>
          <t>C22</t>
        </is>
      </c>
      <c r="C1470" s="4" t="inlineStr">
        <is>
          <t>Nyaya Mitra Scheme</t>
        </is>
      </c>
      <c r="D1470" s="4" t="inlineStr">
        <is>
          <t>FAQ</t>
        </is>
      </c>
      <c r="E1470" s="4" t="inlineStr"/>
      <c r="F1470" s="4" t="inlineStr">
        <is>
          <t>faqs.en.faqs[2]</t>
        </is>
      </c>
      <c r="G1470" s="4" t="inlineStr">
        <is>
          <t>C22@20261028-610abbf9</t>
        </is>
      </c>
      <c r="H1470" s="4" t="n">
        <v>1</v>
      </c>
      <c r="I1470" s="4" t="n">
        <v>1</v>
      </c>
      <c r="J1470" s="4" t="inlineStr">
        <is>
          <t>I am currently involved in a long-standing matrimonial dispute and am wondering if this specific type of personal legal matter qualifies for receiving the offered assistance?
The assistance covers various types of old, pending matters, explicitly including matrimonial cases that have remained unresolved for extended periods.</t>
        </is>
      </c>
      <c r="K1470" s="4" t="inlineStr">
        <is>
          <t>MS-C22</t>
        </is>
      </c>
      <c r="L1470" s="6" t="n">
        <v>46323</v>
      </c>
      <c r="M1470" s="4" t="inlineStr">
        <is>
          <t>Approved</t>
        </is>
      </c>
      <c r="N1470" s="4" t="inlineStr">
        <is>
          <t>faq</t>
        </is>
      </c>
    </row>
    <row r="1471" ht="68" customHeight="1">
      <c r="A1471" s="8" t="inlineStr">
        <is>
          <t>C22-P0032</t>
        </is>
      </c>
      <c r="B1471" s="8" t="inlineStr">
        <is>
          <t>C22</t>
        </is>
      </c>
      <c r="C1471" s="8" t="inlineStr">
        <is>
          <t>Nyaya Mitra Scheme</t>
        </is>
      </c>
      <c r="D1471" s="8" t="inlineStr">
        <is>
          <t>FAQ</t>
        </is>
      </c>
      <c r="E1471" s="8" t="inlineStr"/>
      <c r="F1471" s="8" t="inlineStr">
        <is>
          <t>faqs.en.faqs[3]</t>
        </is>
      </c>
      <c r="G1471" s="8" t="inlineStr">
        <is>
          <t>C22@20261028-610abbf9</t>
        </is>
      </c>
      <c r="H1471" s="8" t="n">
        <v>1</v>
      </c>
      <c r="I1471" s="8" t="n">
        <v>1</v>
      </c>
      <c r="J1471" s="8" t="inlineStr">
        <is>
          <t>If my long-standing legal dispute has escalated and is currently pending before a High Court, is there still a possibility that I can receive assistance to expedite its disposal?
The objective explicitly includes facilitating the expeditious disposal of older pending cases that are currently situated within the High Courts.</t>
        </is>
      </c>
      <c r="K1471" s="8" t="inlineStr">
        <is>
          <t>MS-C22</t>
        </is>
      </c>
      <c r="L1471" s="9" t="n">
        <v>46323</v>
      </c>
      <c r="M1471" s="8" t="inlineStr">
        <is>
          <t>Approved</t>
        </is>
      </c>
      <c r="N1471" s="8" t="inlineStr">
        <is>
          <t>faq</t>
        </is>
      </c>
    </row>
    <row r="1472" ht="68" customHeight="1">
      <c r="A1472" s="4" t="inlineStr">
        <is>
          <t>C22-P0033</t>
        </is>
      </c>
      <c r="B1472" s="4" t="inlineStr">
        <is>
          <t>C22</t>
        </is>
      </c>
      <c r="C1472" s="4" t="inlineStr">
        <is>
          <t>Nyaya Mitra Scheme</t>
        </is>
      </c>
      <c r="D1472" s="4" t="inlineStr">
        <is>
          <t>FAQ</t>
        </is>
      </c>
      <c r="E1472" s="4" t="inlineStr"/>
      <c r="F1472" s="4" t="inlineStr">
        <is>
          <t>faqs.en.faqs[4]</t>
        </is>
      </c>
      <c r="G1472" s="4" t="inlineStr">
        <is>
          <t>C22@20261028-610abbf9</t>
        </is>
      </c>
      <c r="H1472" s="4" t="n">
        <v>1</v>
      </c>
      <c r="I1472" s="4" t="n">
        <v>1</v>
      </c>
      <c r="J1472" s="4" t="inlineStr">
        <is>
          <t>Due to certain societal disadvantages and social barriers, I have been unable to secure quality legal representation for my ongoing court case; will I be considered for this support?
Litigants who cannot access adequate legal aid specifically because of social barriers are considered target beneficiaries and are fully eligible to receive the provided legal assistance.</t>
        </is>
      </c>
      <c r="K1472" s="4" t="inlineStr">
        <is>
          <t>MS-C22</t>
        </is>
      </c>
      <c r="L1472" s="6" t="n">
        <v>46323</v>
      </c>
      <c r="M1472" s="4" t="inlineStr">
        <is>
          <t>Approved</t>
        </is>
      </c>
      <c r="N1472" s="4" t="inlineStr">
        <is>
          <t>faq</t>
        </is>
      </c>
    </row>
    <row r="1473" ht="68" customHeight="1">
      <c r="A1473" s="8" t="inlineStr">
        <is>
          <t>C22-P0034</t>
        </is>
      </c>
      <c r="B1473" s="8" t="inlineStr">
        <is>
          <t>C22</t>
        </is>
      </c>
      <c r="C1473" s="8" t="inlineStr">
        <is>
          <t>Nyaya Mitra Scheme</t>
        </is>
      </c>
      <c r="D1473" s="8" t="inlineStr">
        <is>
          <t>FAQ</t>
        </is>
      </c>
      <c r="E1473" s="8" t="inlineStr"/>
      <c r="F1473" s="8" t="inlineStr">
        <is>
          <t>faqs.en.faqs[5]</t>
        </is>
      </c>
      <c r="G1473" s="8" t="inlineStr">
        <is>
          <t>C22@20261028-610abbf9</t>
        </is>
      </c>
      <c r="H1473" s="8" t="n">
        <v>1</v>
      </c>
      <c r="I1473" s="8" t="n">
        <v>1</v>
      </c>
      <c r="J1473" s="8" t="inlineStr">
        <is>
          <t>The legal issue I am currently entangled in is strictly criminal in nature rather than a civil dispute, so would this type of matter still qualify for the provided support?
Criminal cases are specifically included among the types of old pending cases that the engaged professionals assist the respective courts in disposing of.</t>
        </is>
      </c>
      <c r="K1473" s="8" t="inlineStr">
        <is>
          <t>MS-C22</t>
        </is>
      </c>
      <c r="L1473" s="9" t="n">
        <v>46323</v>
      </c>
      <c r="M1473" s="8" t="inlineStr">
        <is>
          <t>Approved</t>
        </is>
      </c>
      <c r="N1473" s="8" t="inlineStr">
        <is>
          <t>faq</t>
        </is>
      </c>
    </row>
    <row r="1474" ht="68" customHeight="1">
      <c r="A1474" s="4" t="inlineStr">
        <is>
          <t>C22-P0035</t>
        </is>
      </c>
      <c r="B1474" s="4" t="inlineStr">
        <is>
          <t>C22</t>
        </is>
      </c>
      <c r="C1474" s="4" t="inlineStr">
        <is>
          <t>Nyaya Mitra Scheme</t>
        </is>
      </c>
      <c r="D1474" s="4" t="inlineStr">
        <is>
          <t>FAQ</t>
        </is>
      </c>
      <c r="E1474" s="4" t="inlineStr"/>
      <c r="F1474" s="4" t="inlineStr">
        <is>
          <t>faqs.en.faqs[6]</t>
        </is>
      </c>
      <c r="G1474" s="4" t="inlineStr">
        <is>
          <t>C22@20261028-610abbf9</t>
        </is>
      </c>
      <c r="H1474" s="4" t="n">
        <v>1</v>
      </c>
      <c r="I1474" s="4" t="n">
        <v>1</v>
      </c>
      <c r="J1474" s="4" t="inlineStr">
        <is>
          <t>My current legal dispute has been continuously pending in the judicial system for over a decade, falling within the 10 to 15 years timeframe; am I eligible to seek speedy resolution?
Litigants whose cases have been languishing in the courts for 10 to 15 years are the primary focus for expeditious disposal and legal support.</t>
        </is>
      </c>
      <c r="K1474" s="4" t="inlineStr">
        <is>
          <t>MS-C22</t>
        </is>
      </c>
      <c r="L1474" s="6" t="n">
        <v>46323</v>
      </c>
      <c r="M1474" s="4" t="inlineStr">
        <is>
          <t>Approved</t>
        </is>
      </c>
      <c r="N1474" s="4" t="inlineStr">
        <is>
          <t>faq</t>
        </is>
      </c>
    </row>
    <row r="1475" ht="82" customHeight="1">
      <c r="A1475" s="8" t="inlineStr">
        <is>
          <t>C22-P0036</t>
        </is>
      </c>
      <c r="B1475" s="8" t="inlineStr">
        <is>
          <t>C22</t>
        </is>
      </c>
      <c r="C1475" s="8" t="inlineStr">
        <is>
          <t>Nyaya Mitra Scheme</t>
        </is>
      </c>
      <c r="D1475" s="8" t="inlineStr">
        <is>
          <t>FAQ</t>
        </is>
      </c>
      <c r="E1475" s="8" t="inlineStr"/>
      <c r="F1475" s="8" t="inlineStr">
        <is>
          <t>faqs.en.faqs[7]</t>
        </is>
      </c>
      <c r="G1475" s="8" t="inlineStr">
        <is>
          <t>C22@20261028-610abbf9</t>
        </is>
      </c>
      <c r="H1475" s="8" t="n">
        <v>1</v>
      </c>
      <c r="I1475" s="8" t="n">
        <v>1</v>
      </c>
      <c r="J1475" s="8" t="inlineStr">
        <is>
          <t>I am currently incarcerated and facing issues within the district prison system; does the scope of this initiative include providing any form of assistance or intervention for prison-related matters?
The engaged professionals are mandated to render assistance towards prison reforms within the district, working in coordination with the district judiciary and other stakeholders.</t>
        </is>
      </c>
      <c r="K1475" s="8" t="inlineStr">
        <is>
          <t>MS-C22</t>
        </is>
      </c>
      <c r="L1475" s="9" t="n">
        <v>46323</v>
      </c>
      <c r="M1475" s="8" t="inlineStr">
        <is>
          <t>Approved</t>
        </is>
      </c>
      <c r="N1475" s="8" t="inlineStr">
        <is>
          <t>faq</t>
        </is>
      </c>
    </row>
    <row r="1476" ht="68" customHeight="1">
      <c r="A1476" s="4" t="inlineStr">
        <is>
          <t>C22-P0037</t>
        </is>
      </c>
      <c r="B1476" s="4" t="inlineStr">
        <is>
          <t>C22</t>
        </is>
      </c>
      <c r="C1476" s="4" t="inlineStr">
        <is>
          <t>Nyaya Mitra Scheme</t>
        </is>
      </c>
      <c r="D1476" s="4" t="inlineStr">
        <is>
          <t>FAQ</t>
        </is>
      </c>
      <c r="E1476" s="4" t="inlineStr"/>
      <c r="F1476" s="4" t="inlineStr">
        <is>
          <t>faqs.en.faqs[8]</t>
        </is>
      </c>
      <c r="G1476" s="4" t="inlineStr">
        <is>
          <t>C22@20261028-610abbf9</t>
        </is>
      </c>
      <c r="H1476" s="4" t="n">
        <v>1</v>
      </c>
      <c r="I1476" s="4" t="n">
        <v>1</v>
      </c>
      <c r="J1476" s="4" t="inlineStr">
        <is>
          <t>My ongoing legal battle is currently being heard at the district level within a subordinate court rather than a higher appellate court; will my case still be eligible for intervention?
The initiative aims to facilitate the speedy disposal of old cases that are pending specifically within subordinate courts across the targeted districts.</t>
        </is>
      </c>
      <c r="K1476" s="4" t="inlineStr">
        <is>
          <t>MS-C22</t>
        </is>
      </c>
      <c r="L1476" s="6" t="n">
        <v>46323</v>
      </c>
      <c r="M1476" s="4" t="inlineStr">
        <is>
          <t>Approved</t>
        </is>
      </c>
      <c r="N1476" s="4" t="inlineStr">
        <is>
          <t>faq</t>
        </is>
      </c>
    </row>
    <row r="1477" ht="68" customHeight="1">
      <c r="A1477" s="8" t="inlineStr">
        <is>
          <t>C22-P0038</t>
        </is>
      </c>
      <c r="B1477" s="8" t="inlineStr">
        <is>
          <t>C22</t>
        </is>
      </c>
      <c r="C1477" s="8" t="inlineStr">
        <is>
          <t>Nyaya Mitra Scheme</t>
        </is>
      </c>
      <c r="D1477" s="8" t="inlineStr">
        <is>
          <t>FAQ</t>
        </is>
      </c>
      <c r="E1477" s="8" t="inlineStr"/>
      <c r="F1477" s="8" t="inlineStr">
        <is>
          <t>faqs.en.faqs[9]</t>
        </is>
      </c>
      <c r="G1477" s="8" t="inlineStr">
        <is>
          <t>C22@20261028-610abbf9</t>
        </is>
      </c>
      <c r="H1477" s="8" t="n">
        <v>1</v>
      </c>
      <c r="I1477" s="8" t="n">
        <v>1</v>
      </c>
      <c r="J1477" s="8" t="inlineStr">
        <is>
          <t>My court matter has been severely stalled because the initial police investigation took an incredibly long time to conclude, so can I get help for the hardships caused by this delay?
Assistance is actively provided to individuals who are suffering hardships as a direct result of extensive delays during the investigation stage of their legal proceedings.</t>
        </is>
      </c>
      <c r="K1477" s="8" t="inlineStr">
        <is>
          <t>MS-C22</t>
        </is>
      </c>
      <c r="L1477" s="9" t="n">
        <v>46323</v>
      </c>
      <c r="M1477" s="8" t="inlineStr">
        <is>
          <t>Approved</t>
        </is>
      </c>
      <c r="N1477" s="8" t="inlineStr">
        <is>
          <t>faq</t>
        </is>
      </c>
    </row>
    <row r="1478" ht="68" customHeight="1">
      <c r="A1478" s="4" t="inlineStr">
        <is>
          <t>C22-P0039</t>
        </is>
      </c>
      <c r="B1478" s="4" t="inlineStr">
        <is>
          <t>C22</t>
        </is>
      </c>
      <c r="C1478" s="4" t="inlineStr">
        <is>
          <t>Nyaya Mitra Scheme</t>
        </is>
      </c>
      <c r="D1478" s="4" t="inlineStr">
        <is>
          <t>FAQ</t>
        </is>
      </c>
      <c r="E1478" s="4" t="inlineStr"/>
      <c r="F1478" s="4" t="inlineStr">
        <is>
          <t>faqs.en.faqs[10]</t>
        </is>
      </c>
      <c r="G1478" s="4" t="inlineStr">
        <is>
          <t>C22@20261028-610abbf9</t>
        </is>
      </c>
      <c r="H1478" s="4" t="n">
        <v>1</v>
      </c>
      <c r="I1478" s="4" t="n">
        <v>1</v>
      </c>
      <c r="J1478" s="4" t="inlineStr">
        <is>
          <t>Is there a specific digital database or official platform through which the authorities will officially identify my long-pending court case to determine if I qualify for this support?
Cases are actively identified for intervention and assistance by sourcing data directly from the National Judicial Data Grid database.</t>
        </is>
      </c>
      <c r="K1478" s="4" t="inlineStr">
        <is>
          <t>MS-C22</t>
        </is>
      </c>
      <c r="L1478" s="6" t="n">
        <v>46323</v>
      </c>
      <c r="M1478" s="4" t="inlineStr">
        <is>
          <t>Approved</t>
        </is>
      </c>
      <c r="N1478" s="4" t="inlineStr">
        <is>
          <t>faq</t>
        </is>
      </c>
    </row>
    <row r="1479" ht="68" customHeight="1">
      <c r="A1479" s="8" t="inlineStr">
        <is>
          <t>C22-P0040</t>
        </is>
      </c>
      <c r="B1479" s="8" t="inlineStr">
        <is>
          <t>C22</t>
        </is>
      </c>
      <c r="C1479" s="8" t="inlineStr">
        <is>
          <t>Nyaya Mitra Scheme</t>
        </is>
      </c>
      <c r="D1479" s="8" t="inlineStr">
        <is>
          <t>FAQ</t>
        </is>
      </c>
      <c r="E1479" s="8" t="inlineStr"/>
      <c r="F1479" s="8" t="inlineStr">
        <is>
          <t>faqs.en.faqs[11]</t>
        </is>
      </c>
      <c r="G1479" s="8" t="inlineStr">
        <is>
          <t>C22@20261028-610abbf9</t>
        </is>
      </c>
      <c r="H1479" s="8" t="n">
        <v>1</v>
      </c>
      <c r="I1479" s="8" t="n">
        <v>1</v>
      </c>
      <c r="J1479" s="8" t="inlineStr">
        <is>
          <t>As an individual facing severe financial constraints and economic barriers, I lack the funds to hire a capable lawyer; does my financial situation make me an eligible candidate for help?
The initiative targets and supports litigants whose economic barriers prevent them from obtaining quality legal aid, ensuring they receive the necessary guidance.</t>
        </is>
      </c>
      <c r="K1479" s="8" t="inlineStr">
        <is>
          <t>MS-C22</t>
        </is>
      </c>
      <c r="L1479" s="9" t="n">
        <v>46323</v>
      </c>
      <c r="M1479" s="8" t="inlineStr">
        <is>
          <t>Approved</t>
        </is>
      </c>
      <c r="N1479" s="8" t="inlineStr">
        <is>
          <t>faq</t>
        </is>
      </c>
    </row>
    <row r="1480" ht="68" customHeight="1">
      <c r="A1480" s="4" t="inlineStr">
        <is>
          <t>C22-P0041</t>
        </is>
      </c>
      <c r="B1480" s="4" t="inlineStr">
        <is>
          <t>C22</t>
        </is>
      </c>
      <c r="C1480" s="4" t="inlineStr">
        <is>
          <t>Nyaya Mitra Scheme</t>
        </is>
      </c>
      <c r="D1480" s="4" t="inlineStr">
        <is>
          <t>FAQ</t>
        </is>
      </c>
      <c r="E1480" s="4" t="inlineStr"/>
      <c r="F1480" s="4" t="inlineStr">
        <is>
          <t>faqs.en.faqs[12]</t>
        </is>
      </c>
      <c r="G1480" s="4" t="inlineStr">
        <is>
          <t>C22@20261028-610abbf9</t>
        </is>
      </c>
      <c r="H1480" s="4" t="n">
        <v>1</v>
      </c>
      <c r="I1480" s="4" t="n">
        <v>1</v>
      </c>
      <c r="J1480" s="4" t="inlineStr">
        <is>
          <t>Having dedicated my career to the judiciary, I have recently retired from my post as a judicial officer, so would my professional background make me eligible to serve?
Individuals who have previously served and retired as judicial officers are expressly permitted to take up these positions to help facilitate the expeditious disposal of old cases.</t>
        </is>
      </c>
      <c r="K1480" s="4" t="inlineStr">
        <is>
          <t>MS-C22</t>
        </is>
      </c>
      <c r="L1480" s="6" t="n">
        <v>46323</v>
      </c>
      <c r="M1480" s="4" t="inlineStr">
        <is>
          <t>Approved</t>
        </is>
      </c>
      <c r="N1480" s="4" t="inlineStr">
        <is>
          <t>faq</t>
        </is>
      </c>
    </row>
    <row r="1481" ht="82" customHeight="1">
      <c r="A1481" s="8" t="inlineStr">
        <is>
          <t>C22-P0042</t>
        </is>
      </c>
      <c r="B1481" s="8" t="inlineStr">
        <is>
          <t>C22</t>
        </is>
      </c>
      <c r="C1481" s="8" t="inlineStr">
        <is>
          <t>Nyaya Mitra Scheme</t>
        </is>
      </c>
      <c r="D1481" s="8" t="inlineStr">
        <is>
          <t>FAQ</t>
        </is>
      </c>
      <c r="E1481" s="8" t="inlineStr"/>
      <c r="F1481" s="8" t="inlineStr">
        <is>
          <t>faqs.en.faqs[13]</t>
        </is>
      </c>
      <c r="G1481" s="8" t="inlineStr">
        <is>
          <t>C22@20261028-610abbf9</t>
        </is>
      </c>
      <c r="H1481" s="8" t="n">
        <v>1</v>
      </c>
      <c r="I1481" s="8" t="n">
        <v>1</v>
      </c>
      <c r="J1481" s="8" t="inlineStr">
        <is>
          <t>I have been waiting years for a resolution regarding a vehicular accident claim that I filed for compensation; does the current framework include provisions for helping with these specific claims?
Accident claim cases are explicitly categorized as eligible for assistance and have been successfully disposed of through the intervention of the engaged professionals.</t>
        </is>
      </c>
      <c r="K1481" s="8" t="inlineStr">
        <is>
          <t>MS-C22</t>
        </is>
      </c>
      <c r="L1481" s="9" t="n">
        <v>46323</v>
      </c>
      <c r="M1481" s="8" t="inlineStr">
        <is>
          <t>Approved</t>
        </is>
      </c>
      <c r="N1481" s="8" t="inlineStr">
        <is>
          <t>faq</t>
        </is>
      </c>
    </row>
    <row r="1482" ht="152" customHeight="1">
      <c r="A1482" s="4" t="inlineStr">
        <is>
          <t>C23-P0001</t>
        </is>
      </c>
      <c r="B1482" s="4" t="inlineStr">
        <is>
          <t>C23</t>
        </is>
      </c>
      <c r="C1482" s="4" t="inlineStr">
        <is>
          <t>Nari Adalat</t>
        </is>
      </c>
      <c r="D1482" s="4" t="inlineStr">
        <is>
          <t>Details</t>
        </is>
      </c>
      <c r="E1482" s="4" t="inlineStr"/>
      <c r="F1482" s="4" t="inlineStr">
        <is>
          <t>en.schemeContent.detailedDescription[0].children[0]</t>
        </is>
      </c>
      <c r="G1482" s="4" t="inlineStr">
        <is>
          <t>C23@20261028-deb0d84d</t>
        </is>
      </c>
      <c r="H1482" s="4" t="n">
        <v>1</v>
      </c>
      <c r="I1482" s="4" t="n">
        <v>1</v>
      </c>
      <c r="J1482" s="4" t="inlineStr">
        <is>
          <t>Nari Adalat, a component of the "Sambal" sub-scheme under Mission Shakti, it aims to provide women with an alternate Grievance Redressal Mechanism for resolving cases of petty nature (harassment, subversion, curtailment of rights or entitlements) faced by them at Gram panchayat level by negotiation, mediation, and reconciliation with mutual consent for speedy, accessible, and affordable justice. It also be used as a platform for awareness of right, entitlements, social facilitation and hand holding of women centric organizations. The component of Nari Adalat is being implemented in a phased manner on pilot basis.  The scheme is being run in 50 Gram Panchayat each in the state of Assam and UT of Jammu and Kashmir. Further it is being expanded in the 10 Gram Panchayats of Bihar and Karnataka and 5 Gram Panchayats of Andaman and Nicobar Islands.</t>
        </is>
      </c>
      <c r="K1482" s="4" t="inlineStr">
        <is>
          <t>MS-C23</t>
        </is>
      </c>
      <c r="L1482" s="6" t="n">
        <v>46323</v>
      </c>
      <c r="M1482" s="4" t="inlineStr">
        <is>
          <t>Approved</t>
        </is>
      </c>
      <c r="N1482" s="4" t="inlineStr">
        <is>
          <t>paragraph</t>
        </is>
      </c>
    </row>
    <row r="1483" ht="96" customHeight="1">
      <c r="A1483" s="8" t="inlineStr">
        <is>
          <t>C23-P0002</t>
        </is>
      </c>
      <c r="B1483" s="8" t="inlineStr">
        <is>
          <t>C23</t>
        </is>
      </c>
      <c r="C1483" s="8" t="inlineStr">
        <is>
          <t>Nari Adalat</t>
        </is>
      </c>
      <c r="D1483" s="8" t="inlineStr">
        <is>
          <t>Details</t>
        </is>
      </c>
      <c r="E1483" s="8" t="inlineStr"/>
      <c r="F1483" s="8" t="inlineStr">
        <is>
          <t>en.schemeContent.detailedDescription[1].children[0]</t>
        </is>
      </c>
      <c r="G1483" s="8" t="inlineStr">
        <is>
          <t>C23@20261028-deb0d84d</t>
        </is>
      </c>
      <c r="H1483" s="8" t="n">
        <v>1</v>
      </c>
      <c r="I1483" s="8" t="n">
        <v>1</v>
      </c>
      <c r="J1483" s="8" t="inlineStr">
        <is>
          <t>Nari Adalats or women collectives will be formed of committed and socially respected women chosen for that purpose. This platform will also be utilized for engaging with the public for awareness generation and getting feedback for improvement in the schemes and for effective public delivery of services. These will be provided logistic support through Gram Panchayats in convergence with the Ministry of Panchayati Raj, Ministry of Rural Development, and Common Service Centres (CSCs) run by the Ministry of Electronics and Information Technology.</t>
        </is>
      </c>
      <c r="K1483" s="8" t="inlineStr">
        <is>
          <t>MS-C23</t>
        </is>
      </c>
      <c r="L1483" s="9" t="n">
        <v>46323</v>
      </c>
      <c r="M1483" s="8" t="inlineStr">
        <is>
          <t>Approved</t>
        </is>
      </c>
      <c r="N1483" s="8" t="inlineStr">
        <is>
          <t>paragraph</t>
        </is>
      </c>
    </row>
    <row r="1484" ht="124" customHeight="1">
      <c r="A1484" s="4" t="inlineStr">
        <is>
          <t>C23-P0003</t>
        </is>
      </c>
      <c r="B1484" s="4" t="inlineStr">
        <is>
          <t>C23</t>
        </is>
      </c>
      <c r="C1484" s="4" t="inlineStr">
        <is>
          <t>Nari Adalat</t>
        </is>
      </c>
      <c r="D1484" s="4" t="inlineStr">
        <is>
          <t>Details</t>
        </is>
      </c>
      <c r="E1484" s="4" t="inlineStr"/>
      <c r="F1484" s="4" t="inlineStr">
        <is>
          <t>en.schemeContent.detailedDescription[2].children[0]</t>
        </is>
      </c>
      <c r="G1484" s="4" t="inlineStr">
        <is>
          <t>C23@20261028-deb0d84d</t>
        </is>
      </c>
      <c r="H1484" s="4" t="n">
        <v>1</v>
      </c>
      <c r="I1484" s="4" t="n">
        <v>1</v>
      </c>
      <c r="J1484" s="4" t="inlineStr">
        <is>
          <t>Initially, it will be launched in identified States/UTs, preferably where Elected Women Representatives (EWRs) are heading the Gram Panchayats (GPs) in Aspirational Districts. In the first year, an awareness drive regarding legal, constitutional rights and entitlements under various schemes/ programs will be undertaken. In the second year, committed and socially respected women will be identified and extensively trained in all women-related laws and schemes and a formal setup of women collectives having 7 to 11 members will be made who will address the socio, economic, and cultural issues faced by the women of that area and will provide alternative resolution to disputes by mediation and by connecting them to the duty bearers.</t>
        </is>
      </c>
      <c r="K1484" s="4" t="inlineStr">
        <is>
          <t>MS-C23</t>
        </is>
      </c>
      <c r="L1484" s="6" t="n">
        <v>46323</v>
      </c>
      <c r="M1484" s="4" t="inlineStr">
        <is>
          <t>Approved</t>
        </is>
      </c>
      <c r="N1484" s="4" t="inlineStr">
        <is>
          <t>paragraph</t>
        </is>
      </c>
    </row>
    <row r="1485" ht="82" customHeight="1">
      <c r="A1485" s="8" t="inlineStr">
        <is>
          <t>C23-P0004</t>
        </is>
      </c>
      <c r="B1485" s="8" t="inlineStr">
        <is>
          <t>C23</t>
        </is>
      </c>
      <c r="C1485" s="8" t="inlineStr">
        <is>
          <t>Nari Adalat</t>
        </is>
      </c>
      <c r="D1485" s="8" t="inlineStr">
        <is>
          <t>Details</t>
        </is>
      </c>
      <c r="E1485" s="8" t="inlineStr"/>
      <c r="F1485" s="8" t="inlineStr">
        <is>
          <t>en.schemeContent.detailedDescription[2].children[1]</t>
        </is>
      </c>
      <c r="G1485" s="8" t="inlineStr">
        <is>
          <t>C23@20261028-deb0d84d</t>
        </is>
      </c>
      <c r="H1485" s="8" t="n">
        <v>1</v>
      </c>
      <c r="I1485" s="8" t="n">
        <v>1</v>
      </c>
      <c r="J1485" s="8" t="inlineStr">
        <is>
          <t>The members or Nyaya Sakhis will be nominated / selected by the Gram Panchayat. The Nyaya Sakhis will amongst themselves select the head of the Nari Adalat, referred to as the „Mukhya Nyaya Sakhi‟ (MNS). The MNS will be responsible for all the activities and functioning of Nari Adalat in their respective jurisdiction. The tenure of Mukhya Nyaya Sakhi will generally be of six months after which a new MNS would be selected by Nyaya Sakhi.</t>
        </is>
      </c>
      <c r="K1485" s="8" t="inlineStr">
        <is>
          <t>MS-C23</t>
        </is>
      </c>
      <c r="L1485" s="9" t="n">
        <v>46323</v>
      </c>
      <c r="M1485" s="8" t="inlineStr">
        <is>
          <t>Approved</t>
        </is>
      </c>
      <c r="N1485" s="8" t="inlineStr">
        <is>
          <t>paragraph</t>
        </is>
      </c>
    </row>
    <row r="1486" ht="40" customHeight="1">
      <c r="A1486" s="4" t="inlineStr">
        <is>
          <t>C23-P0005</t>
        </is>
      </c>
      <c r="B1486" s="4" t="inlineStr">
        <is>
          <t>C23</t>
        </is>
      </c>
      <c r="C1486" s="4" t="inlineStr">
        <is>
          <t>Nari Adalat</t>
        </is>
      </c>
      <c r="D1486" s="4" t="inlineStr">
        <is>
          <t>Benefits</t>
        </is>
      </c>
      <c r="E1486" s="4" t="inlineStr"/>
      <c r="F1486" s="4" t="inlineStr">
        <is>
          <t>en.schemeContent.benefits[0]</t>
        </is>
      </c>
      <c r="G1486" s="4" t="inlineStr">
        <is>
          <t>C23@20261028-deb0d84d</t>
        </is>
      </c>
      <c r="H1486" s="4" t="n">
        <v>1</v>
      </c>
      <c r="I1486" s="4" t="n">
        <v>1</v>
      </c>
      <c r="J1486" s="4" t="inlineStr">
        <is>
          <t>1)	Accessible and affordable justice</t>
        </is>
      </c>
      <c r="K1486" s="4" t="inlineStr">
        <is>
          <t>MS-C23</t>
        </is>
      </c>
      <c r="L1486" s="6" t="n">
        <v>46323</v>
      </c>
      <c r="M1486" s="4" t="inlineStr">
        <is>
          <t>Approved</t>
        </is>
      </c>
      <c r="N1486" s="4" t="inlineStr">
        <is>
          <t>paragraph</t>
        </is>
      </c>
    </row>
    <row r="1487" ht="40" customHeight="1">
      <c r="A1487" s="8" t="inlineStr">
        <is>
          <t>C23-P0006</t>
        </is>
      </c>
      <c r="B1487" s="8" t="inlineStr">
        <is>
          <t>C23</t>
        </is>
      </c>
      <c r="C1487" s="8" t="inlineStr">
        <is>
          <t>Nari Adalat</t>
        </is>
      </c>
      <c r="D1487" s="8" t="inlineStr">
        <is>
          <t>Benefits</t>
        </is>
      </c>
      <c r="E1487" s="8" t="inlineStr"/>
      <c r="F1487" s="8" t="inlineStr">
        <is>
          <t>en.schemeContent.benefits[1]</t>
        </is>
      </c>
      <c r="G1487" s="8" t="inlineStr">
        <is>
          <t>C23@20261028-deb0d84d</t>
        </is>
      </c>
      <c r="H1487" s="8" t="n">
        <v>1</v>
      </c>
      <c r="I1487" s="8" t="n">
        <v>1</v>
      </c>
      <c r="J1487" s="8" t="inlineStr">
        <is>
          <t>2)	Conflict resolution</t>
        </is>
      </c>
      <c r="K1487" s="8" t="inlineStr">
        <is>
          <t>MS-C23</t>
        </is>
      </c>
      <c r="L1487" s="9" t="n">
        <v>46323</v>
      </c>
      <c r="M1487" s="8" t="inlineStr">
        <is>
          <t>Approved</t>
        </is>
      </c>
      <c r="N1487" s="8" t="inlineStr">
        <is>
          <t>paragraph</t>
        </is>
      </c>
    </row>
    <row r="1488" ht="40" customHeight="1">
      <c r="A1488" s="4" t="inlineStr">
        <is>
          <t>C23-P0007</t>
        </is>
      </c>
      <c r="B1488" s="4" t="inlineStr">
        <is>
          <t>C23</t>
        </is>
      </c>
      <c r="C1488" s="4" t="inlineStr">
        <is>
          <t>Nari Adalat</t>
        </is>
      </c>
      <c r="D1488" s="4" t="inlineStr">
        <is>
          <t>Benefits</t>
        </is>
      </c>
      <c r="E1488" s="4" t="inlineStr"/>
      <c r="F1488" s="4" t="inlineStr">
        <is>
          <t>en.schemeContent.benefits[2]</t>
        </is>
      </c>
      <c r="G1488" s="4" t="inlineStr">
        <is>
          <t>C23@20261028-deb0d84d</t>
        </is>
      </c>
      <c r="H1488" s="4" t="n">
        <v>1</v>
      </c>
      <c r="I1488" s="4" t="n">
        <v>1</v>
      </c>
      <c r="J1488" s="4" t="inlineStr">
        <is>
          <t>3)	Reconciliation</t>
        </is>
      </c>
      <c r="K1488" s="4" t="inlineStr">
        <is>
          <t>MS-C23</t>
        </is>
      </c>
      <c r="L1488" s="6" t="n">
        <v>46323</v>
      </c>
      <c r="M1488" s="4" t="inlineStr">
        <is>
          <t>Approved</t>
        </is>
      </c>
      <c r="N1488" s="4" t="inlineStr">
        <is>
          <t>paragraph</t>
        </is>
      </c>
    </row>
    <row r="1489" ht="40" customHeight="1">
      <c r="A1489" s="8" t="inlineStr">
        <is>
          <t>C23-P0008</t>
        </is>
      </c>
      <c r="B1489" s="8" t="inlineStr">
        <is>
          <t>C23</t>
        </is>
      </c>
      <c r="C1489" s="8" t="inlineStr">
        <is>
          <t>Nari Adalat</t>
        </is>
      </c>
      <c r="D1489" s="8" t="inlineStr">
        <is>
          <t>Benefits</t>
        </is>
      </c>
      <c r="E1489" s="8" t="inlineStr"/>
      <c r="F1489" s="8" t="inlineStr">
        <is>
          <t>en.schemeContent.benefits[3]</t>
        </is>
      </c>
      <c r="G1489" s="8" t="inlineStr">
        <is>
          <t>C23@20261028-deb0d84d</t>
        </is>
      </c>
      <c r="H1489" s="8" t="n">
        <v>1</v>
      </c>
      <c r="I1489" s="8" t="n">
        <v>1</v>
      </c>
      <c r="J1489" s="8" t="inlineStr">
        <is>
          <t>4)	Awareness Generation</t>
        </is>
      </c>
      <c r="K1489" s="8" t="inlineStr">
        <is>
          <t>MS-C23</t>
        </is>
      </c>
      <c r="L1489" s="9" t="n">
        <v>46323</v>
      </c>
      <c r="M1489" s="8" t="inlineStr">
        <is>
          <t>Approved</t>
        </is>
      </c>
      <c r="N1489" s="8" t="inlineStr">
        <is>
          <t>paragraph</t>
        </is>
      </c>
    </row>
    <row r="1490" ht="40" customHeight="1">
      <c r="A1490" s="4" t="inlineStr">
        <is>
          <t>C23-P0009</t>
        </is>
      </c>
      <c r="B1490" s="4" t="inlineStr">
        <is>
          <t>C23</t>
        </is>
      </c>
      <c r="C1490" s="4" t="inlineStr">
        <is>
          <t>Nari Adalat</t>
        </is>
      </c>
      <c r="D1490" s="4" t="inlineStr">
        <is>
          <t>Eligibility</t>
        </is>
      </c>
      <c r="E1490" s="4" t="inlineStr"/>
      <c r="F1490" s="4" t="inlineStr">
        <is>
          <t>en.eligibilityCriteria.eligibilityDescription[0]</t>
        </is>
      </c>
      <c r="G1490" s="4" t="inlineStr">
        <is>
          <t>C23@20261028-deb0d84d</t>
        </is>
      </c>
      <c r="H1490" s="4" t="n">
        <v>1</v>
      </c>
      <c r="I1490" s="4" t="n">
        <v>1</v>
      </c>
      <c r="J1490" s="4" t="inlineStr">
        <is>
          <t>The only specific requirement for eligibility is that the applicant must be a woman/girl.</t>
        </is>
      </c>
      <c r="K1490" s="4" t="inlineStr">
        <is>
          <t>MS-C23</t>
        </is>
      </c>
      <c r="L1490" s="6" t="n">
        <v>46323</v>
      </c>
      <c r="M1490" s="4" t="inlineStr">
        <is>
          <t>Approved</t>
        </is>
      </c>
      <c r="N1490" s="4" t="inlineStr">
        <is>
          <t>paragraph</t>
        </is>
      </c>
    </row>
    <row r="1491" ht="40" customHeight="1">
      <c r="A1491" s="8" t="inlineStr">
        <is>
          <t>C23-P0010</t>
        </is>
      </c>
      <c r="B1491" s="8" t="inlineStr">
        <is>
          <t>C23</t>
        </is>
      </c>
      <c r="C1491" s="8" t="inlineStr">
        <is>
          <t>Nari Adalat</t>
        </is>
      </c>
      <c r="D1491" s="8" t="inlineStr">
        <is>
          <t>Applicant documents</t>
        </is>
      </c>
      <c r="E1491" s="8" t="inlineStr"/>
      <c r="F1491" s="8" t="inlineStr">
        <is>
          <t>documents.en.documents_required[0].children[0]</t>
        </is>
      </c>
      <c r="G1491" s="8" t="inlineStr">
        <is>
          <t>C23@20261028-deb0d84d</t>
        </is>
      </c>
      <c r="H1491" s="8" t="n">
        <v>1</v>
      </c>
      <c r="I1491" s="8" t="n">
        <v>1</v>
      </c>
      <c r="J1491" s="8" t="inlineStr">
        <is>
          <t>As required/directed by the authority.</t>
        </is>
      </c>
      <c r="K1491" s="8" t="inlineStr">
        <is>
          <t>MS-C23</t>
        </is>
      </c>
      <c r="L1491" s="9" t="n">
        <v>46323</v>
      </c>
      <c r="M1491" s="8" t="inlineStr">
        <is>
          <t>Approved</t>
        </is>
      </c>
      <c r="N1491" s="8" t="inlineStr">
        <is>
          <t>list_item</t>
        </is>
      </c>
    </row>
    <row r="1492" ht="40" customHeight="1">
      <c r="A1492" s="4" t="inlineStr">
        <is>
          <t>C23-P0011</t>
        </is>
      </c>
      <c r="B1492" s="4" t="inlineStr">
        <is>
          <t>C23</t>
        </is>
      </c>
      <c r="C1492" s="4" t="inlineStr">
        <is>
          <t>Nari Adalat</t>
        </is>
      </c>
      <c r="D1492" s="4" t="inlineStr">
        <is>
          <t>Application process</t>
        </is>
      </c>
      <c r="E1492" s="4" t="inlineStr"/>
      <c r="F1492" s="4" t="inlineStr">
        <is>
          <t>en.applicationProcess[0].process[0]</t>
        </is>
      </c>
      <c r="G1492" s="4" t="inlineStr">
        <is>
          <t>C23@20261028-deb0d84d</t>
        </is>
      </c>
      <c r="H1492" s="4" t="n">
        <v>1</v>
      </c>
      <c r="I1492" s="4" t="n">
        <v>1</v>
      </c>
      <c r="J1492" s="4" t="inlineStr">
        <is>
          <t>For the application process, please approach the nearest Nari Adalat with your concern. They will guide you through the necessary steps and provide further assistance.</t>
        </is>
      </c>
      <c r="K1492" s="4" t="inlineStr">
        <is>
          <t>MS-C23</t>
        </is>
      </c>
      <c r="L1492" s="6" t="n">
        <v>46323</v>
      </c>
      <c r="M1492" s="4" t="inlineStr">
        <is>
          <t>Approved</t>
        </is>
      </c>
      <c r="N1492" s="4" t="inlineStr">
        <is>
          <t>paragraph</t>
        </is>
      </c>
    </row>
    <row r="1493" ht="54" customHeight="1">
      <c r="A1493" s="8" t="inlineStr">
        <is>
          <t>C23-P0012</t>
        </is>
      </c>
      <c r="B1493" s="8" t="inlineStr">
        <is>
          <t>C23</t>
        </is>
      </c>
      <c r="C1493" s="8" t="inlineStr">
        <is>
          <t>Nari Adalat</t>
        </is>
      </c>
      <c r="D1493" s="8" t="inlineStr">
        <is>
          <t>Application process</t>
        </is>
      </c>
      <c r="E1493" s="8" t="inlineStr"/>
      <c r="F1493" s="8" t="inlineStr">
        <is>
          <t>en.applicationProcess[0].process[1]</t>
        </is>
      </c>
      <c r="G1493" s="8" t="inlineStr">
        <is>
          <t>C23@20261028-deb0d84d</t>
        </is>
      </c>
      <c r="H1493" s="8" t="n">
        <v>1</v>
      </c>
      <c r="I1493" s="8" t="n">
        <v>1</v>
      </c>
      <c r="J1493" s="8" t="inlineStr">
        <is>
          <t>The Scheme is being run in 50 Gram Panchayats Each in 11 Districts (Nalbari, Darrang, Morigaon, Dhubri, Udalguri, South Salmara, Goalpara, Kamrup, Barpeta, Tamulpur, and Baksa) of Assam and 2 Districts (Kupwara and Baramulla) of Jammu and Kashmir on pilot basis.</t>
        </is>
      </c>
      <c r="K1493" s="8" t="inlineStr">
        <is>
          <t>MS-C23</t>
        </is>
      </c>
      <c r="L1493" s="9" t="n">
        <v>46323</v>
      </c>
      <c r="M1493" s="8" t="inlineStr">
        <is>
          <t>Approved</t>
        </is>
      </c>
      <c r="N1493" s="8" t="inlineStr">
        <is>
          <t>paragraph</t>
        </is>
      </c>
    </row>
    <row r="1494" ht="54" customHeight="1">
      <c r="A1494" s="4" t="inlineStr">
        <is>
          <t>C23-P0013</t>
        </is>
      </c>
      <c r="B1494" s="4" t="inlineStr">
        <is>
          <t>C23</t>
        </is>
      </c>
      <c r="C1494" s="4" t="inlineStr">
        <is>
          <t>Nari Adalat</t>
        </is>
      </c>
      <c r="D1494" s="4" t="inlineStr">
        <is>
          <t>FAQ</t>
        </is>
      </c>
      <c r="E1494" s="4" t="inlineStr"/>
      <c r="F1494" s="4" t="inlineStr">
        <is>
          <t>faqs.en.faqs[0]</t>
        </is>
      </c>
      <c r="G1494" s="4" t="inlineStr">
        <is>
          <t>C23@20261028-deb0d84d</t>
        </is>
      </c>
      <c r="H1494" s="4" t="n">
        <v>1</v>
      </c>
      <c r="I1494" s="4" t="n">
        <v>1</v>
      </c>
      <c r="J1494" s="4" t="inlineStr">
        <is>
          <t>What is the objective of the "Nari Adalat" scheme?
The scheme aims to provide a community-based platform for grievance redressal and empowerment of women.</t>
        </is>
      </c>
      <c r="K1494" s="4" t="inlineStr">
        <is>
          <t>MS-C23</t>
        </is>
      </c>
      <c r="L1494" s="6" t="n">
        <v>46323</v>
      </c>
      <c r="M1494" s="4" t="inlineStr">
        <is>
          <t>Approved</t>
        </is>
      </c>
      <c r="N1494" s="4" t="inlineStr">
        <is>
          <t>faq</t>
        </is>
      </c>
    </row>
    <row r="1495" ht="54" customHeight="1">
      <c r="A1495" s="8" t="inlineStr">
        <is>
          <t>C23-P0014</t>
        </is>
      </c>
      <c r="B1495" s="8" t="inlineStr">
        <is>
          <t>C23</t>
        </is>
      </c>
      <c r="C1495" s="8" t="inlineStr">
        <is>
          <t>Nari Adalat</t>
        </is>
      </c>
      <c r="D1495" s="8" t="inlineStr">
        <is>
          <t>FAQ</t>
        </is>
      </c>
      <c r="E1495" s="8" t="inlineStr"/>
      <c r="F1495" s="8" t="inlineStr">
        <is>
          <t>faqs.en.faqs[1]</t>
        </is>
      </c>
      <c r="G1495" s="8" t="inlineStr">
        <is>
          <t>C23@20261028-deb0d84d</t>
        </is>
      </c>
      <c r="H1495" s="8" t="n">
        <v>1</v>
      </c>
      <c r="I1495" s="8" t="n">
        <v>1</v>
      </c>
      <c r="J1495" s="8" t="inlineStr">
        <is>
          <t>Who can approach the Nari Adalat?
Any woman or girl facing harassment, violence, or denial of rights can approach the Nari Adalat.</t>
        </is>
      </c>
      <c r="K1495" s="8" t="inlineStr">
        <is>
          <t>MS-C23</t>
        </is>
      </c>
      <c r="L1495" s="9" t="n">
        <v>46323</v>
      </c>
      <c r="M1495" s="8" t="inlineStr">
        <is>
          <t>Approved</t>
        </is>
      </c>
      <c r="N1495" s="8" t="inlineStr">
        <is>
          <t>faq</t>
        </is>
      </c>
    </row>
    <row r="1496" ht="40" customHeight="1">
      <c r="A1496" s="4" t="inlineStr">
        <is>
          <t>C23-P0015</t>
        </is>
      </c>
      <c r="B1496" s="4" t="inlineStr">
        <is>
          <t>C23</t>
        </is>
      </c>
      <c r="C1496" s="4" t="inlineStr">
        <is>
          <t>Nari Adalat</t>
        </is>
      </c>
      <c r="D1496" s="4" t="inlineStr">
        <is>
          <t>FAQ</t>
        </is>
      </c>
      <c r="E1496" s="4" t="inlineStr"/>
      <c r="F1496" s="4" t="inlineStr">
        <is>
          <t>faqs.en.faqs[2]</t>
        </is>
      </c>
      <c r="G1496" s="4" t="inlineStr">
        <is>
          <t>C23@20261028-deb0d84d</t>
        </is>
      </c>
      <c r="H1496" s="4" t="n">
        <v>1</v>
      </c>
      <c r="I1496" s="4" t="n">
        <v>1</v>
      </c>
      <c r="J1496" s="4" t="inlineStr">
        <is>
          <t>Where is "Nari Adalat" established?
Nari Adalat is established at the Gram Panchayat level.</t>
        </is>
      </c>
      <c r="K1496" s="4" t="inlineStr">
        <is>
          <t>MS-C23</t>
        </is>
      </c>
      <c r="L1496" s="6" t="n">
        <v>46323</v>
      </c>
      <c r="M1496" s="4" t="inlineStr">
        <is>
          <t>Approved</t>
        </is>
      </c>
      <c r="N1496" s="4" t="inlineStr">
        <is>
          <t>faq</t>
        </is>
      </c>
    </row>
    <row r="1497" ht="40" customHeight="1">
      <c r="A1497" s="8" t="inlineStr">
        <is>
          <t>C23-P0016</t>
        </is>
      </c>
      <c r="B1497" s="8" t="inlineStr">
        <is>
          <t>C23</t>
        </is>
      </c>
      <c r="C1497" s="8" t="inlineStr">
        <is>
          <t>Nari Adalat</t>
        </is>
      </c>
      <c r="D1497" s="8" t="inlineStr">
        <is>
          <t>FAQ</t>
        </is>
      </c>
      <c r="E1497" s="8" t="inlineStr"/>
      <c r="F1497" s="8" t="inlineStr">
        <is>
          <t>faqs.en.faqs[3]</t>
        </is>
      </c>
      <c r="G1497" s="8" t="inlineStr">
        <is>
          <t>C23@20261028-deb0d84d</t>
        </is>
      </c>
      <c r="H1497" s="8" t="n">
        <v>1</v>
      </c>
      <c r="I1497" s="8" t="n">
        <v>1</v>
      </c>
      <c r="J1497" s="8" t="inlineStr">
        <is>
          <t>What types of cases are handled?
It handles cases like domestic violence, property disputes, harassment, and social issues.</t>
        </is>
      </c>
      <c r="K1497" s="8" t="inlineStr">
        <is>
          <t>MS-C23</t>
        </is>
      </c>
      <c r="L1497" s="9" t="n">
        <v>46323</v>
      </c>
      <c r="M1497" s="8" t="inlineStr">
        <is>
          <t>Approved</t>
        </is>
      </c>
      <c r="N1497" s="8" t="inlineStr">
        <is>
          <t>faq</t>
        </is>
      </c>
    </row>
    <row r="1498" ht="40" customHeight="1">
      <c r="A1498" s="4" t="inlineStr">
        <is>
          <t>C23-P0017</t>
        </is>
      </c>
      <c r="B1498" s="4" t="inlineStr">
        <is>
          <t>C23</t>
        </is>
      </c>
      <c r="C1498" s="4" t="inlineStr">
        <is>
          <t>Nari Adalat</t>
        </is>
      </c>
      <c r="D1498" s="4" t="inlineStr">
        <is>
          <t>FAQ</t>
        </is>
      </c>
      <c r="E1498" s="4" t="inlineStr"/>
      <c r="F1498" s="4" t="inlineStr">
        <is>
          <t>faqs.en.faqs[4]</t>
        </is>
      </c>
      <c r="G1498" s="4" t="inlineStr">
        <is>
          <t>C23@20261028-deb0d84d</t>
        </is>
      </c>
      <c r="H1498" s="4" t="n">
        <v>1</v>
      </c>
      <c r="I1498" s="4" t="n">
        <v>1</v>
      </c>
      <c r="J1498" s="4" t="inlineStr">
        <is>
          <t>Who are Nyaya Sakhis?
Nyaya Sakhis are trained women members of the Nari Adalat who facilitate dispute resolution.</t>
        </is>
      </c>
      <c r="K1498" s="4" t="inlineStr">
        <is>
          <t>MS-C23</t>
        </is>
      </c>
      <c r="L1498" s="6" t="n">
        <v>46323</v>
      </c>
      <c r="M1498" s="4" t="inlineStr">
        <is>
          <t>Approved</t>
        </is>
      </c>
      <c r="N1498" s="4" t="inlineStr">
        <is>
          <t>faq</t>
        </is>
      </c>
    </row>
    <row r="1499" ht="40" customHeight="1">
      <c r="A1499" s="8" t="inlineStr">
        <is>
          <t>C23-P0018</t>
        </is>
      </c>
      <c r="B1499" s="8" t="inlineStr">
        <is>
          <t>C23</t>
        </is>
      </c>
      <c r="C1499" s="8" t="inlineStr">
        <is>
          <t>Nari Adalat</t>
        </is>
      </c>
      <c r="D1499" s="8" t="inlineStr">
        <is>
          <t>FAQ</t>
        </is>
      </c>
      <c r="E1499" s="8" t="inlineStr"/>
      <c r="F1499" s="8" t="inlineStr">
        <is>
          <t>faqs.en.faqs[5]</t>
        </is>
      </c>
      <c r="G1499" s="8" t="inlineStr">
        <is>
          <t>C23@20261028-deb0d84d</t>
        </is>
      </c>
      <c r="H1499" s="8" t="n">
        <v>1</v>
      </c>
      <c r="I1499" s="8" t="n">
        <v>1</v>
      </c>
      <c r="J1499" s="8" t="inlineStr">
        <is>
          <t>What is the role of Mukhya Nyaya Sakhi?
She acts as the head of the Nari Adalat and manages its functioning and records.</t>
        </is>
      </c>
      <c r="K1499" s="8" t="inlineStr">
        <is>
          <t>MS-C23</t>
        </is>
      </c>
      <c r="L1499" s="9" t="n">
        <v>46323</v>
      </c>
      <c r="M1499" s="8" t="inlineStr">
        <is>
          <t>Approved</t>
        </is>
      </c>
      <c r="N1499" s="8" t="inlineStr">
        <is>
          <t>faq</t>
        </is>
      </c>
    </row>
    <row r="1500" ht="40" customHeight="1">
      <c r="A1500" s="4" t="inlineStr">
        <is>
          <t>C23-P0019</t>
        </is>
      </c>
      <c r="B1500" s="4" t="inlineStr">
        <is>
          <t>C23</t>
        </is>
      </c>
      <c r="C1500" s="4" t="inlineStr">
        <is>
          <t>Nari Adalat</t>
        </is>
      </c>
      <c r="D1500" s="4" t="inlineStr">
        <is>
          <t>FAQ</t>
        </is>
      </c>
      <c r="E1500" s="4" t="inlineStr"/>
      <c r="F1500" s="4" t="inlineStr">
        <is>
          <t>faqs.en.faqs[6]</t>
        </is>
      </c>
      <c r="G1500" s="4" t="inlineStr">
        <is>
          <t>C23@20261028-deb0d84d</t>
        </is>
      </c>
      <c r="H1500" s="4" t="n">
        <v>1</v>
      </c>
      <c r="I1500" s="4" t="n">
        <v>1</v>
      </c>
      <c r="J1500" s="4" t="inlineStr">
        <is>
          <t>How often are meetings conducted?
Meetings are generally held twice a month.</t>
        </is>
      </c>
      <c r="K1500" s="4" t="inlineStr">
        <is>
          <t>MS-C23</t>
        </is>
      </c>
      <c r="L1500" s="6" t="n">
        <v>46323</v>
      </c>
      <c r="M1500" s="4" t="inlineStr">
        <is>
          <t>Approved</t>
        </is>
      </c>
      <c r="N1500" s="4" t="inlineStr">
        <is>
          <t>faq</t>
        </is>
      </c>
    </row>
    <row r="1501" ht="40" customHeight="1">
      <c r="A1501" s="8" t="inlineStr">
        <is>
          <t>C23-P0020</t>
        </is>
      </c>
      <c r="B1501" s="8" t="inlineStr">
        <is>
          <t>C23</t>
        </is>
      </c>
      <c r="C1501" s="8" t="inlineStr">
        <is>
          <t>Nari Adalat</t>
        </is>
      </c>
      <c r="D1501" s="8" t="inlineStr">
        <is>
          <t>FAQ</t>
        </is>
      </c>
      <c r="E1501" s="8" t="inlineStr"/>
      <c r="F1501" s="8" t="inlineStr">
        <is>
          <t>faqs.en.faqs[7]</t>
        </is>
      </c>
      <c r="G1501" s="8" t="inlineStr">
        <is>
          <t>C23@20261028-deb0d84d</t>
        </is>
      </c>
      <c r="H1501" s="8" t="n">
        <v>1</v>
      </c>
      <c r="I1501" s="8" t="n">
        <v>1</v>
      </c>
      <c r="J1501" s="8" t="inlineStr">
        <is>
          <t>Is there any fee to access services?
No, the services provided by Nari Adalat are free of cost.</t>
        </is>
      </c>
      <c r="K1501" s="8" t="inlineStr">
        <is>
          <t>MS-C23</t>
        </is>
      </c>
      <c r="L1501" s="9" t="n">
        <v>46323</v>
      </c>
      <c r="M1501" s="8" t="inlineStr">
        <is>
          <t>Approved</t>
        </is>
      </c>
      <c r="N1501" s="8" t="inlineStr">
        <is>
          <t>faq</t>
        </is>
      </c>
    </row>
    <row r="1502" ht="40" customHeight="1">
      <c r="A1502" s="4" t="inlineStr">
        <is>
          <t>C23-P0021</t>
        </is>
      </c>
      <c r="B1502" s="4" t="inlineStr">
        <is>
          <t>C23</t>
        </is>
      </c>
      <c r="C1502" s="4" t="inlineStr">
        <is>
          <t>Nari Adalat</t>
        </is>
      </c>
      <c r="D1502" s="4" t="inlineStr">
        <is>
          <t>FAQ</t>
        </is>
      </c>
      <c r="E1502" s="4" t="inlineStr"/>
      <c r="F1502" s="4" t="inlineStr">
        <is>
          <t>faqs.en.faqs[8]</t>
        </is>
      </c>
      <c r="G1502" s="4" t="inlineStr">
        <is>
          <t>C23@20261028-deb0d84d</t>
        </is>
      </c>
      <c r="H1502" s="4" t="n">
        <v>1</v>
      </c>
      <c r="I1502" s="4" t="n">
        <v>1</v>
      </c>
      <c r="J1502" s="4" t="inlineStr">
        <is>
          <t>What support is provided apart from dispute resolution?
The scheme provides counselling, awareness, and linkage to government services.</t>
        </is>
      </c>
      <c r="K1502" s="4" t="inlineStr">
        <is>
          <t>MS-C23</t>
        </is>
      </c>
      <c r="L1502" s="6" t="n">
        <v>46323</v>
      </c>
      <c r="M1502" s="4" t="inlineStr">
        <is>
          <t>Approved</t>
        </is>
      </c>
      <c r="N1502" s="4" t="inlineStr">
        <is>
          <t>faq</t>
        </is>
      </c>
    </row>
    <row r="1503" ht="40" customHeight="1">
      <c r="A1503" s="8" t="inlineStr">
        <is>
          <t>C23-P0022</t>
        </is>
      </c>
      <c r="B1503" s="8" t="inlineStr">
        <is>
          <t>C23</t>
        </is>
      </c>
      <c r="C1503" s="8" t="inlineStr">
        <is>
          <t>Nari Adalat</t>
        </is>
      </c>
      <c r="D1503" s="8" t="inlineStr">
        <is>
          <t>FAQ</t>
        </is>
      </c>
      <c r="E1503" s="8" t="inlineStr"/>
      <c r="F1503" s="8" t="inlineStr">
        <is>
          <t>faqs.en.faqs[9]</t>
        </is>
      </c>
      <c r="G1503" s="8" t="inlineStr">
        <is>
          <t>C23@20261028-deb0d84d</t>
        </is>
      </c>
      <c r="H1503" s="8" t="n">
        <v>1</v>
      </c>
      <c r="I1503" s="8" t="n">
        <v>1</v>
      </c>
      <c r="J1503" s="8" t="inlineStr">
        <is>
          <t>Can cases be referred to other authorities?
Yes, unresolved cases can be referred to police, legal services, or other institutions.</t>
        </is>
      </c>
      <c r="K1503" s="8" t="inlineStr">
        <is>
          <t>MS-C23</t>
        </is>
      </c>
      <c r="L1503" s="9" t="n">
        <v>46323</v>
      </c>
      <c r="M1503" s="8" t="inlineStr">
        <is>
          <t>Approved</t>
        </is>
      </c>
      <c r="N1503" s="8" t="inlineStr">
        <is>
          <t>faq</t>
        </is>
      </c>
    </row>
    <row r="1504" ht="40" customHeight="1">
      <c r="A1504" s="4" t="inlineStr">
        <is>
          <t>C23-P0023</t>
        </is>
      </c>
      <c r="B1504" s="4" t="inlineStr">
        <is>
          <t>C23</t>
        </is>
      </c>
      <c r="C1504" s="4" t="inlineStr">
        <is>
          <t>Nari Adalat</t>
        </is>
      </c>
      <c r="D1504" s="4" t="inlineStr">
        <is>
          <t>FAQ</t>
        </is>
      </c>
      <c r="E1504" s="4" t="inlineStr"/>
      <c r="F1504" s="4" t="inlineStr">
        <is>
          <t>faqs.en.faqs[10]</t>
        </is>
      </c>
      <c r="G1504" s="4" t="inlineStr">
        <is>
          <t>C23@20261028-deb0d84d</t>
        </is>
      </c>
      <c r="H1504" s="4" t="n">
        <v>1</v>
      </c>
      <c r="I1504" s="4" t="n">
        <v>1</v>
      </c>
      <c r="J1504" s="4" t="inlineStr">
        <is>
          <t>Can Nari Adalat help in awareness of schemes?
Yes, it actively spreads awareness about government schemes and women’s rights.</t>
        </is>
      </c>
      <c r="K1504" s="4" t="inlineStr">
        <is>
          <t>MS-C23</t>
        </is>
      </c>
      <c r="L1504" s="6" t="n">
        <v>46323</v>
      </c>
      <c r="M1504" s="4" t="inlineStr">
        <is>
          <t>Approved</t>
        </is>
      </c>
      <c r="N1504" s="4" t="inlineStr">
        <is>
          <t>faq</t>
        </is>
      </c>
    </row>
    <row r="1505" ht="40" customHeight="1">
      <c r="A1505" s="8" t="inlineStr">
        <is>
          <t>C23-P0024</t>
        </is>
      </c>
      <c r="B1505" s="8" t="inlineStr">
        <is>
          <t>C23</t>
        </is>
      </c>
      <c r="C1505" s="8" t="inlineStr">
        <is>
          <t>Nari Adalat</t>
        </is>
      </c>
      <c r="D1505" s="8" t="inlineStr">
        <is>
          <t>FAQ</t>
        </is>
      </c>
      <c r="E1505" s="8" t="inlineStr"/>
      <c r="F1505" s="8" t="inlineStr">
        <is>
          <t>faqs.en.faqs[11]</t>
        </is>
      </c>
      <c r="G1505" s="8" t="inlineStr">
        <is>
          <t>C23@20261028-deb0d84d</t>
        </is>
      </c>
      <c r="H1505" s="8" t="n">
        <v>1</v>
      </c>
      <c r="I1505" s="8" t="n">
        <v>1</v>
      </c>
      <c r="J1505" s="8" t="inlineStr">
        <is>
          <t>How are members of Nari Adalat selected?
Members are selected by the Gram Panchayat and confirmed by the Gram Sabha.</t>
        </is>
      </c>
      <c r="K1505" s="8" t="inlineStr">
        <is>
          <t>MS-C23</t>
        </is>
      </c>
      <c r="L1505" s="9" t="n">
        <v>46323</v>
      </c>
      <c r="M1505" s="8" t="inlineStr">
        <is>
          <t>Approved</t>
        </is>
      </c>
      <c r="N1505" s="8" t="inlineStr">
        <is>
          <t>faq</t>
        </is>
      </c>
    </row>
    <row r="1506" ht="82" customHeight="1">
      <c r="A1506" s="4" t="inlineStr">
        <is>
          <t>C24-P0001</t>
        </is>
      </c>
      <c r="B1506" s="4" t="inlineStr">
        <is>
          <t>C24</t>
        </is>
      </c>
      <c r="C1506" s="4" t="inlineStr">
        <is>
          <t>National Post Doctoral Fellowship</t>
        </is>
      </c>
      <c r="D1506" s="4" t="inlineStr">
        <is>
          <t>Details</t>
        </is>
      </c>
      <c r="E1506" s="4" t="inlineStr"/>
      <c r="F1506" s="4" t="inlineStr">
        <is>
          <t>en.schemeContent.detailedDescription[0].children[0]</t>
        </is>
      </c>
      <c r="G1506" s="4" t="inlineStr">
        <is>
          <t>C24@20261028-5c066ab4</t>
        </is>
      </c>
      <c r="H1506" s="4" t="n">
        <v>1</v>
      </c>
      <c r="I1506" s="4" t="n">
        <v>1</v>
      </c>
      <c r="J1506" s="4" t="inlineStr">
        <is>
          <t>The “National Post Doctoral Fellowship (N-PDF)” was launched by the Science and Engineering Research Board, Government of India to identify motivated young researchers and provide them support for doing research in frontier areas of science and engineering. The fellows will work under a mentor, and it is hoped that this training will provide them with a platform to develop as independent researchers.</t>
        </is>
      </c>
      <c r="K1506" s="4" t="inlineStr">
        <is>
          <t>MS-C24</t>
        </is>
      </c>
      <c r="L1506" s="6" t="n">
        <v>46323</v>
      </c>
      <c r="M1506" s="4" t="inlineStr">
        <is>
          <t>Approved</t>
        </is>
      </c>
      <c r="N1506" s="4" t="inlineStr">
        <is>
          <t>paragraph</t>
        </is>
      </c>
    </row>
    <row r="1507" ht="40" customHeight="1">
      <c r="A1507" s="8" t="inlineStr">
        <is>
          <t>C24-P0002</t>
        </is>
      </c>
      <c r="B1507" s="8" t="inlineStr">
        <is>
          <t>C24</t>
        </is>
      </c>
      <c r="C1507" s="8" t="inlineStr">
        <is>
          <t>National Post Doctoral Fellowship</t>
        </is>
      </c>
      <c r="D1507" s="8" t="inlineStr">
        <is>
          <t>Details</t>
        </is>
      </c>
      <c r="E1507" s="8" t="inlineStr"/>
      <c r="F1507" s="8" t="inlineStr">
        <is>
          <t>en.schemeContent.detailedDescription[0].children[1].children[0]</t>
        </is>
      </c>
      <c r="G1507" s="8" t="inlineStr">
        <is>
          <t>C24@20261028-5c066ab4</t>
        </is>
      </c>
      <c r="H1507" s="8" t="n">
        <v>1</v>
      </c>
      <c r="I1507" s="8" t="n">
        <v>1</v>
      </c>
      <c r="J1507" s="8" t="inlineStr">
        <is>
          <t>Duration of fellowship:</t>
        </is>
      </c>
      <c r="K1507" s="8" t="inlineStr">
        <is>
          <t>MS-C24</t>
        </is>
      </c>
      <c r="L1507" s="9" t="n">
        <v>46323</v>
      </c>
      <c r="M1507" s="8" t="inlineStr">
        <is>
          <t>Approved</t>
        </is>
      </c>
      <c r="N1507" s="8" t="inlineStr">
        <is>
          <t>text</t>
        </is>
      </c>
    </row>
    <row r="1508" ht="40" customHeight="1">
      <c r="A1508" s="4" t="inlineStr">
        <is>
          <t>C24-P0003</t>
        </is>
      </c>
      <c r="B1508" s="4" t="inlineStr">
        <is>
          <t>C24</t>
        </is>
      </c>
      <c r="C1508" s="4" t="inlineStr">
        <is>
          <t>National Post Doctoral Fellowship</t>
        </is>
      </c>
      <c r="D1508" s="4" t="inlineStr">
        <is>
          <t>Details</t>
        </is>
      </c>
      <c r="E1508" s="4" t="inlineStr"/>
      <c r="F1508" s="4" t="inlineStr">
        <is>
          <t>en.schemeContent.detailedDescription[0].children[2].children[0]</t>
        </is>
      </c>
      <c r="G1508" s="4" t="inlineStr">
        <is>
          <t>C24@20261028-5c066ab4</t>
        </is>
      </c>
      <c r="H1508" s="4" t="n">
        <v>1</v>
      </c>
      <c r="I1508" s="4" t="n">
        <v>1</v>
      </c>
      <c r="J1508" s="4" t="inlineStr">
        <is>
          <t>The fellowship is purely a temporary assignment and is tenable for a period of 2 years.</t>
        </is>
      </c>
      <c r="K1508" s="4" t="inlineStr">
        <is>
          <t>MS-C24</t>
        </is>
      </c>
      <c r="L1508" s="6" t="n">
        <v>46323</v>
      </c>
      <c r="M1508" s="4" t="inlineStr">
        <is>
          <t>Approved</t>
        </is>
      </c>
      <c r="N1508" s="4" t="inlineStr">
        <is>
          <t>list_item</t>
        </is>
      </c>
    </row>
    <row r="1509" ht="40" customHeight="1">
      <c r="A1509" s="8" t="inlineStr">
        <is>
          <t>C24-P0004</t>
        </is>
      </c>
      <c r="B1509" s="8" t="inlineStr">
        <is>
          <t>C24</t>
        </is>
      </c>
      <c r="C1509" s="8" t="inlineStr">
        <is>
          <t>National Post Doctoral Fellowship</t>
        </is>
      </c>
      <c r="D1509" s="8" t="inlineStr">
        <is>
          <t>Benefits</t>
        </is>
      </c>
      <c r="E1509" s="8" t="inlineStr">
        <is>
          <t>The fellows will be entitled to receive the grants as given below:</t>
        </is>
      </c>
      <c r="F1509" s="8" t="inlineStr">
        <is>
          <t>en.schemeContent.benefits[0]</t>
        </is>
      </c>
      <c r="G1509" s="8" t="inlineStr">
        <is>
          <t>C24@20261028-5c066ab4</t>
        </is>
      </c>
      <c r="H1509" s="8" t="n">
        <v>1</v>
      </c>
      <c r="I1509" s="8" t="n">
        <v>1</v>
      </c>
      <c r="J1509" s="8" t="inlineStr">
        <is>
          <t>The fellows will be entitled to receive the grants as given below:</t>
        </is>
      </c>
      <c r="K1509" s="8" t="inlineStr">
        <is>
          <t>MS-C24</t>
        </is>
      </c>
      <c r="L1509" s="9" t="n">
        <v>46323</v>
      </c>
      <c r="M1509" s="8" t="inlineStr">
        <is>
          <t>Approved</t>
        </is>
      </c>
      <c r="N1509" s="8" t="inlineStr">
        <is>
          <t>paragraph</t>
        </is>
      </c>
    </row>
    <row r="1510" ht="40" customHeight="1">
      <c r="A1510" s="4" t="inlineStr">
        <is>
          <t>C24-P0005</t>
        </is>
      </c>
      <c r="B1510" s="4" t="inlineStr">
        <is>
          <t>C24</t>
        </is>
      </c>
      <c r="C1510" s="4" t="inlineStr">
        <is>
          <t>National Post Doctoral Fellowship</t>
        </is>
      </c>
      <c r="D1510" s="4" t="inlineStr">
        <is>
          <t>Benefits</t>
        </is>
      </c>
      <c r="E1510" s="4" t="inlineStr">
        <is>
          <t>The fellows will be entitled to receive the grants as given below:</t>
        </is>
      </c>
      <c r="F1510" s="4" t="inlineStr">
        <is>
          <t>en.schemeContent.benefits[1].children[0].children[0].children[0]</t>
        </is>
      </c>
      <c r="G1510" s="4" t="inlineStr">
        <is>
          <t>C24@20261028-5c066ab4</t>
        </is>
      </c>
      <c r="H1510" s="4" t="n">
        <v>1</v>
      </c>
      <c r="I1510" s="4" t="n">
        <v>1</v>
      </c>
      <c r="J1510" s="4" t="inlineStr">
        <is>
          <t>Sl. No.</t>
        </is>
      </c>
      <c r="K1510" s="4" t="inlineStr">
        <is>
          <t>MS-C24</t>
        </is>
      </c>
      <c r="L1510" s="6" t="n">
        <v>46323</v>
      </c>
      <c r="M1510" s="4" t="inlineStr">
        <is>
          <t>Approved</t>
        </is>
      </c>
      <c r="N1510" s="4" t="inlineStr">
        <is>
          <t>text</t>
        </is>
      </c>
    </row>
    <row r="1511" ht="40" customHeight="1">
      <c r="A1511" s="8" t="inlineStr">
        <is>
          <t>C24-P0006</t>
        </is>
      </c>
      <c r="B1511" s="8" t="inlineStr">
        <is>
          <t>C24</t>
        </is>
      </c>
      <c r="C1511" s="8" t="inlineStr">
        <is>
          <t>National Post Doctoral Fellowship</t>
        </is>
      </c>
      <c r="D1511" s="8" t="inlineStr">
        <is>
          <t>Benefits</t>
        </is>
      </c>
      <c r="E1511" s="8" t="inlineStr">
        <is>
          <t>The fellows will be entitled to receive the grants as given below:</t>
        </is>
      </c>
      <c r="F1511" s="8" t="inlineStr">
        <is>
          <t>en.schemeContent.benefits[1].children[0].children[1].children[0]</t>
        </is>
      </c>
      <c r="G1511" s="8" t="inlineStr">
        <is>
          <t>C24@20261028-5c066ab4</t>
        </is>
      </c>
      <c r="H1511" s="8" t="n">
        <v>1</v>
      </c>
      <c r="I1511" s="8" t="n">
        <v>1</v>
      </c>
      <c r="J1511" s="8" t="inlineStr">
        <is>
          <t>Budget Head</t>
        </is>
      </c>
      <c r="K1511" s="8" t="inlineStr">
        <is>
          <t>MS-C24</t>
        </is>
      </c>
      <c r="L1511" s="9" t="n">
        <v>46323</v>
      </c>
      <c r="M1511" s="8" t="inlineStr">
        <is>
          <t>Approved</t>
        </is>
      </c>
      <c r="N1511" s="8" t="inlineStr">
        <is>
          <t>text</t>
        </is>
      </c>
    </row>
    <row r="1512" ht="40" customHeight="1">
      <c r="A1512" s="4" t="inlineStr">
        <is>
          <t>C24-P0007</t>
        </is>
      </c>
      <c r="B1512" s="4" t="inlineStr">
        <is>
          <t>C24</t>
        </is>
      </c>
      <c r="C1512" s="4" t="inlineStr">
        <is>
          <t>National Post Doctoral Fellowship</t>
        </is>
      </c>
      <c r="D1512" s="4" t="inlineStr">
        <is>
          <t>Benefits</t>
        </is>
      </c>
      <c r="E1512" s="4" t="inlineStr">
        <is>
          <t>The fellows will be entitled to receive the grants as given below:</t>
        </is>
      </c>
      <c r="F1512" s="4" t="inlineStr">
        <is>
          <t>en.schemeContent.benefits[1].children[0].children[2].children[0]</t>
        </is>
      </c>
      <c r="G1512" s="4" t="inlineStr">
        <is>
          <t>C24@20261028-5c066ab4</t>
        </is>
      </c>
      <c r="H1512" s="4" t="n">
        <v>1</v>
      </c>
      <c r="I1512" s="4" t="n">
        <v>1</v>
      </c>
      <c r="J1512" s="4" t="inlineStr">
        <is>
          <t>Amount</t>
        </is>
      </c>
      <c r="K1512" s="4" t="inlineStr">
        <is>
          <t>MS-C24</t>
        </is>
      </c>
      <c r="L1512" s="6" t="n">
        <v>46323</v>
      </c>
      <c r="M1512" s="4" t="inlineStr">
        <is>
          <t>Approved</t>
        </is>
      </c>
      <c r="N1512" s="4" t="inlineStr">
        <is>
          <t>text</t>
        </is>
      </c>
    </row>
    <row r="1513" ht="40" customHeight="1">
      <c r="A1513" s="8" t="inlineStr">
        <is>
          <t>C24-P0008</t>
        </is>
      </c>
      <c r="B1513" s="8" t="inlineStr">
        <is>
          <t>C24</t>
        </is>
      </c>
      <c r="C1513" s="8" t="inlineStr">
        <is>
          <t>National Post Doctoral Fellowship</t>
        </is>
      </c>
      <c r="D1513" s="8" t="inlineStr">
        <is>
          <t>Benefits</t>
        </is>
      </c>
      <c r="E1513" s="8" t="inlineStr">
        <is>
          <t>The fellows will be entitled to receive the grants as given below:</t>
        </is>
      </c>
      <c r="F1513" s="8" t="inlineStr">
        <is>
          <t>en.schemeContent.benefits[1].children[1].children[0].children[0]</t>
        </is>
      </c>
      <c r="G1513" s="8" t="inlineStr">
        <is>
          <t>C24@20261028-5c066ab4</t>
        </is>
      </c>
      <c r="H1513" s="8" t="n">
        <v>1</v>
      </c>
      <c r="I1513" s="8" t="n">
        <v>1</v>
      </c>
      <c r="J1513" s="8" t="inlineStr">
        <is>
          <t>1</t>
        </is>
      </c>
      <c r="K1513" s="8" t="inlineStr">
        <is>
          <t>MS-C24</t>
        </is>
      </c>
      <c r="L1513" s="9" t="n">
        <v>46323</v>
      </c>
      <c r="M1513" s="8" t="inlineStr">
        <is>
          <t>Approved</t>
        </is>
      </c>
      <c r="N1513" s="8" t="inlineStr">
        <is>
          <t>text</t>
        </is>
      </c>
    </row>
    <row r="1514" ht="40" customHeight="1">
      <c r="A1514" s="4" t="inlineStr">
        <is>
          <t>C24-P0009</t>
        </is>
      </c>
      <c r="B1514" s="4" t="inlineStr">
        <is>
          <t>C24</t>
        </is>
      </c>
      <c r="C1514" s="4" t="inlineStr">
        <is>
          <t>National Post Doctoral Fellowship</t>
        </is>
      </c>
      <c r="D1514" s="4" t="inlineStr">
        <is>
          <t>Benefits</t>
        </is>
      </c>
      <c r="E1514" s="4" t="inlineStr">
        <is>
          <t>The fellows will be entitled to receive the grants as given below:</t>
        </is>
      </c>
      <c r="F1514" s="4" t="inlineStr">
        <is>
          <t>en.schemeContent.benefits[1].children[1].children[1].children[0]</t>
        </is>
      </c>
      <c r="G1514" s="4" t="inlineStr">
        <is>
          <t>C24@20261028-5c066ab4</t>
        </is>
      </c>
      <c r="H1514" s="4" t="n">
        <v>1</v>
      </c>
      <c r="I1514" s="4" t="n">
        <v>1</v>
      </c>
      <c r="J1514" s="4" t="inlineStr">
        <is>
          <t>Fellowship</t>
        </is>
      </c>
      <c r="K1514" s="4" t="inlineStr">
        <is>
          <t>MS-C24</t>
        </is>
      </c>
      <c r="L1514" s="6" t="n">
        <v>46323</v>
      </c>
      <c r="M1514" s="4" t="inlineStr">
        <is>
          <t>Approved</t>
        </is>
      </c>
      <c r="N1514" s="4" t="inlineStr">
        <is>
          <t>text</t>
        </is>
      </c>
    </row>
    <row r="1515" ht="40" customHeight="1">
      <c r="A1515" s="8" t="inlineStr">
        <is>
          <t>C24-P0010</t>
        </is>
      </c>
      <c r="B1515" s="8" t="inlineStr">
        <is>
          <t>C24</t>
        </is>
      </c>
      <c r="C1515" s="8" t="inlineStr">
        <is>
          <t>National Post Doctoral Fellowship</t>
        </is>
      </c>
      <c r="D1515" s="8" t="inlineStr">
        <is>
          <t>Benefits</t>
        </is>
      </c>
      <c r="E1515" s="8" t="inlineStr">
        <is>
          <t>The fellows will be entitled to receive the grants as given below:</t>
        </is>
      </c>
      <c r="F1515" s="8" t="inlineStr">
        <is>
          <t>en.schemeContent.benefits[1].children[1].children[2].children[0]</t>
        </is>
      </c>
      <c r="G1515" s="8" t="inlineStr">
        <is>
          <t>C24@20261028-5c066ab4</t>
        </is>
      </c>
      <c r="H1515" s="8" t="n">
        <v>1</v>
      </c>
      <c r="I1515" s="8" t="n">
        <v>1</v>
      </c>
      <c r="J1515" s="8" t="inlineStr">
        <is>
          <t>₹55,000/- per month (consolidated) and ₹35,000/- per month for candidates who have submitted the thesis but degree not awarded</t>
        </is>
      </c>
      <c r="K1515" s="8" t="inlineStr">
        <is>
          <t>MS-C24</t>
        </is>
      </c>
      <c r="L1515" s="9" t="n">
        <v>46323</v>
      </c>
      <c r="M1515" s="8" t="inlineStr">
        <is>
          <t>Approved</t>
        </is>
      </c>
      <c r="N1515" s="8" t="inlineStr">
        <is>
          <t>text</t>
        </is>
      </c>
    </row>
    <row r="1516" ht="40" customHeight="1">
      <c r="A1516" s="4" t="inlineStr">
        <is>
          <t>C24-P0011</t>
        </is>
      </c>
      <c r="B1516" s="4" t="inlineStr">
        <is>
          <t>C24</t>
        </is>
      </c>
      <c r="C1516" s="4" t="inlineStr">
        <is>
          <t>National Post Doctoral Fellowship</t>
        </is>
      </c>
      <c r="D1516" s="4" t="inlineStr">
        <is>
          <t>Benefits</t>
        </is>
      </c>
      <c r="E1516" s="4" t="inlineStr">
        <is>
          <t>The fellows will be entitled to receive the grants as given below:</t>
        </is>
      </c>
      <c r="F1516" s="4" t="inlineStr">
        <is>
          <t>en.schemeContent.benefits[1].children[2].children[0].children[0]</t>
        </is>
      </c>
      <c r="G1516" s="4" t="inlineStr">
        <is>
          <t>C24@20261028-5c066ab4</t>
        </is>
      </c>
      <c r="H1516" s="4" t="n">
        <v>1</v>
      </c>
      <c r="I1516" s="4" t="n">
        <v>1</v>
      </c>
      <c r="J1516" s="4" t="inlineStr">
        <is>
          <t>2</t>
        </is>
      </c>
      <c r="K1516" s="4" t="inlineStr">
        <is>
          <t>MS-C24</t>
        </is>
      </c>
      <c r="L1516" s="6" t="n">
        <v>46323</v>
      </c>
      <c r="M1516" s="4" t="inlineStr">
        <is>
          <t>Approved</t>
        </is>
      </c>
      <c r="N1516" s="4" t="inlineStr">
        <is>
          <t>text</t>
        </is>
      </c>
    </row>
    <row r="1517" ht="40" customHeight="1">
      <c r="A1517" s="8" t="inlineStr">
        <is>
          <t>C24-P0012</t>
        </is>
      </c>
      <c r="B1517" s="8" t="inlineStr">
        <is>
          <t>C24</t>
        </is>
      </c>
      <c r="C1517" s="8" t="inlineStr">
        <is>
          <t>National Post Doctoral Fellowship</t>
        </is>
      </c>
      <c r="D1517" s="8" t="inlineStr">
        <is>
          <t>Benefits</t>
        </is>
      </c>
      <c r="E1517" s="8" t="inlineStr">
        <is>
          <t>The fellows will be entitled to receive the grants as given below:</t>
        </is>
      </c>
      <c r="F1517" s="8" t="inlineStr">
        <is>
          <t>en.schemeContent.benefits[1].children[2].children[1].children[0]</t>
        </is>
      </c>
      <c r="G1517" s="8" t="inlineStr">
        <is>
          <t>C24@20261028-5c066ab4</t>
        </is>
      </c>
      <c r="H1517" s="8" t="n">
        <v>1</v>
      </c>
      <c r="I1517" s="8" t="n">
        <v>1</v>
      </c>
      <c r="J1517" s="8" t="inlineStr">
        <is>
          <t>Research Grant</t>
        </is>
      </c>
      <c r="K1517" s="8" t="inlineStr">
        <is>
          <t>MS-C24</t>
        </is>
      </c>
      <c r="L1517" s="9" t="n">
        <v>46323</v>
      </c>
      <c r="M1517" s="8" t="inlineStr">
        <is>
          <t>Approved</t>
        </is>
      </c>
      <c r="N1517" s="8" t="inlineStr">
        <is>
          <t>text</t>
        </is>
      </c>
    </row>
    <row r="1518" ht="40" customHeight="1">
      <c r="A1518" s="4" t="inlineStr">
        <is>
          <t>C24-P0013</t>
        </is>
      </c>
      <c r="B1518" s="4" t="inlineStr">
        <is>
          <t>C24</t>
        </is>
      </c>
      <c r="C1518" s="4" t="inlineStr">
        <is>
          <t>National Post Doctoral Fellowship</t>
        </is>
      </c>
      <c r="D1518" s="4" t="inlineStr">
        <is>
          <t>Benefits</t>
        </is>
      </c>
      <c r="E1518" s="4" t="inlineStr">
        <is>
          <t>The fellows will be entitled to receive the grants as given below:</t>
        </is>
      </c>
      <c r="F1518" s="4" t="inlineStr">
        <is>
          <t>en.schemeContent.benefits[1].children[2].children[2].children[0]</t>
        </is>
      </c>
      <c r="G1518" s="4" t="inlineStr">
        <is>
          <t>C24@20261028-5c066ab4</t>
        </is>
      </c>
      <c r="H1518" s="4" t="n">
        <v>1</v>
      </c>
      <c r="I1518" s="4" t="n">
        <v>1</v>
      </c>
      <c r="J1518" s="4" t="inlineStr">
        <is>
          <t>₹2,00,000/- per annum</t>
        </is>
      </c>
      <c r="K1518" s="4" t="inlineStr">
        <is>
          <t>MS-C24</t>
        </is>
      </c>
      <c r="L1518" s="6" t="n">
        <v>46323</v>
      </c>
      <c r="M1518" s="4" t="inlineStr">
        <is>
          <t>Approved</t>
        </is>
      </c>
      <c r="N1518" s="4" t="inlineStr">
        <is>
          <t>text</t>
        </is>
      </c>
    </row>
    <row r="1519" ht="40" customHeight="1">
      <c r="A1519" s="8" t="inlineStr">
        <is>
          <t>C24-P0014</t>
        </is>
      </c>
      <c r="B1519" s="8" t="inlineStr">
        <is>
          <t>C24</t>
        </is>
      </c>
      <c r="C1519" s="8" t="inlineStr">
        <is>
          <t>National Post Doctoral Fellowship</t>
        </is>
      </c>
      <c r="D1519" s="8" t="inlineStr">
        <is>
          <t>Benefits</t>
        </is>
      </c>
      <c r="E1519" s="8" t="inlineStr">
        <is>
          <t>The fellows will be entitled to receive the grants as given below:</t>
        </is>
      </c>
      <c r="F1519" s="8" t="inlineStr">
        <is>
          <t>en.schemeContent.benefits[1].children[3].children[0].children[0]</t>
        </is>
      </c>
      <c r="G1519" s="8" t="inlineStr">
        <is>
          <t>C24@20261028-5c066ab4</t>
        </is>
      </c>
      <c r="H1519" s="8" t="n">
        <v>1</v>
      </c>
      <c r="I1519" s="8" t="n">
        <v>1</v>
      </c>
      <c r="J1519" s="8" t="inlineStr">
        <is>
          <t>3</t>
        </is>
      </c>
      <c r="K1519" s="8" t="inlineStr">
        <is>
          <t>MS-C24</t>
        </is>
      </c>
      <c r="L1519" s="9" t="n">
        <v>46323</v>
      </c>
      <c r="M1519" s="8" t="inlineStr">
        <is>
          <t>Approved</t>
        </is>
      </c>
      <c r="N1519" s="8" t="inlineStr">
        <is>
          <t>text</t>
        </is>
      </c>
    </row>
    <row r="1520" ht="40" customHeight="1">
      <c r="A1520" s="4" t="inlineStr">
        <is>
          <t>C24-P0015</t>
        </is>
      </c>
      <c r="B1520" s="4" t="inlineStr">
        <is>
          <t>C24</t>
        </is>
      </c>
      <c r="C1520" s="4" t="inlineStr">
        <is>
          <t>National Post Doctoral Fellowship</t>
        </is>
      </c>
      <c r="D1520" s="4" t="inlineStr">
        <is>
          <t>Benefits</t>
        </is>
      </c>
      <c r="E1520" s="4" t="inlineStr">
        <is>
          <t>The fellows will be entitled to receive the grants as given below:</t>
        </is>
      </c>
      <c r="F1520" s="4" t="inlineStr">
        <is>
          <t>en.schemeContent.benefits[1].children[3].children[1].children[0]</t>
        </is>
      </c>
      <c r="G1520" s="4" t="inlineStr">
        <is>
          <t>C24@20261028-5c066ab4</t>
        </is>
      </c>
      <c r="H1520" s="4" t="n">
        <v>1</v>
      </c>
      <c r="I1520" s="4" t="n">
        <v>1</v>
      </c>
      <c r="J1520" s="4" t="inlineStr">
        <is>
          <t>Overheads</t>
        </is>
      </c>
      <c r="K1520" s="4" t="inlineStr">
        <is>
          <t>MS-C24</t>
        </is>
      </c>
      <c r="L1520" s="6" t="n">
        <v>46323</v>
      </c>
      <c r="M1520" s="4" t="inlineStr">
        <is>
          <t>Approved</t>
        </is>
      </c>
      <c r="N1520" s="4" t="inlineStr">
        <is>
          <t>text</t>
        </is>
      </c>
    </row>
    <row r="1521" ht="40" customHeight="1">
      <c r="A1521" s="8" t="inlineStr">
        <is>
          <t>C24-P0016</t>
        </is>
      </c>
      <c r="B1521" s="8" t="inlineStr">
        <is>
          <t>C24</t>
        </is>
      </c>
      <c r="C1521" s="8" t="inlineStr">
        <is>
          <t>National Post Doctoral Fellowship</t>
        </is>
      </c>
      <c r="D1521" s="8" t="inlineStr">
        <is>
          <t>Benefits</t>
        </is>
      </c>
      <c r="E1521" s="8" t="inlineStr">
        <is>
          <t>The fellows will be entitled to receive the grants as given below:</t>
        </is>
      </c>
      <c r="F1521" s="8" t="inlineStr">
        <is>
          <t>en.schemeContent.benefits[1].children[3].children[2].children[0]</t>
        </is>
      </c>
      <c r="G1521" s="8" t="inlineStr">
        <is>
          <t>C24@20261028-5c066ab4</t>
        </is>
      </c>
      <c r="H1521" s="8" t="n">
        <v>1</v>
      </c>
      <c r="I1521" s="8" t="n">
        <v>1</v>
      </c>
      <c r="J1521" s="8" t="inlineStr">
        <is>
          <t>₹1,00,000/- per annum</t>
        </is>
      </c>
      <c r="K1521" s="8" t="inlineStr">
        <is>
          <t>MS-C24</t>
        </is>
      </c>
      <c r="L1521" s="9" t="n">
        <v>46323</v>
      </c>
      <c r="M1521" s="8" t="inlineStr">
        <is>
          <t>Approved</t>
        </is>
      </c>
      <c r="N1521" s="8" t="inlineStr">
        <is>
          <t>text</t>
        </is>
      </c>
    </row>
    <row r="1522" ht="68" customHeight="1">
      <c r="A1522" s="4" t="inlineStr">
        <is>
          <t>C24-P0017</t>
        </is>
      </c>
      <c r="B1522" s="4" t="inlineStr">
        <is>
          <t>C24</t>
        </is>
      </c>
      <c r="C1522" s="4" t="inlineStr">
        <is>
          <t>National Post Doctoral Fellowship</t>
        </is>
      </c>
      <c r="D1522" s="4" t="inlineStr">
        <is>
          <t>Benefits</t>
        </is>
      </c>
      <c r="E1522" s="4" t="inlineStr">
        <is>
          <t>The fellows will be entitled to receive the grants as given below:</t>
        </is>
      </c>
      <c r="F1522" s="4" t="inlineStr">
        <is>
          <t>en.schemeContent.benefits[2].children[0]</t>
        </is>
      </c>
      <c r="G1522" s="4" t="inlineStr">
        <is>
          <t>C24@20261028-5c066ab4</t>
        </is>
      </c>
      <c r="H1522" s="4" t="n">
        <v>1</v>
      </c>
      <c r="I1522" s="4" t="n">
        <v>1</v>
      </c>
      <c r="J1522" s="4" t="inlineStr">
        <is>
          <t>Note 01: Research grants can be used for minor equipment, consumables, contingencies, and domestic travel. There is no provision for providing research personnel support under this scheme. The Fellow is expected to undertake the research objectives by himself/herself during the entire duration of the fellowship.</t>
        </is>
      </c>
      <c r="K1522" s="4" t="inlineStr">
        <is>
          <t>MS-C24</t>
        </is>
      </c>
      <c r="L1522" s="6" t="n">
        <v>46323</v>
      </c>
      <c r="M1522" s="4" t="inlineStr">
        <is>
          <t>Approved</t>
        </is>
      </c>
      <c r="N1522" s="4" t="inlineStr">
        <is>
          <t>paragraph</t>
        </is>
      </c>
    </row>
    <row r="1523" ht="40" customHeight="1">
      <c r="A1523" s="8" t="inlineStr">
        <is>
          <t>C24-P0018</t>
        </is>
      </c>
      <c r="B1523" s="8" t="inlineStr">
        <is>
          <t>C24</t>
        </is>
      </c>
      <c r="C1523" s="8" t="inlineStr">
        <is>
          <t>National Post Doctoral Fellowship</t>
        </is>
      </c>
      <c r="D1523" s="8" t="inlineStr">
        <is>
          <t>Benefits</t>
        </is>
      </c>
      <c r="E1523" s="8" t="inlineStr">
        <is>
          <t>The fellows will be entitled to receive the grants as given below:</t>
        </is>
      </c>
      <c r="F1523" s="8" t="inlineStr">
        <is>
          <t>en.schemeContent.benefits[2].children[1]</t>
        </is>
      </c>
      <c r="G1523" s="8" t="inlineStr">
        <is>
          <t>C24@20261028-5c066ab4</t>
        </is>
      </c>
      <c r="H1523" s="8" t="n">
        <v>1</v>
      </c>
      <c r="I1523" s="8" t="n">
        <v>1</v>
      </c>
      <c r="J1523" s="8" t="inlineStr">
        <is>
          <t>Note 02: The fellows are not eligible to receive any other fellowship from any Government or Non-Governmental source during the tenure of the fellowship.</t>
        </is>
      </c>
      <c r="K1523" s="8" t="inlineStr">
        <is>
          <t>MS-C24</t>
        </is>
      </c>
      <c r="L1523" s="9" t="n">
        <v>46323</v>
      </c>
      <c r="M1523" s="8" t="inlineStr">
        <is>
          <t>Approved</t>
        </is>
      </c>
      <c r="N1523" s="8" t="inlineStr">
        <is>
          <t>paragraph</t>
        </is>
      </c>
    </row>
    <row r="1524" ht="54" customHeight="1">
      <c r="A1524" s="4" t="inlineStr">
        <is>
          <t>C24-P0019</t>
        </is>
      </c>
      <c r="B1524" s="4" t="inlineStr">
        <is>
          <t>C24</t>
        </is>
      </c>
      <c r="C1524" s="4" t="inlineStr">
        <is>
          <t>National Post Doctoral Fellowship</t>
        </is>
      </c>
      <c r="D1524" s="4" t="inlineStr">
        <is>
          <t>Benefits</t>
        </is>
      </c>
      <c r="E1524" s="4" t="inlineStr">
        <is>
          <t>The fellows will be entitled to receive the grants as given below:</t>
        </is>
      </c>
      <c r="F1524" s="4" t="inlineStr">
        <is>
          <t>en.schemeContent.benefits[2].children[2]</t>
        </is>
      </c>
      <c r="G1524" s="4" t="inlineStr">
        <is>
          <t>C24@20261028-5c066ab4</t>
        </is>
      </c>
      <c r="H1524" s="4" t="n">
        <v>1</v>
      </c>
      <c r="I1524" s="4" t="n">
        <v>1</v>
      </c>
      <c r="J1524" s="4" t="inlineStr">
        <is>
          <t>Note 03: The fellows must seek the consent of SERB if he/she intends to be away from the implementing institute (except for field work related to the project) continuously for a period of more than eight weeks.</t>
        </is>
      </c>
      <c r="K1524" s="4" t="inlineStr">
        <is>
          <t>MS-C24</t>
        </is>
      </c>
      <c r="L1524" s="6" t="n">
        <v>46323</v>
      </c>
      <c r="M1524" s="4" t="inlineStr">
        <is>
          <t>Approved</t>
        </is>
      </c>
      <c r="N1524" s="4" t="inlineStr">
        <is>
          <t>paragraph</t>
        </is>
      </c>
    </row>
    <row r="1525" ht="40" customHeight="1">
      <c r="A1525" s="8" t="inlineStr">
        <is>
          <t>C24-P0020</t>
        </is>
      </c>
      <c r="B1525" s="8" t="inlineStr">
        <is>
          <t>C24</t>
        </is>
      </c>
      <c r="C1525" s="8" t="inlineStr">
        <is>
          <t>National Post Doctoral Fellowship</t>
        </is>
      </c>
      <c r="D1525" s="8" t="inlineStr">
        <is>
          <t>Benefits</t>
        </is>
      </c>
      <c r="E1525" s="8" t="inlineStr">
        <is>
          <t>The fellows will be entitled to receive the grants as given below:</t>
        </is>
      </c>
      <c r="F1525" s="8" t="inlineStr">
        <is>
          <t>en.schemeContent.benefits[2].children[3].children[0]</t>
        </is>
      </c>
      <c r="G1525" s="8" t="inlineStr">
        <is>
          <t>C24@20261028-5c066ab4</t>
        </is>
      </c>
      <c r="H1525" s="8" t="n">
        <v>1</v>
      </c>
      <c r="I1525" s="8" t="n">
        <v>1</v>
      </c>
      <c r="J1525" s="8" t="inlineStr">
        <is>
          <t>Leave:</t>
        </is>
      </c>
      <c r="K1525" s="8" t="inlineStr">
        <is>
          <t>MS-C24</t>
        </is>
      </c>
      <c r="L1525" s="9" t="n">
        <v>46323</v>
      </c>
      <c r="M1525" s="8" t="inlineStr">
        <is>
          <t>Approved</t>
        </is>
      </c>
      <c r="N1525" s="8" t="inlineStr">
        <is>
          <t>text</t>
        </is>
      </c>
    </row>
    <row r="1526" ht="68" customHeight="1">
      <c r="A1526" s="4" t="inlineStr">
        <is>
          <t>C24-P0021</t>
        </is>
      </c>
      <c r="B1526" s="4" t="inlineStr">
        <is>
          <t>C24</t>
        </is>
      </c>
      <c r="C1526" s="4" t="inlineStr">
        <is>
          <t>National Post Doctoral Fellowship</t>
        </is>
      </c>
      <c r="D1526" s="4" t="inlineStr">
        <is>
          <t>Benefits</t>
        </is>
      </c>
      <c r="E1526" s="4" t="inlineStr">
        <is>
          <t>The fellows will be entitled to receive the grants as given below:</t>
        </is>
      </c>
      <c r="F1526" s="4" t="inlineStr">
        <is>
          <t>en.schemeContent.benefits[2].children[4]</t>
        </is>
      </c>
      <c r="G1526" s="4" t="inlineStr">
        <is>
          <t>C24@20261028-5c066ab4</t>
        </is>
      </c>
      <c r="H1526" s="4" t="n">
        <v>1</v>
      </c>
      <c r="I1526" s="4" t="n">
        <v>1</v>
      </c>
      <c r="J1526" s="4" t="inlineStr">
        <is>
          <t>SERB PDFs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is>
      </c>
      <c r="K1526" s="4" t="inlineStr">
        <is>
          <t>MS-C24</t>
        </is>
      </c>
      <c r="L1526" s="6" t="n">
        <v>46323</v>
      </c>
      <c r="M1526" s="4" t="inlineStr">
        <is>
          <t>Approved</t>
        </is>
      </c>
      <c r="N1526" s="4" t="inlineStr">
        <is>
          <t>paragraph</t>
        </is>
      </c>
    </row>
    <row r="1527" ht="40" customHeight="1">
      <c r="A1527" s="8" t="inlineStr">
        <is>
          <t>C24-P0022</t>
        </is>
      </c>
      <c r="B1527" s="8" t="inlineStr">
        <is>
          <t>C24</t>
        </is>
      </c>
      <c r="C1527" s="8" t="inlineStr">
        <is>
          <t>National Post Doctoral Fellowship</t>
        </is>
      </c>
      <c r="D1527" s="8" t="inlineStr">
        <is>
          <t>Eligibility</t>
        </is>
      </c>
      <c r="E1527" s="8" t="inlineStr"/>
      <c r="F1527" s="8" t="inlineStr">
        <is>
          <t>en.eligibilityCriteria.eligibilityDescription[0].children[0].children[0]</t>
        </is>
      </c>
      <c r="G1527" s="8" t="inlineStr">
        <is>
          <t>C24@20261028-5c066ab4</t>
        </is>
      </c>
      <c r="H1527" s="8" t="n">
        <v>1</v>
      </c>
      <c r="I1527" s="8" t="n">
        <v>1</v>
      </c>
      <c r="J1527" s="8" t="inlineStr">
        <is>
          <t>The applicant should be an Indian citizen.</t>
        </is>
      </c>
      <c r="K1527" s="8" t="inlineStr">
        <is>
          <t>MS-C24</t>
        </is>
      </c>
      <c r="L1527" s="9" t="n">
        <v>46323</v>
      </c>
      <c r="M1527" s="8" t="inlineStr">
        <is>
          <t>Approved</t>
        </is>
      </c>
      <c r="N1527" s="8" t="inlineStr">
        <is>
          <t>list_item</t>
        </is>
      </c>
    </row>
    <row r="1528" ht="68" customHeight="1">
      <c r="A1528" s="4" t="inlineStr">
        <is>
          <t>C24-P0023</t>
        </is>
      </c>
      <c r="B1528" s="4" t="inlineStr">
        <is>
          <t>C24</t>
        </is>
      </c>
      <c r="C1528" s="4" t="inlineStr">
        <is>
          <t>National Post Doctoral Fellowship</t>
        </is>
      </c>
      <c r="D1528" s="4" t="inlineStr">
        <is>
          <t>Eligibility</t>
        </is>
      </c>
      <c r="E1528" s="4" t="inlineStr"/>
      <c r="F1528" s="4" t="inlineStr">
        <is>
          <t>en.eligibilityCriteria.eligibilityDescription[0].children[0].children[1]</t>
        </is>
      </c>
      <c r="G1528" s="4" t="inlineStr">
        <is>
          <t>C24@20261028-5c066ab4</t>
        </is>
      </c>
      <c r="H1528" s="4" t="n">
        <v>1</v>
      </c>
      <c r="I1528" s="4" t="n">
        <v>1</v>
      </c>
      <c r="J1528" s="4" t="inlineStr">
        <is>
          <t>The applicant must have obtained PhD/M.D/M.S degree from a recognized University. Those who have submitted their PhD/M.D/M.S. thesis and are awaiting the award of the degree are also eligible to apply. However, such candidates, if selected, will be offered a lower fellowship amount till they qualify for the eligible degree.</t>
        </is>
      </c>
      <c r="K1528" s="4" t="inlineStr">
        <is>
          <t>MS-C24</t>
        </is>
      </c>
      <c r="L1528" s="6" t="n">
        <v>46323</v>
      </c>
      <c r="M1528" s="4" t="inlineStr">
        <is>
          <t>Approved</t>
        </is>
      </c>
      <c r="N1528" s="4" t="inlineStr">
        <is>
          <t>list_item</t>
        </is>
      </c>
    </row>
    <row r="1529" ht="68" customHeight="1">
      <c r="A1529" s="8" t="inlineStr">
        <is>
          <t>C24-P0024</t>
        </is>
      </c>
      <c r="B1529" s="8" t="inlineStr">
        <is>
          <t>C24</t>
        </is>
      </c>
      <c r="C1529" s="8" t="inlineStr">
        <is>
          <t>National Post Doctoral Fellowship</t>
        </is>
      </c>
      <c r="D1529" s="8" t="inlineStr">
        <is>
          <t>Eligibility</t>
        </is>
      </c>
      <c r="E1529" s="8" t="inlineStr"/>
      <c r="F1529" s="8" t="inlineStr">
        <is>
          <t>en.eligibilityCriteria.eligibilityDescription[0].children[0].children[2]</t>
        </is>
      </c>
      <c r="G1529" s="8" t="inlineStr">
        <is>
          <t>C24@20261028-5c066ab4</t>
        </is>
      </c>
      <c r="H1529" s="8" t="n">
        <v>1</v>
      </c>
      <c r="I1529" s="8" t="n">
        <v>1</v>
      </c>
      <c r="J1529" s="8" t="inlineStr">
        <is>
          <t>The upper age limit for the fellowship is 35 years at the time of the submission of the application, age will be calculated by taking the date of closure of the respective call. Age relaxation of 5 (five) years will be given to candidates belonging to SC/ST/OBC/Physically Challenged &amp; Women candidates.</t>
        </is>
      </c>
      <c r="K1529" s="8" t="inlineStr">
        <is>
          <t>MS-C24</t>
        </is>
      </c>
      <c r="L1529" s="9" t="n">
        <v>46323</v>
      </c>
      <c r="M1529" s="8" t="inlineStr">
        <is>
          <t>Approved</t>
        </is>
      </c>
      <c r="N1529" s="8" t="inlineStr">
        <is>
          <t>list_item</t>
        </is>
      </c>
    </row>
    <row r="1530" ht="40" customHeight="1">
      <c r="A1530" s="4" t="inlineStr">
        <is>
          <t>C24-P0025</t>
        </is>
      </c>
      <c r="B1530" s="4" t="inlineStr">
        <is>
          <t>C24</t>
        </is>
      </c>
      <c r="C1530" s="4" t="inlineStr">
        <is>
          <t>National Post Doctoral Fellowship</t>
        </is>
      </c>
      <c r="D1530" s="4" t="inlineStr">
        <is>
          <t>Eligibility</t>
        </is>
      </c>
      <c r="E1530" s="4" t="inlineStr"/>
      <c r="F1530" s="4" t="inlineStr">
        <is>
          <t>en.eligibilityCriteria.eligibilityDescription[0].children[0].children[3]</t>
        </is>
      </c>
      <c r="G1530" s="4" t="inlineStr">
        <is>
          <t>C24@20261028-5c066ab4</t>
        </is>
      </c>
      <c r="H1530" s="4" t="n">
        <v>1</v>
      </c>
      <c r="I1530" s="4" t="n">
        <v>1</v>
      </c>
      <c r="J1530" s="4" t="inlineStr">
        <is>
          <t>NPDF can be availed only once by a candidate in his/her career.</t>
        </is>
      </c>
      <c r="K1530" s="4" t="inlineStr">
        <is>
          <t>MS-C24</t>
        </is>
      </c>
      <c r="L1530" s="6" t="n">
        <v>46323</v>
      </c>
      <c r="M1530" s="4" t="inlineStr">
        <is>
          <t>Approved</t>
        </is>
      </c>
      <c r="N1530" s="4" t="inlineStr">
        <is>
          <t>list_item</t>
        </is>
      </c>
    </row>
    <row r="1531" ht="40" customHeight="1">
      <c r="A1531" s="8" t="inlineStr">
        <is>
          <t>C24-P0026</t>
        </is>
      </c>
      <c r="B1531" s="8" t="inlineStr">
        <is>
          <t>C24</t>
        </is>
      </c>
      <c r="C1531" s="8" t="inlineStr">
        <is>
          <t>National Post Doctoral Fellowship</t>
        </is>
      </c>
      <c r="D1531" s="8" t="inlineStr">
        <is>
          <t>Eligibility</t>
        </is>
      </c>
      <c r="E1531" s="8" t="inlineStr"/>
      <c r="F1531" s="8" t="inlineStr">
        <is>
          <t>en.eligibilityCriteria.eligibilityDescription[0].children[0].children[4]</t>
        </is>
      </c>
      <c r="G1531" s="8" t="inlineStr">
        <is>
          <t>C24@20261028-5c066ab4</t>
        </is>
      </c>
      <c r="H1531" s="8" t="n">
        <v>1</v>
      </c>
      <c r="I1531" s="8" t="n">
        <v>1</v>
      </c>
      <c r="J1531" s="8" t="inlineStr">
        <is>
          <t>The mentor must hold a regular academic/research position in a recognized institution in India. Should hold a Ph.D. degree in Science or Engineering.</t>
        </is>
      </c>
      <c r="K1531" s="8" t="inlineStr">
        <is>
          <t>MS-C24</t>
        </is>
      </c>
      <c r="L1531" s="9" t="n">
        <v>46323</v>
      </c>
      <c r="M1531" s="8" t="inlineStr">
        <is>
          <t>Approved</t>
        </is>
      </c>
      <c r="N1531" s="8" t="inlineStr">
        <is>
          <t>list_item</t>
        </is>
      </c>
    </row>
    <row r="1532" ht="40" customHeight="1">
      <c r="A1532" s="4" t="inlineStr">
        <is>
          <t>C24-P0027</t>
        </is>
      </c>
      <c r="B1532" s="4" t="inlineStr">
        <is>
          <t>C24</t>
        </is>
      </c>
      <c r="C1532" s="4" t="inlineStr">
        <is>
          <t>National Post Doctoral Fellowship</t>
        </is>
      </c>
      <c r="D1532" s="4" t="inlineStr">
        <is>
          <t>Eligibility</t>
        </is>
      </c>
      <c r="E1532" s="4" t="inlineStr"/>
      <c r="F1532" s="4" t="inlineStr">
        <is>
          <t>en.eligibilityCriteria.eligibilityDescription[0].children[0].children[5]</t>
        </is>
      </c>
      <c r="G1532" s="4" t="inlineStr">
        <is>
          <t>C24@20261028-5c066ab4</t>
        </is>
      </c>
      <c r="H1532" s="4" t="n">
        <v>1</v>
      </c>
      <c r="I1532" s="4" t="n">
        <v>1</v>
      </c>
      <c r="J1532" s="4" t="inlineStr">
        <is>
          <t>A mentor shall not have more than two SERB NPDF fellows at any given time.</t>
        </is>
      </c>
      <c r="K1532" s="4" t="inlineStr">
        <is>
          <t>MS-C24</t>
        </is>
      </c>
      <c r="L1532" s="6" t="n">
        <v>46323</v>
      </c>
      <c r="M1532" s="4" t="inlineStr">
        <is>
          <t>Approved</t>
        </is>
      </c>
      <c r="N1532" s="4" t="inlineStr">
        <is>
          <t>list_item</t>
        </is>
      </c>
    </row>
    <row r="1533" ht="54" customHeight="1">
      <c r="A1533" s="8" t="inlineStr">
        <is>
          <t>C24-P0028</t>
        </is>
      </c>
      <c r="B1533" s="8" t="inlineStr">
        <is>
          <t>C24</t>
        </is>
      </c>
      <c r="C1533" s="8" t="inlineStr">
        <is>
          <t>National Post Doctoral Fellowship</t>
        </is>
      </c>
      <c r="D1533" s="8" t="inlineStr">
        <is>
          <t>Eligibility</t>
        </is>
      </c>
      <c r="E1533" s="8" t="inlineStr"/>
      <c r="F1533" s="8" t="inlineStr">
        <is>
          <t>en.eligibilityCriteria.eligibilityDescription[0].children[1]</t>
        </is>
      </c>
      <c r="G1533" s="8" t="inlineStr">
        <is>
          <t>C24@20261028-5c066ab4</t>
        </is>
      </c>
      <c r="H1533" s="8" t="n">
        <v>1</v>
      </c>
      <c r="I1533" s="8" t="n">
        <v>1</v>
      </c>
      <c r="J1533" s="8" t="inlineStr">
        <is>
          <t>Note 01: The fellowship is tenable only in India and can be implemented in any of the recognized academic institutions, national laboratories, and other recognized R&amp;D institutions. The host institution should provide the necessary administrative and infrastructural support.</t>
        </is>
      </c>
      <c r="K1533" s="8" t="inlineStr">
        <is>
          <t>MS-C24</t>
        </is>
      </c>
      <c r="L1533" s="9" t="n">
        <v>46323</v>
      </c>
      <c r="M1533" s="8" t="inlineStr">
        <is>
          <t>Approved</t>
        </is>
      </c>
      <c r="N1533" s="8" t="inlineStr">
        <is>
          <t>paragraph</t>
        </is>
      </c>
    </row>
    <row r="1534" ht="54" customHeight="1">
      <c r="A1534" s="4" t="inlineStr">
        <is>
          <t>C24-P0029</t>
        </is>
      </c>
      <c r="B1534" s="4" t="inlineStr">
        <is>
          <t>C24</t>
        </is>
      </c>
      <c r="C1534" s="4" t="inlineStr">
        <is>
          <t>National Post Doctoral Fellowship</t>
        </is>
      </c>
      <c r="D1534" s="4" t="inlineStr">
        <is>
          <t>Eligibility</t>
        </is>
      </c>
      <c r="E1534" s="4" t="inlineStr"/>
      <c r="F1534" s="4" t="inlineStr">
        <is>
          <t>en.eligibilityCriteria.eligibilityDescription[0].children[2]</t>
        </is>
      </c>
      <c r="G1534" s="4" t="inlineStr">
        <is>
          <t>C24@20261028-5c066ab4</t>
        </is>
      </c>
      <c r="H1534" s="4" t="n">
        <v>1</v>
      </c>
      <c r="I1534" s="4" t="n">
        <v>1</v>
      </c>
      <c r="J1534" s="4" t="inlineStr">
        <is>
          <t>Note 02: The fellows will not be allowed to work with the Ph.D. guide/co-guide. It is also normally not availed at the same Department/institution where the candidates have earned their PhD/M.S./M.D degree.</t>
        </is>
      </c>
      <c r="K1534" s="4" t="inlineStr">
        <is>
          <t>MS-C24</t>
        </is>
      </c>
      <c r="L1534" s="6" t="n">
        <v>46323</v>
      </c>
      <c r="M1534" s="4" t="inlineStr">
        <is>
          <t>Approved</t>
        </is>
      </c>
      <c r="N1534" s="4" t="inlineStr">
        <is>
          <t>paragraph</t>
        </is>
      </c>
    </row>
    <row r="1535" ht="40" customHeight="1">
      <c r="A1535" s="8" t="inlineStr">
        <is>
          <t>C24-P0030</t>
        </is>
      </c>
      <c r="B1535" s="8" t="inlineStr">
        <is>
          <t>C24</t>
        </is>
      </c>
      <c r="C1535" s="8" t="inlineStr">
        <is>
          <t>National Post Doctoral Fellowship</t>
        </is>
      </c>
      <c r="D1535" s="8" t="inlineStr">
        <is>
          <t>Applicant documents</t>
        </is>
      </c>
      <c r="E1535" s="8" t="inlineStr"/>
      <c r="F1535" s="8" t="inlineStr">
        <is>
          <t>documents.en.documents_required[0].children[0]</t>
        </is>
      </c>
      <c r="G1535" s="8" t="inlineStr">
        <is>
          <t>C24@20261028-5c066ab4</t>
        </is>
      </c>
      <c r="H1535" s="8" t="n">
        <v>1</v>
      </c>
      <c r="I1535" s="8" t="n">
        <v>1</v>
      </c>
      <c r="J1535" s="8" t="inlineStr">
        <is>
          <t>Bio-data (under user profile section)</t>
        </is>
      </c>
      <c r="K1535" s="8" t="inlineStr">
        <is>
          <t>MS-C24</t>
        </is>
      </c>
      <c r="L1535" s="9" t="n">
        <v>46323</v>
      </c>
      <c r="M1535" s="8" t="inlineStr">
        <is>
          <t>Approved</t>
        </is>
      </c>
      <c r="N1535" s="8" t="inlineStr">
        <is>
          <t>list_item</t>
        </is>
      </c>
    </row>
    <row r="1536" ht="40" customHeight="1">
      <c r="A1536" s="4" t="inlineStr">
        <is>
          <t>C24-P0031</t>
        </is>
      </c>
      <c r="B1536" s="4" t="inlineStr">
        <is>
          <t>C24</t>
        </is>
      </c>
      <c r="C1536" s="4" t="inlineStr">
        <is>
          <t>National Post Doctoral Fellowship</t>
        </is>
      </c>
      <c r="D1536" s="4" t="inlineStr">
        <is>
          <t>Applicant documents</t>
        </is>
      </c>
      <c r="E1536" s="4" t="inlineStr"/>
      <c r="F1536" s="4" t="inlineStr">
        <is>
          <t>documents.en.documents_required[0].children[1]</t>
        </is>
      </c>
      <c r="G1536" s="4" t="inlineStr">
        <is>
          <t>C24@20261028-5c066ab4</t>
        </is>
      </c>
      <c r="H1536" s="4" t="n">
        <v>1</v>
      </c>
      <c r="I1536" s="4" t="n">
        <v>1</v>
      </c>
      <c r="J1536" s="4" t="inlineStr">
        <is>
          <t>Age Proof Certificate</t>
        </is>
      </c>
      <c r="K1536" s="4" t="inlineStr">
        <is>
          <t>MS-C24</t>
        </is>
      </c>
      <c r="L1536" s="6" t="n">
        <v>46323</v>
      </c>
      <c r="M1536" s="4" t="inlineStr">
        <is>
          <t>Approved</t>
        </is>
      </c>
      <c r="N1536" s="4" t="inlineStr">
        <is>
          <t>list_item</t>
        </is>
      </c>
    </row>
    <row r="1537" ht="40" customHeight="1">
      <c r="A1537" s="8" t="inlineStr">
        <is>
          <t>C24-P0032</t>
        </is>
      </c>
      <c r="B1537" s="8" t="inlineStr">
        <is>
          <t>C24</t>
        </is>
      </c>
      <c r="C1537" s="8" t="inlineStr">
        <is>
          <t>National Post Doctoral Fellowship</t>
        </is>
      </c>
      <c r="D1537" s="8" t="inlineStr">
        <is>
          <t>Applicant documents</t>
        </is>
      </c>
      <c r="E1537" s="8" t="inlineStr"/>
      <c r="F1537" s="8" t="inlineStr">
        <is>
          <t>documents.en.documents_required[0].children[2]</t>
        </is>
      </c>
      <c r="G1537" s="8" t="inlineStr">
        <is>
          <t>C24@20261028-5c066ab4</t>
        </is>
      </c>
      <c r="H1537" s="8" t="n">
        <v>1</v>
      </c>
      <c r="I1537" s="8" t="n">
        <v>1</v>
      </c>
      <c r="J1537" s="8" t="inlineStr">
        <is>
          <t>Qualification Certificate</t>
        </is>
      </c>
      <c r="K1537" s="8" t="inlineStr">
        <is>
          <t>MS-C24</t>
        </is>
      </c>
      <c r="L1537" s="9" t="n">
        <v>46323</v>
      </c>
      <c r="M1537" s="8" t="inlineStr">
        <is>
          <t>Approved</t>
        </is>
      </c>
      <c r="N1537" s="8" t="inlineStr">
        <is>
          <t>list_item</t>
        </is>
      </c>
    </row>
    <row r="1538" ht="40" customHeight="1">
      <c r="A1538" s="4" t="inlineStr">
        <is>
          <t>C24-P0033</t>
        </is>
      </c>
      <c r="B1538" s="4" t="inlineStr">
        <is>
          <t>C24</t>
        </is>
      </c>
      <c r="C1538" s="4" t="inlineStr">
        <is>
          <t>National Post Doctoral Fellowship</t>
        </is>
      </c>
      <c r="D1538" s="4" t="inlineStr">
        <is>
          <t>Applicant documents</t>
        </is>
      </c>
      <c r="E1538" s="4" t="inlineStr"/>
      <c r="F1538" s="4" t="inlineStr">
        <is>
          <t>documents.en.documents_required[0].children[3]</t>
        </is>
      </c>
      <c r="G1538" s="4" t="inlineStr">
        <is>
          <t>C24@20261028-5c066ab4</t>
        </is>
      </c>
      <c r="H1538" s="4" t="n">
        <v>1</v>
      </c>
      <c r="I1538" s="4" t="n">
        <v>1</v>
      </c>
      <c r="J1538" s="4" t="inlineStr">
        <is>
          <t>Category Certificate (in case of Age Relaxation)</t>
        </is>
      </c>
      <c r="K1538" s="4" t="inlineStr">
        <is>
          <t>MS-C24</t>
        </is>
      </c>
      <c r="L1538" s="6" t="n">
        <v>46323</v>
      </c>
      <c r="M1538" s="4" t="inlineStr">
        <is>
          <t>Approved</t>
        </is>
      </c>
      <c r="N1538" s="4" t="inlineStr">
        <is>
          <t>list_item</t>
        </is>
      </c>
    </row>
    <row r="1539" ht="40" customHeight="1">
      <c r="A1539" s="8" t="inlineStr">
        <is>
          <t>C24-P0034</t>
        </is>
      </c>
      <c r="B1539" s="8" t="inlineStr">
        <is>
          <t>C24</t>
        </is>
      </c>
      <c r="C1539" s="8" t="inlineStr">
        <is>
          <t>National Post Doctoral Fellowship</t>
        </is>
      </c>
      <c r="D1539" s="8" t="inlineStr">
        <is>
          <t>Applicant documents</t>
        </is>
      </c>
      <c r="E1539" s="8" t="inlineStr"/>
      <c r="F1539" s="8" t="inlineStr">
        <is>
          <t>documents.en.documents_required[0].children[4]</t>
        </is>
      </c>
      <c r="G1539" s="8" t="inlineStr">
        <is>
          <t>C24@20261028-5c066ab4</t>
        </is>
      </c>
      <c r="H1539" s="8" t="n">
        <v>1</v>
      </c>
      <c r="I1539" s="8" t="n">
        <v>1</v>
      </c>
      <c r="J1539" s="8" t="inlineStr">
        <is>
          <t>Undertaking Certificate by the applicant</t>
        </is>
      </c>
      <c r="K1539" s="8" t="inlineStr">
        <is>
          <t>MS-C24</t>
        </is>
      </c>
      <c r="L1539" s="9" t="n">
        <v>46323</v>
      </c>
      <c r="M1539" s="8" t="inlineStr">
        <is>
          <t>Approved</t>
        </is>
      </c>
      <c r="N1539" s="8" t="inlineStr">
        <is>
          <t>list_item</t>
        </is>
      </c>
    </row>
    <row r="1540" ht="40" customHeight="1">
      <c r="A1540" s="4" t="inlineStr">
        <is>
          <t>C24-P0035</t>
        </is>
      </c>
      <c r="B1540" s="4" t="inlineStr">
        <is>
          <t>C24</t>
        </is>
      </c>
      <c r="C1540" s="4" t="inlineStr">
        <is>
          <t>National Post Doctoral Fellowship</t>
        </is>
      </c>
      <c r="D1540" s="4" t="inlineStr">
        <is>
          <t>Applicant documents</t>
        </is>
      </c>
      <c r="E1540" s="4" t="inlineStr"/>
      <c r="F1540" s="4" t="inlineStr">
        <is>
          <t>documents.en.documents_required[0].children[5]</t>
        </is>
      </c>
      <c r="G1540" s="4" t="inlineStr">
        <is>
          <t>C24@20261028-5c066ab4</t>
        </is>
      </c>
      <c r="H1540" s="4" t="n">
        <v>1</v>
      </c>
      <c r="I1540" s="4" t="n">
        <v>1</v>
      </c>
      <c r="J1540" s="4" t="inlineStr">
        <is>
          <t>Endorsement Certificate from the Mentor &amp; Host Institute</t>
        </is>
      </c>
      <c r="K1540" s="4" t="inlineStr">
        <is>
          <t>MS-C24</t>
        </is>
      </c>
      <c r="L1540" s="6" t="n">
        <v>46323</v>
      </c>
      <c r="M1540" s="4" t="inlineStr">
        <is>
          <t>Approved</t>
        </is>
      </c>
      <c r="N1540" s="4" t="inlineStr">
        <is>
          <t>list_item</t>
        </is>
      </c>
    </row>
    <row r="1541" ht="40" customHeight="1">
      <c r="A1541" s="8" t="inlineStr">
        <is>
          <t>C24-P0036</t>
        </is>
      </c>
      <c r="B1541" s="8" t="inlineStr">
        <is>
          <t>C24</t>
        </is>
      </c>
      <c r="C1541" s="8" t="inlineStr">
        <is>
          <t>National Post Doctoral Fellowship</t>
        </is>
      </c>
      <c r="D1541" s="8" t="inlineStr">
        <is>
          <t>Applicant documents</t>
        </is>
      </c>
      <c r="E1541" s="8" t="inlineStr"/>
      <c r="F1541" s="8" t="inlineStr">
        <is>
          <t>documents.en.documents_required[0].children[6]</t>
        </is>
      </c>
      <c r="G1541" s="8" t="inlineStr">
        <is>
          <t>C24@20261028-5c066ab4</t>
        </is>
      </c>
      <c r="H1541" s="8" t="n">
        <v>1</v>
      </c>
      <c r="I1541" s="8" t="n">
        <v>1</v>
      </c>
      <c r="J1541" s="8" t="inlineStr">
        <is>
          <t>Short CV of the mentor (see online portal for its format)</t>
        </is>
      </c>
      <c r="K1541" s="8" t="inlineStr">
        <is>
          <t>MS-C24</t>
        </is>
      </c>
      <c r="L1541" s="9" t="n">
        <v>46323</v>
      </c>
      <c r="M1541" s="8" t="inlineStr">
        <is>
          <t>Approved</t>
        </is>
      </c>
      <c r="N1541" s="8" t="inlineStr">
        <is>
          <t>list_item</t>
        </is>
      </c>
    </row>
    <row r="1542" ht="40" customHeight="1">
      <c r="A1542" s="4" t="inlineStr">
        <is>
          <t>C24-P0037</t>
        </is>
      </c>
      <c r="B1542" s="4" t="inlineStr">
        <is>
          <t>C24</t>
        </is>
      </c>
      <c r="C1542" s="4" t="inlineStr">
        <is>
          <t>National Post Doctoral Fellowship</t>
        </is>
      </c>
      <c r="D1542" s="4" t="inlineStr">
        <is>
          <t>Applicant documents</t>
        </is>
      </c>
      <c r="E1542" s="4" t="inlineStr"/>
      <c r="F1542" s="4" t="inlineStr">
        <is>
          <t>documents.en.documents_required[0].children[7]</t>
        </is>
      </c>
      <c r="G1542" s="4" t="inlineStr">
        <is>
          <t>C24@20261028-5c066ab4</t>
        </is>
      </c>
      <c r="H1542" s="4" t="n">
        <v>1</v>
      </c>
      <c r="I1542" s="4" t="n">
        <v>1</v>
      </c>
      <c r="J1542" s="4" t="inlineStr">
        <is>
          <t>CV of Mentor</t>
        </is>
      </c>
      <c r="K1542" s="4" t="inlineStr">
        <is>
          <t>MS-C24</t>
        </is>
      </c>
      <c r="L1542" s="6" t="n">
        <v>46323</v>
      </c>
      <c r="M1542" s="4" t="inlineStr">
        <is>
          <t>Approved</t>
        </is>
      </c>
      <c r="N1542" s="4" t="inlineStr">
        <is>
          <t>list_item</t>
        </is>
      </c>
    </row>
    <row r="1543" ht="40" customHeight="1">
      <c r="A1543" s="8" t="inlineStr">
        <is>
          <t>C24-P0038</t>
        </is>
      </c>
      <c r="B1543" s="8" t="inlineStr">
        <is>
          <t>C24</t>
        </is>
      </c>
      <c r="C1543" s="8" t="inlineStr">
        <is>
          <t>National Post Doctoral Fellowship</t>
        </is>
      </c>
      <c r="D1543" s="8" t="inlineStr">
        <is>
          <t>Applicant documents</t>
        </is>
      </c>
      <c r="E1543" s="8" t="inlineStr"/>
      <c r="F1543" s="8" t="inlineStr">
        <is>
          <t>documents.en.documents_required[0].children[8]</t>
        </is>
      </c>
      <c r="G1543" s="8" t="inlineStr">
        <is>
          <t>C24@20261028-5c066ab4</t>
        </is>
      </c>
      <c r="H1543" s="8" t="n">
        <v>1</v>
      </c>
      <c r="I1543" s="8" t="n">
        <v>1</v>
      </c>
      <c r="J1543" s="8" t="inlineStr">
        <is>
          <t>Plagiarism undertaking</t>
        </is>
      </c>
      <c r="K1543" s="8" t="inlineStr">
        <is>
          <t>MS-C24</t>
        </is>
      </c>
      <c r="L1543" s="9" t="n">
        <v>46323</v>
      </c>
      <c r="M1543" s="8" t="inlineStr">
        <is>
          <t>Approved</t>
        </is>
      </c>
      <c r="N1543" s="8" t="inlineStr">
        <is>
          <t>list_item</t>
        </is>
      </c>
    </row>
    <row r="1544" ht="40" customHeight="1">
      <c r="A1544" s="4" t="inlineStr">
        <is>
          <t>C24-P0039</t>
        </is>
      </c>
      <c r="B1544" s="4" t="inlineStr">
        <is>
          <t>C24</t>
        </is>
      </c>
      <c r="C1544" s="4" t="inlineStr">
        <is>
          <t>National Post Doctoral Fellowship</t>
        </is>
      </c>
      <c r="D1544" s="4" t="inlineStr">
        <is>
          <t>Application process</t>
        </is>
      </c>
      <c r="E1544" s="4" t="inlineStr"/>
      <c r="F1544" s="4" t="inlineStr">
        <is>
          <t>en.applicationProcess[0].process[0].children[0]</t>
        </is>
      </c>
      <c r="G1544" s="4" t="inlineStr">
        <is>
          <t>C24@20261028-5c066ab4</t>
        </is>
      </c>
      <c r="H1544" s="4" t="n">
        <v>1</v>
      </c>
      <c r="I1544" s="4" t="n">
        <v>1</v>
      </c>
      <c r="J1544" s="4" t="inlineStr">
        <is>
          <t>Application Process:</t>
        </is>
      </c>
      <c r="K1544" s="4" t="inlineStr">
        <is>
          <t>MS-C24</t>
        </is>
      </c>
      <c r="L1544" s="6" t="n">
        <v>46323</v>
      </c>
      <c r="M1544" s="4" t="inlineStr">
        <is>
          <t>Approved</t>
        </is>
      </c>
      <c r="N1544" s="4" t="inlineStr">
        <is>
          <t>text</t>
        </is>
      </c>
    </row>
    <row r="1545" ht="40" customHeight="1">
      <c r="A1545" s="8" t="inlineStr">
        <is>
          <t>C24-P0040</t>
        </is>
      </c>
      <c r="B1545" s="8" t="inlineStr">
        <is>
          <t>C24</t>
        </is>
      </c>
      <c r="C1545" s="8" t="inlineStr">
        <is>
          <t>National Post Doctoral Fellowship</t>
        </is>
      </c>
      <c r="D1545" s="8" t="inlineStr">
        <is>
          <t>Application process</t>
        </is>
      </c>
      <c r="E1545" s="8" t="inlineStr"/>
      <c r="F1545" s="8" t="inlineStr">
        <is>
          <t>en.applicationProcess[0].process[1].children[0]</t>
        </is>
      </c>
      <c r="G1545" s="8" t="inlineStr">
        <is>
          <t>C24@20261028-5c066ab4</t>
        </is>
      </c>
      <c r="H1545" s="8" t="n">
        <v>1</v>
      </c>
      <c r="I1545" s="8" t="n">
        <v>1</v>
      </c>
      <c r="J1545" s="8" t="inlineStr">
        <is>
          <t>Step 01: The call for applications for SERB-N PDF will be notified through the website www.serbonline.in and https://serb.gov.in/</t>
        </is>
      </c>
      <c r="K1545" s="8" t="inlineStr">
        <is>
          <t>MS-C24</t>
        </is>
      </c>
      <c r="L1545" s="9" t="n">
        <v>46323</v>
      </c>
      <c r="M1545" s="8" t="inlineStr">
        <is>
          <t>Approved</t>
        </is>
      </c>
      <c r="N1545" s="8" t="inlineStr">
        <is>
          <t>paragraph</t>
        </is>
      </c>
    </row>
    <row r="1546" ht="54" customHeight="1">
      <c r="A1546" s="4" t="inlineStr">
        <is>
          <t>C24-P0041</t>
        </is>
      </c>
      <c r="B1546" s="4" t="inlineStr">
        <is>
          <t>C24</t>
        </is>
      </c>
      <c r="C1546" s="4" t="inlineStr">
        <is>
          <t>National Post Doctoral Fellowship</t>
        </is>
      </c>
      <c r="D1546" s="4" t="inlineStr">
        <is>
          <t>Application process</t>
        </is>
      </c>
      <c r="E1546" s="4" t="inlineStr"/>
      <c r="F1546" s="4" t="inlineStr">
        <is>
          <t>en.applicationProcess[0].process[1].children[1]</t>
        </is>
      </c>
      <c r="G1546" s="4" t="inlineStr">
        <is>
          <t>C24@20261028-5c066ab4</t>
        </is>
      </c>
      <c r="H1546" s="4" t="n">
        <v>1</v>
      </c>
      <c r="I1546" s="4" t="n">
        <v>1</v>
      </c>
      <c r="J1546" s="4" t="inlineStr">
        <is>
          <t>Step 02: The application form along with a research proposal highlighting the objectives of the research work to be undertaken should be submitted online through the website www.serbonline.in</t>
        </is>
      </c>
      <c r="K1546" s="4" t="inlineStr">
        <is>
          <t>MS-C24</t>
        </is>
      </c>
      <c r="L1546" s="6" t="n">
        <v>46323</v>
      </c>
      <c r="M1546" s="4" t="inlineStr">
        <is>
          <t>Approved</t>
        </is>
      </c>
      <c r="N1546" s="4" t="inlineStr">
        <is>
          <t>paragraph</t>
        </is>
      </c>
    </row>
    <row r="1547" ht="40" customHeight="1">
      <c r="A1547" s="8" t="inlineStr">
        <is>
          <t>C24-P0042</t>
        </is>
      </c>
      <c r="B1547" s="8" t="inlineStr">
        <is>
          <t>C24</t>
        </is>
      </c>
      <c r="C1547" s="8" t="inlineStr">
        <is>
          <t>National Post Doctoral Fellowship</t>
        </is>
      </c>
      <c r="D1547" s="8" t="inlineStr">
        <is>
          <t>Application process</t>
        </is>
      </c>
      <c r="E1547" s="8" t="inlineStr"/>
      <c r="F1547" s="8" t="inlineStr">
        <is>
          <t>en.applicationProcess[0].process[1].children[2]</t>
        </is>
      </c>
      <c r="G1547" s="8" t="inlineStr">
        <is>
          <t>C24@20261028-5c066ab4</t>
        </is>
      </c>
      <c r="H1547" s="8" t="n">
        <v>1</v>
      </c>
      <c r="I1547" s="8" t="n">
        <v>1</v>
      </c>
      <c r="J1547" s="8" t="inlineStr">
        <is>
          <t>Step 03: Applicants should first register on the online website, click here to register</t>
        </is>
      </c>
      <c r="K1547" s="8" t="inlineStr">
        <is>
          <t>MS-C24</t>
        </is>
      </c>
      <c r="L1547" s="9" t="n">
        <v>46323</v>
      </c>
      <c r="M1547" s="8" t="inlineStr">
        <is>
          <t>Approved</t>
        </is>
      </c>
      <c r="N1547" s="8" t="inlineStr">
        <is>
          <t>paragraph</t>
        </is>
      </c>
    </row>
    <row r="1548" ht="40" customHeight="1">
      <c r="A1548" s="4" t="inlineStr">
        <is>
          <t>C24-P0043</t>
        </is>
      </c>
      <c r="B1548" s="4" t="inlineStr">
        <is>
          <t>C24</t>
        </is>
      </c>
      <c r="C1548" s="4" t="inlineStr">
        <is>
          <t>National Post Doctoral Fellowship</t>
        </is>
      </c>
      <c r="D1548" s="4" t="inlineStr">
        <is>
          <t>Application process</t>
        </is>
      </c>
      <c r="E1548" s="4" t="inlineStr"/>
      <c r="F1548" s="4" t="inlineStr">
        <is>
          <t>en.applicationProcess[0].process[1].children[3]</t>
        </is>
      </c>
      <c r="G1548" s="4" t="inlineStr">
        <is>
          <t>C24@20261028-5c066ab4</t>
        </is>
      </c>
      <c r="H1548" s="4" t="n">
        <v>1</v>
      </c>
      <c r="I1548" s="4" t="n">
        <v>1</v>
      </c>
      <c r="J1548" s="4" t="inlineStr">
        <is>
          <t>Step 04: After login, applicants are required to fill all the mandatory fields in the Profile Detail section under User Profile. which includes Bio-data, Photos, Institute Address, etc.</t>
        </is>
      </c>
      <c r="K1548" s="4" t="inlineStr">
        <is>
          <t>MS-C24</t>
        </is>
      </c>
      <c r="L1548" s="6" t="n">
        <v>46323</v>
      </c>
      <c r="M1548" s="4" t="inlineStr">
        <is>
          <t>Approved</t>
        </is>
      </c>
      <c r="N1548" s="4" t="inlineStr">
        <is>
          <t>paragraph</t>
        </is>
      </c>
    </row>
    <row r="1549" ht="68" customHeight="1">
      <c r="A1549" s="8" t="inlineStr">
        <is>
          <t>C24-P0044</t>
        </is>
      </c>
      <c r="B1549" s="8" t="inlineStr">
        <is>
          <t>C24</t>
        </is>
      </c>
      <c r="C1549" s="8" t="inlineStr">
        <is>
          <t>National Post Doctoral Fellowship</t>
        </is>
      </c>
      <c r="D1549" s="8" t="inlineStr">
        <is>
          <t>Application process</t>
        </is>
      </c>
      <c r="E1549" s="8" t="inlineStr"/>
      <c r="F1549" s="8" t="inlineStr">
        <is>
          <t>en.applicationProcess[0].process[1].children[4]</t>
        </is>
      </c>
      <c r="G1549" s="8" t="inlineStr">
        <is>
          <t>C24@20261028-5c066ab4</t>
        </is>
      </c>
      <c r="H1549" s="8" t="n">
        <v>1</v>
      </c>
      <c r="I1549" s="8" t="n">
        <v>1</v>
      </c>
      <c r="J1549" s="8" t="inlineStr">
        <is>
          <t>Step 05: Please ensure that your proposed Mentor is registered into the system by following the same procedure. After login, the Mentor is required to fill all the mandatory fields in the Profile Detail section under User Profile. which includes Bio-data, Photo, Institute Address, etc.</t>
        </is>
      </c>
      <c r="K1549" s="8" t="inlineStr">
        <is>
          <t>MS-C24</t>
        </is>
      </c>
      <c r="L1549" s="9" t="n">
        <v>46323</v>
      </c>
      <c r="M1549" s="8" t="inlineStr">
        <is>
          <t>Approved</t>
        </is>
      </c>
      <c r="N1549" s="8" t="inlineStr">
        <is>
          <t>paragraph</t>
        </is>
      </c>
    </row>
    <row r="1550" ht="68" customHeight="1">
      <c r="A1550" s="4" t="inlineStr">
        <is>
          <t>C24-P0045</t>
        </is>
      </c>
      <c r="B1550" s="4" t="inlineStr">
        <is>
          <t>C24</t>
        </is>
      </c>
      <c r="C1550" s="4" t="inlineStr">
        <is>
          <t>National Post Doctoral Fellowship</t>
        </is>
      </c>
      <c r="D1550" s="4" t="inlineStr">
        <is>
          <t>Application process</t>
        </is>
      </c>
      <c r="E1550" s="4" t="inlineStr"/>
      <c r="F1550" s="4" t="inlineStr">
        <is>
          <t>en.applicationProcess[0].process[1].children[5]</t>
        </is>
      </c>
      <c r="G1550" s="4" t="inlineStr">
        <is>
          <t>C24@20261028-5c066ab4</t>
        </is>
      </c>
      <c r="H1550" s="4" t="n">
        <v>1</v>
      </c>
      <c r="I1550" s="4" t="n">
        <v>1</v>
      </c>
      <c r="J1550" s="4" t="inlineStr">
        <is>
          <t>Step 06: Details including Project Title (max 500 characters), Project summary (max 3000 characters), Keywords (max 6), Objectives of the project (max 1500 characters), Expected output and outcome of the proposal (max 1500 characters) should be provided online at the time of submission of the application.</t>
        </is>
      </c>
      <c r="K1550" s="4" t="inlineStr">
        <is>
          <t>MS-C24</t>
        </is>
      </c>
      <c r="L1550" s="6" t="n">
        <v>46323</v>
      </c>
      <c r="M1550" s="4" t="inlineStr">
        <is>
          <t>Approved</t>
        </is>
      </c>
      <c r="N1550" s="4" t="inlineStr">
        <is>
          <t>paragraph</t>
        </is>
      </c>
    </row>
    <row r="1551" ht="40" customHeight="1">
      <c r="A1551" s="8" t="inlineStr">
        <is>
          <t>C24-P0046</t>
        </is>
      </c>
      <c r="B1551" s="8" t="inlineStr">
        <is>
          <t>C24</t>
        </is>
      </c>
      <c r="C1551" s="8" t="inlineStr">
        <is>
          <t>National Post Doctoral Fellowship</t>
        </is>
      </c>
      <c r="D1551" s="8" t="inlineStr">
        <is>
          <t>Application process</t>
        </is>
      </c>
      <c r="E1551" s="8" t="inlineStr"/>
      <c r="F1551" s="8" t="inlineStr">
        <is>
          <t>en.applicationProcess[0].process[1].children[6]</t>
        </is>
      </c>
      <c r="G1551" s="8" t="inlineStr">
        <is>
          <t>C24@20261028-5c066ab4</t>
        </is>
      </c>
      <c r="H1551" s="8" t="n">
        <v>1</v>
      </c>
      <c r="I1551" s="8" t="n">
        <v>1</v>
      </c>
      <c r="J1551" s="8" t="inlineStr">
        <is>
          <t>Step 07: Work Methodology and Research plan has to be uploaded in a single PDF file not more than 3 pages (max 10 MB).</t>
        </is>
      </c>
      <c r="K1551" s="8" t="inlineStr">
        <is>
          <t>MS-C24</t>
        </is>
      </c>
      <c r="L1551" s="9" t="n">
        <v>46323</v>
      </c>
      <c r="M1551" s="8" t="inlineStr">
        <is>
          <t>Approved</t>
        </is>
      </c>
      <c r="N1551" s="8" t="inlineStr">
        <is>
          <t>paragraph</t>
        </is>
      </c>
    </row>
    <row r="1552" ht="68" customHeight="1">
      <c r="A1552" s="4" t="inlineStr">
        <is>
          <t>C24-P0047</t>
        </is>
      </c>
      <c r="B1552" s="4" t="inlineStr">
        <is>
          <t>C24</t>
        </is>
      </c>
      <c r="C1552" s="4" t="inlineStr">
        <is>
          <t>National Post Doctoral Fellowship</t>
        </is>
      </c>
      <c r="D1552" s="4" t="inlineStr">
        <is>
          <t>Application process</t>
        </is>
      </c>
      <c r="E1552" s="4" t="inlineStr"/>
      <c r="F1552" s="4" t="inlineStr">
        <is>
          <t>en.applicationProcess[0].process[1].children[7]</t>
        </is>
      </c>
      <c r="G1552" s="4" t="inlineStr">
        <is>
          <t>C24@20261028-5c066ab4</t>
        </is>
      </c>
      <c r="H1552" s="4" t="n">
        <v>1</v>
      </c>
      <c r="I1552" s="4" t="n">
        <v>1</v>
      </c>
      <c r="J1552" s="4" t="inlineStr">
        <is>
          <t>Note 01: Please ensure that your proposed Mentor is registered into the system by following the same procedure as PI. After login, the Mentor is required to fill all the mandatory fields in the Profile Detail section under User Profile which includes Bio-data, Photo, Institute Address, etc.</t>
        </is>
      </c>
      <c r="K1552" s="4" t="inlineStr">
        <is>
          <t>MS-C24</t>
        </is>
      </c>
      <c r="L1552" s="6" t="n">
        <v>46323</v>
      </c>
      <c r="M1552" s="4" t="inlineStr">
        <is>
          <t>Approved</t>
        </is>
      </c>
      <c r="N1552" s="4" t="inlineStr">
        <is>
          <t>paragraph</t>
        </is>
      </c>
    </row>
    <row r="1553" ht="40" customHeight="1">
      <c r="A1553" s="8" t="inlineStr">
        <is>
          <t>C24-P0048</t>
        </is>
      </c>
      <c r="B1553" s="8" t="inlineStr">
        <is>
          <t>C24</t>
        </is>
      </c>
      <c r="C1553" s="8" t="inlineStr">
        <is>
          <t>National Post Doctoral Fellowship</t>
        </is>
      </c>
      <c r="D1553" s="8" t="inlineStr">
        <is>
          <t>Application process</t>
        </is>
      </c>
      <c r="E1553" s="8" t="inlineStr"/>
      <c r="F1553" s="8" t="inlineStr">
        <is>
          <t>en.applicationProcess[0].process[1].children[8]</t>
        </is>
      </c>
      <c r="G1553" s="8" t="inlineStr">
        <is>
          <t>C24@20261028-5c066ab4</t>
        </is>
      </c>
      <c r="H1553" s="8" t="n">
        <v>1</v>
      </c>
      <c r="I1553" s="8" t="n">
        <v>1</v>
      </c>
      <c r="J1553" s="8" t="inlineStr">
        <is>
          <t>Note 02: Applicants of NPDF can submit their proposal only once in a calendar year in any of these schemes.</t>
        </is>
      </c>
      <c r="K1553" s="8" t="inlineStr">
        <is>
          <t>MS-C24</t>
        </is>
      </c>
      <c r="L1553" s="9" t="n">
        <v>46323</v>
      </c>
      <c r="M1553" s="8" t="inlineStr">
        <is>
          <t>Approved</t>
        </is>
      </c>
      <c r="N1553" s="8" t="inlineStr">
        <is>
          <t>paragraph</t>
        </is>
      </c>
    </row>
    <row r="1554" ht="40" customHeight="1">
      <c r="A1554" s="4" t="inlineStr">
        <is>
          <t>C24-P0049</t>
        </is>
      </c>
      <c r="B1554" s="4" t="inlineStr">
        <is>
          <t>C24</t>
        </is>
      </c>
      <c r="C1554" s="4" t="inlineStr">
        <is>
          <t>National Post Doctoral Fellowship</t>
        </is>
      </c>
      <c r="D1554" s="4" t="inlineStr">
        <is>
          <t>Application process</t>
        </is>
      </c>
      <c r="E1554" s="4" t="inlineStr"/>
      <c r="F1554" s="4" t="inlineStr">
        <is>
          <t>en.applicationProcess[0].process[1].children[9].children[0]</t>
        </is>
      </c>
      <c r="G1554" s="4" t="inlineStr">
        <is>
          <t>C24@20261028-5c066ab4</t>
        </is>
      </c>
      <c r="H1554" s="4" t="n">
        <v>1</v>
      </c>
      <c r="I1554" s="4" t="n">
        <v>1</v>
      </c>
      <c r="J1554" s="4" t="inlineStr">
        <is>
          <t>Selection Process:</t>
        </is>
      </c>
      <c r="K1554" s="4" t="inlineStr">
        <is>
          <t>MS-C24</t>
        </is>
      </c>
      <c r="L1554" s="6" t="n">
        <v>46323</v>
      </c>
      <c r="M1554" s="4" t="inlineStr">
        <is>
          <t>Approved</t>
        </is>
      </c>
      <c r="N1554" s="4" t="inlineStr">
        <is>
          <t>text</t>
        </is>
      </c>
    </row>
    <row r="1555" ht="40" customHeight="1">
      <c r="A1555" s="8" t="inlineStr">
        <is>
          <t>C24-P0050</t>
        </is>
      </c>
      <c r="B1555" s="8" t="inlineStr">
        <is>
          <t>C24</t>
        </is>
      </c>
      <c r="C1555" s="8" t="inlineStr">
        <is>
          <t>National Post Doctoral Fellowship</t>
        </is>
      </c>
      <c r="D1555" s="8" t="inlineStr">
        <is>
          <t>Application process</t>
        </is>
      </c>
      <c r="E1555" s="8" t="inlineStr"/>
      <c r="F1555" s="8" t="inlineStr">
        <is>
          <t>en.applicationProcess[0].process[1].children[10]</t>
        </is>
      </c>
      <c r="G1555" s="8" t="inlineStr">
        <is>
          <t>C24@20261028-5c066ab4</t>
        </is>
      </c>
      <c r="H1555" s="8" t="n">
        <v>1</v>
      </c>
      <c r="I1555" s="8" t="n">
        <v>1</v>
      </c>
      <c r="J1555" s="8" t="inlineStr">
        <is>
          <t>The selection will be based on the recommendations of an Expert Committee that will be constituted by the Board. If required, the applicants may be called for personal interviews.</t>
        </is>
      </c>
      <c r="K1555" s="8" t="inlineStr">
        <is>
          <t>MS-C24</t>
        </is>
      </c>
      <c r="L1555" s="9" t="n">
        <v>46323</v>
      </c>
      <c r="M1555" s="8" t="inlineStr">
        <is>
          <t>Approved</t>
        </is>
      </c>
      <c r="N1555" s="8" t="inlineStr">
        <is>
          <t>paragraph</t>
        </is>
      </c>
    </row>
    <row r="1556" ht="40" customHeight="1">
      <c r="A1556" s="4" t="inlineStr">
        <is>
          <t>C24-P0051</t>
        </is>
      </c>
      <c r="B1556" s="4" t="inlineStr">
        <is>
          <t>C24</t>
        </is>
      </c>
      <c r="C1556" s="4" t="inlineStr">
        <is>
          <t>National Post Doctoral Fellowship</t>
        </is>
      </c>
      <c r="D1556" s="4" t="inlineStr">
        <is>
          <t>Application process</t>
        </is>
      </c>
      <c r="E1556" s="4" t="inlineStr"/>
      <c r="F1556" s="4" t="inlineStr">
        <is>
          <t>en.applicationProcess[0].process[1].children[11].children[0]</t>
        </is>
      </c>
      <c r="G1556" s="4" t="inlineStr">
        <is>
          <t>C24@20261028-5c066ab4</t>
        </is>
      </c>
      <c r="H1556" s="4" t="n">
        <v>1</v>
      </c>
      <c r="I1556" s="4" t="n">
        <v>1</v>
      </c>
      <c r="J1556" s="4" t="inlineStr">
        <is>
          <t>Termination of the Fellowship:</t>
        </is>
      </c>
      <c r="K1556" s="4" t="inlineStr">
        <is>
          <t>MS-C24</t>
        </is>
      </c>
      <c r="L1556" s="6" t="n">
        <v>46323</v>
      </c>
      <c r="M1556" s="4" t="inlineStr">
        <is>
          <t>Approved</t>
        </is>
      </c>
      <c r="N1556" s="4" t="inlineStr">
        <is>
          <t>text</t>
        </is>
      </c>
    </row>
    <row r="1557" ht="68" customHeight="1">
      <c r="A1557" s="8" t="inlineStr">
        <is>
          <t>C24-P0052</t>
        </is>
      </c>
      <c r="B1557" s="8" t="inlineStr">
        <is>
          <t>C24</t>
        </is>
      </c>
      <c r="C1557" s="8" t="inlineStr">
        <is>
          <t>National Post Doctoral Fellowship</t>
        </is>
      </c>
      <c r="D1557" s="8" t="inlineStr">
        <is>
          <t>Application process</t>
        </is>
      </c>
      <c r="E1557" s="8" t="inlineStr"/>
      <c r="F1557" s="8" t="inlineStr">
        <is>
          <t>en.applicationProcess[0].process[1].children[12].children[0]</t>
        </is>
      </c>
      <c r="G1557" s="8" t="inlineStr">
        <is>
          <t>C24@20261028-5c066ab4</t>
        </is>
      </c>
      <c r="H1557" s="8" t="n">
        <v>1</v>
      </c>
      <c r="I1557" s="8" t="n">
        <v>1</v>
      </c>
      <c r="J1557" s="8" t="inlineStr">
        <is>
          <t>If any fellow wishes to terminate the fellowship, he/she shall inform the SERB through the mentor and host institute immediately. The implementing institute should not incur any expenditure from the date of termination of the project or the date of resignation of the PI. The institute will also arrange for the submission of the documents mentioned above.</t>
        </is>
      </c>
      <c r="K1557" s="8" t="inlineStr">
        <is>
          <t>MS-C24</t>
        </is>
      </c>
      <c r="L1557" s="9" t="n">
        <v>46323</v>
      </c>
      <c r="M1557" s="8" t="inlineStr">
        <is>
          <t>Approved</t>
        </is>
      </c>
      <c r="N1557" s="8" t="inlineStr">
        <is>
          <t>list_item</t>
        </is>
      </c>
    </row>
    <row r="1558" ht="40" customHeight="1">
      <c r="A1558" s="4" t="inlineStr">
        <is>
          <t>C24-P0053</t>
        </is>
      </c>
      <c r="B1558" s="4" t="inlineStr">
        <is>
          <t>C24</t>
        </is>
      </c>
      <c r="C1558" s="4" t="inlineStr">
        <is>
          <t>National Post Doctoral Fellowship</t>
        </is>
      </c>
      <c r="D1558" s="4" t="inlineStr">
        <is>
          <t>Application process</t>
        </is>
      </c>
      <c r="E1558" s="4" t="inlineStr"/>
      <c r="F1558" s="4" t="inlineStr">
        <is>
          <t>en.applicationProcess[0].process[1].children[12].children[1]</t>
        </is>
      </c>
      <c r="G1558" s="4" t="inlineStr">
        <is>
          <t>C24@20261028-5c066ab4</t>
        </is>
      </c>
      <c r="H1558" s="4" t="n">
        <v>1</v>
      </c>
      <c r="I1558" s="4" t="n">
        <v>1</v>
      </c>
      <c r="J1558" s="4" t="inlineStr">
        <is>
          <t>SERB reserves the right to terminate the Fellowship at any stage if it is convinced that appropriate progress is not being made or the grant has not been utilized properly.</t>
        </is>
      </c>
      <c r="K1558" s="4" t="inlineStr">
        <is>
          <t>MS-C24</t>
        </is>
      </c>
      <c r="L1558" s="6" t="n">
        <v>46323</v>
      </c>
      <c r="M1558" s="4" t="inlineStr">
        <is>
          <t>Approved</t>
        </is>
      </c>
      <c r="N1558" s="4" t="inlineStr">
        <is>
          <t>list_item</t>
        </is>
      </c>
    </row>
    <row r="1559" ht="40" customHeight="1">
      <c r="A1559" s="8" t="inlineStr">
        <is>
          <t>C24-P0054</t>
        </is>
      </c>
      <c r="B1559" s="8" t="inlineStr">
        <is>
          <t>C24</t>
        </is>
      </c>
      <c r="C1559" s="8" t="inlineStr">
        <is>
          <t>National Post Doctoral Fellowship</t>
        </is>
      </c>
      <c r="D1559" s="8" t="inlineStr">
        <is>
          <t>Application process</t>
        </is>
      </c>
      <c r="E1559" s="8" t="inlineStr"/>
      <c r="F1559" s="8" t="inlineStr">
        <is>
          <t>en.applicationProcess[0].process[1].children[13]</t>
        </is>
      </c>
      <c r="G1559" s="8" t="inlineStr">
        <is>
          <t>C24@20261028-5c066ab4</t>
        </is>
      </c>
      <c r="H1559" s="8" t="n">
        <v>1</v>
      </c>
      <c r="I1559" s="8" t="n">
        <v>1</v>
      </c>
      <c r="J1559" s="8" t="inlineStr">
        <is>
          <t>Complete guidelines for Principal Investigator for SERB-online system</t>
        </is>
      </c>
      <c r="K1559" s="8" t="inlineStr">
        <is>
          <t>MS-C24</t>
        </is>
      </c>
      <c r="L1559" s="9" t="n">
        <v>46323</v>
      </c>
      <c r="M1559" s="8" t="inlineStr">
        <is>
          <t>Approved</t>
        </is>
      </c>
      <c r="N1559" s="8" t="inlineStr">
        <is>
          <t>paragraph</t>
        </is>
      </c>
    </row>
    <row r="1560" ht="110" customHeight="1">
      <c r="A1560" s="4" t="inlineStr">
        <is>
          <t>C24-P0055</t>
        </is>
      </c>
      <c r="B1560" s="4" t="inlineStr">
        <is>
          <t>C24</t>
        </is>
      </c>
      <c r="C1560" s="4" t="inlineStr">
        <is>
          <t>National Post Doctoral Fellowship</t>
        </is>
      </c>
      <c r="D1560" s="4" t="inlineStr">
        <is>
          <t>FAQ</t>
        </is>
      </c>
      <c r="E1560" s="4" t="inlineStr"/>
      <c r="F1560" s="4" t="inlineStr">
        <is>
          <t>faqs.en.faqs[0]</t>
        </is>
      </c>
      <c r="G1560" s="4" t="inlineStr">
        <is>
          <t>C24@20261028-5c066ab4</t>
        </is>
      </c>
      <c r="H1560" s="4" t="n">
        <v>1</v>
      </c>
      <c r="I1560" s="4" t="n">
        <v>1</v>
      </c>
      <c r="J1560" s="4" t="inlineStr">
        <is>
          <t>Who can apply for NPDF? What are the eligibility criteria for availing the post-doctoral fellowship?
The applicant should hold Ph.D. degree in Science or Engineering or M.D or M.S degree in any area of medicine. Those who have submitted their PhD/M. D/M. S thesis and are awaiting award of the degree are also eligible to apply. Applicants should have an outstanding track record as evident from the quality of the research outputs and publications. The selection will be based on the recommendations of an Expert Committee.</t>
        </is>
      </c>
      <c r="K1560" s="4" t="inlineStr">
        <is>
          <t>MS-C24</t>
        </is>
      </c>
      <c r="L1560" s="6" t="n">
        <v>46323</v>
      </c>
      <c r="M1560" s="4" t="inlineStr">
        <is>
          <t>Approved</t>
        </is>
      </c>
      <c r="N1560" s="4" t="inlineStr">
        <is>
          <t>faq</t>
        </is>
      </c>
    </row>
    <row r="1561" ht="68" customHeight="1">
      <c r="A1561" s="8" t="inlineStr">
        <is>
          <t>C24-P0056</t>
        </is>
      </c>
      <c r="B1561" s="8" t="inlineStr">
        <is>
          <t>C24</t>
        </is>
      </c>
      <c r="C1561" s="8" t="inlineStr">
        <is>
          <t>National Post Doctoral Fellowship</t>
        </is>
      </c>
      <c r="D1561" s="8" t="inlineStr">
        <is>
          <t>FAQ</t>
        </is>
      </c>
      <c r="E1561" s="8" t="inlineStr"/>
      <c r="F1561" s="8" t="inlineStr">
        <is>
          <t>faqs.en.faqs[1]</t>
        </is>
      </c>
      <c r="G1561" s="8" t="inlineStr">
        <is>
          <t>C24@20261028-5c066ab4</t>
        </is>
      </c>
      <c r="H1561" s="8" t="n">
        <v>1</v>
      </c>
      <c r="I1561" s="8" t="n">
        <v>1</v>
      </c>
      <c r="J1561" s="8" t="inlineStr">
        <is>
          <t>What is the age limit for availing NPDF?
The upper age limit for the fellowship is 35 years at the time of the submission of application. Age relaxation of 5 (five) years will be given to candidates belonging to SC/ST/OBC/Physically Challenged &amp; Women candidates.</t>
        </is>
      </c>
      <c r="K1561" s="8" t="inlineStr">
        <is>
          <t>MS-C24</t>
        </is>
      </c>
      <c r="L1561" s="9" t="n">
        <v>46323</v>
      </c>
      <c r="M1561" s="8" t="inlineStr">
        <is>
          <t>Approved</t>
        </is>
      </c>
      <c r="N1561" s="8" t="inlineStr">
        <is>
          <t>faq</t>
        </is>
      </c>
    </row>
    <row r="1562" ht="124" customHeight="1">
      <c r="A1562" s="4" t="inlineStr">
        <is>
          <t>C24-P0057</t>
        </is>
      </c>
      <c r="B1562" s="4" t="inlineStr">
        <is>
          <t>C24</t>
        </is>
      </c>
      <c r="C1562" s="4" t="inlineStr">
        <is>
          <t>National Post Doctoral Fellowship</t>
        </is>
      </c>
      <c r="D1562" s="4" t="inlineStr">
        <is>
          <t>FAQ</t>
        </is>
      </c>
      <c r="E1562" s="4" t="inlineStr"/>
      <c r="F1562" s="4" t="inlineStr">
        <is>
          <t>faqs.en.faqs[2]</t>
        </is>
      </c>
      <c r="G1562" s="4" t="inlineStr">
        <is>
          <t>C24@20261028-5c066ab4</t>
        </is>
      </c>
      <c r="H1562" s="4" t="n">
        <v>1</v>
      </c>
      <c r="I1562" s="4" t="n">
        <v>1</v>
      </c>
      <c r="J1562" s="4" t="inlineStr">
        <is>
          <t>What is the amount of fellowship?Is my fellowship taxable? Is the fellowship tenable outside India?
The Fellowship amount for NPDF is ₹55,000/- per month. For those who have submitted their Ph.D. degree, ₹35,000/- per month will be offered till they are awarded the eligible degree. The fellowship is taxable under the Income Tax rules of India. The fellowship is tenable only in India and can be implemented in any of the recognized academic institutions, national laboratories and other recognized R&amp;D institutions. The host institution should provide necessary administrative and infrastructural support.</t>
        </is>
      </c>
      <c r="K1562" s="4" t="inlineStr">
        <is>
          <t>MS-C24</t>
        </is>
      </c>
      <c r="L1562" s="6" t="n">
        <v>46323</v>
      </c>
      <c r="M1562" s="4" t="inlineStr">
        <is>
          <t>Approved</t>
        </is>
      </c>
      <c r="N1562" s="4" t="inlineStr">
        <is>
          <t>faq</t>
        </is>
      </c>
    </row>
    <row r="1563" ht="82" customHeight="1">
      <c r="A1563" s="8" t="inlineStr">
        <is>
          <t>C24-P0058</t>
        </is>
      </c>
      <c r="B1563" s="8" t="inlineStr">
        <is>
          <t>C24</t>
        </is>
      </c>
      <c r="C1563" s="8" t="inlineStr">
        <is>
          <t>National Post Doctoral Fellowship</t>
        </is>
      </c>
      <c r="D1563" s="8" t="inlineStr">
        <is>
          <t>FAQ</t>
        </is>
      </c>
      <c r="E1563" s="8" t="inlineStr"/>
      <c r="F1563" s="8" t="inlineStr">
        <is>
          <t>faqs.en.faqs[3]</t>
        </is>
      </c>
      <c r="G1563" s="8" t="inlineStr">
        <is>
          <t>C24@20261028-5c066ab4</t>
        </is>
      </c>
      <c r="H1563" s="8" t="n">
        <v>1</v>
      </c>
      <c r="I1563" s="8" t="n">
        <v>1</v>
      </c>
      <c r="J1563" s="8" t="inlineStr">
        <is>
          <t>What is the tenure of the NPDF? Can it be extended?
The fellowship is purely a temporary assignment, and is tenable initially for a period of 2 years. In exceptional cases, depending on the progress of research, the fellowship can be extended for one more year. There is no provision to extend the tenure beyond three years in any case.</t>
        </is>
      </c>
      <c r="K1563" s="8" t="inlineStr">
        <is>
          <t>MS-C24</t>
        </is>
      </c>
      <c r="L1563" s="9" t="n">
        <v>46323</v>
      </c>
      <c r="M1563" s="8" t="inlineStr">
        <is>
          <t>Approved</t>
        </is>
      </c>
      <c r="N1563" s="8" t="inlineStr">
        <is>
          <t>faq</t>
        </is>
      </c>
    </row>
    <row r="1564" ht="124" customHeight="1">
      <c r="A1564" s="4" t="inlineStr">
        <is>
          <t>C24-P0059</t>
        </is>
      </c>
      <c r="B1564" s="4" t="inlineStr">
        <is>
          <t>C24</t>
        </is>
      </c>
      <c r="C1564" s="4" t="inlineStr">
        <is>
          <t>National Post Doctoral Fellowship</t>
        </is>
      </c>
      <c r="D1564" s="4" t="inlineStr">
        <is>
          <t>FAQ</t>
        </is>
      </c>
      <c r="E1564" s="4" t="inlineStr"/>
      <c r="F1564" s="4" t="inlineStr">
        <is>
          <t>faqs.en.faqs[4]</t>
        </is>
      </c>
      <c r="G1564" s="4" t="inlineStr">
        <is>
          <t>C24@20261028-5c066ab4</t>
        </is>
      </c>
      <c r="H1564" s="4" t="n">
        <v>1</v>
      </c>
      <c r="I1564" s="4" t="n">
        <v>1</v>
      </c>
      <c r="J1564" s="4" t="inlineStr">
        <is>
          <t>What is the upper age limit up to which the J C Bose fellowship can be availed?Can I avail the NPDF from the same institution from where I have obtained the Ph. D. degree? Can I avail other fellowship grants?
The fellowship is generally not availed at the same institution where one has obtained or worked for the PhD/M.S./M.D degree. Also, the fellowship cannot be availed with the doctoral thesis supervisor or co-supervisor as a mentor. The fellows are not eligible to receive fellowship/salary from any other Government or Non-Governmental source during the tenure of the SERB National Post-Doctoral Fellowship.</t>
        </is>
      </c>
      <c r="K1564" s="4" t="inlineStr">
        <is>
          <t>MS-C24</t>
        </is>
      </c>
      <c r="L1564" s="6" t="n">
        <v>46323</v>
      </c>
      <c r="M1564" s="4" t="inlineStr">
        <is>
          <t>Approved</t>
        </is>
      </c>
      <c r="N1564" s="4" t="inlineStr">
        <is>
          <t>faq</t>
        </is>
      </c>
    </row>
    <row r="1565" ht="152" customHeight="1">
      <c r="A1565" s="8" t="inlineStr">
        <is>
          <t>C24-P0060</t>
        </is>
      </c>
      <c r="B1565" s="8" t="inlineStr">
        <is>
          <t>C24</t>
        </is>
      </c>
      <c r="C1565" s="8" t="inlineStr">
        <is>
          <t>National Post Doctoral Fellowship</t>
        </is>
      </c>
      <c r="D1565" s="8" t="inlineStr">
        <is>
          <t>FAQ</t>
        </is>
      </c>
      <c r="E1565" s="8" t="inlineStr"/>
      <c r="F1565" s="8" t="inlineStr">
        <is>
          <t>faqs.en.faqs[5]</t>
        </is>
      </c>
      <c r="G1565" s="8" t="inlineStr">
        <is>
          <t>C24@20261028-5c066ab4</t>
        </is>
      </c>
      <c r="H1565" s="8" t="n">
        <v>1</v>
      </c>
      <c r="I1565" s="8" t="n">
        <v>1</v>
      </c>
      <c r="J1565" s="8" t="inlineStr">
        <is>
          <t>What is the nature of support in NPDF scheme?
National Post-Doctoral Fellow will be entitled to receive grants under the following budget heads.
The fellows will be entitled to receive the grants given below:
Fellowship
(₹55,000/- per month (consolidated))
(₹35,000/ p.m. for candidates who have submitted the thesis but the degree has not yet been awarded)
Research Grant (₹2,00,000/- per annum)
Overheads (₹1,00,000/- per annum)</t>
        </is>
      </c>
      <c r="K1565" s="8" t="inlineStr">
        <is>
          <t>MS-C24</t>
        </is>
      </c>
      <c r="L1565" s="9" t="n">
        <v>46323</v>
      </c>
      <c r="M1565" s="8" t="inlineStr">
        <is>
          <t>Approved</t>
        </is>
      </c>
      <c r="N1565" s="8" t="inlineStr">
        <is>
          <t>faq</t>
        </is>
      </c>
    </row>
    <row r="1566" ht="110" customHeight="1">
      <c r="A1566" s="4" t="inlineStr">
        <is>
          <t>C24-P0061</t>
        </is>
      </c>
      <c r="B1566" s="4" t="inlineStr">
        <is>
          <t>C24</t>
        </is>
      </c>
      <c r="C1566" s="4" t="inlineStr">
        <is>
          <t>National Post Doctoral Fellowship</t>
        </is>
      </c>
      <c r="D1566" s="4" t="inlineStr">
        <is>
          <t>FAQ</t>
        </is>
      </c>
      <c r="E1566" s="4" t="inlineStr"/>
      <c r="F1566" s="4" t="inlineStr">
        <is>
          <t>faqs.en.faqs[6]</t>
        </is>
      </c>
      <c r="G1566" s="4" t="inlineStr">
        <is>
          <t>C24@20261028-5c066ab4</t>
        </is>
      </c>
      <c r="H1566" s="4" t="n">
        <v>1</v>
      </c>
      <c r="I1566" s="4" t="n">
        <v>1</v>
      </c>
      <c r="J1566" s="4" t="inlineStr">
        <is>
          <t>When should I apply for NPDF? Can I apply for the National Post-Doctoral Fellowship (N- PDF) projects throughout the year?
The applicant must first identify the host institution and a suitable Mentor in the host institution under which the proposed research objectives will be pursued. The call for applications for SERB- NPDF will be notified through the website www.serbonline.in and www.serb.gov.in Usually one month window will be provided to submit the application along with other documents. All applications should be submitted through the SERB online portal www.serbonline.in.</t>
        </is>
      </c>
      <c r="K1566" s="4" t="inlineStr">
        <is>
          <t>MS-C24</t>
        </is>
      </c>
      <c r="L1566" s="6" t="n">
        <v>46323</v>
      </c>
      <c r="M1566" s="4" t="inlineStr">
        <is>
          <t>Approved</t>
        </is>
      </c>
      <c r="N1566" s="4" t="inlineStr">
        <is>
          <t>faq</t>
        </is>
      </c>
    </row>
    <row r="1567" ht="54" customHeight="1">
      <c r="A1567" s="8" t="inlineStr">
        <is>
          <t>C24-P0062</t>
        </is>
      </c>
      <c r="B1567" s="8" t="inlineStr">
        <is>
          <t>C24</t>
        </is>
      </c>
      <c r="C1567" s="8" t="inlineStr">
        <is>
          <t>National Post Doctoral Fellowship</t>
        </is>
      </c>
      <c r="D1567" s="8" t="inlineStr">
        <is>
          <t>FAQ</t>
        </is>
      </c>
      <c r="E1567" s="8" t="inlineStr"/>
      <c r="F1567" s="8" t="inlineStr">
        <is>
          <t>faqs.en.faqs[7]</t>
        </is>
      </c>
      <c r="G1567" s="8" t="inlineStr">
        <is>
          <t>C24@20261028-5c066ab4</t>
        </is>
      </c>
      <c r="H1567" s="8" t="n">
        <v>1</v>
      </c>
      <c r="I1567" s="8" t="n">
        <v>1</v>
      </c>
      <c r="J1567" s="8" t="inlineStr">
        <is>
          <t>Who is eligible to be a Mentor? Can my Ph.D. supervisor or co-supervisor act as a mentor?
The Mentor should hold a regular academic or research position in the host institution. The fellowship cannot be availed with the doctoral thesis supervisor or co-supervisor as a mentor.</t>
        </is>
      </c>
      <c r="K1567" s="8" t="inlineStr">
        <is>
          <t>MS-C24</t>
        </is>
      </c>
      <c r="L1567" s="9" t="n">
        <v>46323</v>
      </c>
      <c r="M1567" s="8" t="inlineStr">
        <is>
          <t>Approved</t>
        </is>
      </c>
      <c r="N1567" s="8" t="inlineStr">
        <is>
          <t>faq</t>
        </is>
      </c>
    </row>
    <row r="1568" ht="222" customHeight="1">
      <c r="A1568" s="4" t="inlineStr">
        <is>
          <t>C24-P0063</t>
        </is>
      </c>
      <c r="B1568" s="4" t="inlineStr">
        <is>
          <t>C24</t>
        </is>
      </c>
      <c r="C1568" s="4" t="inlineStr">
        <is>
          <t>National Post Doctoral Fellowship</t>
        </is>
      </c>
      <c r="D1568" s="4" t="inlineStr">
        <is>
          <t>FAQ</t>
        </is>
      </c>
      <c r="E1568" s="4" t="inlineStr"/>
      <c r="F1568" s="4" t="inlineStr">
        <is>
          <t>faqs.en.faqs[8]</t>
        </is>
      </c>
      <c r="G1568" s="4" t="inlineStr">
        <is>
          <t>C24@20261028-5c066ab4</t>
        </is>
      </c>
      <c r="H1568" s="4" t="n">
        <v>1</v>
      </c>
      <c r="I1568" s="4" t="n">
        <v>1</v>
      </c>
      <c r="J1568" s="4" t="inlineStr">
        <is>
          <t>How should I apply for NPDF? What documents should I submit?
All applications should be submitted through the SERB online portal www.serbonline.in. Usually, a month window is provided to submit the application along with other documents. The following documents are mandatory.
Research proposal (see www.serbonline.in for the correct format).
Proof of Date of Birth (Class X certificate or Date of Birth Certificate).
Proof of Caste (only for cases seeking age relaxation).
Proof of Ph.D. Degree or proof of Ph.D. thesis submission certificate.
Endorsement Certificate signed by Mentor and Head of the Host Institution (format can be downloaded from www.serbonline.in).
Undertaking Certificate by the applicant (see online portal for its format).
Reprints of your two best publications.
CV of the Mentor (see online portal for its format).
The applicants are advised to follow detailed instructions provided in the SERB online portal www.serbonline.in.</t>
        </is>
      </c>
      <c r="K1568" s="4" t="inlineStr">
        <is>
          <t>MS-C24</t>
        </is>
      </c>
      <c r="L1568" s="6" t="n">
        <v>46323</v>
      </c>
      <c r="M1568" s="4" t="inlineStr">
        <is>
          <t>Approved</t>
        </is>
      </c>
      <c r="N1568" s="4" t="inlineStr">
        <is>
          <t>faq</t>
        </is>
      </c>
    </row>
    <row r="1569" ht="68" customHeight="1">
      <c r="A1569" s="8" t="inlineStr">
        <is>
          <t>C24-P0064</t>
        </is>
      </c>
      <c r="B1569" s="8" t="inlineStr">
        <is>
          <t>C24</t>
        </is>
      </c>
      <c r="C1569" s="8" t="inlineStr">
        <is>
          <t>National Post Doctoral Fellowship</t>
        </is>
      </c>
      <c r="D1569" s="8" t="inlineStr">
        <is>
          <t>FAQ</t>
        </is>
      </c>
      <c r="E1569" s="8" t="inlineStr"/>
      <c r="F1569" s="8" t="inlineStr">
        <is>
          <t>faqs.en.faqs[9]</t>
        </is>
      </c>
      <c r="G1569" s="8" t="inlineStr">
        <is>
          <t>C24@20261028-5c066ab4</t>
        </is>
      </c>
      <c r="H1569" s="8" t="n">
        <v>1</v>
      </c>
      <c r="I1569" s="8" t="n">
        <v>1</v>
      </c>
      <c r="J1569" s="8" t="inlineStr">
        <is>
          <t>When will I be informed of my selection?
The selection process on an average takes at least two months from the last date of submission of the applications. All selected candidates shall receive an Email notification through the SERB online portal, who are then required to download the offer letter.</t>
        </is>
      </c>
      <c r="K1569" s="8" t="inlineStr">
        <is>
          <t>MS-C24</t>
        </is>
      </c>
      <c r="L1569" s="9" t="n">
        <v>46323</v>
      </c>
      <c r="M1569" s="8" t="inlineStr">
        <is>
          <t>Approved</t>
        </is>
      </c>
      <c r="N1569" s="8" t="inlineStr">
        <is>
          <t>faq</t>
        </is>
      </c>
    </row>
    <row r="1570" ht="96" customHeight="1">
      <c r="A1570" s="4" t="inlineStr">
        <is>
          <t>C24-P0065</t>
        </is>
      </c>
      <c r="B1570" s="4" t="inlineStr">
        <is>
          <t>C24</t>
        </is>
      </c>
      <c r="C1570" s="4" t="inlineStr">
        <is>
          <t>National Post Doctoral Fellowship</t>
        </is>
      </c>
      <c r="D1570" s="4" t="inlineStr">
        <is>
          <t>FAQ</t>
        </is>
      </c>
      <c r="E1570" s="4" t="inlineStr"/>
      <c r="F1570" s="4" t="inlineStr">
        <is>
          <t>faqs.en.faqs[10]</t>
        </is>
      </c>
      <c r="G1570" s="4" t="inlineStr">
        <is>
          <t>C24@20261028-5c066ab4</t>
        </is>
      </c>
      <c r="H1570" s="4" t="n">
        <v>1</v>
      </c>
      <c r="I1570" s="4" t="n">
        <v>1</v>
      </c>
      <c r="J1570" s="4" t="inlineStr">
        <is>
          <t>Is there any break up available for the NPDF research grant?
Flexibility is provided to the Fellow and the Mentor for utilising the Research Grant as per the needs of the research work. Generally, the Research grant can be used for purchasing minor equipment, consumables and contingencies. The grant can also be utilised for travel in India to attend workshops/conferences and other research-related activities. In this regard, the host institution's norms shall apply for TA/DA.</t>
        </is>
      </c>
      <c r="K1570" s="4" t="inlineStr">
        <is>
          <t>MS-C24</t>
        </is>
      </c>
      <c r="L1570" s="6" t="n">
        <v>46323</v>
      </c>
      <c r="M1570" s="4" t="inlineStr">
        <is>
          <t>Approved</t>
        </is>
      </c>
      <c r="N1570" s="4" t="inlineStr">
        <is>
          <t>faq</t>
        </is>
      </c>
    </row>
    <row r="1571" ht="54" customHeight="1">
      <c r="A1571" s="8" t="inlineStr">
        <is>
          <t>C24-P0066</t>
        </is>
      </c>
      <c r="B1571" s="8" t="inlineStr">
        <is>
          <t>C24</t>
        </is>
      </c>
      <c r="C1571" s="8" t="inlineStr">
        <is>
          <t>National Post Doctoral Fellowship</t>
        </is>
      </c>
      <c r="D1571" s="8" t="inlineStr">
        <is>
          <t>FAQ</t>
        </is>
      </c>
      <c r="E1571" s="8" t="inlineStr"/>
      <c r="F1571" s="8" t="inlineStr">
        <is>
          <t>faqs.en.faqs[11]</t>
        </is>
      </c>
      <c r="G1571" s="8" t="inlineStr">
        <is>
          <t>C24@20261028-5c066ab4</t>
        </is>
      </c>
      <c r="H1571" s="8" t="n">
        <v>1</v>
      </c>
      <c r="I1571" s="8" t="n">
        <v>1</v>
      </c>
      <c r="J1571" s="8" t="inlineStr">
        <is>
          <t>Can I recruit a manpower under this scheme?
There is no provision for providing manpower under this scheme. The Fellow is expected to undertake research himself/herself during the entire duration of the fellowship.</t>
        </is>
      </c>
      <c r="K1571" s="8" t="inlineStr">
        <is>
          <t>MS-C24</t>
        </is>
      </c>
      <c r="L1571" s="9" t="n">
        <v>46323</v>
      </c>
      <c r="M1571" s="8" t="inlineStr">
        <is>
          <t>Approved</t>
        </is>
      </c>
      <c r="N1571" s="8" t="inlineStr">
        <is>
          <t>faq</t>
        </is>
      </c>
    </row>
    <row r="1572" ht="96" customHeight="1">
      <c r="A1572" s="4" t="inlineStr">
        <is>
          <t>C24-P0067</t>
        </is>
      </c>
      <c r="B1572" s="4" t="inlineStr">
        <is>
          <t>C24</t>
        </is>
      </c>
      <c r="C1572" s="4" t="inlineStr">
        <is>
          <t>National Post Doctoral Fellowship</t>
        </is>
      </c>
      <c r="D1572" s="4" t="inlineStr">
        <is>
          <t>FAQ</t>
        </is>
      </c>
      <c r="E1572" s="4" t="inlineStr"/>
      <c r="F1572" s="4" t="inlineStr">
        <is>
          <t>faqs.en.faqs[12]</t>
        </is>
      </c>
      <c r="G1572" s="4" t="inlineStr">
        <is>
          <t>C24@20261028-5c066ab4</t>
        </is>
      </c>
      <c r="H1572" s="4" t="n">
        <v>1</v>
      </c>
      <c r="I1572" s="4" t="n">
        <v>1</v>
      </c>
      <c r="J1572" s="4" t="inlineStr">
        <is>
          <t>I have received my fellowship for the first year. What documents should I send to receive my scholarship for the second year?
The Fellows should upload annual Progress Report and financial statements at the end of each financial year. The release of the next instalment of the grant will be considered only after submission of (a) Proper Utilization Certificate and Statement of Expenditure, financial year wise and (b) Annual Progress Report through the SERB online portal.</t>
        </is>
      </c>
      <c r="K1572" s="4" t="inlineStr">
        <is>
          <t>MS-C24</t>
        </is>
      </c>
      <c r="L1572" s="6" t="n">
        <v>46323</v>
      </c>
      <c r="M1572" s="4" t="inlineStr">
        <is>
          <t>Approved</t>
        </is>
      </c>
      <c r="N1572" s="4" t="inlineStr">
        <is>
          <t>faq</t>
        </is>
      </c>
    </row>
    <row r="1573" ht="138" customHeight="1">
      <c r="A1573" s="8" t="inlineStr">
        <is>
          <t>C24-P0068</t>
        </is>
      </c>
      <c r="B1573" s="8" t="inlineStr">
        <is>
          <t>C24</t>
        </is>
      </c>
      <c r="C1573" s="8" t="inlineStr">
        <is>
          <t>National Post Doctoral Fellowship</t>
        </is>
      </c>
      <c r="D1573" s="8" t="inlineStr">
        <is>
          <t>FAQ</t>
        </is>
      </c>
      <c r="E1573" s="8" t="inlineStr"/>
      <c r="F1573" s="8" t="inlineStr">
        <is>
          <t>faqs.en.faqs[13]</t>
        </is>
      </c>
      <c r="G1573" s="8" t="inlineStr">
        <is>
          <t>C24@20261028-5c066ab4</t>
        </is>
      </c>
      <c r="H1573" s="8" t="n">
        <v>1</v>
      </c>
      <c r="I1573" s="8" t="n">
        <v>1</v>
      </c>
      <c r="J1573" s="8" t="inlineStr">
        <is>
          <t>I intend to change my Mentor/Host Institution? What procedure should I follow?
Change of Mentor/Host Institution is generally discouraged and can be allowed only in exceptional cases. Change of Host Institution shall be undertaken only after obtaining due approval from SERB. The new host institute in any case should not be the institution from which the applicant has worked for his Ph.D. or obtained his Ph.D. degree. The transfer of the fellowship along with balance grant and the assets to the new institute is allowed, provided the administrative authority of both institutes agree in writing. NOC from the previous host institute and Endorsement Form from the new host Institute &amp;new Mentor must be sent to SERB through the online portal.</t>
        </is>
      </c>
      <c r="K1573" s="8" t="inlineStr">
        <is>
          <t>MS-C24</t>
        </is>
      </c>
      <c r="L1573" s="9" t="n">
        <v>46323</v>
      </c>
      <c r="M1573" s="8" t="inlineStr">
        <is>
          <t>Approved</t>
        </is>
      </c>
      <c r="N1573" s="8" t="inlineStr">
        <is>
          <t>faq</t>
        </is>
      </c>
    </row>
    <row r="1574" ht="68" customHeight="1">
      <c r="A1574" s="4" t="inlineStr">
        <is>
          <t>C24-P0069</t>
        </is>
      </c>
      <c r="B1574" s="4" t="inlineStr">
        <is>
          <t>C24</t>
        </is>
      </c>
      <c r="C1574" s="4" t="inlineStr">
        <is>
          <t>National Post Doctoral Fellowship</t>
        </is>
      </c>
      <c r="D1574" s="4" t="inlineStr">
        <is>
          <t>FAQ</t>
        </is>
      </c>
      <c r="E1574" s="4" t="inlineStr"/>
      <c r="F1574" s="4" t="inlineStr">
        <is>
          <t>faqs.en.faqs[14]</t>
        </is>
      </c>
      <c r="G1574" s="4" t="inlineStr">
        <is>
          <t>C24@20261028-5c066ab4</t>
        </is>
      </c>
      <c r="H1574" s="4" t="n">
        <v>1</v>
      </c>
      <c r="I1574" s="4" t="n">
        <v>1</v>
      </c>
      <c r="J1574" s="4" t="inlineStr">
        <is>
          <t>I wish to resign as NPDF? What documents must I send to SERB?
If the one wishes to terminate the fellowship and leave the institute, he/she shall inform the SERB through the host institution immediately. The implementing institute should not incur any expenditure from the date of termination of the project or the date of resignation of fellow.</t>
        </is>
      </c>
      <c r="K1574" s="4" t="inlineStr">
        <is>
          <t>MS-C24</t>
        </is>
      </c>
      <c r="L1574" s="6" t="n">
        <v>46323</v>
      </c>
      <c r="M1574" s="4" t="inlineStr">
        <is>
          <t>Approved</t>
        </is>
      </c>
      <c r="N1574" s="4" t="inlineStr">
        <is>
          <t>faq</t>
        </is>
      </c>
    </row>
    <row r="1575" ht="82" customHeight="1">
      <c r="A1575" s="8" t="inlineStr">
        <is>
          <t>C24-P0070</t>
        </is>
      </c>
      <c r="B1575" s="8" t="inlineStr">
        <is>
          <t>C24</t>
        </is>
      </c>
      <c r="C1575" s="8" t="inlineStr">
        <is>
          <t>National Post Doctoral Fellowship</t>
        </is>
      </c>
      <c r="D1575" s="8" t="inlineStr">
        <is>
          <t>FAQ</t>
        </is>
      </c>
      <c r="E1575" s="8" t="inlineStr"/>
      <c r="F1575" s="8" t="inlineStr">
        <is>
          <t>faqs.en.faqs[15]</t>
        </is>
      </c>
      <c r="G1575" s="8" t="inlineStr">
        <is>
          <t>C24@20261028-5c066ab4</t>
        </is>
      </c>
      <c r="H1575" s="8" t="n">
        <v>1</v>
      </c>
      <c r="I1575" s="8" t="n">
        <v>1</v>
      </c>
      <c r="J1575" s="8" t="inlineStr">
        <is>
          <t>What are the rules for availing leave?
The NPDF is entitled to leave as per the norms of the host institution. Participation in scientific workshops held in India or abroad will be treated as on duty. Maternity leave, as per the Govt. of India instructions issued from time to time, would be available to female candidates in all categories.</t>
        </is>
      </c>
      <c r="K1575" s="8" t="inlineStr">
        <is>
          <t>MS-C24</t>
        </is>
      </c>
      <c r="L1575" s="9" t="n">
        <v>46323</v>
      </c>
      <c r="M1575" s="8" t="inlineStr">
        <is>
          <t>Approved</t>
        </is>
      </c>
      <c r="N1575" s="8" t="inlineStr">
        <is>
          <t>faq</t>
        </is>
      </c>
    </row>
    <row r="1576" ht="54" customHeight="1">
      <c r="A1576" s="4" t="inlineStr">
        <is>
          <t>C24-P0071</t>
        </is>
      </c>
      <c r="B1576" s="4" t="inlineStr">
        <is>
          <t>C24</t>
        </is>
      </c>
      <c r="C1576" s="4" t="inlineStr">
        <is>
          <t>National Post Doctoral Fellowship</t>
        </is>
      </c>
      <c r="D1576" s="4" t="inlineStr">
        <is>
          <t>FAQ</t>
        </is>
      </c>
      <c r="E1576" s="4" t="inlineStr"/>
      <c r="F1576" s="4" t="inlineStr">
        <is>
          <t>faqs.en.faqs[16]</t>
        </is>
      </c>
      <c r="G1576" s="4" t="inlineStr">
        <is>
          <t>C24@20261028-5c066ab4</t>
        </is>
      </c>
      <c r="H1576" s="4" t="n">
        <v>1</v>
      </c>
      <c r="I1576" s="4" t="n">
        <v>1</v>
      </c>
      <c r="J1576" s="4" t="inlineStr">
        <is>
          <t>Is SERB terminate NPDF fellowship?
SERB reserves the right to terminate the Fellowship at any stage if it is convinced that appropriate progress is not being made or the grant has not been utilized properly.</t>
        </is>
      </c>
      <c r="K1576" s="4" t="inlineStr">
        <is>
          <t>MS-C24</t>
        </is>
      </c>
      <c r="L1576" s="6" t="n">
        <v>46323</v>
      </c>
      <c r="M1576" s="4" t="inlineStr">
        <is>
          <t>Approved</t>
        </is>
      </c>
      <c r="N1576" s="4" t="inlineStr">
        <is>
          <t>faq</t>
        </is>
      </c>
    </row>
    <row r="1577" ht="82" customHeight="1">
      <c r="A1577" s="8" t="inlineStr">
        <is>
          <t>C24-P0072</t>
        </is>
      </c>
      <c r="B1577" s="8" t="inlineStr">
        <is>
          <t>C24</t>
        </is>
      </c>
      <c r="C1577" s="8" t="inlineStr">
        <is>
          <t>National Post Doctoral Fellowship</t>
        </is>
      </c>
      <c r="D1577" s="8" t="inlineStr">
        <is>
          <t>FAQ</t>
        </is>
      </c>
      <c r="E1577" s="8" t="inlineStr"/>
      <c r="F1577" s="8" t="inlineStr">
        <is>
          <t>faqs.en.faqs[17]</t>
        </is>
      </c>
      <c r="G1577" s="8" t="inlineStr">
        <is>
          <t>C24@20261028-5c066ab4</t>
        </is>
      </c>
      <c r="H1577" s="8" t="n">
        <v>1</v>
      </c>
      <c r="I1577" s="8" t="n">
        <v>1</v>
      </c>
      <c r="J1577" s="8" t="inlineStr">
        <is>
          <t>Can I be away from the implementing Institute when I am working as National Post-Doctoral Fellow?
The fellows must seek the consent of SERB if he/she intends to be away from the implementing institute (except for field work related to the project) continuously for a period more than eight weeks.</t>
        </is>
      </c>
      <c r="K1577" s="8" t="inlineStr">
        <is>
          <t>MS-C24</t>
        </is>
      </c>
      <c r="L1577" s="9" t="n">
        <v>46323</v>
      </c>
      <c r="M1577" s="8" t="inlineStr">
        <is>
          <t>Approved</t>
        </is>
      </c>
      <c r="N1577" s="8" t="inlineStr">
        <is>
          <t>faq</t>
        </is>
      </c>
    </row>
    <row r="1578" ht="194" customHeight="1">
      <c r="A1578" s="4" t="inlineStr">
        <is>
          <t>C24-P0073</t>
        </is>
      </c>
      <c r="B1578" s="4" t="inlineStr">
        <is>
          <t>C24</t>
        </is>
      </c>
      <c r="C1578" s="4" t="inlineStr">
        <is>
          <t>National Post Doctoral Fellowship</t>
        </is>
      </c>
      <c r="D1578" s="4" t="inlineStr">
        <is>
          <t>FAQ</t>
        </is>
      </c>
      <c r="E1578" s="4" t="inlineStr"/>
      <c r="F1578" s="4" t="inlineStr">
        <is>
          <t>faqs.en.faqs[18]</t>
        </is>
      </c>
      <c r="G1578" s="4" t="inlineStr">
        <is>
          <t>C24@20261028-5c066ab4</t>
        </is>
      </c>
      <c r="H1578" s="4" t="n">
        <v>1</v>
      </c>
      <c r="I1578" s="4" t="n">
        <v>1</v>
      </c>
      <c r="J1578" s="4" t="inlineStr">
        <is>
          <t>What should be done for the unspent grant under National Post-Doctoral Fellowship (N- PDF) after the completion of the tenure of the fellowship?
The following documents should be sent to the SERB after the duration of the Fellowship is completed:
Final Consolidated Statement of Expenditure (in duplicate), giving expenditure financial year wise (FY) from date of start till date of completion.
Utilization Certificates (FY wise) for all FYs (in duplicate) matching with Statement of Expenditure figures in that FY.
Project Completion Report (PCR) with list of publications, and patents filed.
DD/ cheque for the unspent grant, drawn in favor of 'Fund for Science &amp; Engineering Research'
Mentor and PDF candidate are responsible for the timely submission of progress report, utilization certificate, project closure report (PCR), refund of unspent balance amount etc. at the end or early closure of the project.</t>
        </is>
      </c>
      <c r="K1578" s="4" t="inlineStr">
        <is>
          <t>MS-C24</t>
        </is>
      </c>
      <c r="L1578" s="6" t="n">
        <v>46323</v>
      </c>
      <c r="M1578" s="4" t="inlineStr">
        <is>
          <t>Approved</t>
        </is>
      </c>
      <c r="N1578" s="4" t="inlineStr">
        <is>
          <t>faq</t>
        </is>
      </c>
    </row>
    <row r="1579" ht="96" customHeight="1">
      <c r="A1579" s="8" t="inlineStr">
        <is>
          <t>C25-P0001</t>
        </is>
      </c>
      <c r="B1579" s="8" t="inlineStr">
        <is>
          <t>C25</t>
        </is>
      </c>
      <c r="C1579" s="8" t="inlineStr">
        <is>
          <t>Women’s Instinct for Developing and Ushering in Scientific Heights &amp; Innovation</t>
        </is>
      </c>
      <c r="D1579" s="8" t="inlineStr">
        <is>
          <t>Details</t>
        </is>
      </c>
      <c r="E1579" s="8" t="inlineStr"/>
      <c r="F1579" s="8" t="inlineStr">
        <is>
          <t>en.schemeContent.detailedDescription[0].children[0]</t>
        </is>
      </c>
      <c r="G1579" s="8" t="inlineStr">
        <is>
          <t>C25@20261028-281bc008</t>
        </is>
      </c>
      <c r="H1579" s="8" t="n">
        <v>1</v>
      </c>
      <c r="I1579" s="8" t="n">
        <v>1</v>
      </c>
      <c r="J1579" s="8" t="inlineStr">
        <is>
          <t>A new programme “Women's Instinct for Developing and Ushering in Scientific Heights &amp; Innovations (WIDUSHI)” is started by the Department of Science and Technology (DST) under its umbrella scheme “Women in Science and Engineering-KIRAN (WISE-KIRAN)” for senior women scientists to harness their knowledge and potential for the betterment of Science and Society. WIDUSHI programme aims to encourage and support senior women scientists to conduct research in interdisciplinary areas of Science and Technology.</t>
        </is>
      </c>
      <c r="K1579" s="8" t="inlineStr">
        <is>
          <t>MS-C25</t>
        </is>
      </c>
      <c r="L1579" s="9" t="n">
        <v>46323</v>
      </c>
      <c r="M1579" s="8" t="inlineStr">
        <is>
          <t>Approved</t>
        </is>
      </c>
      <c r="N1579" s="8" t="inlineStr">
        <is>
          <t>paragraph</t>
        </is>
      </c>
    </row>
    <row r="1580" ht="40" customHeight="1">
      <c r="A1580" s="4" t="inlineStr">
        <is>
          <t>C25-P0002</t>
        </is>
      </c>
      <c r="B1580" s="4" t="inlineStr">
        <is>
          <t>C25</t>
        </is>
      </c>
      <c r="C1580" s="4" t="inlineStr">
        <is>
          <t>Women’s Instinct for Developing and Ushering in Scientific Heights &amp; Innovation</t>
        </is>
      </c>
      <c r="D1580" s="4" t="inlineStr">
        <is>
          <t>Details</t>
        </is>
      </c>
      <c r="E1580" s="4" t="inlineStr">
        <is>
          <t>Proposals are invited from senior women scientists in the following scientific disciplines:</t>
        </is>
      </c>
      <c r="F1580" s="4" t="inlineStr">
        <is>
          <t>en.schemeContent.detailedDescription[0].children[1]</t>
        </is>
      </c>
      <c r="G1580" s="4" t="inlineStr">
        <is>
          <t>C25@20261028-281bc008</t>
        </is>
      </c>
      <c r="H1580" s="4" t="n">
        <v>1</v>
      </c>
      <c r="I1580" s="4" t="n">
        <v>1</v>
      </c>
      <c r="J1580" s="4" t="inlineStr">
        <is>
          <t>Proposals are invited from senior women scientists in the following scientific disciplines:</t>
        </is>
      </c>
      <c r="K1580" s="4" t="inlineStr">
        <is>
          <t>MS-C25</t>
        </is>
      </c>
      <c r="L1580" s="6" t="n">
        <v>46323</v>
      </c>
      <c r="M1580" s="4" t="inlineStr">
        <is>
          <t>Approved</t>
        </is>
      </c>
      <c r="N1580" s="4" t="inlineStr">
        <is>
          <t>paragraph</t>
        </is>
      </c>
    </row>
    <row r="1581" ht="40" customHeight="1">
      <c r="A1581" s="8" t="inlineStr">
        <is>
          <t>C25-P0003</t>
        </is>
      </c>
      <c r="B1581" s="8" t="inlineStr">
        <is>
          <t>C25</t>
        </is>
      </c>
      <c r="C1581" s="8" t="inlineStr">
        <is>
          <t>Women’s Instinct for Developing and Ushering in Scientific Heights &amp; Innovation</t>
        </is>
      </c>
      <c r="D1581" s="8" t="inlineStr">
        <is>
          <t>Details</t>
        </is>
      </c>
      <c r="E1581" s="8" t="inlineStr">
        <is>
          <t>Proposals are invited from senior women scientists in the following scientific disciplines:</t>
        </is>
      </c>
      <c r="F1581" s="8" t="inlineStr">
        <is>
          <t>en.schemeContent.detailedDescription[0].children[2].children[0]</t>
        </is>
      </c>
      <c r="G1581" s="8" t="inlineStr">
        <is>
          <t>C25@20261028-281bc008</t>
        </is>
      </c>
      <c r="H1581" s="8" t="n">
        <v>1</v>
      </c>
      <c r="I1581" s="8" t="n">
        <v>1</v>
      </c>
      <c r="J1581" s="8" t="inlineStr">
        <is>
          <t>Physical &amp; Mathematical Sciences</t>
        </is>
      </c>
      <c r="K1581" s="8" t="inlineStr">
        <is>
          <t>MS-C25</t>
        </is>
      </c>
      <c r="L1581" s="9" t="n">
        <v>46323</v>
      </c>
      <c r="M1581" s="8" t="inlineStr">
        <is>
          <t>Approved</t>
        </is>
      </c>
      <c r="N1581" s="8" t="inlineStr">
        <is>
          <t>list_item</t>
        </is>
      </c>
    </row>
    <row r="1582" ht="40" customHeight="1">
      <c r="A1582" s="4" t="inlineStr">
        <is>
          <t>C25-P0004</t>
        </is>
      </c>
      <c r="B1582" s="4" t="inlineStr">
        <is>
          <t>C25</t>
        </is>
      </c>
      <c r="C1582" s="4" t="inlineStr">
        <is>
          <t>Women’s Instinct for Developing and Ushering in Scientific Heights &amp; Innovation</t>
        </is>
      </c>
      <c r="D1582" s="4" t="inlineStr">
        <is>
          <t>Details</t>
        </is>
      </c>
      <c r="E1582" s="4" t="inlineStr">
        <is>
          <t>Proposals are invited from senior women scientists in the following scientific disciplines:</t>
        </is>
      </c>
      <c r="F1582" s="4" t="inlineStr">
        <is>
          <t>en.schemeContent.detailedDescription[0].children[2].children[1]</t>
        </is>
      </c>
      <c r="G1582" s="4" t="inlineStr">
        <is>
          <t>C25@20261028-281bc008</t>
        </is>
      </c>
      <c r="H1582" s="4" t="n">
        <v>1</v>
      </c>
      <c r="I1582" s="4" t="n">
        <v>1</v>
      </c>
      <c r="J1582" s="4" t="inlineStr">
        <is>
          <t>Chemical Sciences</t>
        </is>
      </c>
      <c r="K1582" s="4" t="inlineStr">
        <is>
          <t>MS-C25</t>
        </is>
      </c>
      <c r="L1582" s="6" t="n">
        <v>46323</v>
      </c>
      <c r="M1582" s="4" t="inlineStr">
        <is>
          <t>Approved</t>
        </is>
      </c>
      <c r="N1582" s="4" t="inlineStr">
        <is>
          <t>list_item</t>
        </is>
      </c>
    </row>
    <row r="1583" ht="40" customHeight="1">
      <c r="A1583" s="8" t="inlineStr">
        <is>
          <t>C25-P0005</t>
        </is>
      </c>
      <c r="B1583" s="8" t="inlineStr">
        <is>
          <t>C25</t>
        </is>
      </c>
      <c r="C1583" s="8" t="inlineStr">
        <is>
          <t>Women’s Instinct for Developing and Ushering in Scientific Heights &amp; Innovation</t>
        </is>
      </c>
      <c r="D1583" s="8" t="inlineStr">
        <is>
          <t>Details</t>
        </is>
      </c>
      <c r="E1583" s="8" t="inlineStr">
        <is>
          <t>Proposals are invited from senior women scientists in the following scientific disciplines:</t>
        </is>
      </c>
      <c r="F1583" s="8" t="inlineStr">
        <is>
          <t>en.schemeContent.detailedDescription[0].children[2].children[2]</t>
        </is>
      </c>
      <c r="G1583" s="8" t="inlineStr">
        <is>
          <t>C25@20261028-281bc008</t>
        </is>
      </c>
      <c r="H1583" s="8" t="n">
        <v>1</v>
      </c>
      <c r="I1583" s="8" t="n">
        <v>1</v>
      </c>
      <c r="J1583" s="8" t="inlineStr">
        <is>
          <t>Life Sciences</t>
        </is>
      </c>
      <c r="K1583" s="8" t="inlineStr">
        <is>
          <t>MS-C25</t>
        </is>
      </c>
      <c r="L1583" s="9" t="n">
        <v>46323</v>
      </c>
      <c r="M1583" s="8" t="inlineStr">
        <is>
          <t>Approved</t>
        </is>
      </c>
      <c r="N1583" s="8" t="inlineStr">
        <is>
          <t>list_item</t>
        </is>
      </c>
    </row>
    <row r="1584" ht="40" customHeight="1">
      <c r="A1584" s="4" t="inlineStr">
        <is>
          <t>C25-P0006</t>
        </is>
      </c>
      <c r="B1584" s="4" t="inlineStr">
        <is>
          <t>C25</t>
        </is>
      </c>
      <c r="C1584" s="4" t="inlineStr">
        <is>
          <t>Women’s Instinct for Developing and Ushering in Scientific Heights &amp; Innovation</t>
        </is>
      </c>
      <c r="D1584" s="4" t="inlineStr">
        <is>
          <t>Details</t>
        </is>
      </c>
      <c r="E1584" s="4" t="inlineStr">
        <is>
          <t>Proposals are invited from senior women scientists in the following scientific disciplines:</t>
        </is>
      </c>
      <c r="F1584" s="4" t="inlineStr">
        <is>
          <t>en.schemeContent.detailedDescription[0].children[2].children[3]</t>
        </is>
      </c>
      <c r="G1584" s="4" t="inlineStr">
        <is>
          <t>C25@20261028-281bc008</t>
        </is>
      </c>
      <c r="H1584" s="4" t="n">
        <v>1</v>
      </c>
      <c r="I1584" s="4" t="n">
        <v>1</v>
      </c>
      <c r="J1584" s="4" t="inlineStr">
        <is>
          <t>Earth &amp; Atmospheric Sciences</t>
        </is>
      </c>
      <c r="K1584" s="4" t="inlineStr">
        <is>
          <t>MS-C25</t>
        </is>
      </c>
      <c r="L1584" s="6" t="n">
        <v>46323</v>
      </c>
      <c r="M1584" s="4" t="inlineStr">
        <is>
          <t>Approved</t>
        </is>
      </c>
      <c r="N1584" s="4" t="inlineStr">
        <is>
          <t>list_item</t>
        </is>
      </c>
    </row>
    <row r="1585" ht="40" customHeight="1">
      <c r="A1585" s="8" t="inlineStr">
        <is>
          <t>C25-P0007</t>
        </is>
      </c>
      <c r="B1585" s="8" t="inlineStr">
        <is>
          <t>C25</t>
        </is>
      </c>
      <c r="C1585" s="8" t="inlineStr">
        <is>
          <t>Women’s Instinct for Developing and Ushering in Scientific Heights &amp; Innovation</t>
        </is>
      </c>
      <c r="D1585" s="8" t="inlineStr">
        <is>
          <t>Details</t>
        </is>
      </c>
      <c r="E1585" s="8" t="inlineStr">
        <is>
          <t>Proposals are invited from senior women scientists in the following scientific disciplines:</t>
        </is>
      </c>
      <c r="F1585" s="8" t="inlineStr">
        <is>
          <t>en.schemeContent.detailedDescription[0].children[2].children[4]</t>
        </is>
      </c>
      <c r="G1585" s="8" t="inlineStr">
        <is>
          <t>C25@20261028-281bc008</t>
        </is>
      </c>
      <c r="H1585" s="8" t="n">
        <v>1</v>
      </c>
      <c r="I1585" s="8" t="n">
        <v>1</v>
      </c>
      <c r="J1585" s="8" t="inlineStr">
        <is>
          <t>Engineering &amp; Technology</t>
        </is>
      </c>
      <c r="K1585" s="8" t="inlineStr">
        <is>
          <t>MS-C25</t>
        </is>
      </c>
      <c r="L1585" s="9" t="n">
        <v>46323</v>
      </c>
      <c r="M1585" s="8" t="inlineStr">
        <is>
          <t>Approved</t>
        </is>
      </c>
      <c r="N1585" s="8" t="inlineStr">
        <is>
          <t>list_item</t>
        </is>
      </c>
    </row>
    <row r="1586" ht="40" customHeight="1">
      <c r="A1586" s="4" t="inlineStr">
        <is>
          <t>C25-P0008</t>
        </is>
      </c>
      <c r="B1586" s="4" t="inlineStr">
        <is>
          <t>C25</t>
        </is>
      </c>
      <c r="C1586" s="4" t="inlineStr">
        <is>
          <t>Women’s Instinct for Developing and Ushering in Scientific Heights &amp; Innovation</t>
        </is>
      </c>
      <c r="D1586" s="4" t="inlineStr">
        <is>
          <t>Details</t>
        </is>
      </c>
      <c r="E1586" s="4" t="inlineStr">
        <is>
          <t>Proposals are invited from senior women scientists in the following scientific disciplines:</t>
        </is>
      </c>
      <c r="F1586" s="4" t="inlineStr">
        <is>
          <t>en.schemeContent.detailedDescription[0].children[2].children[5]</t>
        </is>
      </c>
      <c r="G1586" s="4" t="inlineStr">
        <is>
          <t>C25@20261028-281bc008</t>
        </is>
      </c>
      <c r="H1586" s="4" t="n">
        <v>1</v>
      </c>
      <c r="I1586" s="4" t="n">
        <v>1</v>
      </c>
      <c r="J1586" s="4" t="inlineStr">
        <is>
          <t>S&amp;T based Societal Research</t>
        </is>
      </c>
      <c r="K1586" s="4" t="inlineStr">
        <is>
          <t>MS-C25</t>
        </is>
      </c>
      <c r="L1586" s="6" t="n">
        <v>46323</v>
      </c>
      <c r="M1586" s="4" t="inlineStr">
        <is>
          <t>Approved</t>
        </is>
      </c>
      <c r="N1586" s="4" t="inlineStr">
        <is>
          <t>list_item</t>
        </is>
      </c>
    </row>
    <row r="1587" ht="40" customHeight="1">
      <c r="A1587" s="8" t="inlineStr">
        <is>
          <t>C25-P0009</t>
        </is>
      </c>
      <c r="B1587" s="8" t="inlineStr">
        <is>
          <t>C25</t>
        </is>
      </c>
      <c r="C1587" s="8" t="inlineStr">
        <is>
          <t>Women’s Instinct for Developing and Ushering in Scientific Heights &amp; Innovation</t>
        </is>
      </c>
      <c r="D1587" s="8" t="inlineStr">
        <is>
          <t>Details</t>
        </is>
      </c>
      <c r="E1587" s="8" t="inlineStr">
        <is>
          <t>Target Group: The target group is categorized into the following 2 categories:</t>
        </is>
      </c>
      <c r="F1587" s="8" t="inlineStr">
        <is>
          <t>en.schemeContent.detailedDescription[0].children[3]</t>
        </is>
      </c>
      <c r="G1587" s="8" t="inlineStr">
        <is>
          <t>C25@20261028-281bc008</t>
        </is>
      </c>
      <c r="H1587" s="8" t="n">
        <v>1</v>
      </c>
      <c r="I1587" s="8" t="n">
        <v>1</v>
      </c>
      <c r="J1587" s="8" t="inlineStr">
        <is>
          <t>Target Group: The target group is categorized into the following 2 categories:</t>
        </is>
      </c>
      <c r="K1587" s="8" t="inlineStr">
        <is>
          <t>MS-C25</t>
        </is>
      </c>
      <c r="L1587" s="9" t="n">
        <v>46323</v>
      </c>
      <c r="M1587" s="8" t="inlineStr">
        <is>
          <t>Approved</t>
        </is>
      </c>
      <c r="N1587" s="8" t="inlineStr">
        <is>
          <t>paragraph</t>
        </is>
      </c>
    </row>
    <row r="1588" ht="40" customHeight="1">
      <c r="A1588" s="4" t="inlineStr">
        <is>
          <t>C25-P0010</t>
        </is>
      </c>
      <c r="B1588" s="4" t="inlineStr">
        <is>
          <t>C25</t>
        </is>
      </c>
      <c r="C1588" s="4" t="inlineStr">
        <is>
          <t>Women’s Instinct for Developing and Ushering in Scientific Heights &amp; Innovation</t>
        </is>
      </c>
      <c r="D1588" s="4" t="inlineStr">
        <is>
          <t>Details</t>
        </is>
      </c>
      <c r="E1588" s="4" t="inlineStr">
        <is>
          <t>Target Group: The target group is categorized into the following 2 categories:</t>
        </is>
      </c>
      <c r="F1588" s="4" t="inlineStr">
        <is>
          <t>en.schemeContent.detailedDescription[0].children[4]</t>
        </is>
      </c>
      <c r="G1588" s="4" t="inlineStr">
        <is>
          <t>C25@20261028-281bc008</t>
        </is>
      </c>
      <c r="H1588" s="4" t="n">
        <v>1</v>
      </c>
      <c r="I1588" s="4" t="n">
        <v>1</v>
      </c>
      <c r="J1588" s="4" t="inlineStr">
        <is>
          <t>Category-A: Retiring or retired Women Scientist</t>
        </is>
      </c>
      <c r="K1588" s="4" t="inlineStr">
        <is>
          <t>MS-C25</t>
        </is>
      </c>
      <c r="L1588" s="6" t="n">
        <v>46323</v>
      </c>
      <c r="M1588" s="4" t="inlineStr">
        <is>
          <t>Approved</t>
        </is>
      </c>
      <c r="N1588" s="4" t="inlineStr">
        <is>
          <t>paragraph</t>
        </is>
      </c>
    </row>
    <row r="1589" ht="40" customHeight="1">
      <c r="A1589" s="8" t="inlineStr">
        <is>
          <t>C25-P0011</t>
        </is>
      </c>
      <c r="B1589" s="8" t="inlineStr">
        <is>
          <t>C25</t>
        </is>
      </c>
      <c r="C1589" s="8" t="inlineStr">
        <is>
          <t>Women’s Instinct for Developing and Ushering in Scientific Heights &amp; Innovation</t>
        </is>
      </c>
      <c r="D1589" s="8" t="inlineStr">
        <is>
          <t>Details</t>
        </is>
      </c>
      <c r="E1589" s="8" t="inlineStr">
        <is>
          <t>Target Group: The target group is categorized into the following 2 categories:</t>
        </is>
      </c>
      <c r="F1589" s="8" t="inlineStr">
        <is>
          <t>en.schemeContent.detailedDescription[0].children[5]</t>
        </is>
      </c>
      <c r="G1589" s="8" t="inlineStr">
        <is>
          <t>C25@20261028-281bc008</t>
        </is>
      </c>
      <c r="H1589" s="8" t="n">
        <v>1</v>
      </c>
      <c r="I1589" s="8" t="n">
        <v>1</v>
      </c>
      <c r="J1589" s="8" t="inlineStr">
        <is>
          <t>Category-B: Senior Women Scientists who are not in regular employment</t>
        </is>
      </c>
      <c r="K1589" s="8" t="inlineStr">
        <is>
          <t>MS-C25</t>
        </is>
      </c>
      <c r="L1589" s="9" t="n">
        <v>46323</v>
      </c>
      <c r="M1589" s="8" t="inlineStr">
        <is>
          <t>Approved</t>
        </is>
      </c>
      <c r="N1589" s="8" t="inlineStr">
        <is>
          <t>paragraph</t>
        </is>
      </c>
    </row>
    <row r="1590" ht="40" customHeight="1">
      <c r="A1590" s="4" t="inlineStr">
        <is>
          <t>C25-P0012</t>
        </is>
      </c>
      <c r="B1590" s="4" t="inlineStr">
        <is>
          <t>C25</t>
        </is>
      </c>
      <c r="C1590" s="4" t="inlineStr">
        <is>
          <t>Women’s Instinct for Developing and Ushering in Scientific Heights &amp; Innovation</t>
        </is>
      </c>
      <c r="D1590" s="4" t="inlineStr">
        <is>
          <t>Details</t>
        </is>
      </c>
      <c r="E1590" s="4" t="inlineStr">
        <is>
          <t>Target Group: The target group is categorized into the following 2 categories:</t>
        </is>
      </c>
      <c r="F1590" s="4" t="inlineStr">
        <is>
          <t>en.schemeContent.detailedDescription[0].children[6]</t>
        </is>
      </c>
      <c r="G1590" s="4" t="inlineStr">
        <is>
          <t>C25@20261028-281bc008</t>
        </is>
      </c>
      <c r="H1590" s="4" t="n">
        <v>1</v>
      </c>
      <c r="I1590" s="4" t="n">
        <v>1</v>
      </c>
      <c r="J1590" s="4" t="inlineStr">
        <is>
          <t>Project Duration:</t>
        </is>
      </c>
      <c r="K1590" s="4" t="inlineStr">
        <is>
          <t>MS-C25</t>
        </is>
      </c>
      <c r="L1590" s="6" t="n">
        <v>46323</v>
      </c>
      <c r="M1590" s="4" t="inlineStr">
        <is>
          <t>Approved</t>
        </is>
      </c>
      <c r="N1590" s="4" t="inlineStr">
        <is>
          <t>paragraph</t>
        </is>
      </c>
    </row>
    <row r="1591" ht="40" customHeight="1">
      <c r="A1591" s="8" t="inlineStr">
        <is>
          <t>C25-P0013</t>
        </is>
      </c>
      <c r="B1591" s="8" t="inlineStr">
        <is>
          <t>C25</t>
        </is>
      </c>
      <c r="C1591" s="8" t="inlineStr">
        <is>
          <t>Women’s Instinct for Developing and Ushering in Scientific Heights &amp; Innovation</t>
        </is>
      </c>
      <c r="D1591" s="8" t="inlineStr">
        <is>
          <t>Details</t>
        </is>
      </c>
      <c r="E1591" s="8" t="inlineStr">
        <is>
          <t>Target Group: The target group is categorized into the following 2 categories:</t>
        </is>
      </c>
      <c r="F1591" s="8" t="inlineStr">
        <is>
          <t>en.schemeContent.detailedDescription[0].children[7]</t>
        </is>
      </c>
      <c r="G1591" s="8" t="inlineStr">
        <is>
          <t>C25@20261028-281bc008</t>
        </is>
      </c>
      <c r="H1591" s="8" t="n">
        <v>1</v>
      </c>
      <c r="I1591" s="8" t="n">
        <v>1</v>
      </c>
      <c r="J1591" s="8" t="inlineStr">
        <is>
          <t>The maximum duration of the project is 5 years.</t>
        </is>
      </c>
      <c r="K1591" s="8" t="inlineStr">
        <is>
          <t>MS-C25</t>
        </is>
      </c>
      <c r="L1591" s="9" t="n">
        <v>46323</v>
      </c>
      <c r="M1591" s="8" t="inlineStr">
        <is>
          <t>Approved</t>
        </is>
      </c>
      <c r="N1591" s="8" t="inlineStr">
        <is>
          <t>paragraph</t>
        </is>
      </c>
    </row>
    <row r="1592" ht="40" customHeight="1">
      <c r="A1592" s="4" t="inlineStr">
        <is>
          <t>C25-P0014</t>
        </is>
      </c>
      <c r="B1592" s="4" t="inlineStr">
        <is>
          <t>C25</t>
        </is>
      </c>
      <c r="C1592" s="4" t="inlineStr">
        <is>
          <t>Women’s Instinct for Developing and Ushering in Scientific Heights &amp; Innovation</t>
        </is>
      </c>
      <c r="D1592" s="4" t="inlineStr">
        <is>
          <t>Benefits</t>
        </is>
      </c>
      <c r="E1592" s="4" t="inlineStr"/>
      <c r="F1592" s="4" t="inlineStr">
        <is>
          <t>en.schemeContent.benefits[0].children[0].children[0]</t>
        </is>
      </c>
      <c r="G1592" s="4" t="inlineStr">
        <is>
          <t>C25@20261028-281bc008</t>
        </is>
      </c>
      <c r="H1592" s="4" t="n">
        <v>1</v>
      </c>
      <c r="I1592" s="4" t="n">
        <v>1</v>
      </c>
      <c r="J1592" s="4" t="inlineStr">
        <is>
          <t>Category A:</t>
        </is>
      </c>
      <c r="K1592" s="4" t="inlineStr">
        <is>
          <t>MS-C25</t>
        </is>
      </c>
      <c r="L1592" s="6" t="n">
        <v>46323</v>
      </c>
      <c r="M1592" s="4" t="inlineStr">
        <is>
          <t>Approved</t>
        </is>
      </c>
      <c r="N1592" s="4" t="inlineStr">
        <is>
          <t>text</t>
        </is>
      </c>
    </row>
    <row r="1593" ht="54" customHeight="1">
      <c r="A1593" s="8" t="inlineStr">
        <is>
          <t>C25-P0015</t>
        </is>
      </c>
      <c r="B1593" s="8" t="inlineStr">
        <is>
          <t>C25</t>
        </is>
      </c>
      <c r="C1593" s="8" t="inlineStr">
        <is>
          <t>Women’s Instinct for Developing and Ushering in Scientific Heights &amp; Innovation</t>
        </is>
      </c>
      <c r="D1593" s="8" t="inlineStr">
        <is>
          <t>Benefits</t>
        </is>
      </c>
      <c r="E1593" s="8" t="inlineStr"/>
      <c r="F1593" s="8" t="inlineStr">
        <is>
          <t>en.schemeContent.benefits[0].children[1]</t>
        </is>
      </c>
      <c r="G1593" s="8" t="inlineStr">
        <is>
          <t>C25@20261028-281bc008</t>
        </is>
      </c>
      <c r="H1593" s="8" t="n">
        <v>1</v>
      </c>
      <c r="I1593" s="8" t="n">
        <v>1</v>
      </c>
      <c r="J1593" s="8" t="inlineStr">
        <is>
          <t>1.	The Programme provides fellowship to the Principal Investigator @₹75,000/- per month, One Research Assistant, Research Grant of ₹5.0 Lakh per year and Institutional overhead charges @₹1.00 lakh per annum.</t>
        </is>
      </c>
      <c r="K1593" s="8" t="inlineStr">
        <is>
          <t>MS-C25</t>
        </is>
      </c>
      <c r="L1593" s="9" t="n">
        <v>46323</v>
      </c>
      <c r="M1593" s="8" t="inlineStr">
        <is>
          <t>Approved</t>
        </is>
      </c>
      <c r="N1593" s="8" t="inlineStr">
        <is>
          <t>paragraph</t>
        </is>
      </c>
    </row>
    <row r="1594" ht="40" customHeight="1">
      <c r="A1594" s="4" t="inlineStr">
        <is>
          <t>C25-P0016</t>
        </is>
      </c>
      <c r="B1594" s="4" t="inlineStr">
        <is>
          <t>C25</t>
        </is>
      </c>
      <c r="C1594" s="4" t="inlineStr">
        <is>
          <t>Women’s Instinct for Developing and Ushering in Scientific Heights &amp; Innovation</t>
        </is>
      </c>
      <c r="D1594" s="4" t="inlineStr">
        <is>
          <t>Benefits</t>
        </is>
      </c>
      <c r="E1594" s="4" t="inlineStr"/>
      <c r="F1594" s="4" t="inlineStr">
        <is>
          <t>en.schemeContent.benefits[0].children[2].children[0]</t>
        </is>
      </c>
      <c r="G1594" s="4" t="inlineStr">
        <is>
          <t>C25@20261028-281bc008</t>
        </is>
      </c>
      <c r="H1594" s="4" t="n">
        <v>1</v>
      </c>
      <c r="I1594" s="4" t="n">
        <v>1</v>
      </c>
      <c r="J1594" s="4" t="inlineStr">
        <is>
          <t>Category B:</t>
        </is>
      </c>
      <c r="K1594" s="4" t="inlineStr">
        <is>
          <t>MS-C25</t>
        </is>
      </c>
      <c r="L1594" s="6" t="n">
        <v>46323</v>
      </c>
      <c r="M1594" s="4" t="inlineStr">
        <is>
          <t>Approved</t>
        </is>
      </c>
      <c r="N1594" s="4" t="inlineStr">
        <is>
          <t>text</t>
        </is>
      </c>
    </row>
    <row r="1595" ht="54" customHeight="1">
      <c r="A1595" s="8" t="inlineStr">
        <is>
          <t>C25-P0017</t>
        </is>
      </c>
      <c r="B1595" s="8" t="inlineStr">
        <is>
          <t>C25</t>
        </is>
      </c>
      <c r="C1595" s="8" t="inlineStr">
        <is>
          <t>Women’s Instinct for Developing and Ushering in Scientific Heights &amp; Innovation</t>
        </is>
      </c>
      <c r="D1595" s="8" t="inlineStr">
        <is>
          <t>Benefits</t>
        </is>
      </c>
      <c r="E1595" s="8" t="inlineStr"/>
      <c r="F1595" s="8" t="inlineStr">
        <is>
          <t>en.schemeContent.benefits[0].children[3]</t>
        </is>
      </c>
      <c r="G1595" s="8" t="inlineStr">
        <is>
          <t>C25@20261028-281bc008</t>
        </is>
      </c>
      <c r="H1595" s="8" t="n">
        <v>1</v>
      </c>
      <c r="I1595" s="8" t="n">
        <v>1</v>
      </c>
      <c r="J1595" s="8" t="inlineStr">
        <is>
          <t>1.	The Programme provides fellowship to the Principal Investigator @₹85,000/- per month, One Research Assistant, Research Grant of ₹5.0 Lakh per year and Institutional overhead charges @₹1.00 lakh per annum.</t>
        </is>
      </c>
      <c r="K1595" s="8" t="inlineStr">
        <is>
          <t>MS-C25</t>
        </is>
      </c>
      <c r="L1595" s="9" t="n">
        <v>46323</v>
      </c>
      <c r="M1595" s="8" t="inlineStr">
        <is>
          <t>Approved</t>
        </is>
      </c>
      <c r="N1595" s="8" t="inlineStr">
        <is>
          <t>paragraph</t>
        </is>
      </c>
    </row>
    <row r="1596" ht="40" customHeight="1">
      <c r="A1596" s="4" t="inlineStr">
        <is>
          <t>C25-P0018</t>
        </is>
      </c>
      <c r="B1596" s="4" t="inlineStr">
        <is>
          <t>C25</t>
        </is>
      </c>
      <c r="C1596" s="4" t="inlineStr">
        <is>
          <t>Women’s Instinct for Developing and Ushering in Scientific Heights &amp; Innovation</t>
        </is>
      </c>
      <c r="D1596" s="4" t="inlineStr">
        <is>
          <t>Benefits</t>
        </is>
      </c>
      <c r="E1596" s="4" t="inlineStr"/>
      <c r="F1596" s="4" t="inlineStr">
        <is>
          <t>en.schemeContent.benefits[0].children[4].children[0]</t>
        </is>
      </c>
      <c r="G1596" s="4" t="inlineStr">
        <is>
          <t>C25@20261028-281bc008</t>
        </is>
      </c>
      <c r="H1596" s="4" t="n">
        <v>1</v>
      </c>
      <c r="I1596" s="4" t="n">
        <v>1</v>
      </c>
      <c r="J1596" s="4" t="inlineStr">
        <is>
          <t>Co-Investigator (Co-I):</t>
        </is>
      </c>
      <c r="K1596" s="4" t="inlineStr">
        <is>
          <t>MS-C25</t>
        </is>
      </c>
      <c r="L1596" s="6" t="n">
        <v>46323</v>
      </c>
      <c r="M1596" s="4" t="inlineStr">
        <is>
          <t>Approved</t>
        </is>
      </c>
      <c r="N1596" s="4" t="inlineStr">
        <is>
          <t>text</t>
        </is>
      </c>
    </row>
    <row r="1597" ht="68" customHeight="1">
      <c r="A1597" s="8" t="inlineStr">
        <is>
          <t>C25-P0019</t>
        </is>
      </c>
      <c r="B1597" s="8" t="inlineStr">
        <is>
          <t>C25</t>
        </is>
      </c>
      <c r="C1597" s="8" t="inlineStr">
        <is>
          <t>Women’s Instinct for Developing and Ushering in Scientific Heights &amp; Innovation</t>
        </is>
      </c>
      <c r="D1597" s="8" t="inlineStr">
        <is>
          <t>Benefits</t>
        </is>
      </c>
      <c r="E1597" s="8" t="inlineStr"/>
      <c r="F1597" s="8" t="inlineStr">
        <is>
          <t>en.schemeContent.benefits[0].children[5]</t>
        </is>
      </c>
      <c r="G1597" s="8" t="inlineStr">
        <is>
          <t>C25@20261028-281bc008</t>
        </is>
      </c>
      <c r="H1597" s="8" t="n">
        <v>1</v>
      </c>
      <c r="I1597" s="8" t="n">
        <v>1</v>
      </c>
      <c r="J1597" s="8" t="inlineStr">
        <is>
          <t>'WIDUSHI' fellow should choose a permanent faculty as Co-I (male/female) of the project for academic and administrative support in project implementation. The service of Co-I has to be due for a period not less than the proposed period of the WIDUSHI project. The Co-I is not eligible for any separate grants under the programme.</t>
        </is>
      </c>
      <c r="K1597" s="8" t="inlineStr">
        <is>
          <t>MS-C25</t>
        </is>
      </c>
      <c r="L1597" s="9" t="n">
        <v>46323</v>
      </c>
      <c r="M1597" s="8" t="inlineStr">
        <is>
          <t>Approved</t>
        </is>
      </c>
      <c r="N1597" s="8" t="inlineStr">
        <is>
          <t>paragraph</t>
        </is>
      </c>
    </row>
    <row r="1598" ht="40" customHeight="1">
      <c r="A1598" s="4" t="inlineStr">
        <is>
          <t>C25-P0020</t>
        </is>
      </c>
      <c r="B1598" s="4" t="inlineStr">
        <is>
          <t>C25</t>
        </is>
      </c>
      <c r="C1598" s="4" t="inlineStr">
        <is>
          <t>Women’s Instinct for Developing and Ushering in Scientific Heights &amp; Innovation</t>
        </is>
      </c>
      <c r="D1598" s="4" t="inlineStr">
        <is>
          <t>Eligibility</t>
        </is>
      </c>
      <c r="E1598" s="4" t="inlineStr"/>
      <c r="F1598" s="4" t="inlineStr">
        <is>
          <t>en.eligibilityCriteria.eligibilityDescription[0].children[0].children[0]</t>
        </is>
      </c>
      <c r="G1598" s="4" t="inlineStr">
        <is>
          <t>C25@20261028-281bc008</t>
        </is>
      </c>
      <c r="H1598" s="4" t="n">
        <v>1</v>
      </c>
      <c r="I1598" s="4" t="n">
        <v>1</v>
      </c>
      <c r="J1598" s="4" t="inlineStr">
        <is>
          <t>Category A: The following are the primary eligibility criteria-</t>
        </is>
      </c>
      <c r="K1598" s="4" t="inlineStr">
        <is>
          <t>MS-C25</t>
        </is>
      </c>
      <c r="L1598" s="6" t="n">
        <v>46323</v>
      </c>
      <c r="M1598" s="4" t="inlineStr">
        <is>
          <t>Approved</t>
        </is>
      </c>
      <c r="N1598" s="4" t="inlineStr">
        <is>
          <t>text</t>
        </is>
      </c>
    </row>
    <row r="1599" ht="40" customHeight="1">
      <c r="A1599" s="8" t="inlineStr">
        <is>
          <t>C25-P0021</t>
        </is>
      </c>
      <c r="B1599" s="8" t="inlineStr">
        <is>
          <t>C25</t>
        </is>
      </c>
      <c r="C1599" s="8" t="inlineStr">
        <is>
          <t>Women’s Instinct for Developing and Ushering in Scientific Heights &amp; Innovation</t>
        </is>
      </c>
      <c r="D1599" s="8" t="inlineStr">
        <is>
          <t>Eligibility</t>
        </is>
      </c>
      <c r="E1599" s="8" t="inlineStr"/>
      <c r="F1599" s="8" t="inlineStr">
        <is>
          <t>en.eligibilityCriteria.eligibilityDescription[0].children[1].children[0]</t>
        </is>
      </c>
      <c r="G1599" s="8" t="inlineStr">
        <is>
          <t>C25@20261028-281bc008</t>
        </is>
      </c>
      <c r="H1599" s="8" t="n">
        <v>1</v>
      </c>
      <c r="I1599" s="8" t="n">
        <v>1</v>
      </c>
      <c r="J1599" s="8" t="inlineStr">
        <is>
          <t>Employment: Women Scientists who are permanent employees but retiring in a year or already retired/superannuated from government academic/research institutions.</t>
        </is>
      </c>
      <c r="K1599" s="8" t="inlineStr">
        <is>
          <t>MS-C25</t>
        </is>
      </c>
      <c r="L1599" s="9" t="n">
        <v>46323</v>
      </c>
      <c r="M1599" s="8" t="inlineStr">
        <is>
          <t>Approved</t>
        </is>
      </c>
      <c r="N1599" s="8" t="inlineStr">
        <is>
          <t>list_item</t>
        </is>
      </c>
    </row>
    <row r="1600" ht="40" customHeight="1">
      <c r="A1600" s="4" t="inlineStr">
        <is>
          <t>C25-P0022</t>
        </is>
      </c>
      <c r="B1600" s="4" t="inlineStr">
        <is>
          <t>C25</t>
        </is>
      </c>
      <c r="C1600" s="4" t="inlineStr">
        <is>
          <t>Women’s Instinct for Developing and Ushering in Scientific Heights &amp; Innovation</t>
        </is>
      </c>
      <c r="D1600" s="4" t="inlineStr">
        <is>
          <t>Eligibility</t>
        </is>
      </c>
      <c r="E1600" s="4" t="inlineStr"/>
      <c r="F1600" s="4" t="inlineStr">
        <is>
          <t>en.eligibilityCriteria.eligibilityDescription[0].children[1].children[1]</t>
        </is>
      </c>
      <c r="G1600" s="4" t="inlineStr">
        <is>
          <t>C25@20261028-281bc008</t>
        </is>
      </c>
      <c r="H1600" s="4" t="n">
        <v>1</v>
      </c>
      <c r="I1600" s="4" t="n">
        <v>1</v>
      </c>
      <c r="J1600" s="4" t="inlineStr">
        <is>
          <t>Age: 57-62 years</t>
        </is>
      </c>
      <c r="K1600" s="4" t="inlineStr">
        <is>
          <t>MS-C25</t>
        </is>
      </c>
      <c r="L1600" s="6" t="n">
        <v>46323</v>
      </c>
      <c r="M1600" s="4" t="inlineStr">
        <is>
          <t>Approved</t>
        </is>
      </c>
      <c r="N1600" s="4" t="inlineStr">
        <is>
          <t>list_item</t>
        </is>
      </c>
    </row>
    <row r="1601" ht="40" customHeight="1">
      <c r="A1601" s="8" t="inlineStr">
        <is>
          <t>C25-P0023</t>
        </is>
      </c>
      <c r="B1601" s="8" t="inlineStr">
        <is>
          <t>C25</t>
        </is>
      </c>
      <c r="C1601" s="8" t="inlineStr">
        <is>
          <t>Women’s Instinct for Developing and Ushering in Scientific Heights &amp; Innovation</t>
        </is>
      </c>
      <c r="D1601" s="8" t="inlineStr">
        <is>
          <t>Eligibility</t>
        </is>
      </c>
      <c r="E1601" s="8" t="inlineStr"/>
      <c r="F1601" s="8" t="inlineStr">
        <is>
          <t>en.eligibilityCriteria.eligibilityDescription[0].children[1].children[2]</t>
        </is>
      </c>
      <c r="G1601" s="8" t="inlineStr">
        <is>
          <t>C25@20261028-281bc008</t>
        </is>
      </c>
      <c r="H1601" s="8" t="n">
        <v>1</v>
      </c>
      <c r="I1601" s="8" t="n">
        <v>1</v>
      </c>
      <c r="J1601" s="8" t="inlineStr">
        <is>
          <t>Qualification: Women Scientists having Ph.D. in Basic/Applied Sciences or equivalent degree.</t>
        </is>
      </c>
      <c r="K1601" s="8" t="inlineStr">
        <is>
          <t>MS-C25</t>
        </is>
      </c>
      <c r="L1601" s="9" t="n">
        <v>46323</v>
      </c>
      <c r="M1601" s="8" t="inlineStr">
        <is>
          <t>Approved</t>
        </is>
      </c>
      <c r="N1601" s="8" t="inlineStr">
        <is>
          <t>list_item</t>
        </is>
      </c>
    </row>
    <row r="1602" ht="40" customHeight="1">
      <c r="A1602" s="4" t="inlineStr">
        <is>
          <t>C25-P0024</t>
        </is>
      </c>
      <c r="B1602" s="4" t="inlineStr">
        <is>
          <t>C25</t>
        </is>
      </c>
      <c r="C1602" s="4" t="inlineStr">
        <is>
          <t>Women’s Instinct for Developing and Ushering in Scientific Heights &amp; Innovation</t>
        </is>
      </c>
      <c r="D1602" s="4" t="inlineStr">
        <is>
          <t>Eligibility</t>
        </is>
      </c>
      <c r="E1602" s="4" t="inlineStr"/>
      <c r="F1602" s="4" t="inlineStr">
        <is>
          <t>en.eligibilityCriteria.eligibilityDescription[0].children[1].children[3]</t>
        </is>
      </c>
      <c r="G1602" s="4" t="inlineStr">
        <is>
          <t>C25@20261028-281bc008</t>
        </is>
      </c>
      <c r="H1602" s="4" t="n">
        <v>1</v>
      </c>
      <c r="I1602" s="4" t="n">
        <v>1</v>
      </c>
      <c r="J1602" s="4" t="inlineStr">
        <is>
          <t>Research Experience: Minimum 2 R&amp;D projects as Principal Investigator with excellent track record.</t>
        </is>
      </c>
      <c r="K1602" s="4" t="inlineStr">
        <is>
          <t>MS-C25</t>
        </is>
      </c>
      <c r="L1602" s="6" t="n">
        <v>46323</v>
      </c>
      <c r="M1602" s="4" t="inlineStr">
        <is>
          <t>Approved</t>
        </is>
      </c>
      <c r="N1602" s="4" t="inlineStr">
        <is>
          <t>list_item</t>
        </is>
      </c>
    </row>
    <row r="1603" ht="40" customHeight="1">
      <c r="A1603" s="8" t="inlineStr">
        <is>
          <t>C25-P0025</t>
        </is>
      </c>
      <c r="B1603" s="8" t="inlineStr">
        <is>
          <t>C25</t>
        </is>
      </c>
      <c r="C1603" s="8" t="inlineStr">
        <is>
          <t>Women’s Instinct for Developing and Ushering in Scientific Heights &amp; Innovation</t>
        </is>
      </c>
      <c r="D1603" s="8" t="inlineStr">
        <is>
          <t>Eligibility</t>
        </is>
      </c>
      <c r="E1603" s="8" t="inlineStr"/>
      <c r="F1603" s="8" t="inlineStr">
        <is>
          <t>en.eligibilityCriteria.eligibilityDescription[0].children[1].children[4]</t>
        </is>
      </c>
      <c r="G1603" s="8" t="inlineStr">
        <is>
          <t>C25@20261028-281bc008</t>
        </is>
      </c>
      <c r="H1603" s="8" t="n">
        <v>1</v>
      </c>
      <c r="I1603" s="8" t="n">
        <v>1</v>
      </c>
      <c r="J1603" s="8" t="inlineStr">
        <is>
          <t>Publications: Minimum 20 research publications with impact factor.</t>
        </is>
      </c>
      <c r="K1603" s="8" t="inlineStr">
        <is>
          <t>MS-C25</t>
        </is>
      </c>
      <c r="L1603" s="9" t="n">
        <v>46323</v>
      </c>
      <c r="M1603" s="8" t="inlineStr">
        <is>
          <t>Approved</t>
        </is>
      </c>
      <c r="N1603" s="8" t="inlineStr">
        <is>
          <t>list_item</t>
        </is>
      </c>
    </row>
    <row r="1604" ht="40" customHeight="1">
      <c r="A1604" s="4" t="inlineStr">
        <is>
          <t>C25-P0026</t>
        </is>
      </c>
      <c r="B1604" s="4" t="inlineStr">
        <is>
          <t>C25</t>
        </is>
      </c>
      <c r="C1604" s="4" t="inlineStr">
        <is>
          <t>Women’s Instinct for Developing and Ushering in Scientific Heights &amp; Innovation</t>
        </is>
      </c>
      <c r="D1604" s="4" t="inlineStr">
        <is>
          <t>Eligibility</t>
        </is>
      </c>
      <c r="E1604" s="4" t="inlineStr"/>
      <c r="F1604" s="4" t="inlineStr">
        <is>
          <t>en.eligibilityCriteria.eligibilityDescription[0].children[2].children[0]</t>
        </is>
      </c>
      <c r="G1604" s="4" t="inlineStr">
        <is>
          <t>C25@20261028-281bc008</t>
        </is>
      </c>
      <c r="H1604" s="4" t="n">
        <v>1</v>
      </c>
      <c r="I1604" s="4" t="n">
        <v>1</v>
      </c>
      <c r="J1604" s="4" t="inlineStr">
        <is>
          <t>Category B: The following are the primary eligibility criteria-</t>
        </is>
      </c>
      <c r="K1604" s="4" t="inlineStr">
        <is>
          <t>MS-C25</t>
        </is>
      </c>
      <c r="L1604" s="6" t="n">
        <v>46323</v>
      </c>
      <c r="M1604" s="4" t="inlineStr">
        <is>
          <t>Approved</t>
        </is>
      </c>
      <c r="N1604" s="4" t="inlineStr">
        <is>
          <t>text</t>
        </is>
      </c>
    </row>
    <row r="1605" ht="40" customHeight="1">
      <c r="A1605" s="8" t="inlineStr">
        <is>
          <t>C25-P0027</t>
        </is>
      </c>
      <c r="B1605" s="8" t="inlineStr">
        <is>
          <t>C25</t>
        </is>
      </c>
      <c r="C1605" s="8" t="inlineStr">
        <is>
          <t>Women’s Instinct for Developing and Ushering in Scientific Heights &amp; Innovation</t>
        </is>
      </c>
      <c r="D1605" s="8" t="inlineStr">
        <is>
          <t>Eligibility</t>
        </is>
      </c>
      <c r="E1605" s="8" t="inlineStr"/>
      <c r="F1605" s="8" t="inlineStr">
        <is>
          <t>en.eligibilityCriteria.eligibilityDescription[0].children[3].children[0]</t>
        </is>
      </c>
      <c r="G1605" s="8" t="inlineStr">
        <is>
          <t>C25@20261028-281bc008</t>
        </is>
      </c>
      <c r="H1605" s="8" t="n">
        <v>1</v>
      </c>
      <c r="I1605" s="8" t="n">
        <v>1</v>
      </c>
      <c r="J1605" s="8" t="inlineStr">
        <is>
          <t>Employment: Women who are not permanent employees in any institution but working temporarily and have completed 2 independent research projects as Principal Investigator.</t>
        </is>
      </c>
      <c r="K1605" s="8" t="inlineStr">
        <is>
          <t>MS-C25</t>
        </is>
      </c>
      <c r="L1605" s="9" t="n">
        <v>46323</v>
      </c>
      <c r="M1605" s="8" t="inlineStr">
        <is>
          <t>Approved</t>
        </is>
      </c>
      <c r="N1605" s="8" t="inlineStr">
        <is>
          <t>list_item</t>
        </is>
      </c>
    </row>
    <row r="1606" ht="40" customHeight="1">
      <c r="A1606" s="4" t="inlineStr">
        <is>
          <t>C25-P0028</t>
        </is>
      </c>
      <c r="B1606" s="4" t="inlineStr">
        <is>
          <t>C25</t>
        </is>
      </c>
      <c r="C1606" s="4" t="inlineStr">
        <is>
          <t>Women’s Instinct for Developing and Ushering in Scientific Heights &amp; Innovation</t>
        </is>
      </c>
      <c r="D1606" s="4" t="inlineStr">
        <is>
          <t>Eligibility</t>
        </is>
      </c>
      <c r="E1606" s="4" t="inlineStr"/>
      <c r="F1606" s="4" t="inlineStr">
        <is>
          <t>en.eligibilityCriteria.eligibilityDescription[0].children[3].children[1]</t>
        </is>
      </c>
      <c r="G1606" s="4" t="inlineStr">
        <is>
          <t>C25@20261028-281bc008</t>
        </is>
      </c>
      <c r="H1606" s="4" t="n">
        <v>1</v>
      </c>
      <c r="I1606" s="4" t="n">
        <v>1</v>
      </c>
      <c r="J1606" s="4" t="inlineStr">
        <is>
          <t>Age: 45-62 years</t>
        </is>
      </c>
      <c r="K1606" s="4" t="inlineStr">
        <is>
          <t>MS-C25</t>
        </is>
      </c>
      <c r="L1606" s="6" t="n">
        <v>46323</v>
      </c>
      <c r="M1606" s="4" t="inlineStr">
        <is>
          <t>Approved</t>
        </is>
      </c>
      <c r="N1606" s="4" t="inlineStr">
        <is>
          <t>list_item</t>
        </is>
      </c>
    </row>
    <row r="1607" ht="40" customHeight="1">
      <c r="A1607" s="8" t="inlineStr">
        <is>
          <t>C25-P0029</t>
        </is>
      </c>
      <c r="B1607" s="8" t="inlineStr">
        <is>
          <t>C25</t>
        </is>
      </c>
      <c r="C1607" s="8" t="inlineStr">
        <is>
          <t>Women’s Instinct for Developing and Ushering in Scientific Heights &amp; Innovation</t>
        </is>
      </c>
      <c r="D1607" s="8" t="inlineStr">
        <is>
          <t>Eligibility</t>
        </is>
      </c>
      <c r="E1607" s="8" t="inlineStr"/>
      <c r="F1607" s="8" t="inlineStr">
        <is>
          <t>en.eligibilityCriteria.eligibilityDescription[0].children[3].children[2]</t>
        </is>
      </c>
      <c r="G1607" s="8" t="inlineStr">
        <is>
          <t>C25@20261028-281bc008</t>
        </is>
      </c>
      <c r="H1607" s="8" t="n">
        <v>1</v>
      </c>
      <c r="I1607" s="8" t="n">
        <v>1</v>
      </c>
      <c r="J1607" s="8" t="inlineStr">
        <is>
          <t>Qualification: Women Scientists having Ph.D. in Basic/Applied Sciences or equivalent degree.</t>
        </is>
      </c>
      <c r="K1607" s="8" t="inlineStr">
        <is>
          <t>MS-C25</t>
        </is>
      </c>
      <c r="L1607" s="9" t="n">
        <v>46323</v>
      </c>
      <c r="M1607" s="8" t="inlineStr">
        <is>
          <t>Approved</t>
        </is>
      </c>
      <c r="N1607" s="8" t="inlineStr">
        <is>
          <t>list_item</t>
        </is>
      </c>
    </row>
    <row r="1608" ht="40" customHeight="1">
      <c r="A1608" s="4" t="inlineStr">
        <is>
          <t>C25-P0030</t>
        </is>
      </c>
      <c r="B1608" s="4" t="inlineStr">
        <is>
          <t>C25</t>
        </is>
      </c>
      <c r="C1608" s="4" t="inlineStr">
        <is>
          <t>Women’s Instinct for Developing and Ushering in Scientific Heights &amp; Innovation</t>
        </is>
      </c>
      <c r="D1608" s="4" t="inlineStr">
        <is>
          <t>Eligibility</t>
        </is>
      </c>
      <c r="E1608" s="4" t="inlineStr"/>
      <c r="F1608" s="4" t="inlineStr">
        <is>
          <t>en.eligibilityCriteria.eligibilityDescription[0].children[3].children[3]</t>
        </is>
      </c>
      <c r="G1608" s="4" t="inlineStr">
        <is>
          <t>C25@20261028-281bc008</t>
        </is>
      </c>
      <c r="H1608" s="4" t="n">
        <v>1</v>
      </c>
      <c r="I1608" s="4" t="n">
        <v>1</v>
      </c>
      <c r="J1608" s="4" t="inlineStr">
        <is>
          <t>Research Experience: Minimum 2 R&amp;D projects as Principal Investigator with excellent track record.</t>
        </is>
      </c>
      <c r="K1608" s="4" t="inlineStr">
        <is>
          <t>MS-C25</t>
        </is>
      </c>
      <c r="L1608" s="6" t="n">
        <v>46323</v>
      </c>
      <c r="M1608" s="4" t="inlineStr">
        <is>
          <t>Approved</t>
        </is>
      </c>
      <c r="N1608" s="4" t="inlineStr">
        <is>
          <t>list_item</t>
        </is>
      </c>
    </row>
    <row r="1609" ht="40" customHeight="1">
      <c r="A1609" s="8" t="inlineStr">
        <is>
          <t>C25-P0031</t>
        </is>
      </c>
      <c r="B1609" s="8" t="inlineStr">
        <is>
          <t>C25</t>
        </is>
      </c>
      <c r="C1609" s="8" t="inlineStr">
        <is>
          <t>Women’s Instinct for Developing and Ushering in Scientific Heights &amp; Innovation</t>
        </is>
      </c>
      <c r="D1609" s="8" t="inlineStr">
        <is>
          <t>Eligibility</t>
        </is>
      </c>
      <c r="E1609" s="8" t="inlineStr"/>
      <c r="F1609" s="8" t="inlineStr">
        <is>
          <t>en.eligibilityCriteria.eligibilityDescription[0].children[3].children[4]</t>
        </is>
      </c>
      <c r="G1609" s="8" t="inlineStr">
        <is>
          <t>C25@20261028-281bc008</t>
        </is>
      </c>
      <c r="H1609" s="8" t="n">
        <v>1</v>
      </c>
      <c r="I1609" s="8" t="n">
        <v>1</v>
      </c>
      <c r="J1609" s="8" t="inlineStr">
        <is>
          <t>Publications: Minimum 10 research publications with impact factor.</t>
        </is>
      </c>
      <c r="K1609" s="8" t="inlineStr">
        <is>
          <t>MS-C25</t>
        </is>
      </c>
      <c r="L1609" s="9" t="n">
        <v>46323</v>
      </c>
      <c r="M1609" s="8" t="inlineStr">
        <is>
          <t>Approved</t>
        </is>
      </c>
      <c r="N1609" s="8" t="inlineStr">
        <is>
          <t>list_item</t>
        </is>
      </c>
    </row>
    <row r="1610" ht="40" customHeight="1">
      <c r="A1610" s="4" t="inlineStr">
        <is>
          <t>C25-P0032</t>
        </is>
      </c>
      <c r="B1610" s="4" t="inlineStr">
        <is>
          <t>C25</t>
        </is>
      </c>
      <c r="C1610" s="4" t="inlineStr">
        <is>
          <t>Women’s Instinct for Developing and Ushering in Scientific Heights &amp; Innovation</t>
        </is>
      </c>
      <c r="D1610" s="4" t="inlineStr">
        <is>
          <t>Applicant documents</t>
        </is>
      </c>
      <c r="E1610" s="4" t="inlineStr"/>
      <c r="F1610" s="4" t="inlineStr">
        <is>
          <t>documents.en.documents_required[0].children[0]</t>
        </is>
      </c>
      <c r="G1610" s="4" t="inlineStr">
        <is>
          <t>C25@20261028-281bc008</t>
        </is>
      </c>
      <c r="H1610" s="4" t="n">
        <v>1</v>
      </c>
      <c r="I1610" s="4" t="n">
        <v>1</v>
      </c>
      <c r="J1610" s="4" t="inlineStr">
        <is>
          <t>Identity proof i.e. Aadhaar Card, PAN Card</t>
        </is>
      </c>
      <c r="K1610" s="4" t="inlineStr">
        <is>
          <t>MS-C25</t>
        </is>
      </c>
      <c r="L1610" s="6" t="n">
        <v>46323</v>
      </c>
      <c r="M1610" s="4" t="inlineStr">
        <is>
          <t>Approved</t>
        </is>
      </c>
      <c r="N1610" s="4" t="inlineStr">
        <is>
          <t>list_item</t>
        </is>
      </c>
    </row>
    <row r="1611" ht="40" customHeight="1">
      <c r="A1611" s="8" t="inlineStr">
        <is>
          <t>C25-P0033</t>
        </is>
      </c>
      <c r="B1611" s="8" t="inlineStr">
        <is>
          <t>C25</t>
        </is>
      </c>
      <c r="C1611" s="8" t="inlineStr">
        <is>
          <t>Women’s Instinct for Developing and Ushering in Scientific Heights &amp; Innovation</t>
        </is>
      </c>
      <c r="D1611" s="8" t="inlineStr">
        <is>
          <t>Applicant documents</t>
        </is>
      </c>
      <c r="E1611" s="8" t="inlineStr"/>
      <c r="F1611" s="8" t="inlineStr">
        <is>
          <t>documents.en.documents_required[0].children[1]</t>
        </is>
      </c>
      <c r="G1611" s="8" t="inlineStr">
        <is>
          <t>C25@20261028-281bc008</t>
        </is>
      </c>
      <c r="H1611" s="8" t="n">
        <v>1</v>
      </c>
      <c r="I1611" s="8" t="n">
        <v>1</v>
      </c>
      <c r="J1611" s="8" t="inlineStr">
        <is>
          <t>SC/ ST/ OBC/PH Certificate (if claiming age relaxation)</t>
        </is>
      </c>
      <c r="K1611" s="8" t="inlineStr">
        <is>
          <t>MS-C25</t>
        </is>
      </c>
      <c r="L1611" s="9" t="n">
        <v>46323</v>
      </c>
      <c r="M1611" s="8" t="inlineStr">
        <is>
          <t>Approved</t>
        </is>
      </c>
      <c r="N1611" s="8" t="inlineStr">
        <is>
          <t>list_item</t>
        </is>
      </c>
    </row>
    <row r="1612" ht="40" customHeight="1">
      <c r="A1612" s="4" t="inlineStr">
        <is>
          <t>C25-P0034</t>
        </is>
      </c>
      <c r="B1612" s="4" t="inlineStr">
        <is>
          <t>C25</t>
        </is>
      </c>
      <c r="C1612" s="4" t="inlineStr">
        <is>
          <t>Women’s Instinct for Developing and Ushering in Scientific Heights &amp; Innovation</t>
        </is>
      </c>
      <c r="D1612" s="4" t="inlineStr">
        <is>
          <t>Applicant documents</t>
        </is>
      </c>
      <c r="E1612" s="4" t="inlineStr"/>
      <c r="F1612" s="4" t="inlineStr">
        <is>
          <t>documents.en.documents_required[0].children[2]</t>
        </is>
      </c>
      <c r="G1612" s="4" t="inlineStr">
        <is>
          <t>C25@20261028-281bc008</t>
        </is>
      </c>
      <c r="H1612" s="4" t="n">
        <v>1</v>
      </c>
      <c r="I1612" s="4" t="n">
        <v>1</v>
      </c>
      <c r="J1612" s="4" t="inlineStr">
        <is>
          <t>Educational certificates</t>
        </is>
      </c>
      <c r="K1612" s="4" t="inlineStr">
        <is>
          <t>MS-C25</t>
        </is>
      </c>
      <c r="L1612" s="6" t="n">
        <v>46323</v>
      </c>
      <c r="M1612" s="4" t="inlineStr">
        <is>
          <t>Approved</t>
        </is>
      </c>
      <c r="N1612" s="4" t="inlineStr">
        <is>
          <t>list_item</t>
        </is>
      </c>
    </row>
    <row r="1613" ht="40" customHeight="1">
      <c r="A1613" s="8" t="inlineStr">
        <is>
          <t>C25-P0035</t>
        </is>
      </c>
      <c r="B1613" s="8" t="inlineStr">
        <is>
          <t>C25</t>
        </is>
      </c>
      <c r="C1613" s="8" t="inlineStr">
        <is>
          <t>Women’s Instinct for Developing and Ushering in Scientific Heights &amp; Innovation</t>
        </is>
      </c>
      <c r="D1613" s="8" t="inlineStr">
        <is>
          <t>Applicant documents</t>
        </is>
      </c>
      <c r="E1613" s="8" t="inlineStr"/>
      <c r="F1613" s="8" t="inlineStr">
        <is>
          <t>documents.en.documents_required[0].children[3]</t>
        </is>
      </c>
      <c r="G1613" s="8" t="inlineStr">
        <is>
          <t>C25@20261028-281bc008</t>
        </is>
      </c>
      <c r="H1613" s="8" t="n">
        <v>1</v>
      </c>
      <c r="I1613" s="8" t="n">
        <v>1</v>
      </c>
      <c r="J1613" s="8" t="inlineStr">
        <is>
          <t>Proof of age</t>
        </is>
      </c>
      <c r="K1613" s="8" t="inlineStr">
        <is>
          <t>MS-C25</t>
        </is>
      </c>
      <c r="L1613" s="9" t="n">
        <v>46323</v>
      </c>
      <c r="M1613" s="8" t="inlineStr">
        <is>
          <t>Approved</t>
        </is>
      </c>
      <c r="N1613" s="8" t="inlineStr">
        <is>
          <t>list_item</t>
        </is>
      </c>
    </row>
    <row r="1614" ht="40" customHeight="1">
      <c r="A1614" s="4" t="inlineStr">
        <is>
          <t>C25-P0036</t>
        </is>
      </c>
      <c r="B1614" s="4" t="inlineStr">
        <is>
          <t>C25</t>
        </is>
      </c>
      <c r="C1614" s="4" t="inlineStr">
        <is>
          <t>Women’s Instinct for Developing and Ushering in Scientific Heights &amp; Innovation</t>
        </is>
      </c>
      <c r="D1614" s="4" t="inlineStr">
        <is>
          <t>Applicant documents</t>
        </is>
      </c>
      <c r="E1614" s="4" t="inlineStr"/>
      <c r="F1614" s="4" t="inlineStr">
        <is>
          <t>documents.en.documents_required[0].children[4]</t>
        </is>
      </c>
      <c r="G1614" s="4" t="inlineStr">
        <is>
          <t>C25@20261028-281bc008</t>
        </is>
      </c>
      <c r="H1614" s="4" t="n">
        <v>1</v>
      </c>
      <c r="I1614" s="4" t="n">
        <v>1</v>
      </c>
      <c r="J1614" s="4" t="inlineStr">
        <is>
          <t>Proof of research experience</t>
        </is>
      </c>
      <c r="K1614" s="4" t="inlineStr">
        <is>
          <t>MS-C25</t>
        </is>
      </c>
      <c r="L1614" s="6" t="n">
        <v>46323</v>
      </c>
      <c r="M1614" s="4" t="inlineStr">
        <is>
          <t>Approved</t>
        </is>
      </c>
      <c r="N1614" s="4" t="inlineStr">
        <is>
          <t>list_item</t>
        </is>
      </c>
    </row>
    <row r="1615" ht="40" customHeight="1">
      <c r="A1615" s="8" t="inlineStr">
        <is>
          <t>C25-P0037</t>
        </is>
      </c>
      <c r="B1615" s="8" t="inlineStr">
        <is>
          <t>C25</t>
        </is>
      </c>
      <c r="C1615" s="8" t="inlineStr">
        <is>
          <t>Women’s Instinct for Developing and Ushering in Scientific Heights &amp; Innovation</t>
        </is>
      </c>
      <c r="D1615" s="8" t="inlineStr">
        <is>
          <t>Applicant documents</t>
        </is>
      </c>
      <c r="E1615" s="8" t="inlineStr"/>
      <c r="F1615" s="8" t="inlineStr">
        <is>
          <t>documents.en.documents_required[0].children[5]</t>
        </is>
      </c>
      <c r="G1615" s="8" t="inlineStr">
        <is>
          <t>C25@20261028-281bc008</t>
        </is>
      </c>
      <c r="H1615" s="8" t="n">
        <v>1</v>
      </c>
      <c r="I1615" s="8" t="n">
        <v>1</v>
      </c>
      <c r="J1615" s="8" t="inlineStr">
        <is>
          <t>List/details of publications</t>
        </is>
      </c>
      <c r="K1615" s="8" t="inlineStr">
        <is>
          <t>MS-C25</t>
        </is>
      </c>
      <c r="L1615" s="9" t="n">
        <v>46323</v>
      </c>
      <c r="M1615" s="8" t="inlineStr">
        <is>
          <t>Approved</t>
        </is>
      </c>
      <c r="N1615" s="8" t="inlineStr">
        <is>
          <t>list_item</t>
        </is>
      </c>
    </row>
    <row r="1616" ht="40" customHeight="1">
      <c r="A1616" s="4" t="inlineStr">
        <is>
          <t>C25-P0038</t>
        </is>
      </c>
      <c r="B1616" s="4" t="inlineStr">
        <is>
          <t>C25</t>
        </is>
      </c>
      <c r="C1616" s="4" t="inlineStr">
        <is>
          <t>Women’s Instinct for Developing and Ushering in Scientific Heights &amp; Innovation</t>
        </is>
      </c>
      <c r="D1616" s="4" t="inlineStr">
        <is>
          <t>Applicant documents</t>
        </is>
      </c>
      <c r="E1616" s="4" t="inlineStr"/>
      <c r="F1616" s="4" t="inlineStr">
        <is>
          <t>documents.en.documents_required[0].children[6]</t>
        </is>
      </c>
      <c r="G1616" s="4" t="inlineStr">
        <is>
          <t>C25@20261028-281bc008</t>
        </is>
      </c>
      <c r="H1616" s="4" t="n">
        <v>1</v>
      </c>
      <c r="I1616" s="4" t="n">
        <v>1</v>
      </c>
      <c r="J1616" s="4" t="inlineStr">
        <is>
          <t>Details of Scholarships, Medals, Fellowships, Awards, Distinctions or Honors received during academic career</t>
        </is>
      </c>
      <c r="K1616" s="4" t="inlineStr">
        <is>
          <t>MS-C25</t>
        </is>
      </c>
      <c r="L1616" s="6" t="n">
        <v>46323</v>
      </c>
      <c r="M1616" s="4" t="inlineStr">
        <is>
          <t>Approved</t>
        </is>
      </c>
      <c r="N1616" s="4" t="inlineStr">
        <is>
          <t>list_item</t>
        </is>
      </c>
    </row>
    <row r="1617" ht="40" customHeight="1">
      <c r="A1617" s="8" t="inlineStr">
        <is>
          <t>C25-P0039</t>
        </is>
      </c>
      <c r="B1617" s="8" t="inlineStr">
        <is>
          <t>C25</t>
        </is>
      </c>
      <c r="C1617" s="8" t="inlineStr">
        <is>
          <t>Women’s Instinct for Developing and Ushering in Scientific Heights &amp; Innovation</t>
        </is>
      </c>
      <c r="D1617" s="8" t="inlineStr">
        <is>
          <t>Applicant documents</t>
        </is>
      </c>
      <c r="E1617" s="8" t="inlineStr"/>
      <c r="F1617" s="8" t="inlineStr">
        <is>
          <t>documents.en.documents_required[0].children[7]</t>
        </is>
      </c>
      <c r="G1617" s="8" t="inlineStr">
        <is>
          <t>C25@20261028-281bc008</t>
        </is>
      </c>
      <c r="H1617" s="8" t="n">
        <v>1</v>
      </c>
      <c r="I1617" s="8" t="n">
        <v>1</v>
      </c>
      <c r="J1617" s="8" t="inlineStr">
        <is>
          <t>Detailed Bio-data of Principal Investigator and Co-Investigator including last 5 year’s publications in cited journals.</t>
        </is>
      </c>
      <c r="K1617" s="8" t="inlineStr">
        <is>
          <t>MS-C25</t>
        </is>
      </c>
      <c r="L1617" s="9" t="n">
        <v>46323</v>
      </c>
      <c r="M1617" s="8" t="inlineStr">
        <is>
          <t>Approved</t>
        </is>
      </c>
      <c r="N1617" s="8" t="inlineStr">
        <is>
          <t>list_item</t>
        </is>
      </c>
    </row>
    <row r="1618" ht="40" customHeight="1">
      <c r="A1618" s="4" t="inlineStr">
        <is>
          <t>C25-P0040</t>
        </is>
      </c>
      <c r="B1618" s="4" t="inlineStr">
        <is>
          <t>C25</t>
        </is>
      </c>
      <c r="C1618" s="4" t="inlineStr">
        <is>
          <t>Women’s Instinct for Developing and Ushering in Scientific Heights &amp; Innovation</t>
        </is>
      </c>
      <c r="D1618" s="4" t="inlineStr">
        <is>
          <t>Applicant documents</t>
        </is>
      </c>
      <c r="E1618" s="4" t="inlineStr"/>
      <c r="F1618" s="4" t="inlineStr">
        <is>
          <t>documents.en.documents_required[0].children[8]</t>
        </is>
      </c>
      <c r="G1618" s="4" t="inlineStr">
        <is>
          <t>C25@20261028-281bc008</t>
        </is>
      </c>
      <c r="H1618" s="4" t="n">
        <v>1</v>
      </c>
      <c r="I1618" s="4" t="n">
        <v>1</v>
      </c>
      <c r="J1618" s="4" t="inlineStr">
        <is>
          <t>Details of the R&amp;D Project</t>
        </is>
      </c>
      <c r="K1618" s="4" t="inlineStr">
        <is>
          <t>MS-C25</t>
        </is>
      </c>
      <c r="L1618" s="6" t="n">
        <v>46323</v>
      </c>
      <c r="M1618" s="4" t="inlineStr">
        <is>
          <t>Approved</t>
        </is>
      </c>
      <c r="N1618" s="4" t="inlineStr">
        <is>
          <t>list_item</t>
        </is>
      </c>
    </row>
    <row r="1619" ht="40" customHeight="1">
      <c r="A1619" s="8" t="inlineStr">
        <is>
          <t>C25-P0041</t>
        </is>
      </c>
      <c r="B1619" s="8" t="inlineStr">
        <is>
          <t>C25</t>
        </is>
      </c>
      <c r="C1619" s="8" t="inlineStr">
        <is>
          <t>Women’s Instinct for Developing and Ushering in Scientific Heights &amp; Innovation</t>
        </is>
      </c>
      <c r="D1619" s="8" t="inlineStr">
        <is>
          <t>Applicant documents</t>
        </is>
      </c>
      <c r="E1619" s="8" t="inlineStr"/>
      <c r="F1619" s="8" t="inlineStr">
        <is>
          <t>documents.en.documents_required[0].children[9]</t>
        </is>
      </c>
      <c r="G1619" s="8" t="inlineStr">
        <is>
          <t>C25@20261028-281bc008</t>
        </is>
      </c>
      <c r="H1619" s="8" t="n">
        <v>1</v>
      </c>
      <c r="I1619" s="8" t="n">
        <v>1</v>
      </c>
      <c r="J1619" s="8" t="inlineStr">
        <is>
          <t>Certification by the Head of the Institute</t>
        </is>
      </c>
      <c r="K1619" s="8" t="inlineStr">
        <is>
          <t>MS-C25</t>
        </is>
      </c>
      <c r="L1619" s="9" t="n">
        <v>46323</v>
      </c>
      <c r="M1619" s="8" t="inlineStr">
        <is>
          <t>Approved</t>
        </is>
      </c>
      <c r="N1619" s="8" t="inlineStr">
        <is>
          <t>list_item</t>
        </is>
      </c>
    </row>
    <row r="1620" ht="40" customHeight="1">
      <c r="A1620" s="4" t="inlineStr">
        <is>
          <t>C25-P0042</t>
        </is>
      </c>
      <c r="B1620" s="4" t="inlineStr">
        <is>
          <t>C25</t>
        </is>
      </c>
      <c r="C1620" s="4" t="inlineStr">
        <is>
          <t>Women’s Instinct for Developing and Ushering in Scientific Heights &amp; Innovation</t>
        </is>
      </c>
      <c r="D1620" s="4" t="inlineStr">
        <is>
          <t>Applicant documents</t>
        </is>
      </c>
      <c r="E1620" s="4" t="inlineStr"/>
      <c r="F1620" s="4" t="inlineStr">
        <is>
          <t>documents.en.documents_required[0].children[10]</t>
        </is>
      </c>
      <c r="G1620" s="4" t="inlineStr">
        <is>
          <t>C25@20261028-281bc008</t>
        </is>
      </c>
      <c r="H1620" s="4" t="n">
        <v>1</v>
      </c>
      <c r="I1620" s="4" t="n">
        <v>1</v>
      </c>
      <c r="J1620" s="4" t="inlineStr">
        <is>
          <t>Certificate from the Investigator</t>
        </is>
      </c>
      <c r="K1620" s="4" t="inlineStr">
        <is>
          <t>MS-C25</t>
        </is>
      </c>
      <c r="L1620" s="6" t="n">
        <v>46323</v>
      </c>
      <c r="M1620" s="4" t="inlineStr">
        <is>
          <t>Approved</t>
        </is>
      </c>
      <c r="N1620" s="4" t="inlineStr">
        <is>
          <t>list_item</t>
        </is>
      </c>
    </row>
    <row r="1621" ht="40" customHeight="1">
      <c r="A1621" s="8" t="inlineStr">
        <is>
          <t>C25-P0043</t>
        </is>
      </c>
      <c r="B1621" s="8" t="inlineStr">
        <is>
          <t>C25</t>
        </is>
      </c>
      <c r="C1621" s="8" t="inlineStr">
        <is>
          <t>Women’s Instinct for Developing and Ushering in Scientific Heights &amp; Innovation</t>
        </is>
      </c>
      <c r="D1621" s="8" t="inlineStr">
        <is>
          <t>Applicant documents</t>
        </is>
      </c>
      <c r="E1621" s="8" t="inlineStr"/>
      <c r="F1621" s="8" t="inlineStr">
        <is>
          <t>documents.en.documents_required[0].children[11]</t>
        </is>
      </c>
      <c r="G1621" s="8" t="inlineStr">
        <is>
          <t>C25@20261028-281bc008</t>
        </is>
      </c>
      <c r="H1621" s="8" t="n">
        <v>1</v>
      </c>
      <c r="I1621" s="8" t="n">
        <v>1</v>
      </c>
      <c r="J1621" s="8" t="inlineStr">
        <is>
          <t>Any other relevant information</t>
        </is>
      </c>
      <c r="K1621" s="8" t="inlineStr">
        <is>
          <t>MS-C25</t>
        </is>
      </c>
      <c r="L1621" s="9" t="n">
        <v>46323</v>
      </c>
      <c r="M1621" s="8" t="inlineStr">
        <is>
          <t>Approved</t>
        </is>
      </c>
      <c r="N1621" s="8" t="inlineStr">
        <is>
          <t>list_item</t>
        </is>
      </c>
    </row>
    <row r="1622" ht="40" customHeight="1">
      <c r="A1622" s="4" t="inlineStr">
        <is>
          <t>C25-P0044</t>
        </is>
      </c>
      <c r="B1622" s="4" t="inlineStr">
        <is>
          <t>C25</t>
        </is>
      </c>
      <c r="C1622" s="4" t="inlineStr">
        <is>
          <t>Women’s Instinct for Developing and Ushering in Scientific Heights &amp; Innovation</t>
        </is>
      </c>
      <c r="D1622" s="4" t="inlineStr">
        <is>
          <t>Application process</t>
        </is>
      </c>
      <c r="E1622" s="4" t="inlineStr"/>
      <c r="F1622" s="4" t="inlineStr">
        <is>
          <t>en.applicationProcess[0].process[0].children[0].children[0]</t>
        </is>
      </c>
      <c r="G1622" s="4" t="inlineStr">
        <is>
          <t>C25@20261028-281bc008</t>
        </is>
      </c>
      <c r="H1622" s="4" t="n">
        <v>1</v>
      </c>
      <c r="I1622" s="4" t="n">
        <v>1</v>
      </c>
      <c r="J1622" s="4" t="inlineStr">
        <is>
          <t>Registration Process:</t>
        </is>
      </c>
      <c r="K1622" s="4" t="inlineStr">
        <is>
          <t>MS-C25</t>
        </is>
      </c>
      <c r="L1622" s="6" t="n">
        <v>46323</v>
      </c>
      <c r="M1622" s="4" t="inlineStr">
        <is>
          <t>Approved</t>
        </is>
      </c>
      <c r="N1622" s="4" t="inlineStr">
        <is>
          <t>text</t>
        </is>
      </c>
    </row>
    <row r="1623" ht="40" customHeight="1">
      <c r="A1623" s="8" t="inlineStr">
        <is>
          <t>C25-P0045</t>
        </is>
      </c>
      <c r="B1623" s="8" t="inlineStr">
        <is>
          <t>C25</t>
        </is>
      </c>
      <c r="C1623" s="8" t="inlineStr">
        <is>
          <t>Women’s Instinct for Developing and Ushering in Scientific Heights &amp; Innovation</t>
        </is>
      </c>
      <c r="D1623" s="8" t="inlineStr">
        <is>
          <t>Application process</t>
        </is>
      </c>
      <c r="E1623" s="8" t="inlineStr"/>
      <c r="F1623" s="8" t="inlineStr">
        <is>
          <t>en.applicationProcess[0].process[0].children[1]</t>
        </is>
      </c>
      <c r="G1623" s="8" t="inlineStr">
        <is>
          <t>C25@20261028-281bc008</t>
        </is>
      </c>
      <c r="H1623" s="8" t="n">
        <v>1</v>
      </c>
      <c r="I1623" s="8" t="n">
        <v>1</v>
      </c>
      <c r="J1623" s="8" t="inlineStr">
        <is>
          <t>Step 01: The proposal submission is open throughout the year.</t>
        </is>
      </c>
      <c r="K1623" s="8" t="inlineStr">
        <is>
          <t>MS-C25</t>
        </is>
      </c>
      <c r="L1623" s="9" t="n">
        <v>46323</v>
      </c>
      <c r="M1623" s="8" t="inlineStr">
        <is>
          <t>Approved</t>
        </is>
      </c>
      <c r="N1623" s="8" t="inlineStr">
        <is>
          <t>paragraph</t>
        </is>
      </c>
    </row>
    <row r="1624" ht="40" customHeight="1">
      <c r="A1624" s="4" t="inlineStr">
        <is>
          <t>C25-P0046</t>
        </is>
      </c>
      <c r="B1624" s="4" t="inlineStr">
        <is>
          <t>C25</t>
        </is>
      </c>
      <c r="C1624" s="4" t="inlineStr">
        <is>
          <t>Women’s Instinct for Developing and Ushering in Scientific Heights &amp; Innovation</t>
        </is>
      </c>
      <c r="D1624" s="4" t="inlineStr">
        <is>
          <t>Application process</t>
        </is>
      </c>
      <c r="E1624" s="4" t="inlineStr"/>
      <c r="F1624" s="4" t="inlineStr">
        <is>
          <t>en.applicationProcess[0].process[0].children[2]</t>
        </is>
      </c>
      <c r="G1624" s="4" t="inlineStr">
        <is>
          <t>C25@20261028-281bc008</t>
        </is>
      </c>
      <c r="H1624" s="4" t="n">
        <v>1</v>
      </c>
      <c r="I1624" s="4" t="n">
        <v>1</v>
      </c>
      <c r="J1624" s="4" t="inlineStr">
        <is>
          <t>Step 02: The proposal format is available at https://dst.gov.in/, https://onlinedst.gov.in/ and https://online-wosa.gov.in/ under WISE-KIRAN Division.</t>
        </is>
      </c>
      <c r="K1624" s="4" t="inlineStr">
        <is>
          <t>MS-C25</t>
        </is>
      </c>
      <c r="L1624" s="6" t="n">
        <v>46323</v>
      </c>
      <c r="M1624" s="4" t="inlineStr">
        <is>
          <t>Approved</t>
        </is>
      </c>
      <c r="N1624" s="4" t="inlineStr">
        <is>
          <t>paragraph</t>
        </is>
      </c>
    </row>
    <row r="1625" ht="40" customHeight="1">
      <c r="A1625" s="8" t="inlineStr">
        <is>
          <t>C25-P0047</t>
        </is>
      </c>
      <c r="B1625" s="8" t="inlineStr">
        <is>
          <t>C25</t>
        </is>
      </c>
      <c r="C1625" s="8" t="inlineStr">
        <is>
          <t>Women’s Instinct for Developing and Ushering in Scientific Heights &amp; Innovation</t>
        </is>
      </c>
      <c r="D1625" s="8" t="inlineStr">
        <is>
          <t>Application process</t>
        </is>
      </c>
      <c r="E1625" s="8" t="inlineStr"/>
      <c r="F1625" s="8" t="inlineStr">
        <is>
          <t>en.applicationProcess[0].process[0].children[3]</t>
        </is>
      </c>
      <c r="G1625" s="8" t="inlineStr">
        <is>
          <t>C25@20261028-281bc008</t>
        </is>
      </c>
      <c r="H1625" s="8" t="n">
        <v>1</v>
      </c>
      <c r="I1625" s="8" t="n">
        <v>1</v>
      </c>
      <c r="J1625" s="8" t="inlineStr">
        <is>
          <t>Step 03: Log on to https://onlinedst.gov.in/ to access the home page of the “DST e-PMS Portal”.</t>
        </is>
      </c>
      <c r="K1625" s="8" t="inlineStr">
        <is>
          <t>MS-C25</t>
        </is>
      </c>
      <c r="L1625" s="9" t="n">
        <v>46323</v>
      </c>
      <c r="M1625" s="8" t="inlineStr">
        <is>
          <t>Approved</t>
        </is>
      </c>
      <c r="N1625" s="8" t="inlineStr">
        <is>
          <t>paragraph</t>
        </is>
      </c>
    </row>
    <row r="1626" ht="54" customHeight="1">
      <c r="A1626" s="4" t="inlineStr">
        <is>
          <t>C25-P0048</t>
        </is>
      </c>
      <c r="B1626" s="4" t="inlineStr">
        <is>
          <t>C25</t>
        </is>
      </c>
      <c r="C1626" s="4" t="inlineStr">
        <is>
          <t>Women’s Instinct for Developing and Ushering in Scientific Heights &amp; Innovation</t>
        </is>
      </c>
      <c r="D1626" s="4" t="inlineStr">
        <is>
          <t>Application process</t>
        </is>
      </c>
      <c r="E1626" s="4" t="inlineStr"/>
      <c r="F1626" s="4" t="inlineStr">
        <is>
          <t>en.applicationProcess[0].process[0].children[4]</t>
        </is>
      </c>
      <c r="G1626" s="4" t="inlineStr">
        <is>
          <t>C25@20261028-281bc008</t>
        </is>
      </c>
      <c r="H1626" s="4" t="n">
        <v>1</v>
      </c>
      <c r="I1626" s="4" t="n">
        <v>1</v>
      </c>
      <c r="J1626" s="4" t="inlineStr">
        <is>
          <t>Step 04: Click on “New PI Registration” and fill in the requisite details for New user registration. In the ‘Personal Information’ section, fill- department, Institute, and Institute Address as per the Host Institute identified for the WIDUSHI programme.</t>
        </is>
      </c>
      <c r="K1626" s="4" t="inlineStr">
        <is>
          <t>MS-C25</t>
        </is>
      </c>
      <c r="L1626" s="6" t="n">
        <v>46323</v>
      </c>
      <c r="M1626" s="4" t="inlineStr">
        <is>
          <t>Approved</t>
        </is>
      </c>
      <c r="N1626" s="4" t="inlineStr">
        <is>
          <t>paragraph</t>
        </is>
      </c>
    </row>
    <row r="1627" ht="40" customHeight="1">
      <c r="A1627" s="8" t="inlineStr">
        <is>
          <t>C25-P0049</t>
        </is>
      </c>
      <c r="B1627" s="8" t="inlineStr">
        <is>
          <t>C25</t>
        </is>
      </c>
      <c r="C1627" s="8" t="inlineStr">
        <is>
          <t>Women’s Instinct for Developing and Ushering in Scientific Heights &amp; Innovation</t>
        </is>
      </c>
      <c r="D1627" s="8" t="inlineStr">
        <is>
          <t>Application process</t>
        </is>
      </c>
      <c r="E1627" s="8" t="inlineStr"/>
      <c r="F1627" s="8" t="inlineStr">
        <is>
          <t>en.applicationProcess[0].process[0].children[5]</t>
        </is>
      </c>
      <c r="G1627" s="8" t="inlineStr">
        <is>
          <t>C25@20261028-281bc008</t>
        </is>
      </c>
      <c r="H1627" s="8" t="n">
        <v>1</v>
      </c>
      <c r="I1627" s="8" t="n">
        <v>1</v>
      </c>
      <c r="J1627" s="8" t="inlineStr">
        <is>
          <t>Step 05: After logging-in, click on the “Submit proposal” option and then “Initiate New Proposal”. Search the programme by Division Name or Call By Programme/Scheme.</t>
        </is>
      </c>
      <c r="K1627" s="8" t="inlineStr">
        <is>
          <t>MS-C25</t>
        </is>
      </c>
      <c r="L1627" s="9" t="n">
        <v>46323</v>
      </c>
      <c r="M1627" s="8" t="inlineStr">
        <is>
          <t>Approved</t>
        </is>
      </c>
      <c r="N1627" s="8" t="inlineStr">
        <is>
          <t>paragraph</t>
        </is>
      </c>
    </row>
    <row r="1628" ht="40" customHeight="1">
      <c r="A1628" s="4" t="inlineStr">
        <is>
          <t>C25-P0050</t>
        </is>
      </c>
      <c r="B1628" s="4" t="inlineStr">
        <is>
          <t>C25</t>
        </is>
      </c>
      <c r="C1628" s="4" t="inlineStr">
        <is>
          <t>Women’s Instinct for Developing and Ushering in Scientific Heights &amp; Innovation</t>
        </is>
      </c>
      <c r="D1628" s="4" t="inlineStr">
        <is>
          <t>Application process</t>
        </is>
      </c>
      <c r="E1628" s="4" t="inlineStr"/>
      <c r="F1628" s="4" t="inlineStr">
        <is>
          <t>en.applicationProcess[0].process[0].children[6]</t>
        </is>
      </c>
      <c r="G1628" s="4" t="inlineStr">
        <is>
          <t>C25@20261028-281bc008</t>
        </is>
      </c>
      <c r="H1628" s="4" t="n">
        <v>1</v>
      </c>
      <c r="I1628" s="4" t="n">
        <v>1</v>
      </c>
      <c r="J1628" s="4" t="inlineStr">
        <is>
          <t>Step 06: Select the Programme/Scheme name (WIDUSHI) and then click on “Start Submission”. Select the category and fill in all the information as required in the form.</t>
        </is>
      </c>
      <c r="K1628" s="4" t="inlineStr">
        <is>
          <t>MS-C25</t>
        </is>
      </c>
      <c r="L1628" s="6" t="n">
        <v>46323</v>
      </c>
      <c r="M1628" s="4" t="inlineStr">
        <is>
          <t>Approved</t>
        </is>
      </c>
      <c r="N1628" s="4" t="inlineStr">
        <is>
          <t>paragraph</t>
        </is>
      </c>
    </row>
    <row r="1629" ht="82" customHeight="1">
      <c r="A1629" s="8" t="inlineStr">
        <is>
          <t>C25-P0051</t>
        </is>
      </c>
      <c r="B1629" s="8" t="inlineStr">
        <is>
          <t>C25</t>
        </is>
      </c>
      <c r="C1629" s="8" t="inlineStr">
        <is>
          <t>Women’s Instinct for Developing and Ushering in Scientific Heights &amp; Innovation</t>
        </is>
      </c>
      <c r="D1629" s="8" t="inlineStr">
        <is>
          <t>Application process</t>
        </is>
      </c>
      <c r="E1629" s="8" t="inlineStr"/>
      <c r="F1629" s="8" t="inlineStr">
        <is>
          <t>en.applicationProcess[0].process[0].children[7]</t>
        </is>
      </c>
      <c r="G1629" s="8" t="inlineStr">
        <is>
          <t>C25@20261028-281bc008</t>
        </is>
      </c>
      <c r="H1629" s="8" t="n">
        <v>1</v>
      </c>
      <c r="I1629" s="8" t="n">
        <v>1</v>
      </c>
      <c r="J1629" s="8" t="inlineStr">
        <is>
          <t>Step 07: After filling in all the particulars, preview your details before the final submission of the application form by clicking on the “Preview” button. The preview page will display all the facts/ particulars that you have mentioned. If there is something that you wish to update, go back and correct the information, or else proceed with the filled details by clicking on the “Submit” button to finally push data into the server.</t>
        </is>
      </c>
      <c r="K1629" s="8" t="inlineStr">
        <is>
          <t>MS-C25</t>
        </is>
      </c>
      <c r="L1629" s="9" t="n">
        <v>46323</v>
      </c>
      <c r="M1629" s="8" t="inlineStr">
        <is>
          <t>Approved</t>
        </is>
      </c>
      <c r="N1629" s="8" t="inlineStr">
        <is>
          <t>paragraph</t>
        </is>
      </c>
    </row>
    <row r="1630" ht="54" customHeight="1">
      <c r="A1630" s="4" t="inlineStr">
        <is>
          <t>C25-P0052</t>
        </is>
      </c>
      <c r="B1630" s="4" t="inlineStr">
        <is>
          <t>C25</t>
        </is>
      </c>
      <c r="C1630" s="4" t="inlineStr">
        <is>
          <t>Women’s Instinct for Developing and Ushering in Scientific Heights &amp; Innovation</t>
        </is>
      </c>
      <c r="D1630" s="4" t="inlineStr">
        <is>
          <t>Application process</t>
        </is>
      </c>
      <c r="E1630" s="4" t="inlineStr"/>
      <c r="F1630" s="4" t="inlineStr">
        <is>
          <t>en.applicationProcess[0].process[0].children[8]</t>
        </is>
      </c>
      <c r="G1630" s="4" t="inlineStr">
        <is>
          <t>C25@20261028-281bc008</t>
        </is>
      </c>
      <c r="H1630" s="4" t="n">
        <v>1</v>
      </c>
      <c r="I1630" s="4" t="n">
        <v>1</v>
      </c>
      <c r="J1630" s="4" t="inlineStr">
        <is>
          <t>Step 08: Candidates are advised to carefully fill and verify the details filled in the online application themselves as no change will be possible/ entertained after clicking the FINAL SUBMIT BUTTON.</t>
        </is>
      </c>
      <c r="K1630" s="4" t="inlineStr">
        <is>
          <t>MS-C25</t>
        </is>
      </c>
      <c r="L1630" s="6" t="n">
        <v>46323</v>
      </c>
      <c r="M1630" s="4" t="inlineStr">
        <is>
          <t>Approved</t>
        </is>
      </c>
      <c r="N1630" s="4" t="inlineStr">
        <is>
          <t>paragraph</t>
        </is>
      </c>
    </row>
    <row r="1631" ht="40" customHeight="1">
      <c r="A1631" s="8" t="inlineStr">
        <is>
          <t>C25-P0053</t>
        </is>
      </c>
      <c r="B1631" s="8" t="inlineStr">
        <is>
          <t>C25</t>
        </is>
      </c>
      <c r="C1631" s="8" t="inlineStr">
        <is>
          <t>Women’s Instinct for Developing and Ushering in Scientific Heights &amp; Innovation</t>
        </is>
      </c>
      <c r="D1631" s="8" t="inlineStr">
        <is>
          <t>Application process</t>
        </is>
      </c>
      <c r="E1631" s="8" t="inlineStr"/>
      <c r="F1631" s="8" t="inlineStr">
        <is>
          <t>en.applicationProcess[0].process[0].children[9].children[0]</t>
        </is>
      </c>
      <c r="G1631" s="8" t="inlineStr">
        <is>
          <t>C25@20261028-281bc008</t>
        </is>
      </c>
      <c r="H1631" s="8" t="n">
        <v>1</v>
      </c>
      <c r="I1631" s="8" t="n">
        <v>1</v>
      </c>
      <c r="J1631" s="8" t="inlineStr">
        <is>
          <t>Selection Process:</t>
        </is>
      </c>
      <c r="K1631" s="8" t="inlineStr">
        <is>
          <t>MS-C25</t>
        </is>
      </c>
      <c r="L1631" s="9" t="n">
        <v>46323</v>
      </c>
      <c r="M1631" s="8" t="inlineStr">
        <is>
          <t>Approved</t>
        </is>
      </c>
      <c r="N1631" s="8" t="inlineStr">
        <is>
          <t>text</t>
        </is>
      </c>
    </row>
    <row r="1632" ht="68" customHeight="1">
      <c r="A1632" s="4" t="inlineStr">
        <is>
          <t>C25-P0054</t>
        </is>
      </c>
      <c r="B1632" s="4" t="inlineStr">
        <is>
          <t>C25</t>
        </is>
      </c>
      <c r="C1632" s="4" t="inlineStr">
        <is>
          <t>Women’s Instinct for Developing and Ushering in Scientific Heights &amp; Innovation</t>
        </is>
      </c>
      <c r="D1632" s="4" t="inlineStr">
        <is>
          <t>Application process</t>
        </is>
      </c>
      <c r="E1632" s="4" t="inlineStr"/>
      <c r="F1632" s="4" t="inlineStr">
        <is>
          <t>en.applicationProcess[0].process[0].children[10]</t>
        </is>
      </c>
      <c r="G1632" s="4" t="inlineStr">
        <is>
          <t>C25@20261028-281bc008</t>
        </is>
      </c>
      <c r="H1632" s="4" t="n">
        <v>1</v>
      </c>
      <c r="I1632" s="4" t="n">
        <v>1</v>
      </c>
      <c r="J1632" s="4" t="inlineStr">
        <is>
          <t>The project proposals received will be screened and the Principal Investigator (PI) of ‘screened-in’ proposals will be called for presentation before Programme Advisory Committee for final recommendation. The final decision of DST will be communicated to the applicants only after obtaining due administrative and financial approvals.</t>
        </is>
      </c>
      <c r="K1632" s="4" t="inlineStr">
        <is>
          <t>MS-C25</t>
        </is>
      </c>
      <c r="L1632" s="6" t="n">
        <v>46323</v>
      </c>
      <c r="M1632" s="4" t="inlineStr">
        <is>
          <t>Approved</t>
        </is>
      </c>
      <c r="N1632" s="4" t="inlineStr">
        <is>
          <t>paragraph</t>
        </is>
      </c>
    </row>
    <row r="1633" ht="40" customHeight="1">
      <c r="A1633" s="8" t="inlineStr">
        <is>
          <t>C25-P0055</t>
        </is>
      </c>
      <c r="B1633" s="8" t="inlineStr">
        <is>
          <t>C25</t>
        </is>
      </c>
      <c r="C1633" s="8" t="inlineStr">
        <is>
          <t>Women’s Instinct for Developing and Ushering in Scientific Heights &amp; Innovation</t>
        </is>
      </c>
      <c r="D1633" s="8" t="inlineStr">
        <is>
          <t>Application process</t>
        </is>
      </c>
      <c r="E1633" s="8" t="inlineStr"/>
      <c r="F1633" s="8" t="inlineStr">
        <is>
          <t>en.applicationProcess[0].process[0].children[11].children[0]</t>
        </is>
      </c>
      <c r="G1633" s="8" t="inlineStr">
        <is>
          <t>C25@20261028-281bc008</t>
        </is>
      </c>
      <c r="H1633" s="8" t="n">
        <v>1</v>
      </c>
      <c r="I1633" s="8" t="n">
        <v>1</v>
      </c>
      <c r="J1633" s="8" t="inlineStr">
        <is>
          <t>For detailed information:</t>
        </is>
      </c>
      <c r="K1633" s="8" t="inlineStr">
        <is>
          <t>MS-C25</t>
        </is>
      </c>
      <c r="L1633" s="9" t="n">
        <v>46323</v>
      </c>
      <c r="M1633" s="8" t="inlineStr">
        <is>
          <t>Approved</t>
        </is>
      </c>
      <c r="N1633" s="8" t="inlineStr">
        <is>
          <t>text</t>
        </is>
      </c>
    </row>
    <row r="1634" ht="40" customHeight="1">
      <c r="A1634" s="4" t="inlineStr">
        <is>
          <t>C25-P0056</t>
        </is>
      </c>
      <c r="B1634" s="4" t="inlineStr">
        <is>
          <t>C25</t>
        </is>
      </c>
      <c r="C1634" s="4" t="inlineStr">
        <is>
          <t>Women’s Instinct for Developing and Ushering in Scientific Heights &amp; Innovation</t>
        </is>
      </c>
      <c r="D1634" s="4" t="inlineStr">
        <is>
          <t>Application process</t>
        </is>
      </c>
      <c r="E1634" s="4" t="inlineStr"/>
      <c r="F1634" s="4" t="inlineStr">
        <is>
          <t>en.applicationProcess[0].process[0].children[12]</t>
        </is>
      </c>
      <c r="G1634" s="4" t="inlineStr">
        <is>
          <t>C25@20261028-281bc008</t>
        </is>
      </c>
      <c r="H1634" s="4" t="n">
        <v>1</v>
      </c>
      <c r="I1634" s="4" t="n">
        <v>1</v>
      </c>
      <c r="J1634" s="4" t="inlineStr">
        <is>
          <t>•	Please refer WIDUSHI Guidelines at www.dst.gov.in and online-wosa.gov.in. For further clarification email enquiry-wosdst@gov.in.</t>
        </is>
      </c>
      <c r="K1634" s="4" t="inlineStr">
        <is>
          <t>MS-C25</t>
        </is>
      </c>
      <c r="L1634" s="6" t="n">
        <v>46323</v>
      </c>
      <c r="M1634" s="4" t="inlineStr">
        <is>
          <t>Approved</t>
        </is>
      </c>
      <c r="N1634" s="4" t="inlineStr">
        <is>
          <t>paragraph</t>
        </is>
      </c>
    </row>
    <row r="1635" ht="82" customHeight="1">
      <c r="A1635" s="8" t="inlineStr">
        <is>
          <t>C25-P0057</t>
        </is>
      </c>
      <c r="B1635" s="8" t="inlineStr">
        <is>
          <t>C25</t>
        </is>
      </c>
      <c r="C1635" s="8" t="inlineStr">
        <is>
          <t>Women’s Instinct for Developing and Ushering in Scientific Heights &amp; Innovation</t>
        </is>
      </c>
      <c r="D1635" s="8" t="inlineStr">
        <is>
          <t>FAQ</t>
        </is>
      </c>
      <c r="E1635" s="8" t="inlineStr"/>
      <c r="F1635" s="8" t="inlineStr">
        <is>
          <t>faqs.en.faqs[0]</t>
        </is>
      </c>
      <c r="G1635" s="8" t="inlineStr">
        <is>
          <t>C25@20261028-281bc008</t>
        </is>
      </c>
      <c r="H1635" s="8" t="n">
        <v>1</v>
      </c>
      <c r="I1635" s="8" t="n">
        <v>1</v>
      </c>
      <c r="J1635" s="8" t="inlineStr">
        <is>
          <t>What is the “WIDUSHI” programme?
The programme “Women's Instinct for Developing and Ushering in Scientific Heights &amp; Innovations (WIDUSHI)” is started by the Department of Science and Technology (DST) under its umbrella scheme “Women in Science and Engineering-KIRAN (WISE-KIRAN)” for senior women scientists to harness their knowledge and potential for the betterment of Science and Society.</t>
        </is>
      </c>
      <c r="K1635" s="8" t="inlineStr">
        <is>
          <t>MS-C25</t>
        </is>
      </c>
      <c r="L1635" s="9" t="n">
        <v>46323</v>
      </c>
      <c r="M1635" s="8" t="inlineStr">
        <is>
          <t>Approved</t>
        </is>
      </c>
      <c r="N1635" s="8" t="inlineStr">
        <is>
          <t>faq</t>
        </is>
      </c>
    </row>
    <row r="1636" ht="54" customHeight="1">
      <c r="A1636" s="4" t="inlineStr">
        <is>
          <t>C25-P0058</t>
        </is>
      </c>
      <c r="B1636" s="4" t="inlineStr">
        <is>
          <t>C25</t>
        </is>
      </c>
      <c r="C1636" s="4" t="inlineStr">
        <is>
          <t>Women’s Instinct for Developing and Ushering in Scientific Heights &amp; Innovation</t>
        </is>
      </c>
      <c r="D1636" s="4" t="inlineStr">
        <is>
          <t>FAQ</t>
        </is>
      </c>
      <c r="E1636" s="4" t="inlineStr"/>
      <c r="F1636" s="4" t="inlineStr">
        <is>
          <t>faqs.en.faqs[1]</t>
        </is>
      </c>
      <c r="G1636" s="4" t="inlineStr">
        <is>
          <t>C25@20261028-281bc008</t>
        </is>
      </c>
      <c r="H1636" s="4" t="n">
        <v>1</v>
      </c>
      <c r="I1636" s="4" t="n">
        <v>1</v>
      </c>
      <c r="J1636" s="4" t="inlineStr">
        <is>
          <t>What is the aim of this programme?
WIDUSHI programme aims to encourage and support senior women scientists to conduct research in interdisciplinary areas of Science and Technology.</t>
        </is>
      </c>
      <c r="K1636" s="4" t="inlineStr">
        <is>
          <t>MS-C25</t>
        </is>
      </c>
      <c r="L1636" s="6" t="n">
        <v>46323</v>
      </c>
      <c r="M1636" s="4" t="inlineStr">
        <is>
          <t>Approved</t>
        </is>
      </c>
      <c r="N1636" s="4" t="inlineStr">
        <is>
          <t>faq</t>
        </is>
      </c>
    </row>
    <row r="1637" ht="40" customHeight="1">
      <c r="A1637" s="8" t="inlineStr">
        <is>
          <t>C25-P0059</t>
        </is>
      </c>
      <c r="B1637" s="8" t="inlineStr">
        <is>
          <t>C25</t>
        </is>
      </c>
      <c r="C1637" s="8" t="inlineStr">
        <is>
          <t>Women’s Instinct for Developing and Ushering in Scientific Heights &amp; Innovation</t>
        </is>
      </c>
      <c r="D1637" s="8" t="inlineStr">
        <is>
          <t>FAQ</t>
        </is>
      </c>
      <c r="E1637" s="8" t="inlineStr"/>
      <c r="F1637" s="8" t="inlineStr">
        <is>
          <t>faqs.en.faqs[2]</t>
        </is>
      </c>
      <c r="G1637" s="8" t="inlineStr">
        <is>
          <t>C25@20261028-281bc008</t>
        </is>
      </c>
      <c r="H1637" s="8" t="n">
        <v>1</v>
      </c>
      <c r="I1637" s="8" t="n">
        <v>1</v>
      </c>
      <c r="J1637" s="8" t="inlineStr">
        <is>
          <t>Which is the implementing agency of this programme?
Department of Science &amp; Technology, Government of India</t>
        </is>
      </c>
      <c r="K1637" s="8" t="inlineStr">
        <is>
          <t>MS-C25</t>
        </is>
      </c>
      <c r="L1637" s="9" t="n">
        <v>46323</v>
      </c>
      <c r="M1637" s="8" t="inlineStr">
        <is>
          <t>Approved</t>
        </is>
      </c>
      <c r="N1637" s="8" t="inlineStr">
        <is>
          <t>faq</t>
        </is>
      </c>
    </row>
    <row r="1638" ht="96" customHeight="1">
      <c r="A1638" s="4" t="inlineStr">
        <is>
          <t>C25-P0060</t>
        </is>
      </c>
      <c r="B1638" s="4" t="inlineStr">
        <is>
          <t>C25</t>
        </is>
      </c>
      <c r="C1638" s="4" t="inlineStr">
        <is>
          <t>Women’s Instinct for Developing and Ushering in Scientific Heights &amp; Innovation</t>
        </is>
      </c>
      <c r="D1638" s="4" t="inlineStr">
        <is>
          <t>FAQ</t>
        </is>
      </c>
      <c r="E1638" s="4" t="inlineStr"/>
      <c r="F1638" s="4" t="inlineStr">
        <is>
          <t>faqs.en.faqs[3]</t>
        </is>
      </c>
      <c r="G1638" s="4" t="inlineStr">
        <is>
          <t>C25@20261028-281bc008</t>
        </is>
      </c>
      <c r="H1638" s="4" t="n">
        <v>1</v>
      </c>
      <c r="I1638" s="4" t="n">
        <v>1</v>
      </c>
      <c r="J1638" s="4" t="inlineStr">
        <is>
          <t>Who can apply for the Programme?
The following are the primary eligibility criteria-
For Category A: Women Scientists who are permanent employees but retiring in a year or already retired/superannuated from government academic/research institutions.
For Category B: Women who are not permanent employees in any institution but working temporarily and have completed 2 independent research projects as Principal Investigator.</t>
        </is>
      </c>
      <c r="K1638" s="4" t="inlineStr">
        <is>
          <t>MS-C25</t>
        </is>
      </c>
      <c r="L1638" s="6" t="n">
        <v>46323</v>
      </c>
      <c r="M1638" s="4" t="inlineStr">
        <is>
          <t>Approved</t>
        </is>
      </c>
      <c r="N1638" s="4" t="inlineStr">
        <is>
          <t>faq</t>
        </is>
      </c>
    </row>
    <row r="1639" ht="110" customHeight="1">
      <c r="A1639" s="8" t="inlineStr">
        <is>
          <t>C25-P0061</t>
        </is>
      </c>
      <c r="B1639" s="8" t="inlineStr">
        <is>
          <t>C25</t>
        </is>
      </c>
      <c r="C1639" s="8" t="inlineStr">
        <is>
          <t>Women’s Instinct for Developing and Ushering in Scientific Heights &amp; Innovation</t>
        </is>
      </c>
      <c r="D1639" s="8" t="inlineStr">
        <is>
          <t>FAQ</t>
        </is>
      </c>
      <c r="E1639" s="8" t="inlineStr"/>
      <c r="F1639" s="8" t="inlineStr">
        <is>
          <t>faqs.en.faqs[4]</t>
        </is>
      </c>
      <c r="G1639" s="8" t="inlineStr">
        <is>
          <t>C25@20261028-281bc008</t>
        </is>
      </c>
      <c r="H1639" s="8" t="n">
        <v>1</v>
      </c>
      <c r="I1639" s="8" t="n">
        <v>1</v>
      </c>
      <c r="J1639" s="8" t="inlineStr">
        <is>
          <t>What are the areas covered under this Programme?
1.	Physical &amp; Mathematical Sciences
2.	Chemical Sciences
3.	Life Sciences
4.	Earth &amp; Atmospheric Sciences
5.	Engineering &amp; Technology
6.	S&amp;T based Societal Research</t>
        </is>
      </c>
      <c r="K1639" s="8" t="inlineStr">
        <is>
          <t>MS-C25</t>
        </is>
      </c>
      <c r="L1639" s="9" t="n">
        <v>46323</v>
      </c>
      <c r="M1639" s="8" t="inlineStr">
        <is>
          <t>Approved</t>
        </is>
      </c>
      <c r="N1639" s="8" t="inlineStr">
        <is>
          <t>faq</t>
        </is>
      </c>
    </row>
    <row r="1640" ht="138" customHeight="1">
      <c r="A1640" s="4" t="inlineStr">
        <is>
          <t>C25-P0062</t>
        </is>
      </c>
      <c r="B1640" s="4" t="inlineStr">
        <is>
          <t>C25</t>
        </is>
      </c>
      <c r="C1640" s="4" t="inlineStr">
        <is>
          <t>Women’s Instinct for Developing and Ushering in Scientific Heights &amp; Innovation</t>
        </is>
      </c>
      <c r="D1640" s="4" t="inlineStr">
        <is>
          <t>FAQ</t>
        </is>
      </c>
      <c r="E1640" s="4" t="inlineStr"/>
      <c r="F1640" s="4" t="inlineStr">
        <is>
          <t>faqs.en.faqs[5]</t>
        </is>
      </c>
      <c r="G1640" s="4" t="inlineStr">
        <is>
          <t>C25@20261028-281bc008</t>
        </is>
      </c>
      <c r="H1640" s="4" t="n">
        <v>1</v>
      </c>
      <c r="I1640" s="4" t="n">
        <v>1</v>
      </c>
      <c r="J1640" s="4" t="inlineStr">
        <is>
          <t>What is the nature of support provided to the selected scientists?
Category A:
The Programme provides fellowship to the Principal Investigator @₹75,000/- per month, One Research Assistant, Research Grant of ₹5.0 Lakh per year and Institutional overhead charges @₹1.00 lakh per annum.
Category B:
The Programme provides fellowship to the Principal Investigator @₹85,000/- per month, One Research Assistant, Research Grant of ₹5.0 Lakh per year and Institutional overhead charges @₹1.00 lakh per annum.</t>
        </is>
      </c>
      <c r="K1640" s="4" t="inlineStr">
        <is>
          <t>MS-C25</t>
        </is>
      </c>
      <c r="L1640" s="6" t="n">
        <v>46323</v>
      </c>
      <c r="M1640" s="4" t="inlineStr">
        <is>
          <t>Approved</t>
        </is>
      </c>
      <c r="N1640" s="4" t="inlineStr">
        <is>
          <t>faq</t>
        </is>
      </c>
    </row>
    <row r="1641" ht="54" customHeight="1">
      <c r="A1641" s="8" t="inlineStr">
        <is>
          <t>C25-P0063</t>
        </is>
      </c>
      <c r="B1641" s="8" t="inlineStr">
        <is>
          <t>C25</t>
        </is>
      </c>
      <c r="C1641" s="8" t="inlineStr">
        <is>
          <t>Women’s Instinct for Developing and Ushering in Scientific Heights &amp; Innovation</t>
        </is>
      </c>
      <c r="D1641" s="8" t="inlineStr">
        <is>
          <t>FAQ</t>
        </is>
      </c>
      <c r="E1641" s="8" t="inlineStr"/>
      <c r="F1641" s="8" t="inlineStr">
        <is>
          <t>faqs.en.faqs[6]</t>
        </is>
      </c>
      <c r="G1641" s="8" t="inlineStr">
        <is>
          <t>C25@20261028-281bc008</t>
        </is>
      </c>
      <c r="H1641" s="8" t="n">
        <v>1</v>
      </c>
      <c r="I1641" s="8" t="n">
        <v>1</v>
      </c>
      <c r="J1641" s="8" t="inlineStr">
        <is>
          <t>What is the age criterion to apply under the programme?
For Category A: The age of the applicant should be between 57 to 62 years.
For Category B: The age of the applicant should be between 45 to 62 years.</t>
        </is>
      </c>
      <c r="K1641" s="8" t="inlineStr">
        <is>
          <t>MS-C25</t>
        </is>
      </c>
      <c r="L1641" s="9" t="n">
        <v>46323</v>
      </c>
      <c r="M1641" s="8" t="inlineStr">
        <is>
          <t>Approved</t>
        </is>
      </c>
      <c r="N1641" s="8" t="inlineStr">
        <is>
          <t>faq</t>
        </is>
      </c>
    </row>
    <row r="1642" ht="40" customHeight="1">
      <c r="A1642" s="4" t="inlineStr">
        <is>
          <t>C25-P0064</t>
        </is>
      </c>
      <c r="B1642" s="4" t="inlineStr">
        <is>
          <t>C25</t>
        </is>
      </c>
      <c r="C1642" s="4" t="inlineStr">
        <is>
          <t>Women’s Instinct for Developing and Ushering in Scientific Heights &amp; Innovation</t>
        </is>
      </c>
      <c r="D1642" s="4" t="inlineStr">
        <is>
          <t>FAQ</t>
        </is>
      </c>
      <c r="E1642" s="4" t="inlineStr"/>
      <c r="F1642" s="4" t="inlineStr">
        <is>
          <t>faqs.en.faqs[7]</t>
        </is>
      </c>
      <c r="G1642" s="4" t="inlineStr">
        <is>
          <t>C25@20261028-281bc008</t>
        </is>
      </c>
      <c r="H1642" s="4" t="n">
        <v>1</v>
      </c>
      <c r="I1642" s="4" t="n">
        <v>1</v>
      </c>
      <c r="J1642" s="4" t="inlineStr">
        <is>
          <t>What shall be tenure of the project?
The maximum duration of the project is 5 years.</t>
        </is>
      </c>
      <c r="K1642" s="4" t="inlineStr">
        <is>
          <t>MS-C25</t>
        </is>
      </c>
      <c r="L1642" s="6" t="n">
        <v>46323</v>
      </c>
      <c r="M1642" s="4" t="inlineStr">
        <is>
          <t>Approved</t>
        </is>
      </c>
      <c r="N1642" s="4" t="inlineStr">
        <is>
          <t>faq</t>
        </is>
      </c>
    </row>
    <row r="1643" ht="40" customHeight="1">
      <c r="A1643" s="8" t="inlineStr">
        <is>
          <t>C25-P0065</t>
        </is>
      </c>
      <c r="B1643" s="8" t="inlineStr">
        <is>
          <t>C25</t>
        </is>
      </c>
      <c r="C1643" s="8" t="inlineStr">
        <is>
          <t>Women’s Instinct for Developing and Ushering in Scientific Heights &amp; Innovation</t>
        </is>
      </c>
      <c r="D1643" s="8" t="inlineStr">
        <is>
          <t>FAQ</t>
        </is>
      </c>
      <c r="E1643" s="8" t="inlineStr"/>
      <c r="F1643" s="8" t="inlineStr">
        <is>
          <t>faqs.en.faqs[8]</t>
        </is>
      </c>
      <c r="G1643" s="8" t="inlineStr">
        <is>
          <t>C25@20261028-281bc008</t>
        </is>
      </c>
      <c r="H1643" s="8" t="n">
        <v>1</v>
      </c>
      <c r="I1643" s="8" t="n">
        <v>1</v>
      </c>
      <c r="J1643" s="8" t="inlineStr">
        <is>
          <t>What is the last date for receipt of Application?
The online Application portal is open throughout the year for proposal submission.</t>
        </is>
      </c>
      <c r="K1643" s="8" t="inlineStr">
        <is>
          <t>MS-C25</t>
        </is>
      </c>
      <c r="L1643" s="9" t="n">
        <v>46323</v>
      </c>
      <c r="M1643" s="8" t="inlineStr">
        <is>
          <t>Approved</t>
        </is>
      </c>
      <c r="N1643" s="8" t="inlineStr">
        <is>
          <t>faq</t>
        </is>
      </c>
    </row>
    <row r="1644" ht="40" customHeight="1">
      <c r="A1644" s="4" t="inlineStr">
        <is>
          <t>C25-P0066</t>
        </is>
      </c>
      <c r="B1644" s="4" t="inlineStr">
        <is>
          <t>C25</t>
        </is>
      </c>
      <c r="C1644" s="4" t="inlineStr">
        <is>
          <t>Women’s Instinct for Developing and Ushering in Scientific Heights &amp; Innovation</t>
        </is>
      </c>
      <c r="D1644" s="4" t="inlineStr">
        <is>
          <t>FAQ</t>
        </is>
      </c>
      <c r="E1644" s="4" t="inlineStr"/>
      <c r="F1644" s="4" t="inlineStr">
        <is>
          <t>faqs.en.faqs[9]</t>
        </is>
      </c>
      <c r="G1644" s="4" t="inlineStr">
        <is>
          <t>C25@20261028-281bc008</t>
        </is>
      </c>
      <c r="H1644" s="4" t="n">
        <v>1</v>
      </c>
      <c r="I1644" s="4" t="n">
        <v>1</v>
      </c>
      <c r="J1644" s="4" t="inlineStr">
        <is>
          <t>How to apply under the programme?
The call is open for proposal submission under WISE-KIRAN at ePMS (https://onlinedst.gov.in).</t>
        </is>
      </c>
      <c r="K1644" s="4" t="inlineStr">
        <is>
          <t>MS-C25</t>
        </is>
      </c>
      <c r="L1644" s="6" t="n">
        <v>46323</v>
      </c>
      <c r="M1644" s="4" t="inlineStr">
        <is>
          <t>Approved</t>
        </is>
      </c>
      <c r="N1644" s="4" t="inlineStr">
        <is>
          <t>faq</t>
        </is>
      </c>
    </row>
    <row r="1645" ht="138" customHeight="1">
      <c r="A1645" s="8" t="inlineStr">
        <is>
          <t>C26-P0001</t>
        </is>
      </c>
      <c r="B1645" s="8" t="inlineStr">
        <is>
          <t>C26</t>
        </is>
      </c>
      <c r="C1645" s="8" t="inlineStr">
        <is>
          <t>Teachers Associateship for Research Excellence</t>
        </is>
      </c>
      <c r="D1645" s="8" t="inlineStr">
        <is>
          <t>Details</t>
        </is>
      </c>
      <c r="E1645" s="8" t="inlineStr"/>
      <c r="F1645" s="8" t="inlineStr">
        <is>
          <t>en.schemeContent.detailedDescription[0].children[0]</t>
        </is>
      </c>
      <c r="G1645" s="8" t="inlineStr">
        <is>
          <t>C26@20261028-db2b8659</t>
        </is>
      </c>
      <c r="H1645" s="8" t="n">
        <v>1</v>
      </c>
      <c r="I1645" s="8" t="n">
        <v>1</v>
      </c>
      <c r="J1645" s="8" t="inlineStr">
        <is>
          <t>The scheme “Teachers Associateship for Research Excellence (TARE)” was launched by the Science and Engineering Research Board, Department of Science &amp; Technology, Government of India which aims to facilitate the mobility of faculty members working in a regular capacity in State Universities / Colleges and in private Academic Institutions to carry out research work in an established public-funded central institution such as IITs, IISc, IISERS, National Institutions (NITs, CSIR, ICAR, ICMR labs and other central institutions) and Central Universities, located preferably nearer to the institution where the faculty member is working. Research work will be carried out in such a manner to ensure that the PI continues to work in the host institute as well as his / her parent institute on mutually agreed terms between the PI and Mentor.</t>
        </is>
      </c>
      <c r="K1645" s="8" t="inlineStr">
        <is>
          <t>MS-C26</t>
        </is>
      </c>
      <c r="L1645" s="9" t="n">
        <v>46323</v>
      </c>
      <c r="M1645" s="8" t="inlineStr">
        <is>
          <t>Approved</t>
        </is>
      </c>
      <c r="N1645" s="8" t="inlineStr">
        <is>
          <t>paragraph</t>
        </is>
      </c>
    </row>
    <row r="1646" ht="40" customHeight="1">
      <c r="A1646" s="4" t="inlineStr">
        <is>
          <t>C26-P0002</t>
        </is>
      </c>
      <c r="B1646" s="4" t="inlineStr">
        <is>
          <t>C26</t>
        </is>
      </c>
      <c r="C1646" s="4" t="inlineStr">
        <is>
          <t>Teachers Associateship for Research Excellence</t>
        </is>
      </c>
      <c r="D1646" s="4" t="inlineStr">
        <is>
          <t>Details</t>
        </is>
      </c>
      <c r="E1646" s="4" t="inlineStr">
        <is>
          <t>Areas Covered under the scheme:</t>
        </is>
      </c>
      <c r="F1646" s="4" t="inlineStr">
        <is>
          <t>en.schemeContent.detailedDescription[0].children[1]</t>
        </is>
      </c>
      <c r="G1646" s="4" t="inlineStr">
        <is>
          <t>C26@20261028-db2b8659</t>
        </is>
      </c>
      <c r="H1646" s="4" t="n">
        <v>1</v>
      </c>
      <c r="I1646" s="4" t="n">
        <v>1</v>
      </c>
      <c r="J1646" s="4" t="inlineStr">
        <is>
          <t>Areas Covered under the scheme:</t>
        </is>
      </c>
      <c r="K1646" s="4" t="inlineStr">
        <is>
          <t>MS-C26</t>
        </is>
      </c>
      <c r="L1646" s="6" t="n">
        <v>46323</v>
      </c>
      <c r="M1646" s="4" t="inlineStr">
        <is>
          <t>Approved</t>
        </is>
      </c>
      <c r="N1646" s="4" t="inlineStr">
        <is>
          <t>paragraph</t>
        </is>
      </c>
    </row>
    <row r="1647" ht="54" customHeight="1">
      <c r="A1647" s="8" t="inlineStr">
        <is>
          <t>C26-P0003</t>
        </is>
      </c>
      <c r="B1647" s="8" t="inlineStr">
        <is>
          <t>C26</t>
        </is>
      </c>
      <c r="C1647" s="8" t="inlineStr">
        <is>
          <t>Teachers Associateship for Research Excellence</t>
        </is>
      </c>
      <c r="D1647" s="8" t="inlineStr">
        <is>
          <t>Details</t>
        </is>
      </c>
      <c r="E1647" s="8" t="inlineStr">
        <is>
          <t>Areas Covered under the scheme:</t>
        </is>
      </c>
      <c r="F1647" s="8" t="inlineStr">
        <is>
          <t>en.schemeContent.detailedDescription[0].children[2]</t>
        </is>
      </c>
      <c r="G1647" s="8" t="inlineStr">
        <is>
          <t>C26@20261028-db2b8659</t>
        </is>
      </c>
      <c r="H1647" s="8" t="n">
        <v>1</v>
      </c>
      <c r="I1647" s="8" t="n">
        <v>1</v>
      </c>
      <c r="J1647" s="8" t="inlineStr">
        <is>
          <t>The scheme covers areas under Life Sciences, Physical Sciences, Chemical Sciences, Engineering Sciences, Earth and Atmospheric Sciences, and Mathematical Sciences, including interdisciplinary areas.</t>
        </is>
      </c>
      <c r="K1647" s="8" t="inlineStr">
        <is>
          <t>MS-C26</t>
        </is>
      </c>
      <c r="L1647" s="9" t="n">
        <v>46323</v>
      </c>
      <c r="M1647" s="8" t="inlineStr">
        <is>
          <t>Approved</t>
        </is>
      </c>
      <c r="N1647" s="8" t="inlineStr">
        <is>
          <t>paragraph</t>
        </is>
      </c>
    </row>
    <row r="1648" ht="40" customHeight="1">
      <c r="A1648" s="4" t="inlineStr">
        <is>
          <t>C26-P0004</t>
        </is>
      </c>
      <c r="B1648" s="4" t="inlineStr">
        <is>
          <t>C26</t>
        </is>
      </c>
      <c r="C1648" s="4" t="inlineStr">
        <is>
          <t>Teachers Associateship for Research Excellence</t>
        </is>
      </c>
      <c r="D1648" s="4" t="inlineStr">
        <is>
          <t>Details</t>
        </is>
      </c>
      <c r="E1648" s="4" t="inlineStr">
        <is>
          <t>Areas Covered under the scheme:</t>
        </is>
      </c>
      <c r="F1648" s="4" t="inlineStr">
        <is>
          <t>en.schemeContent.detailedDescription[0].children[3].children[0]</t>
        </is>
      </c>
      <c r="G1648" s="4" t="inlineStr">
        <is>
          <t>C26@20261028-db2b8659</t>
        </is>
      </c>
      <c r="H1648" s="4" t="n">
        <v>1</v>
      </c>
      <c r="I1648" s="4" t="n">
        <v>1</v>
      </c>
      <c r="J1648" s="4" t="inlineStr">
        <is>
          <t>Duration of Support:</t>
        </is>
      </c>
      <c r="K1648" s="4" t="inlineStr">
        <is>
          <t>MS-C26</t>
        </is>
      </c>
      <c r="L1648" s="6" t="n">
        <v>46323</v>
      </c>
      <c r="M1648" s="4" t="inlineStr">
        <is>
          <t>Approved</t>
        </is>
      </c>
      <c r="N1648" s="4" t="inlineStr">
        <is>
          <t>text</t>
        </is>
      </c>
    </row>
    <row r="1649" ht="40" customHeight="1">
      <c r="A1649" s="8" t="inlineStr">
        <is>
          <t>C26-P0005</t>
        </is>
      </c>
      <c r="B1649" s="8" t="inlineStr">
        <is>
          <t>C26</t>
        </is>
      </c>
      <c r="C1649" s="8" t="inlineStr">
        <is>
          <t>Teachers Associateship for Research Excellence</t>
        </is>
      </c>
      <c r="D1649" s="8" t="inlineStr">
        <is>
          <t>Details</t>
        </is>
      </c>
      <c r="E1649" s="8" t="inlineStr">
        <is>
          <t>Areas Covered under the scheme:</t>
        </is>
      </c>
      <c r="F1649" s="8" t="inlineStr">
        <is>
          <t>en.schemeContent.detailedDescription[0].children[4]</t>
        </is>
      </c>
      <c r="G1649" s="8" t="inlineStr">
        <is>
          <t>C26@20261028-db2b8659</t>
        </is>
      </c>
      <c r="H1649" s="8" t="n">
        <v>1</v>
      </c>
      <c r="I1649" s="8" t="n">
        <v>1</v>
      </c>
      <c r="J1649" s="8" t="inlineStr">
        <is>
          <t>The duration of support is three years.</t>
        </is>
      </c>
      <c r="K1649" s="8" t="inlineStr">
        <is>
          <t>MS-C26</t>
        </is>
      </c>
      <c r="L1649" s="9" t="n">
        <v>46323</v>
      </c>
      <c r="M1649" s="8" t="inlineStr">
        <is>
          <t>Approved</t>
        </is>
      </c>
      <c r="N1649" s="8" t="inlineStr">
        <is>
          <t>paragraph</t>
        </is>
      </c>
    </row>
    <row r="1650" ht="54" customHeight="1">
      <c r="A1650" s="4" t="inlineStr">
        <is>
          <t>C26-P0006</t>
        </is>
      </c>
      <c r="B1650" s="4" t="inlineStr">
        <is>
          <t>C26</t>
        </is>
      </c>
      <c r="C1650" s="4" t="inlineStr">
        <is>
          <t>Teachers Associateship for Research Excellence</t>
        </is>
      </c>
      <c r="D1650" s="4" t="inlineStr">
        <is>
          <t>Benefits</t>
        </is>
      </c>
      <c r="E1650" s="4" t="inlineStr"/>
      <c r="F1650" s="4" t="inlineStr">
        <is>
          <t>en.schemeContent.benefits[0].children[0].children[0]</t>
        </is>
      </c>
      <c r="G1650" s="4" t="inlineStr">
        <is>
          <t>C26@20261028-db2b8659</t>
        </is>
      </c>
      <c r="H1650" s="4" t="n">
        <v>1</v>
      </c>
      <c r="I1650" s="4" t="n">
        <v>1</v>
      </c>
      <c r="J1650" s="4" t="inlineStr">
        <is>
          <t>Research fellowship of ₹60,000/- per year (in addition to the researcher’s own salary) will be provided subject to completion of a minimum of 90 days of research work per year in the host institution.</t>
        </is>
      </c>
      <c r="K1650" s="4" t="inlineStr">
        <is>
          <t>MS-C26</t>
        </is>
      </c>
      <c r="L1650" s="6" t="n">
        <v>46323</v>
      </c>
      <c r="M1650" s="4" t="inlineStr">
        <is>
          <t>Approved</t>
        </is>
      </c>
      <c r="N1650" s="4" t="inlineStr">
        <is>
          <t>list_item</t>
        </is>
      </c>
    </row>
    <row r="1651" ht="40" customHeight="1">
      <c r="A1651" s="8" t="inlineStr">
        <is>
          <t>C26-P0007</t>
        </is>
      </c>
      <c r="B1651" s="8" t="inlineStr">
        <is>
          <t>C26</t>
        </is>
      </c>
      <c r="C1651" s="8" t="inlineStr">
        <is>
          <t>Teachers Associateship for Research Excellence</t>
        </is>
      </c>
      <c r="D1651" s="8" t="inlineStr">
        <is>
          <t>Benefits</t>
        </is>
      </c>
      <c r="E1651" s="8" t="inlineStr"/>
      <c r="F1651" s="8" t="inlineStr">
        <is>
          <t>en.schemeContent.benefits[0].children[0].children[1]</t>
        </is>
      </c>
      <c r="G1651" s="8" t="inlineStr">
        <is>
          <t>C26@20261028-db2b8659</t>
        </is>
      </c>
      <c r="H1651" s="8" t="n">
        <v>1</v>
      </c>
      <c r="I1651" s="8" t="n">
        <v>1</v>
      </c>
      <c r="J1651" s="8" t="inlineStr">
        <is>
          <t>Research grant of ₹5 lakhs per annum (50% each to host and parent institution) and overheads (as per SERB norms) will be provided.</t>
        </is>
      </c>
      <c r="K1651" s="8" t="inlineStr">
        <is>
          <t>MS-C26</t>
        </is>
      </c>
      <c r="L1651" s="9" t="n">
        <v>46323</v>
      </c>
      <c r="M1651" s="8" t="inlineStr">
        <is>
          <t>Approved</t>
        </is>
      </c>
      <c r="N1651" s="8" t="inlineStr">
        <is>
          <t>list_item</t>
        </is>
      </c>
    </row>
    <row r="1652" ht="40" customHeight="1">
      <c r="A1652" s="4" t="inlineStr">
        <is>
          <t>C26-P0008</t>
        </is>
      </c>
      <c r="B1652" s="4" t="inlineStr">
        <is>
          <t>C26</t>
        </is>
      </c>
      <c r="C1652" s="4" t="inlineStr">
        <is>
          <t>Teachers Associateship for Research Excellence</t>
        </is>
      </c>
      <c r="D1652" s="4" t="inlineStr">
        <is>
          <t>Eligibility</t>
        </is>
      </c>
      <c r="E1652" s="4" t="inlineStr"/>
      <c r="F1652" s="4" t="inlineStr">
        <is>
          <t>en.eligibilityCriteria.eligibilityDescription[0].children[0].children[0]</t>
        </is>
      </c>
      <c r="G1652" s="4" t="inlineStr">
        <is>
          <t>C26@20261028-db2b8659</t>
        </is>
      </c>
      <c r="H1652" s="4" t="n">
        <v>1</v>
      </c>
      <c r="I1652" s="4" t="n">
        <v>1</v>
      </c>
      <c r="J1652" s="4" t="inlineStr">
        <is>
          <t>Indian citizens residing in India holding a Ph.D. degree in Science/Engineering or MS/MD in Medicine are eligible to apply.</t>
        </is>
      </c>
      <c r="K1652" s="4" t="inlineStr">
        <is>
          <t>MS-C26</t>
        </is>
      </c>
      <c r="L1652" s="6" t="n">
        <v>46323</v>
      </c>
      <c r="M1652" s="4" t="inlineStr">
        <is>
          <t>Approved</t>
        </is>
      </c>
      <c r="N1652" s="4" t="inlineStr">
        <is>
          <t>list_item</t>
        </is>
      </c>
    </row>
    <row r="1653" ht="40" customHeight="1">
      <c r="A1653" s="8" t="inlineStr">
        <is>
          <t>C26-P0009</t>
        </is>
      </c>
      <c r="B1653" s="8" t="inlineStr">
        <is>
          <t>C26</t>
        </is>
      </c>
      <c r="C1653" s="8" t="inlineStr">
        <is>
          <t>Teachers Associateship for Research Excellence</t>
        </is>
      </c>
      <c r="D1653" s="8" t="inlineStr">
        <is>
          <t>Eligibility</t>
        </is>
      </c>
      <c r="E1653" s="8" t="inlineStr"/>
      <c r="F1653" s="8" t="inlineStr">
        <is>
          <t>en.eligibilityCriteria.eligibilityDescription[0].children[0].children[1]</t>
        </is>
      </c>
      <c r="G1653" s="8" t="inlineStr">
        <is>
          <t>C26@20261028-db2b8659</t>
        </is>
      </c>
      <c r="H1653" s="8" t="n">
        <v>1</v>
      </c>
      <c r="I1653" s="8" t="n">
        <v>1</v>
      </c>
      <c r="J1653" s="8" t="inlineStr">
        <is>
          <t>The applicant(s) must hold a regular academic/research position in State Universities/ Colleges and private Academic Institutions.</t>
        </is>
      </c>
      <c r="K1653" s="8" t="inlineStr">
        <is>
          <t>MS-C26</t>
        </is>
      </c>
      <c r="L1653" s="9" t="n">
        <v>46323</v>
      </c>
      <c r="M1653" s="8" t="inlineStr">
        <is>
          <t>Approved</t>
        </is>
      </c>
      <c r="N1653" s="8" t="inlineStr">
        <is>
          <t>list_item</t>
        </is>
      </c>
    </row>
    <row r="1654" ht="40" customHeight="1">
      <c r="A1654" s="4" t="inlineStr">
        <is>
          <t>C26-P0010</t>
        </is>
      </c>
      <c r="B1654" s="4" t="inlineStr">
        <is>
          <t>C26</t>
        </is>
      </c>
      <c r="C1654" s="4" t="inlineStr">
        <is>
          <t>Teachers Associateship for Research Excellence</t>
        </is>
      </c>
      <c r="D1654" s="4" t="inlineStr">
        <is>
          <t>Eligibility</t>
        </is>
      </c>
      <c r="E1654" s="4" t="inlineStr"/>
      <c r="F1654" s="4" t="inlineStr">
        <is>
          <t>en.eligibilityCriteria.eligibilityDescription[0].children[0].children[2]</t>
        </is>
      </c>
      <c r="G1654" s="4" t="inlineStr">
        <is>
          <t>C26@20261028-db2b8659</t>
        </is>
      </c>
      <c r="H1654" s="4" t="n">
        <v>1</v>
      </c>
      <c r="I1654" s="4" t="n">
        <v>1</v>
      </c>
      <c r="J1654" s="4" t="inlineStr">
        <is>
          <t>Applicant should not hold any ongoing research projects or any fellowship at the time of submission of application.</t>
        </is>
      </c>
      <c r="K1654" s="4" t="inlineStr">
        <is>
          <t>MS-C26</t>
        </is>
      </c>
      <c r="L1654" s="6" t="n">
        <v>46323</v>
      </c>
      <c r="M1654" s="4" t="inlineStr">
        <is>
          <t>Approved</t>
        </is>
      </c>
      <c r="N1654" s="4" t="inlineStr">
        <is>
          <t>list_item</t>
        </is>
      </c>
    </row>
    <row r="1655" ht="54" customHeight="1">
      <c r="A1655" s="8" t="inlineStr">
        <is>
          <t>C26-P0011</t>
        </is>
      </c>
      <c r="B1655" s="8" t="inlineStr">
        <is>
          <t>C26</t>
        </is>
      </c>
      <c r="C1655" s="8" t="inlineStr">
        <is>
          <t>Teachers Associateship for Research Excellence</t>
        </is>
      </c>
      <c r="D1655" s="8" t="inlineStr">
        <is>
          <t>Eligibility</t>
        </is>
      </c>
      <c r="E1655" s="8" t="inlineStr"/>
      <c r="F1655" s="8" t="inlineStr">
        <is>
          <t>en.eligibilityCriteria.eligibilityDescription[0].children[0].children[3]</t>
        </is>
      </c>
      <c r="G1655" s="8" t="inlineStr">
        <is>
          <t>C26@20261028-db2b8659</t>
        </is>
      </c>
      <c r="H1655" s="8" t="n">
        <v>1</v>
      </c>
      <c r="I1655" s="8" t="n">
        <v>1</v>
      </c>
      <c r="J1655" s="8" t="inlineStr">
        <is>
          <t>The upper age limit for the award is 45 years at the time of the submission of the application. Age relaxation of 5 (five) years will be given to candidates belonging to SC/ST/OBC/Physically Challenged &amp; Women candidates.</t>
        </is>
      </c>
      <c r="K1655" s="8" t="inlineStr">
        <is>
          <t>MS-C26</t>
        </is>
      </c>
      <c r="L1655" s="9" t="n">
        <v>46323</v>
      </c>
      <c r="M1655" s="8" t="inlineStr">
        <is>
          <t>Approved</t>
        </is>
      </c>
      <c r="N1655" s="8" t="inlineStr">
        <is>
          <t>list_item</t>
        </is>
      </c>
    </row>
    <row r="1656" ht="40" customHeight="1">
      <c r="A1656" s="4" t="inlineStr">
        <is>
          <t>C26-P0012</t>
        </is>
      </c>
      <c r="B1656" s="4" t="inlineStr">
        <is>
          <t>C26</t>
        </is>
      </c>
      <c r="C1656" s="4" t="inlineStr">
        <is>
          <t>Teachers Associateship for Research Excellence</t>
        </is>
      </c>
      <c r="D1656" s="4" t="inlineStr">
        <is>
          <t>Eligibility</t>
        </is>
      </c>
      <c r="E1656" s="4" t="inlineStr"/>
      <c r="F1656" s="4" t="inlineStr">
        <is>
          <t>en.eligibilityCriteria.eligibilityDescription[0].children[0].children[4]</t>
        </is>
      </c>
      <c r="G1656" s="4" t="inlineStr">
        <is>
          <t>C26@20261028-db2b8659</t>
        </is>
      </c>
      <c r="H1656" s="4" t="n">
        <v>1</v>
      </c>
      <c r="I1656" s="4" t="n">
        <v>1</v>
      </c>
      <c r="J1656" s="4" t="inlineStr">
        <is>
          <t>Mentor should be at the level of Associate Professor/Scientist E, or higher level.</t>
        </is>
      </c>
      <c r="K1656" s="4" t="inlineStr">
        <is>
          <t>MS-C26</t>
        </is>
      </c>
      <c r="L1656" s="6" t="n">
        <v>46323</v>
      </c>
      <c r="M1656" s="4" t="inlineStr">
        <is>
          <t>Approved</t>
        </is>
      </c>
      <c r="N1656" s="4" t="inlineStr">
        <is>
          <t>list_item</t>
        </is>
      </c>
    </row>
    <row r="1657" ht="40" customHeight="1">
      <c r="A1657" s="8" t="inlineStr">
        <is>
          <t>C26-P0013</t>
        </is>
      </c>
      <c r="B1657" s="8" t="inlineStr">
        <is>
          <t>C26</t>
        </is>
      </c>
      <c r="C1657" s="8" t="inlineStr">
        <is>
          <t>Teachers Associateship for Research Excellence</t>
        </is>
      </c>
      <c r="D1657" s="8" t="inlineStr">
        <is>
          <t>Eligibility</t>
        </is>
      </c>
      <c r="E1657" s="8" t="inlineStr"/>
      <c r="F1657" s="8" t="inlineStr">
        <is>
          <t>en.eligibilityCriteria.eligibilityDescription[0].children[0].children[5]</t>
        </is>
      </c>
      <c r="G1657" s="8" t="inlineStr">
        <is>
          <t>C26@20261028-db2b8659</t>
        </is>
      </c>
      <c r="H1657" s="8" t="n">
        <v>1</v>
      </c>
      <c r="I1657" s="8" t="n">
        <v>1</v>
      </c>
      <c r="J1657" s="8" t="inlineStr">
        <is>
          <t>Only one candidate will be allowed to work with a mentor at any given point of time.</t>
        </is>
      </c>
      <c r="K1657" s="8" t="inlineStr">
        <is>
          <t>MS-C26</t>
        </is>
      </c>
      <c r="L1657" s="9" t="n">
        <v>46323</v>
      </c>
      <c r="M1657" s="8" t="inlineStr">
        <is>
          <t>Approved</t>
        </is>
      </c>
      <c r="N1657" s="8" t="inlineStr">
        <is>
          <t>list_item</t>
        </is>
      </c>
    </row>
    <row r="1658" ht="40" customHeight="1">
      <c r="A1658" s="4" t="inlineStr">
        <is>
          <t>C26-P0014</t>
        </is>
      </c>
      <c r="B1658" s="4" t="inlineStr">
        <is>
          <t>C26</t>
        </is>
      </c>
      <c r="C1658" s="4" t="inlineStr">
        <is>
          <t>Teachers Associateship for Research Excellence</t>
        </is>
      </c>
      <c r="D1658" s="4" t="inlineStr">
        <is>
          <t>Applicant documents</t>
        </is>
      </c>
      <c r="E1658" s="4" t="inlineStr"/>
      <c r="F1658" s="4" t="inlineStr">
        <is>
          <t>documents.en.documents_required[0]</t>
        </is>
      </c>
      <c r="G1658" s="4" t="inlineStr">
        <is>
          <t>C26@20261028-db2b8659</t>
        </is>
      </c>
      <c r="H1658" s="4" t="n">
        <v>1</v>
      </c>
      <c r="I1658" s="4" t="n">
        <v>1</v>
      </c>
      <c r="J1658" s="4" t="inlineStr">
        <is>
          <t>1.	Passport size photograph</t>
        </is>
      </c>
      <c r="K1658" s="4" t="inlineStr">
        <is>
          <t>MS-C26</t>
        </is>
      </c>
      <c r="L1658" s="6" t="n">
        <v>46323</v>
      </c>
      <c r="M1658" s="4" t="inlineStr">
        <is>
          <t>Approved</t>
        </is>
      </c>
      <c r="N1658" s="4" t="inlineStr">
        <is>
          <t>paragraph</t>
        </is>
      </c>
    </row>
    <row r="1659" ht="40" customHeight="1">
      <c r="A1659" s="8" t="inlineStr">
        <is>
          <t>C26-P0015</t>
        </is>
      </c>
      <c r="B1659" s="8" t="inlineStr">
        <is>
          <t>C26</t>
        </is>
      </c>
      <c r="C1659" s="8" t="inlineStr">
        <is>
          <t>Teachers Associateship for Research Excellence</t>
        </is>
      </c>
      <c r="D1659" s="8" t="inlineStr">
        <is>
          <t>Applicant documents</t>
        </is>
      </c>
      <c r="E1659" s="8" t="inlineStr"/>
      <c r="F1659" s="8" t="inlineStr">
        <is>
          <t>documents.en.documents_required[1]</t>
        </is>
      </c>
      <c r="G1659" s="8" t="inlineStr">
        <is>
          <t>C26@20261028-db2b8659</t>
        </is>
      </c>
      <c r="H1659" s="8" t="n">
        <v>1</v>
      </c>
      <c r="I1659" s="8" t="n">
        <v>1</v>
      </c>
      <c r="J1659" s="8" t="inlineStr">
        <is>
          <t>2.	Biodata of the applicant (under the user profile section)</t>
        </is>
      </c>
      <c r="K1659" s="8" t="inlineStr">
        <is>
          <t>MS-C26</t>
        </is>
      </c>
      <c r="L1659" s="9" t="n">
        <v>46323</v>
      </c>
      <c r="M1659" s="8" t="inlineStr">
        <is>
          <t>Approved</t>
        </is>
      </c>
      <c r="N1659" s="8" t="inlineStr">
        <is>
          <t>paragraph</t>
        </is>
      </c>
    </row>
    <row r="1660" ht="40" customHeight="1">
      <c r="A1660" s="4" t="inlineStr">
        <is>
          <t>C26-P0016</t>
        </is>
      </c>
      <c r="B1660" s="4" t="inlineStr">
        <is>
          <t>C26</t>
        </is>
      </c>
      <c r="C1660" s="4" t="inlineStr">
        <is>
          <t>Teachers Associateship for Research Excellence</t>
        </is>
      </c>
      <c r="D1660" s="4" t="inlineStr">
        <is>
          <t>Applicant documents</t>
        </is>
      </c>
      <c r="E1660" s="4" t="inlineStr"/>
      <c r="F1660" s="4" t="inlineStr">
        <is>
          <t>documents.en.documents_required[2]</t>
        </is>
      </c>
      <c r="G1660" s="4" t="inlineStr">
        <is>
          <t>C26@20261028-db2b8659</t>
        </is>
      </c>
      <c r="H1660" s="4" t="n">
        <v>1</v>
      </c>
      <c r="I1660" s="4" t="n">
        <v>1</v>
      </c>
      <c r="J1660" s="4" t="inlineStr">
        <is>
          <t>3.	Other technical details of the proposal</t>
        </is>
      </c>
      <c r="K1660" s="4" t="inlineStr">
        <is>
          <t>MS-C26</t>
        </is>
      </c>
      <c r="L1660" s="6" t="n">
        <v>46323</v>
      </c>
      <c r="M1660" s="4" t="inlineStr">
        <is>
          <t>Approved</t>
        </is>
      </c>
      <c r="N1660" s="4" t="inlineStr">
        <is>
          <t>paragraph</t>
        </is>
      </c>
    </row>
    <row r="1661" ht="40" customHeight="1">
      <c r="A1661" s="8" t="inlineStr">
        <is>
          <t>C26-P0017</t>
        </is>
      </c>
      <c r="B1661" s="8" t="inlineStr">
        <is>
          <t>C26</t>
        </is>
      </c>
      <c r="C1661" s="8" t="inlineStr">
        <is>
          <t>Teachers Associateship for Research Excellence</t>
        </is>
      </c>
      <c r="D1661" s="8" t="inlineStr">
        <is>
          <t>Applicant documents</t>
        </is>
      </c>
      <c r="E1661" s="8" t="inlineStr"/>
      <c r="F1661" s="8" t="inlineStr">
        <is>
          <t>documents.en.documents_required[3]</t>
        </is>
      </c>
      <c r="G1661" s="8" t="inlineStr">
        <is>
          <t>C26@20261028-db2b8659</t>
        </is>
      </c>
      <c r="H1661" s="8" t="n">
        <v>1</v>
      </c>
      <c r="I1661" s="8" t="n">
        <v>1</v>
      </c>
      <c r="J1661" s="8" t="inlineStr">
        <is>
          <t>4.	Certificate from the Investigator</t>
        </is>
      </c>
      <c r="K1661" s="8" t="inlineStr">
        <is>
          <t>MS-C26</t>
        </is>
      </c>
      <c r="L1661" s="9" t="n">
        <v>46323</v>
      </c>
      <c r="M1661" s="8" t="inlineStr">
        <is>
          <t>Approved</t>
        </is>
      </c>
      <c r="N1661" s="8" t="inlineStr">
        <is>
          <t>paragraph</t>
        </is>
      </c>
    </row>
    <row r="1662" ht="40" customHeight="1">
      <c r="A1662" s="4" t="inlineStr">
        <is>
          <t>C26-P0018</t>
        </is>
      </c>
      <c r="B1662" s="4" t="inlineStr">
        <is>
          <t>C26</t>
        </is>
      </c>
      <c r="C1662" s="4" t="inlineStr">
        <is>
          <t>Teachers Associateship for Research Excellence</t>
        </is>
      </c>
      <c r="D1662" s="4" t="inlineStr">
        <is>
          <t>Applicant documents</t>
        </is>
      </c>
      <c r="E1662" s="4" t="inlineStr"/>
      <c r="F1662" s="4" t="inlineStr">
        <is>
          <t>documents.en.documents_required[4]</t>
        </is>
      </c>
      <c r="G1662" s="4" t="inlineStr">
        <is>
          <t>C26@20261028-db2b8659</t>
        </is>
      </c>
      <c r="H1662" s="4" t="n">
        <v>1</v>
      </c>
      <c r="I1662" s="4" t="n">
        <v>1</v>
      </c>
      <c r="J1662" s="4" t="inlineStr">
        <is>
          <t>5.	Endorsement certificate from the Head of Parent Institution</t>
        </is>
      </c>
      <c r="K1662" s="4" t="inlineStr">
        <is>
          <t>MS-C26</t>
        </is>
      </c>
      <c r="L1662" s="6" t="n">
        <v>46323</v>
      </c>
      <c r="M1662" s="4" t="inlineStr">
        <is>
          <t>Approved</t>
        </is>
      </c>
      <c r="N1662" s="4" t="inlineStr">
        <is>
          <t>paragraph</t>
        </is>
      </c>
    </row>
    <row r="1663" ht="40" customHeight="1">
      <c r="A1663" s="8" t="inlineStr">
        <is>
          <t>C26-P0019</t>
        </is>
      </c>
      <c r="B1663" s="8" t="inlineStr">
        <is>
          <t>C26</t>
        </is>
      </c>
      <c r="C1663" s="8" t="inlineStr">
        <is>
          <t>Teachers Associateship for Research Excellence</t>
        </is>
      </c>
      <c r="D1663" s="8" t="inlineStr">
        <is>
          <t>Applicant documents</t>
        </is>
      </c>
      <c r="E1663" s="8" t="inlineStr"/>
      <c r="F1663" s="8" t="inlineStr">
        <is>
          <t>documents.en.documents_required[5]</t>
        </is>
      </c>
      <c r="G1663" s="8" t="inlineStr">
        <is>
          <t>C26@20261028-db2b8659</t>
        </is>
      </c>
      <c r="H1663" s="8" t="n">
        <v>1</v>
      </c>
      <c r="I1663" s="8" t="n">
        <v>1</v>
      </c>
      <c r="J1663" s="8" t="inlineStr">
        <is>
          <t>6.	Endorsement Letter from the Head of the host Institution</t>
        </is>
      </c>
      <c r="K1663" s="8" t="inlineStr">
        <is>
          <t>MS-C26</t>
        </is>
      </c>
      <c r="L1663" s="9" t="n">
        <v>46323</v>
      </c>
      <c r="M1663" s="8" t="inlineStr">
        <is>
          <t>Approved</t>
        </is>
      </c>
      <c r="N1663" s="8" t="inlineStr">
        <is>
          <t>paragraph</t>
        </is>
      </c>
    </row>
    <row r="1664" ht="40" customHeight="1">
      <c r="A1664" s="4" t="inlineStr">
        <is>
          <t>C26-P0020</t>
        </is>
      </c>
      <c r="B1664" s="4" t="inlineStr">
        <is>
          <t>C26</t>
        </is>
      </c>
      <c r="C1664" s="4" t="inlineStr">
        <is>
          <t>Teachers Associateship for Research Excellence</t>
        </is>
      </c>
      <c r="D1664" s="4" t="inlineStr">
        <is>
          <t>Applicant documents</t>
        </is>
      </c>
      <c r="E1664" s="4" t="inlineStr"/>
      <c r="F1664" s="4" t="inlineStr">
        <is>
          <t>documents.en.documents_required[6]</t>
        </is>
      </c>
      <c r="G1664" s="4" t="inlineStr">
        <is>
          <t>C26@20261028-db2b8659</t>
        </is>
      </c>
      <c r="H1664" s="4" t="n">
        <v>1</v>
      </c>
      <c r="I1664" s="4" t="n">
        <v>1</v>
      </c>
      <c r="J1664" s="4" t="inlineStr">
        <is>
          <t>7.	CV of the Mentor</t>
        </is>
      </c>
      <c r="K1664" s="4" t="inlineStr">
        <is>
          <t>MS-C26</t>
        </is>
      </c>
      <c r="L1664" s="6" t="n">
        <v>46323</v>
      </c>
      <c r="M1664" s="4" t="inlineStr">
        <is>
          <t>Approved</t>
        </is>
      </c>
      <c r="N1664" s="4" t="inlineStr">
        <is>
          <t>paragraph</t>
        </is>
      </c>
    </row>
    <row r="1665" ht="40" customHeight="1">
      <c r="A1665" s="8" t="inlineStr">
        <is>
          <t>C26-P0021</t>
        </is>
      </c>
      <c r="B1665" s="8" t="inlineStr">
        <is>
          <t>C26</t>
        </is>
      </c>
      <c r="C1665" s="8" t="inlineStr">
        <is>
          <t>Teachers Associateship for Research Excellence</t>
        </is>
      </c>
      <c r="D1665" s="8" t="inlineStr">
        <is>
          <t>Applicant documents</t>
        </is>
      </c>
      <c r="E1665" s="8" t="inlineStr"/>
      <c r="F1665" s="8" t="inlineStr">
        <is>
          <t>documents.en.documents_required[7]</t>
        </is>
      </c>
      <c r="G1665" s="8" t="inlineStr">
        <is>
          <t>C26@20261028-db2b8659</t>
        </is>
      </c>
      <c r="H1665" s="8" t="n">
        <v>1</v>
      </c>
      <c r="I1665" s="8" t="n">
        <v>1</v>
      </c>
      <c r="J1665" s="8" t="inlineStr">
        <is>
          <t>8.	Category certificate</t>
        </is>
      </c>
      <c r="K1665" s="8" t="inlineStr">
        <is>
          <t>MS-C26</t>
        </is>
      </c>
      <c r="L1665" s="9" t="n">
        <v>46323</v>
      </c>
      <c r="M1665" s="8" t="inlineStr">
        <is>
          <t>Approved</t>
        </is>
      </c>
      <c r="N1665" s="8" t="inlineStr">
        <is>
          <t>paragraph</t>
        </is>
      </c>
    </row>
    <row r="1666" ht="40" customHeight="1">
      <c r="A1666" s="4" t="inlineStr">
        <is>
          <t>C26-P0022</t>
        </is>
      </c>
      <c r="B1666" s="4" t="inlineStr">
        <is>
          <t>C26</t>
        </is>
      </c>
      <c r="C1666" s="4" t="inlineStr">
        <is>
          <t>Teachers Associateship for Research Excellence</t>
        </is>
      </c>
      <c r="D1666" s="4" t="inlineStr">
        <is>
          <t>Applicant documents</t>
        </is>
      </c>
      <c r="E1666" s="4" t="inlineStr"/>
      <c r="F1666" s="4" t="inlineStr">
        <is>
          <t>documents.en.documents_required[8]</t>
        </is>
      </c>
      <c r="G1666" s="4" t="inlineStr">
        <is>
          <t>C26@20261028-db2b8659</t>
        </is>
      </c>
      <c r="H1666" s="4" t="n">
        <v>1</v>
      </c>
      <c r="I1666" s="4" t="n">
        <v>1</v>
      </c>
      <c r="J1666" s="4" t="inlineStr">
        <is>
          <t>9.	Age proof certificate</t>
        </is>
      </c>
      <c r="K1666" s="4" t="inlineStr">
        <is>
          <t>MS-C26</t>
        </is>
      </c>
      <c r="L1666" s="6" t="n">
        <v>46323</v>
      </c>
      <c r="M1666" s="4" t="inlineStr">
        <is>
          <t>Approved</t>
        </is>
      </c>
      <c r="N1666" s="4" t="inlineStr">
        <is>
          <t>paragraph</t>
        </is>
      </c>
    </row>
    <row r="1667" ht="40" customHeight="1">
      <c r="A1667" s="8" t="inlineStr">
        <is>
          <t>C26-P0023</t>
        </is>
      </c>
      <c r="B1667" s="8" t="inlineStr">
        <is>
          <t>C26</t>
        </is>
      </c>
      <c r="C1667" s="8" t="inlineStr">
        <is>
          <t>Teachers Associateship for Research Excellence</t>
        </is>
      </c>
      <c r="D1667" s="8" t="inlineStr">
        <is>
          <t>Applicant documents</t>
        </is>
      </c>
      <c r="E1667" s="8" t="inlineStr"/>
      <c r="F1667" s="8" t="inlineStr">
        <is>
          <t>documents.en.documents_required[9]</t>
        </is>
      </c>
      <c r="G1667" s="8" t="inlineStr">
        <is>
          <t>C26@20261028-db2b8659</t>
        </is>
      </c>
      <c r="H1667" s="8" t="n">
        <v>1</v>
      </c>
      <c r="I1667" s="8" t="n">
        <v>1</v>
      </c>
      <c r="J1667" s="8" t="inlineStr">
        <is>
          <t>10.	Joining report</t>
        </is>
      </c>
      <c r="K1667" s="8" t="inlineStr">
        <is>
          <t>MS-C26</t>
        </is>
      </c>
      <c r="L1667" s="9" t="n">
        <v>46323</v>
      </c>
      <c r="M1667" s="8" t="inlineStr">
        <is>
          <t>Approved</t>
        </is>
      </c>
      <c r="N1667" s="8" t="inlineStr">
        <is>
          <t>paragraph</t>
        </is>
      </c>
    </row>
    <row r="1668" ht="40" customHeight="1">
      <c r="A1668" s="4" t="inlineStr">
        <is>
          <t>C26-P0024</t>
        </is>
      </c>
      <c r="B1668" s="4" t="inlineStr">
        <is>
          <t>C26</t>
        </is>
      </c>
      <c r="C1668" s="4" t="inlineStr">
        <is>
          <t>Teachers Associateship for Research Excellence</t>
        </is>
      </c>
      <c r="D1668" s="4" t="inlineStr">
        <is>
          <t>Applicant documents</t>
        </is>
      </c>
      <c r="E1668" s="4" t="inlineStr"/>
      <c r="F1668" s="4" t="inlineStr">
        <is>
          <t>documents.en.documents_required[10]</t>
        </is>
      </c>
      <c r="G1668" s="4" t="inlineStr">
        <is>
          <t>C26@20261028-db2b8659</t>
        </is>
      </c>
      <c r="H1668" s="4" t="n">
        <v>1</v>
      </c>
      <c r="I1668" s="4" t="n">
        <v>1</v>
      </c>
      <c r="J1668" s="4" t="inlineStr">
        <is>
          <t>11.	Mandatory 90 days attendance certificate by the end of the financial year</t>
        </is>
      </c>
      <c r="K1668" s="4" t="inlineStr">
        <is>
          <t>MS-C26</t>
        </is>
      </c>
      <c r="L1668" s="6" t="n">
        <v>46323</v>
      </c>
      <c r="M1668" s="4" t="inlineStr">
        <is>
          <t>Approved</t>
        </is>
      </c>
      <c r="N1668" s="4" t="inlineStr">
        <is>
          <t>paragraph</t>
        </is>
      </c>
    </row>
    <row r="1669" ht="40" customHeight="1">
      <c r="A1669" s="8" t="inlineStr">
        <is>
          <t>C26-P0025</t>
        </is>
      </c>
      <c r="B1669" s="8" t="inlineStr">
        <is>
          <t>C26</t>
        </is>
      </c>
      <c r="C1669" s="8" t="inlineStr">
        <is>
          <t>Teachers Associateship for Research Excellence</t>
        </is>
      </c>
      <c r="D1669" s="8" t="inlineStr">
        <is>
          <t>Applicant documents</t>
        </is>
      </c>
      <c r="E1669" s="8" t="inlineStr"/>
      <c r="F1669" s="8" t="inlineStr">
        <is>
          <t>documents.en.documents_required[11]</t>
        </is>
      </c>
      <c r="G1669" s="8" t="inlineStr">
        <is>
          <t>C26@20261028-db2b8659</t>
        </is>
      </c>
      <c r="H1669" s="8" t="n">
        <v>1</v>
      </c>
      <c r="I1669" s="8" t="n">
        <v>1</v>
      </c>
      <c r="J1669" s="8" t="inlineStr">
        <is>
          <t>12.	Plagiarism undertaking</t>
        </is>
      </c>
      <c r="K1669" s="8" t="inlineStr">
        <is>
          <t>MS-C26</t>
        </is>
      </c>
      <c r="L1669" s="9" t="n">
        <v>46323</v>
      </c>
      <c r="M1669" s="8" t="inlineStr">
        <is>
          <t>Approved</t>
        </is>
      </c>
      <c r="N1669" s="8" t="inlineStr">
        <is>
          <t>paragraph</t>
        </is>
      </c>
    </row>
    <row r="1670" ht="40" customHeight="1">
      <c r="A1670" s="4" t="inlineStr">
        <is>
          <t>C26-P0026</t>
        </is>
      </c>
      <c r="B1670" s="4" t="inlineStr">
        <is>
          <t>C26</t>
        </is>
      </c>
      <c r="C1670" s="4" t="inlineStr">
        <is>
          <t>Teachers Associateship for Research Excellence</t>
        </is>
      </c>
      <c r="D1670" s="4" t="inlineStr">
        <is>
          <t>Application process</t>
        </is>
      </c>
      <c r="E1670" s="4" t="inlineStr"/>
      <c r="F1670" s="4" t="inlineStr">
        <is>
          <t>en.applicationProcess[0].process[0].children[0]</t>
        </is>
      </c>
      <c r="G1670" s="4" t="inlineStr">
        <is>
          <t>C26@20261028-db2b8659</t>
        </is>
      </c>
      <c r="H1670" s="4" t="n">
        <v>1</v>
      </c>
      <c r="I1670" s="4" t="n">
        <v>1</v>
      </c>
      <c r="J1670" s="4" t="inlineStr">
        <is>
          <t>Step 01: The call for proposals will be notified through the website www.serbonline.in and www.serb.gov.in</t>
        </is>
      </c>
      <c r="K1670" s="4" t="inlineStr">
        <is>
          <t>MS-C26</t>
        </is>
      </c>
      <c r="L1670" s="6" t="n">
        <v>46323</v>
      </c>
      <c r="M1670" s="4" t="inlineStr">
        <is>
          <t>Approved</t>
        </is>
      </c>
      <c r="N1670" s="4" t="inlineStr">
        <is>
          <t>paragraph</t>
        </is>
      </c>
    </row>
    <row r="1671" ht="40" customHeight="1">
      <c r="A1671" s="8" t="inlineStr">
        <is>
          <t>C26-P0027</t>
        </is>
      </c>
      <c r="B1671" s="8" t="inlineStr">
        <is>
          <t>C26</t>
        </is>
      </c>
      <c r="C1671" s="8" t="inlineStr">
        <is>
          <t>Teachers Associateship for Research Excellence</t>
        </is>
      </c>
      <c r="D1671" s="8" t="inlineStr">
        <is>
          <t>Application process</t>
        </is>
      </c>
      <c r="E1671" s="8" t="inlineStr"/>
      <c r="F1671" s="8" t="inlineStr">
        <is>
          <t>en.applicationProcess[0].process[0].children[1]</t>
        </is>
      </c>
      <c r="G1671" s="8" t="inlineStr">
        <is>
          <t>C26@20261028-db2b8659</t>
        </is>
      </c>
      <c r="H1671" s="8" t="n">
        <v>1</v>
      </c>
      <c r="I1671" s="8" t="n">
        <v>1</v>
      </c>
      <c r="J1671" s="8" t="inlineStr">
        <is>
          <t>Step 02: Applicant(s) should first register on the online website.  Click here to register</t>
        </is>
      </c>
      <c r="K1671" s="8" t="inlineStr">
        <is>
          <t>MS-C26</t>
        </is>
      </c>
      <c r="L1671" s="9" t="n">
        <v>46323</v>
      </c>
      <c r="M1671" s="8" t="inlineStr">
        <is>
          <t>Approved</t>
        </is>
      </c>
      <c r="N1671" s="8" t="inlineStr">
        <is>
          <t>paragraph</t>
        </is>
      </c>
    </row>
    <row r="1672" ht="54" customHeight="1">
      <c r="A1672" s="4" t="inlineStr">
        <is>
          <t>C26-P0028</t>
        </is>
      </c>
      <c r="B1672" s="4" t="inlineStr">
        <is>
          <t>C26</t>
        </is>
      </c>
      <c r="C1672" s="4" t="inlineStr">
        <is>
          <t>Teachers Associateship for Research Excellence</t>
        </is>
      </c>
      <c r="D1672" s="4" t="inlineStr">
        <is>
          <t>Application process</t>
        </is>
      </c>
      <c r="E1672" s="4" t="inlineStr"/>
      <c r="F1672" s="4" t="inlineStr">
        <is>
          <t>en.applicationProcess[0].process[0].children[2]</t>
        </is>
      </c>
      <c r="G1672" s="4" t="inlineStr">
        <is>
          <t>C26@20261028-db2b8659</t>
        </is>
      </c>
      <c r="H1672" s="4" t="n">
        <v>1</v>
      </c>
      <c r="I1672" s="4" t="n">
        <v>1</v>
      </c>
      <c r="J1672" s="4" t="inlineStr">
        <is>
          <t>Step 03: After login, the applicant(s) are required to fill all the mandatory fields in the Profile Detail section under User Profile, which includes Bio-data, Photo, and Institute Address, etc.</t>
        </is>
      </c>
      <c r="K1672" s="4" t="inlineStr">
        <is>
          <t>MS-C26</t>
        </is>
      </c>
      <c r="L1672" s="6" t="n">
        <v>46323</v>
      </c>
      <c r="M1672" s="4" t="inlineStr">
        <is>
          <t>Approved</t>
        </is>
      </c>
      <c r="N1672" s="4" t="inlineStr">
        <is>
          <t>paragraph</t>
        </is>
      </c>
    </row>
    <row r="1673" ht="68" customHeight="1">
      <c r="A1673" s="8" t="inlineStr">
        <is>
          <t>C26-P0029</t>
        </is>
      </c>
      <c r="B1673" s="8" t="inlineStr">
        <is>
          <t>C26</t>
        </is>
      </c>
      <c r="C1673" s="8" t="inlineStr">
        <is>
          <t>Teachers Associateship for Research Excellence</t>
        </is>
      </c>
      <c r="D1673" s="8" t="inlineStr">
        <is>
          <t>Application process</t>
        </is>
      </c>
      <c r="E1673" s="8" t="inlineStr"/>
      <c r="F1673" s="8" t="inlineStr">
        <is>
          <t>en.applicationProcess[0].process[0].children[3]</t>
        </is>
      </c>
      <c r="G1673" s="8" t="inlineStr">
        <is>
          <t>C26@20261028-db2b8659</t>
        </is>
      </c>
      <c r="H1673" s="8" t="n">
        <v>1</v>
      </c>
      <c r="I1673" s="8" t="n">
        <v>1</v>
      </c>
      <c r="J1673" s="8" t="inlineStr">
        <is>
          <t>Step 04: Summary of the project proposal; Project Title (max 500 characters), Abstract of the proposed work (max 3000 characters), Keywords (max 6), Objectives of the project (max 1500 characters), Expected output and outcome of the proposal (max 1500 characters), have to be entered at the time of proposal submission.</t>
        </is>
      </c>
      <c r="K1673" s="8" t="inlineStr">
        <is>
          <t>MS-C26</t>
        </is>
      </c>
      <c r="L1673" s="9" t="n">
        <v>46323</v>
      </c>
      <c r="M1673" s="8" t="inlineStr">
        <is>
          <t>Approved</t>
        </is>
      </c>
      <c r="N1673" s="8" t="inlineStr">
        <is>
          <t>paragraph</t>
        </is>
      </c>
    </row>
    <row r="1674" ht="40" customHeight="1">
      <c r="A1674" s="4" t="inlineStr">
        <is>
          <t>C26-P0030</t>
        </is>
      </c>
      <c r="B1674" s="4" t="inlineStr">
        <is>
          <t>C26</t>
        </is>
      </c>
      <c r="C1674" s="4" t="inlineStr">
        <is>
          <t>Teachers Associateship for Research Excellence</t>
        </is>
      </c>
      <c r="D1674" s="4" t="inlineStr">
        <is>
          <t>Application process</t>
        </is>
      </c>
      <c r="E1674" s="4" t="inlineStr"/>
      <c r="F1674" s="4" t="inlineStr">
        <is>
          <t>en.applicationProcess[0].process[0].children[4]</t>
        </is>
      </c>
      <c r="G1674" s="4" t="inlineStr">
        <is>
          <t>C26@20261028-db2b8659</t>
        </is>
      </c>
      <c r="H1674" s="4" t="n">
        <v>1</v>
      </c>
      <c r="I1674" s="4" t="n">
        <v>1</v>
      </c>
      <c r="J1674" s="4" t="inlineStr">
        <is>
          <t>Step 05: Other relevant information of the proposal must be uploaded in a single PDF file not more than 10 MB as other technical documents (OTD).</t>
        </is>
      </c>
      <c r="K1674" s="4" t="inlineStr">
        <is>
          <t>MS-C26</t>
        </is>
      </c>
      <c r="L1674" s="6" t="n">
        <v>46323</v>
      </c>
      <c r="M1674" s="4" t="inlineStr">
        <is>
          <t>Approved</t>
        </is>
      </c>
      <c r="N1674" s="4" t="inlineStr">
        <is>
          <t>paragraph</t>
        </is>
      </c>
    </row>
    <row r="1675" ht="40" customHeight="1">
      <c r="A1675" s="8" t="inlineStr">
        <is>
          <t>C26-P0031</t>
        </is>
      </c>
      <c r="B1675" s="8" t="inlineStr">
        <is>
          <t>C26</t>
        </is>
      </c>
      <c r="C1675" s="8" t="inlineStr">
        <is>
          <t>Teachers Associateship for Research Excellence</t>
        </is>
      </c>
      <c r="D1675" s="8" t="inlineStr">
        <is>
          <t>Application process</t>
        </is>
      </c>
      <c r="E1675" s="8" t="inlineStr"/>
      <c r="F1675" s="8" t="inlineStr">
        <is>
          <t>en.applicationProcess[0].process[0].children[5]</t>
        </is>
      </c>
      <c r="G1675" s="8" t="inlineStr">
        <is>
          <t>C26@20261028-db2b8659</t>
        </is>
      </c>
      <c r="H1675" s="8" t="n">
        <v>1</v>
      </c>
      <c r="I1675" s="8" t="n">
        <v>1</v>
      </c>
      <c r="J1675" s="8" t="inlineStr">
        <is>
          <t>Note: The proposals will be evaluated through peer review processes as per SERB guidelines.</t>
        </is>
      </c>
      <c r="K1675" s="8" t="inlineStr">
        <is>
          <t>MS-C26</t>
        </is>
      </c>
      <c r="L1675" s="9" t="n">
        <v>46323</v>
      </c>
      <c r="M1675" s="8" t="inlineStr">
        <is>
          <t>Approved</t>
        </is>
      </c>
      <c r="N1675" s="8" t="inlineStr">
        <is>
          <t>paragraph</t>
        </is>
      </c>
    </row>
    <row r="1676" ht="40" customHeight="1">
      <c r="A1676" s="4" t="inlineStr">
        <is>
          <t>C26-P0032</t>
        </is>
      </c>
      <c r="B1676" s="4" t="inlineStr">
        <is>
          <t>C26</t>
        </is>
      </c>
      <c r="C1676" s="4" t="inlineStr">
        <is>
          <t>Teachers Associateship for Research Excellence</t>
        </is>
      </c>
      <c r="D1676" s="4" t="inlineStr">
        <is>
          <t>FAQ</t>
        </is>
      </c>
      <c r="E1676" s="4" t="inlineStr"/>
      <c r="F1676" s="4" t="inlineStr">
        <is>
          <t>faqs.en.faqs[0]</t>
        </is>
      </c>
      <c r="G1676" s="4" t="inlineStr">
        <is>
          <t>C26@20261028-db2b8659</t>
        </is>
      </c>
      <c r="H1676" s="4" t="n">
        <v>1</v>
      </c>
      <c r="I1676" s="4" t="n">
        <v>1</v>
      </c>
      <c r="J1676" s="4" t="inlineStr">
        <is>
          <t>I am having a DST funded Project as a Co-PI, can I apply for TARE scheme?
Researchers being part of another project as Co-PIs, can apply.</t>
        </is>
      </c>
      <c r="K1676" s="4" t="inlineStr">
        <is>
          <t>MS-C26</t>
        </is>
      </c>
      <c r="L1676" s="6" t="n">
        <v>46323</v>
      </c>
      <c r="M1676" s="4" t="inlineStr">
        <is>
          <t>Approved</t>
        </is>
      </c>
      <c r="N1676" s="4" t="inlineStr">
        <is>
          <t>faq</t>
        </is>
      </c>
    </row>
    <row r="1677" ht="96" customHeight="1">
      <c r="A1677" s="8" t="inlineStr">
        <is>
          <t>C26-P0033</t>
        </is>
      </c>
      <c r="B1677" s="8" t="inlineStr">
        <is>
          <t>C26</t>
        </is>
      </c>
      <c r="C1677" s="8" t="inlineStr">
        <is>
          <t>Teachers Associateship for Research Excellence</t>
        </is>
      </c>
      <c r="D1677" s="8" t="inlineStr">
        <is>
          <t>FAQ</t>
        </is>
      </c>
      <c r="E1677" s="8" t="inlineStr"/>
      <c r="F1677" s="8" t="inlineStr">
        <is>
          <t>faqs.en.faqs[1]</t>
        </is>
      </c>
      <c r="G1677" s="8" t="inlineStr">
        <is>
          <t>C26@20261028-db2b8659</t>
        </is>
      </c>
      <c r="H1677" s="8" t="n">
        <v>1</v>
      </c>
      <c r="I1677" s="8" t="n">
        <v>1</v>
      </c>
      <c r="J1677" s="8" t="inlineStr">
        <is>
          <t>In case of selection, is it mandatory to divide the funding and share 50% each to host and parent institutions? Can it be given to only host institution?
Yes. A research fellowship of ₹60,000/- per year (in addition to the researcher's own salary) will be provided subject to completion of a minimum 90 days of research work per year in the host institution. Research grant of ₹5 lakhs per annum (50% each to host and parent institution) and overheads will be provided.</t>
        </is>
      </c>
      <c r="K1677" s="8" t="inlineStr">
        <is>
          <t>MS-C26</t>
        </is>
      </c>
      <c r="L1677" s="9" t="n">
        <v>46323</v>
      </c>
      <c r="M1677" s="8" t="inlineStr">
        <is>
          <t>Approved</t>
        </is>
      </c>
      <c r="N1677" s="8" t="inlineStr">
        <is>
          <t>faq</t>
        </is>
      </c>
    </row>
    <row r="1678" ht="68" customHeight="1">
      <c r="A1678" s="4" t="inlineStr">
        <is>
          <t>C26-P0034</t>
        </is>
      </c>
      <c r="B1678" s="4" t="inlineStr">
        <is>
          <t>C26</t>
        </is>
      </c>
      <c r="C1678" s="4" t="inlineStr">
        <is>
          <t>Teachers Associateship for Research Excellence</t>
        </is>
      </c>
      <c r="D1678" s="4" t="inlineStr">
        <is>
          <t>FAQ</t>
        </is>
      </c>
      <c r="E1678" s="4" t="inlineStr"/>
      <c r="F1678" s="4" t="inlineStr">
        <is>
          <t>faqs.en.faqs[2]</t>
        </is>
      </c>
      <c r="G1678" s="4" t="inlineStr">
        <is>
          <t>C26@20261028-db2b8659</t>
        </is>
      </c>
      <c r="H1678" s="4" t="n">
        <v>1</v>
      </c>
      <c r="I1678" s="4" t="n">
        <v>1</v>
      </c>
      <c r="J1678" s="4" t="inlineStr">
        <is>
          <t>What kind of management responsibilities does the parent institution get?
Parent institute must undertake all project implementation related work including purchase, preparation of UC/ES, relieving PI for research work in the host institute, etc. as of any other funded projects.</t>
        </is>
      </c>
      <c r="K1678" s="4" t="inlineStr">
        <is>
          <t>MS-C26</t>
        </is>
      </c>
      <c r="L1678" s="6" t="n">
        <v>46323</v>
      </c>
      <c r="M1678" s="4" t="inlineStr">
        <is>
          <t>Approved</t>
        </is>
      </c>
      <c r="N1678" s="4" t="inlineStr">
        <is>
          <t>faq</t>
        </is>
      </c>
    </row>
    <row r="1679" ht="68" customHeight="1">
      <c r="A1679" s="8" t="inlineStr">
        <is>
          <t>C26-P0035</t>
        </is>
      </c>
      <c r="B1679" s="8" t="inlineStr">
        <is>
          <t>C26</t>
        </is>
      </c>
      <c r="C1679" s="8" t="inlineStr">
        <is>
          <t>Teachers Associateship for Research Excellence</t>
        </is>
      </c>
      <c r="D1679" s="8" t="inlineStr">
        <is>
          <t>FAQ</t>
        </is>
      </c>
      <c r="E1679" s="8" t="inlineStr"/>
      <c r="F1679" s="8" t="inlineStr">
        <is>
          <t>faqs.en.faqs[3]</t>
        </is>
      </c>
      <c r="G1679" s="8" t="inlineStr">
        <is>
          <t>C26@20261028-db2b8659</t>
        </is>
      </c>
      <c r="H1679" s="8" t="n">
        <v>1</v>
      </c>
      <c r="I1679" s="8" t="n">
        <v>1</v>
      </c>
      <c r="J1679" s="8" t="inlineStr">
        <is>
          <t>Clarification on the term "Research work", whether it refers to fresh research work only or ongoing research work without any external grant or fund?
Fresh and ongoing research work not supported by any externally funded individual centric projects.</t>
        </is>
      </c>
      <c r="K1679" s="8" t="inlineStr">
        <is>
          <t>MS-C26</t>
        </is>
      </c>
      <c r="L1679" s="9" t="n">
        <v>46323</v>
      </c>
      <c r="M1679" s="8" t="inlineStr">
        <is>
          <t>Approved</t>
        </is>
      </c>
      <c r="N1679" s="8" t="inlineStr">
        <is>
          <t>faq</t>
        </is>
      </c>
    </row>
    <row r="1680" ht="68" customHeight="1">
      <c r="A1680" s="4" t="inlineStr">
        <is>
          <t>C26-P0036</t>
        </is>
      </c>
      <c r="B1680" s="4" t="inlineStr">
        <is>
          <t>C26</t>
        </is>
      </c>
      <c r="C1680" s="4" t="inlineStr">
        <is>
          <t>Teachers Associateship for Research Excellence</t>
        </is>
      </c>
      <c r="D1680" s="4" t="inlineStr">
        <is>
          <t>FAQ</t>
        </is>
      </c>
      <c r="E1680" s="4" t="inlineStr"/>
      <c r="F1680" s="4" t="inlineStr">
        <is>
          <t>faqs.en.faqs[4]</t>
        </is>
      </c>
      <c r="G1680" s="4" t="inlineStr">
        <is>
          <t>C26@20261028-db2b8659</t>
        </is>
      </c>
      <c r="H1680" s="4" t="n">
        <v>1</v>
      </c>
      <c r="I1680" s="4" t="n">
        <v>1</v>
      </c>
      <c r="J1680" s="4" t="inlineStr">
        <is>
          <t>Can I choose Panjab University as Host institution for TARE because Panjab University is not a central university nor state university?
Only central institutes / national research labs and Central Universities are eligible as host institute.</t>
        </is>
      </c>
      <c r="K1680" s="4" t="inlineStr">
        <is>
          <t>MS-C26</t>
        </is>
      </c>
      <c r="L1680" s="6" t="n">
        <v>46323</v>
      </c>
      <c r="M1680" s="4" t="inlineStr">
        <is>
          <t>Approved</t>
        </is>
      </c>
      <c r="N1680" s="4" t="inlineStr">
        <is>
          <t>faq</t>
        </is>
      </c>
    </row>
    <row r="1681" ht="138" customHeight="1">
      <c r="A1681" s="8" t="inlineStr">
        <is>
          <t>C26-P0037</t>
        </is>
      </c>
      <c r="B1681" s="8" t="inlineStr">
        <is>
          <t>C26</t>
        </is>
      </c>
      <c r="C1681" s="8" t="inlineStr">
        <is>
          <t>Teachers Associateship for Research Excellence</t>
        </is>
      </c>
      <c r="D1681" s="8" t="inlineStr">
        <is>
          <t>FAQ</t>
        </is>
      </c>
      <c r="E1681" s="8" t="inlineStr"/>
      <c r="F1681" s="8" t="inlineStr">
        <is>
          <t>faqs.en.faqs[5]</t>
        </is>
      </c>
      <c r="G1681" s="8" t="inlineStr">
        <is>
          <t>C26@20261028-db2b8659</t>
        </is>
      </c>
      <c r="H1681" s="8" t="n">
        <v>1</v>
      </c>
      <c r="I1681" s="8" t="n">
        <v>1</v>
      </c>
      <c r="J1681" s="8" t="inlineStr">
        <is>
          <t>I want to understand the meaning of clause "The applicant(s) must hold a regular academic / research position in State Universities/ Colleges and private Academic Institution"?
The term "Regular" in the context of SERB refers to the applicants who are appointed against the sanctioned post or in a tenure post but are likely to be renewed after the end of the tenure.
[Note: Research Associates, Ad-hoc faculties, Guest Faculty, Visiting Scientist, consultant, Project Fellows and Faculty members whose contract is renewed every year are not eligible] (In cases where it is not covered in any of the above, SERB has the right to determine the eligibility)</t>
        </is>
      </c>
      <c r="K1681" s="8" t="inlineStr">
        <is>
          <t>MS-C26</t>
        </is>
      </c>
      <c r="L1681" s="9" t="n">
        <v>46323</v>
      </c>
      <c r="M1681" s="8" t="inlineStr">
        <is>
          <t>Approved</t>
        </is>
      </c>
      <c r="N1681" s="8" t="inlineStr">
        <is>
          <t>faq</t>
        </is>
      </c>
    </row>
    <row r="1682" ht="96" customHeight="1">
      <c r="A1682" s="4" t="inlineStr">
        <is>
          <t>C26-P0038</t>
        </is>
      </c>
      <c r="B1682" s="4" t="inlineStr">
        <is>
          <t>C26</t>
        </is>
      </c>
      <c r="C1682" s="4" t="inlineStr">
        <is>
          <t>Teachers Associateship for Research Excellence</t>
        </is>
      </c>
      <c r="D1682" s="4" t="inlineStr">
        <is>
          <t>FAQ</t>
        </is>
      </c>
      <c r="E1682" s="4" t="inlineStr"/>
      <c r="F1682" s="4" t="inlineStr">
        <is>
          <t>faqs.en.faqs[6]</t>
        </is>
      </c>
      <c r="G1682" s="4" t="inlineStr">
        <is>
          <t>C26@20261028-db2b8659</t>
        </is>
      </c>
      <c r="H1682" s="4" t="n">
        <v>1</v>
      </c>
      <c r="I1682" s="4" t="n">
        <v>1</v>
      </c>
      <c r="J1682" s="4" t="inlineStr">
        <is>
          <t>Working day: 90 days attendance should include host institute working days attendance only or 90 days working in host institute during institutes working days, summer vacation, winter vacation, public holidays, Saturdays and Sundays?
90 days working in host institute includes, working days, summer vacation, winter vacation, public holidays, Saturdays and Sundays, provided host institute allows to work and issue attendance certificate by the end of the year.</t>
        </is>
      </c>
      <c r="K1682" s="4" t="inlineStr">
        <is>
          <t>MS-C26</t>
        </is>
      </c>
      <c r="L1682" s="6" t="n">
        <v>46323</v>
      </c>
      <c r="M1682" s="4" t="inlineStr">
        <is>
          <t>Approved</t>
        </is>
      </c>
      <c r="N1682" s="4" t="inlineStr">
        <is>
          <t>faq</t>
        </is>
      </c>
    </row>
    <row r="1683" ht="54" customHeight="1">
      <c r="A1683" s="8" t="inlineStr">
        <is>
          <t>C26-P0039</t>
        </is>
      </c>
      <c r="B1683" s="8" t="inlineStr">
        <is>
          <t>C26</t>
        </is>
      </c>
      <c r="C1683" s="8" t="inlineStr">
        <is>
          <t>Teachers Associateship for Research Excellence</t>
        </is>
      </c>
      <c r="D1683" s="8" t="inlineStr">
        <is>
          <t>FAQ</t>
        </is>
      </c>
      <c r="E1683" s="8" t="inlineStr"/>
      <c r="F1683" s="8" t="inlineStr">
        <is>
          <t>faqs.en.faqs[7]</t>
        </is>
      </c>
      <c r="G1683" s="8" t="inlineStr">
        <is>
          <t>C26@20261028-db2b8659</t>
        </is>
      </c>
      <c r="H1683" s="8" t="n">
        <v>1</v>
      </c>
      <c r="I1683" s="8" t="n">
        <v>1</v>
      </c>
      <c r="J1683" s="8" t="inlineStr">
        <is>
          <t>Is there any limit on how old institute is affiliated for Eg.10 year, 20 year or so?
Age of the institute will not be considered, as long as it is affiliated by UGC / AICTE / MCI or other competent organizations of Government of India / State Governments.</t>
        </is>
      </c>
      <c r="K1683" s="8" t="inlineStr">
        <is>
          <t>MS-C26</t>
        </is>
      </c>
      <c r="L1683" s="9" t="n">
        <v>46323</v>
      </c>
      <c r="M1683" s="8" t="inlineStr">
        <is>
          <t>Approved</t>
        </is>
      </c>
      <c r="N1683" s="8" t="inlineStr">
        <is>
          <t>faq</t>
        </is>
      </c>
    </row>
    <row r="1684" ht="82" customHeight="1">
      <c r="A1684" s="4" t="inlineStr">
        <is>
          <t>C26-P0040</t>
        </is>
      </c>
      <c r="B1684" s="4" t="inlineStr">
        <is>
          <t>C26</t>
        </is>
      </c>
      <c r="C1684" s="4" t="inlineStr">
        <is>
          <t>Teachers Associateship for Research Excellence</t>
        </is>
      </c>
      <c r="D1684" s="4" t="inlineStr">
        <is>
          <t>FAQ</t>
        </is>
      </c>
      <c r="E1684" s="4" t="inlineStr"/>
      <c r="F1684" s="4" t="inlineStr">
        <is>
          <t>faqs.en.faqs[8]</t>
        </is>
      </c>
      <c r="G1684" s="4" t="inlineStr">
        <is>
          <t>C26@20261028-db2b8659</t>
        </is>
      </c>
      <c r="H1684" s="4" t="n">
        <v>1</v>
      </c>
      <c r="I1684" s="4" t="n">
        <v>1</v>
      </c>
      <c r="J1684" s="4" t="inlineStr">
        <is>
          <t>What is the maximum distance between parent and host institute?
Distance is not fixed, you need to justify the reasons for selection of institute whatso ever the distance, which will be evaluated by the committee. PI are advised to find the expertise/mentor nearer to their parent institute. Preference may be given to the candidates proposing host institute nearer to parent institute.</t>
        </is>
      </c>
      <c r="K1684" s="4" t="inlineStr">
        <is>
          <t>MS-C26</t>
        </is>
      </c>
      <c r="L1684" s="6" t="n">
        <v>46323</v>
      </c>
      <c r="M1684" s="4" t="inlineStr">
        <is>
          <t>Approved</t>
        </is>
      </c>
      <c r="N1684" s="4" t="inlineStr">
        <is>
          <t>faq</t>
        </is>
      </c>
    </row>
    <row r="1685" ht="54" customHeight="1">
      <c r="A1685" s="8" t="inlineStr">
        <is>
          <t>C26-P0041</t>
        </is>
      </c>
      <c r="B1685" s="8" t="inlineStr">
        <is>
          <t>C26</t>
        </is>
      </c>
      <c r="C1685" s="8" t="inlineStr">
        <is>
          <t>Teachers Associateship for Research Excellence</t>
        </is>
      </c>
      <c r="D1685" s="8" t="inlineStr">
        <is>
          <t>FAQ</t>
        </is>
      </c>
      <c r="E1685" s="8" t="inlineStr"/>
      <c r="F1685" s="8" t="inlineStr">
        <is>
          <t>faqs.en.faqs[9]</t>
        </is>
      </c>
      <c r="G1685" s="8" t="inlineStr">
        <is>
          <t>C26@20261028-db2b8659</t>
        </is>
      </c>
      <c r="H1685" s="8" t="n">
        <v>1</v>
      </c>
      <c r="I1685" s="8" t="n">
        <v>1</v>
      </c>
      <c r="J1685" s="8" t="inlineStr">
        <is>
          <t>How many candidates can a mentor can guide?
A mentor can forward any number of applications, but only one candidate will be allowed to work with a mentor depending up on the merit of the proposal.</t>
        </is>
      </c>
      <c r="K1685" s="8" t="inlineStr">
        <is>
          <t>MS-C26</t>
        </is>
      </c>
      <c r="L1685" s="9" t="n">
        <v>46323</v>
      </c>
      <c r="M1685" s="8" t="inlineStr">
        <is>
          <t>Approved</t>
        </is>
      </c>
      <c r="N1685" s="8" t="inlineStr">
        <is>
          <t>faq</t>
        </is>
      </c>
    </row>
    <row r="1686" ht="40" customHeight="1">
      <c r="A1686" s="4" t="inlineStr">
        <is>
          <t>C26-P0042</t>
        </is>
      </c>
      <c r="B1686" s="4" t="inlineStr">
        <is>
          <t>C26</t>
        </is>
      </c>
      <c r="C1686" s="4" t="inlineStr">
        <is>
          <t>Teachers Associateship for Research Excellence</t>
        </is>
      </c>
      <c r="D1686" s="4" t="inlineStr">
        <is>
          <t>FAQ</t>
        </is>
      </c>
      <c r="E1686" s="4" t="inlineStr"/>
      <c r="F1686" s="4" t="inlineStr">
        <is>
          <t>faqs.en.faqs[10]</t>
        </is>
      </c>
      <c r="G1686" s="4" t="inlineStr">
        <is>
          <t>C26@20261028-db2b8659</t>
        </is>
      </c>
      <c r="H1686" s="4" t="n">
        <v>1</v>
      </c>
      <c r="I1686" s="4" t="n">
        <v>1</v>
      </c>
      <c r="J1686" s="4" t="inlineStr">
        <is>
          <t>How many applications can an institute forward?
There are no fixed numbers.</t>
        </is>
      </c>
      <c r="K1686" s="4" t="inlineStr">
        <is>
          <t>MS-C26</t>
        </is>
      </c>
      <c r="L1686" s="6" t="n">
        <v>46323</v>
      </c>
      <c r="M1686" s="4" t="inlineStr">
        <is>
          <t>Approved</t>
        </is>
      </c>
      <c r="N1686" s="4" t="inlineStr">
        <is>
          <t>faq</t>
        </is>
      </c>
    </row>
    <row r="1687" ht="82" customHeight="1">
      <c r="A1687" s="8" t="inlineStr">
        <is>
          <t>C26-P0043</t>
        </is>
      </c>
      <c r="B1687" s="8" t="inlineStr">
        <is>
          <t>C26</t>
        </is>
      </c>
      <c r="C1687" s="8" t="inlineStr">
        <is>
          <t>Teachers Associateship for Research Excellence</t>
        </is>
      </c>
      <c r="D1687" s="8" t="inlineStr">
        <is>
          <t>FAQ</t>
        </is>
      </c>
      <c r="E1687" s="8" t="inlineStr"/>
      <c r="F1687" s="8" t="inlineStr">
        <is>
          <t>faqs.en.faqs[11]</t>
        </is>
      </c>
      <c r="G1687" s="8" t="inlineStr">
        <is>
          <t>C26@20261028-db2b8659</t>
        </is>
      </c>
      <c r="H1687" s="8" t="n">
        <v>1</v>
      </c>
      <c r="I1687" s="8" t="n">
        <v>1</v>
      </c>
      <c r="J1687" s="8" t="inlineStr">
        <is>
          <t>Is the mentor and applicant subject areas should match exactly?
The basic concept of this project itself is to execute the project in collaborative mode where the expertise of the mentor should be useful in executing the project work of the applicant. Accordingly, the expertise of mentor and applicant should fulfil the requirements of the proposed project work.</t>
        </is>
      </c>
      <c r="K1687" s="8" t="inlineStr">
        <is>
          <t>MS-C26</t>
        </is>
      </c>
      <c r="L1687" s="9" t="n">
        <v>46323</v>
      </c>
      <c r="M1687" s="8" t="inlineStr">
        <is>
          <t>Approved</t>
        </is>
      </c>
      <c r="N1687" s="8" t="inlineStr">
        <is>
          <t>faq</t>
        </is>
      </c>
    </row>
    <row r="1688" ht="82" customHeight="1">
      <c r="A1688" s="4" t="inlineStr">
        <is>
          <t>C26-P0044</t>
        </is>
      </c>
      <c r="B1688" s="4" t="inlineStr">
        <is>
          <t>C26</t>
        </is>
      </c>
      <c r="C1688" s="4" t="inlineStr">
        <is>
          <t>Teachers Associateship for Research Excellence</t>
        </is>
      </c>
      <c r="D1688" s="4" t="inlineStr">
        <is>
          <t>FAQ</t>
        </is>
      </c>
      <c r="E1688" s="4" t="inlineStr"/>
      <c r="F1688" s="4" t="inlineStr">
        <is>
          <t>faqs.en.faqs[12]</t>
        </is>
      </c>
      <c r="G1688" s="4" t="inlineStr">
        <is>
          <t>C26@20261028-db2b8659</t>
        </is>
      </c>
      <c r="H1688" s="4" t="n">
        <v>1</v>
      </c>
      <c r="I1688" s="4" t="n">
        <v>1</v>
      </c>
      <c r="J1688" s="4" t="inlineStr">
        <is>
          <t>Can I get age relaxation, over and above the relaxation given in the program for filing the application?
The upper age limit for the award is 45 years at the time of the submission of application. Age relaxation of 5 (five) years will be given to candidates belonging to SC/ST/OBC/Physically Challenged &amp; Women candidates.</t>
        </is>
      </c>
      <c r="K1688" s="4" t="inlineStr">
        <is>
          <t>MS-C26</t>
        </is>
      </c>
      <c r="L1688" s="6" t="n">
        <v>46323</v>
      </c>
      <c r="M1688" s="4" t="inlineStr">
        <is>
          <t>Approved</t>
        </is>
      </c>
      <c r="N1688" s="4" t="inlineStr">
        <is>
          <t>faq</t>
        </is>
      </c>
    </row>
    <row r="1689" ht="96" customHeight="1">
      <c r="A1689" s="8" t="inlineStr">
        <is>
          <t>C26-P0045</t>
        </is>
      </c>
      <c r="B1689" s="8" t="inlineStr">
        <is>
          <t>C26</t>
        </is>
      </c>
      <c r="C1689" s="8" t="inlineStr">
        <is>
          <t>Teachers Associateship for Research Excellence</t>
        </is>
      </c>
      <c r="D1689" s="8" t="inlineStr">
        <is>
          <t>FAQ</t>
        </is>
      </c>
      <c r="E1689" s="8" t="inlineStr"/>
      <c r="F1689" s="8" t="inlineStr">
        <is>
          <t>faqs.en.faqs[13]</t>
        </is>
      </c>
      <c r="G1689" s="8" t="inlineStr">
        <is>
          <t>C26@20261028-db2b8659</t>
        </is>
      </c>
      <c r="H1689" s="8" t="n">
        <v>1</v>
      </c>
      <c r="I1689" s="8" t="n">
        <v>1</v>
      </c>
      <c r="J1689" s="8" t="inlineStr">
        <is>
          <t>Is 90 days attendance compulsory requirement to get the fellowship money sanctioned? Can project be granted without the fellowship component?
The basic concept of this project itself is to execute the project in collaborative mode where the applicant should work with the mentor and get trained at higher level. For which the minimum attendance period of 90 days is mandatory and hence the proposals without fellowship component will not be considered.</t>
        </is>
      </c>
      <c r="K1689" s="8" t="inlineStr">
        <is>
          <t>MS-C26</t>
        </is>
      </c>
      <c r="L1689" s="9" t="n">
        <v>46323</v>
      </c>
      <c r="M1689" s="8" t="inlineStr">
        <is>
          <t>Approved</t>
        </is>
      </c>
      <c r="N1689" s="8" t="inlineStr">
        <is>
          <t>faq</t>
        </is>
      </c>
    </row>
    <row r="1690" ht="68" customHeight="1">
      <c r="A1690" s="4" t="inlineStr">
        <is>
          <t>C26-P0046</t>
        </is>
      </c>
      <c r="B1690" s="4" t="inlineStr">
        <is>
          <t>C26</t>
        </is>
      </c>
      <c r="C1690" s="4" t="inlineStr">
        <is>
          <t>Teachers Associateship for Research Excellence</t>
        </is>
      </c>
      <c r="D1690" s="4" t="inlineStr">
        <is>
          <t>FAQ</t>
        </is>
      </c>
      <c r="E1690" s="4" t="inlineStr"/>
      <c r="F1690" s="4" t="inlineStr">
        <is>
          <t>faqs.en.faqs[14]</t>
        </is>
      </c>
      <c r="G1690" s="4" t="inlineStr">
        <is>
          <t>C26@20261028-db2b8659</t>
        </is>
      </c>
      <c r="H1690" s="4" t="n">
        <v>1</v>
      </c>
      <c r="I1690" s="4" t="n">
        <v>1</v>
      </c>
      <c r="J1690" s="4" t="inlineStr">
        <is>
          <t>If the applicant goes to the host institution less than 90 days/year and does not get the scholarship money of ₹60,000/year whether he/she will be eligible to get the project money?
It is mandatory to full fill the minimum 90 days research work per year in the host institution.</t>
        </is>
      </c>
      <c r="K1690" s="4" t="inlineStr">
        <is>
          <t>MS-C26</t>
        </is>
      </c>
      <c r="L1690" s="6" t="n">
        <v>46323</v>
      </c>
      <c r="M1690" s="4" t="inlineStr">
        <is>
          <t>Approved</t>
        </is>
      </c>
      <c r="N1690" s="4" t="inlineStr">
        <is>
          <t>faq</t>
        </is>
      </c>
    </row>
    <row r="1691" ht="54" customHeight="1">
      <c r="A1691" s="8" t="inlineStr">
        <is>
          <t>C26-P0047</t>
        </is>
      </c>
      <c r="B1691" s="8" t="inlineStr">
        <is>
          <t>C26</t>
        </is>
      </c>
      <c r="C1691" s="8" t="inlineStr">
        <is>
          <t>Teachers Associateship for Research Excellence</t>
        </is>
      </c>
      <c r="D1691" s="8" t="inlineStr">
        <is>
          <t>FAQ</t>
        </is>
      </c>
      <c r="E1691" s="8" t="inlineStr"/>
      <c r="F1691" s="8" t="inlineStr">
        <is>
          <t>faqs.en.faqs[15]</t>
        </is>
      </c>
      <c r="G1691" s="8" t="inlineStr">
        <is>
          <t>C26@20261028-db2b8659</t>
        </is>
      </c>
      <c r="H1691" s="8" t="n">
        <v>1</v>
      </c>
      <c r="I1691" s="8" t="n">
        <v>1</v>
      </c>
      <c r="J1691" s="8" t="inlineStr">
        <is>
          <t>I have completed my M.Tech. and continuing my Ph.D. Can I apply for TARE project?
No as per revised eligibility guidelines, only candidates holding Ph.D. degree in Science / Engineering or MS / MD in Medicine are eligible to apply.</t>
        </is>
      </c>
      <c r="K1691" s="8" t="inlineStr">
        <is>
          <t>MS-C26</t>
        </is>
      </c>
      <c r="L1691" s="9" t="n">
        <v>46323</v>
      </c>
      <c r="M1691" s="8" t="inlineStr">
        <is>
          <t>Approved</t>
        </is>
      </c>
      <c r="N1691" s="8" t="inlineStr">
        <is>
          <t>faq</t>
        </is>
      </c>
    </row>
    <row r="1692" ht="54" customHeight="1">
      <c r="A1692" s="4" t="inlineStr">
        <is>
          <t>C26-P0048</t>
        </is>
      </c>
      <c r="B1692" s="4" t="inlineStr">
        <is>
          <t>C26</t>
        </is>
      </c>
      <c r="C1692" s="4" t="inlineStr">
        <is>
          <t>Teachers Associateship for Research Excellence</t>
        </is>
      </c>
      <c r="D1692" s="4" t="inlineStr">
        <is>
          <t>FAQ</t>
        </is>
      </c>
      <c r="E1692" s="4" t="inlineStr"/>
      <c r="F1692" s="4" t="inlineStr">
        <is>
          <t>faqs.en.faqs[16]</t>
        </is>
      </c>
      <c r="G1692" s="4" t="inlineStr">
        <is>
          <t>C26@20261028-db2b8659</t>
        </is>
      </c>
      <c r="H1692" s="4" t="n">
        <v>1</v>
      </c>
      <c r="I1692" s="4" t="n">
        <v>1</v>
      </c>
      <c r="J1692" s="4" t="inlineStr">
        <is>
          <t>Can my Ph.D. supervisor be a mentor for TARE project?
No, however candidates are allowed to work with a different mentor from the same institute where a Ph.D. degree was awarded.</t>
        </is>
      </c>
      <c r="K1692" s="4" t="inlineStr">
        <is>
          <t>MS-C26</t>
        </is>
      </c>
      <c r="L1692" s="6" t="n">
        <v>46323</v>
      </c>
      <c r="M1692" s="4" t="inlineStr">
        <is>
          <t>Approved</t>
        </is>
      </c>
      <c r="N1692" s="4" t="inlineStr">
        <is>
          <t>faq</t>
        </is>
      </c>
    </row>
    <row r="1693" ht="54" customHeight="1">
      <c r="A1693" s="8" t="inlineStr">
        <is>
          <t>C26-P0049</t>
        </is>
      </c>
      <c r="B1693" s="8" t="inlineStr">
        <is>
          <t>C26</t>
        </is>
      </c>
      <c r="C1693" s="8" t="inlineStr">
        <is>
          <t>Teachers Associateship for Research Excellence</t>
        </is>
      </c>
      <c r="D1693" s="8" t="inlineStr">
        <is>
          <t>FAQ</t>
        </is>
      </c>
      <c r="E1693" s="8" t="inlineStr"/>
      <c r="F1693" s="8" t="inlineStr">
        <is>
          <t>faqs.en.faqs[17]</t>
        </is>
      </c>
      <c r="G1693" s="8" t="inlineStr">
        <is>
          <t>C26@20261028-db2b8659</t>
        </is>
      </c>
      <c r="H1693" s="8" t="n">
        <v>1</v>
      </c>
      <c r="I1693" s="8" t="n">
        <v>1</v>
      </c>
      <c r="J1693" s="8" t="inlineStr">
        <is>
          <t>Is only researcher having ongoing project with DST / SERB not eligible for apply or any ongoing projects?
Researchers having any funded projects are not eligible to apply.</t>
        </is>
      </c>
      <c r="K1693" s="8" t="inlineStr">
        <is>
          <t>MS-C26</t>
        </is>
      </c>
      <c r="L1693" s="9" t="n">
        <v>46323</v>
      </c>
      <c r="M1693" s="8" t="inlineStr">
        <is>
          <t>Approved</t>
        </is>
      </c>
      <c r="N1693" s="8" t="inlineStr">
        <is>
          <t>faq</t>
        </is>
      </c>
    </row>
    <row r="1694" ht="68" customHeight="1">
      <c r="A1694" s="4" t="inlineStr">
        <is>
          <t>C26-P0050</t>
        </is>
      </c>
      <c r="B1694" s="4" t="inlineStr">
        <is>
          <t>C26</t>
        </is>
      </c>
      <c r="C1694" s="4" t="inlineStr">
        <is>
          <t>Teachers Associateship for Research Excellence</t>
        </is>
      </c>
      <c r="D1694" s="4" t="inlineStr">
        <is>
          <t>FAQ</t>
        </is>
      </c>
      <c r="E1694" s="4" t="inlineStr"/>
      <c r="F1694" s="4" t="inlineStr">
        <is>
          <t>faqs.en.faqs[18]</t>
        </is>
      </c>
      <c r="G1694" s="4" t="inlineStr">
        <is>
          <t>C26@20261028-db2b8659</t>
        </is>
      </c>
      <c r="H1694" s="4" t="n">
        <v>1</v>
      </c>
      <c r="I1694" s="4" t="n">
        <v>1</v>
      </c>
      <c r="J1694" s="4" t="inlineStr">
        <is>
          <t>Can I apply from any other Central institutes other than mentioned in the TARE scheme? Eg.Centre for Materials for Electronics Technology (C-MET), Ministry of Electronics &amp; Information Technology?
You can apply for any Central institutions having relevant R&amp;D infrastructure.</t>
        </is>
      </c>
      <c r="K1694" s="4" t="inlineStr">
        <is>
          <t>MS-C26</t>
        </is>
      </c>
      <c r="L1694" s="6" t="n">
        <v>46323</v>
      </c>
      <c r="M1694" s="4" t="inlineStr">
        <is>
          <t>Approved</t>
        </is>
      </c>
      <c r="N1694" s="4" t="inlineStr">
        <is>
          <t>faq</t>
        </is>
      </c>
    </row>
    <row r="1695" ht="68" customHeight="1">
      <c r="A1695" s="8" t="inlineStr">
        <is>
          <t>C26-P0051</t>
        </is>
      </c>
      <c r="B1695" s="8" t="inlineStr">
        <is>
          <t>C26</t>
        </is>
      </c>
      <c r="C1695" s="8" t="inlineStr">
        <is>
          <t>Teachers Associateship for Research Excellence</t>
        </is>
      </c>
      <c r="D1695" s="8" t="inlineStr">
        <is>
          <t>FAQ</t>
        </is>
      </c>
      <c r="E1695" s="8" t="inlineStr"/>
      <c r="F1695" s="8" t="inlineStr">
        <is>
          <t>faqs.en.faqs[19]</t>
        </is>
      </c>
      <c r="G1695" s="8" t="inlineStr">
        <is>
          <t>C26@20261028-db2b8659</t>
        </is>
      </c>
      <c r="H1695" s="8" t="n">
        <v>1</v>
      </c>
      <c r="I1695" s="8" t="n">
        <v>1</v>
      </c>
      <c r="J1695" s="8" t="inlineStr">
        <is>
          <t>Whether applications from the regions where very limited Central institutes are available will be given with privilege or not?
Selection for TARE scheme will be purely competitive mode based on the scientific merit of the proposal.</t>
        </is>
      </c>
      <c r="K1695" s="8" t="inlineStr">
        <is>
          <t>MS-C26</t>
        </is>
      </c>
      <c r="L1695" s="9" t="n">
        <v>46323</v>
      </c>
      <c r="M1695" s="8" t="inlineStr">
        <is>
          <t>Approved</t>
        </is>
      </c>
      <c r="N1695" s="8" t="inlineStr">
        <is>
          <t>faq</t>
        </is>
      </c>
    </row>
    <row r="1696" ht="54" customHeight="1">
      <c r="A1696" s="4" t="inlineStr">
        <is>
          <t>C26-P0052</t>
        </is>
      </c>
      <c r="B1696" s="4" t="inlineStr">
        <is>
          <t>C26</t>
        </is>
      </c>
      <c r="C1696" s="4" t="inlineStr">
        <is>
          <t>Teachers Associateship for Research Excellence</t>
        </is>
      </c>
      <c r="D1696" s="4" t="inlineStr">
        <is>
          <t>FAQ</t>
        </is>
      </c>
      <c r="E1696" s="4" t="inlineStr"/>
      <c r="F1696" s="4" t="inlineStr">
        <is>
          <t>faqs.en.faqs[20]</t>
        </is>
      </c>
      <c r="G1696" s="4" t="inlineStr">
        <is>
          <t>C26@20261028-db2b8659</t>
        </is>
      </c>
      <c r="H1696" s="4" t="n">
        <v>1</v>
      </c>
      <c r="I1696" s="4" t="n">
        <v>1</v>
      </c>
      <c r="J1696" s="4" t="inlineStr">
        <is>
          <t>Any clauses that bound for publication of research work findings in conferences / journals?
No, but PI are expected to bring out joint publications with the mentor from the results emanated out of this project and is mandatory to acknowledge SERB funding for the research work.</t>
        </is>
      </c>
      <c r="K1696" s="4" t="inlineStr">
        <is>
          <t>MS-C26</t>
        </is>
      </c>
      <c r="L1696" s="6" t="n">
        <v>46323</v>
      </c>
      <c r="M1696" s="4" t="inlineStr">
        <is>
          <t>Approved</t>
        </is>
      </c>
      <c r="N1696" s="4" t="inlineStr">
        <is>
          <t>faq</t>
        </is>
      </c>
    </row>
    <row r="1697" ht="54" customHeight="1">
      <c r="A1697" s="8" t="inlineStr">
        <is>
          <t>C26-P0053</t>
        </is>
      </c>
      <c r="B1697" s="8" t="inlineStr">
        <is>
          <t>C26</t>
        </is>
      </c>
      <c r="C1697" s="8" t="inlineStr">
        <is>
          <t>Teachers Associateship for Research Excellence</t>
        </is>
      </c>
      <c r="D1697" s="8" t="inlineStr">
        <is>
          <t>FAQ</t>
        </is>
      </c>
      <c r="E1697" s="8" t="inlineStr"/>
      <c r="F1697" s="8" t="inlineStr">
        <is>
          <t>faqs.en.faqs[21]</t>
        </is>
      </c>
      <c r="G1697" s="8" t="inlineStr">
        <is>
          <t>C26@20261028-db2b8659</t>
        </is>
      </c>
      <c r="H1697" s="8" t="n">
        <v>1</v>
      </c>
      <c r="I1697" s="8" t="n">
        <v>1</v>
      </c>
      <c r="J1697" s="8" t="inlineStr">
        <is>
          <t>Can I use the money to hire a project fellow? Can the fellow be paid 50/50 by both institutions?
No, the TARE awardee is expected to do research on his / her own.</t>
        </is>
      </c>
      <c r="K1697" s="8" t="inlineStr">
        <is>
          <t>MS-C26</t>
        </is>
      </c>
      <c r="L1697" s="9" t="n">
        <v>46323</v>
      </c>
      <c r="M1697" s="8" t="inlineStr">
        <is>
          <t>Approved</t>
        </is>
      </c>
      <c r="N1697" s="8" t="inlineStr">
        <is>
          <t>faq</t>
        </is>
      </c>
    </row>
    <row r="1698" ht="68" customHeight="1">
      <c r="A1698" s="4" t="inlineStr">
        <is>
          <t>C26-P0054</t>
        </is>
      </c>
      <c r="B1698" s="4" t="inlineStr">
        <is>
          <t>C26</t>
        </is>
      </c>
      <c r="C1698" s="4" t="inlineStr">
        <is>
          <t>Teachers Associateship for Research Excellence</t>
        </is>
      </c>
      <c r="D1698" s="4" t="inlineStr">
        <is>
          <t>FAQ</t>
        </is>
      </c>
      <c r="E1698" s="4" t="inlineStr"/>
      <c r="F1698" s="4" t="inlineStr">
        <is>
          <t>faqs.en.faqs[22]</t>
        </is>
      </c>
      <c r="G1698" s="4" t="inlineStr">
        <is>
          <t>C26@20261028-db2b8659</t>
        </is>
      </c>
      <c r="H1698" s="4" t="n">
        <v>1</v>
      </c>
      <c r="I1698" s="4" t="n">
        <v>1</v>
      </c>
      <c r="J1698" s="4" t="inlineStr">
        <is>
          <t>If I succeed in getting the TARE grant, can I apply for, say, an extramural grant later?
Applicant should not hold any ongoing research projects or any fellowship at the time of submission of application. You are not eligible to avail of any other project from DST/SERB until you complete the TARE project.</t>
        </is>
      </c>
      <c r="K1698" s="4" t="inlineStr">
        <is>
          <t>MS-C26</t>
        </is>
      </c>
      <c r="L1698" s="6" t="n">
        <v>46323</v>
      </c>
      <c r="M1698" s="4" t="inlineStr">
        <is>
          <t>Approved</t>
        </is>
      </c>
      <c r="N1698" s="4" t="inlineStr">
        <is>
          <t>faq</t>
        </is>
      </c>
    </row>
    <row r="1699" ht="82" customHeight="1">
      <c r="A1699" s="8" t="inlineStr">
        <is>
          <t>C27-P0001</t>
        </is>
      </c>
      <c r="B1699" s="8" t="inlineStr">
        <is>
          <t>C27</t>
        </is>
      </c>
      <c r="C1699" s="8" t="inlineStr">
        <is>
          <t>Pradhan Mantri Virasat ka Samvardhan</t>
        </is>
      </c>
      <c r="D1699" s="8" t="inlineStr">
        <is>
          <t>Details</t>
        </is>
      </c>
      <c r="E1699" s="8" t="inlineStr"/>
      <c r="F1699" s="8" t="inlineStr">
        <is>
          <t>en.schemeContent.detailedDescription[0]</t>
        </is>
      </c>
      <c r="G1699" s="8" t="inlineStr">
        <is>
          <t>C27@20261028-7c3ca7ef</t>
        </is>
      </c>
      <c r="H1699" s="8" t="n">
        <v>1</v>
      </c>
      <c r="I1699" s="8" t="n">
        <v>1</v>
      </c>
      <c r="J1699" s="8" t="inlineStr">
        <is>
          <t>The Pradhan Mantri Virasat Ka Samvardhan (PM VIKAS) is a Central Sector Scheme of the Ministry of Minority Affairs which converges five erstwhile schemes viz. ‘Seekho Aur Kamao’, ‘Nai Manzil’, ‘Nai Roshni’ and ‘USTTAD’ &amp; ‘Hamari Dharohar’ schemes and focuses on socio-economic empowerment of six notified minority communities (Muslims, Christians, Sikhs, Buddhists, Jains, and Parsis) through the following:</t>
        </is>
      </c>
      <c r="K1699" s="8" t="inlineStr">
        <is>
          <t>MS-C27</t>
        </is>
      </c>
      <c r="L1699" s="9" t="n">
        <v>46323</v>
      </c>
      <c r="M1699" s="8" t="inlineStr">
        <is>
          <t>Approved</t>
        </is>
      </c>
      <c r="N1699" s="8" t="inlineStr">
        <is>
          <t>paragraph</t>
        </is>
      </c>
    </row>
    <row r="1700" ht="40" customHeight="1">
      <c r="A1700" s="4" t="inlineStr">
        <is>
          <t>C27-P0002</t>
        </is>
      </c>
      <c r="B1700" s="4" t="inlineStr">
        <is>
          <t>C27</t>
        </is>
      </c>
      <c r="C1700" s="4" t="inlineStr">
        <is>
          <t>Pradhan Mantri Virasat ka Samvardhan</t>
        </is>
      </c>
      <c r="D1700" s="4" t="inlineStr">
        <is>
          <t>Details</t>
        </is>
      </c>
      <c r="E1700" s="4" t="inlineStr"/>
      <c r="F1700" s="4" t="inlineStr">
        <is>
          <t>en.schemeContent.detailedDescription[2]</t>
        </is>
      </c>
      <c r="G1700" s="4" t="inlineStr">
        <is>
          <t>C27@20261028-7c3ca7ef</t>
        </is>
      </c>
      <c r="H1700" s="4" t="n">
        <v>1</v>
      </c>
      <c r="I1700" s="4" t="n">
        <v>1</v>
      </c>
      <c r="J1700" s="4" t="inlineStr">
        <is>
          <t>i.	Skilling and Training (Non-traditional and traditional)</t>
        </is>
      </c>
      <c r="K1700" s="4" t="inlineStr">
        <is>
          <t>MS-C27</t>
        </is>
      </c>
      <c r="L1700" s="6" t="n">
        <v>46323</v>
      </c>
      <c r="M1700" s="4" t="inlineStr">
        <is>
          <t>Approved</t>
        </is>
      </c>
      <c r="N1700" s="4" t="inlineStr">
        <is>
          <t>paragraph</t>
        </is>
      </c>
    </row>
    <row r="1701" ht="40" customHeight="1">
      <c r="A1701" s="8" t="inlineStr">
        <is>
          <t>C27-P0003</t>
        </is>
      </c>
      <c r="B1701" s="8" t="inlineStr">
        <is>
          <t>C27</t>
        </is>
      </c>
      <c r="C1701" s="8" t="inlineStr">
        <is>
          <t>Pradhan Mantri Virasat ka Samvardhan</t>
        </is>
      </c>
      <c r="D1701" s="8" t="inlineStr">
        <is>
          <t>Details</t>
        </is>
      </c>
      <c r="E1701" s="8" t="inlineStr"/>
      <c r="F1701" s="8" t="inlineStr">
        <is>
          <t>en.schemeContent.detailedDescription[4]</t>
        </is>
      </c>
      <c r="G1701" s="8" t="inlineStr">
        <is>
          <t>C27@20261028-7c3ca7ef</t>
        </is>
      </c>
      <c r="H1701" s="8" t="n">
        <v>1</v>
      </c>
      <c r="I1701" s="8" t="n">
        <v>1</v>
      </c>
      <c r="J1701" s="8" t="inlineStr">
        <is>
          <t>ii.	Women Leadership and Entrepreneurship</t>
        </is>
      </c>
      <c r="K1701" s="8" t="inlineStr">
        <is>
          <t>MS-C27</t>
        </is>
      </c>
      <c r="L1701" s="9" t="n">
        <v>46323</v>
      </c>
      <c r="M1701" s="8" t="inlineStr">
        <is>
          <t>Approved</t>
        </is>
      </c>
      <c r="N1701" s="8" t="inlineStr">
        <is>
          <t>paragraph</t>
        </is>
      </c>
    </row>
    <row r="1702" ht="40" customHeight="1">
      <c r="A1702" s="4" t="inlineStr">
        <is>
          <t>C27-P0004</t>
        </is>
      </c>
      <c r="B1702" s="4" t="inlineStr">
        <is>
          <t>C27</t>
        </is>
      </c>
      <c r="C1702" s="4" t="inlineStr">
        <is>
          <t>Pradhan Mantri Virasat ka Samvardhan</t>
        </is>
      </c>
      <c r="D1702" s="4" t="inlineStr">
        <is>
          <t>Details</t>
        </is>
      </c>
      <c r="E1702" s="4" t="inlineStr"/>
      <c r="F1702" s="4" t="inlineStr">
        <is>
          <t>en.schemeContent.detailedDescription[6]</t>
        </is>
      </c>
      <c r="G1702" s="4" t="inlineStr">
        <is>
          <t>C27@20261028-7c3ca7ef</t>
        </is>
      </c>
      <c r="H1702" s="4" t="n">
        <v>1</v>
      </c>
      <c r="I1702" s="4" t="n">
        <v>1</v>
      </c>
      <c r="J1702" s="4" t="inlineStr">
        <is>
          <t>iii.	Education (through National Institute of Open Schooling)</t>
        </is>
      </c>
      <c r="K1702" s="4" t="inlineStr">
        <is>
          <t>MS-C27</t>
        </is>
      </c>
      <c r="L1702" s="6" t="n">
        <v>46323</v>
      </c>
      <c r="M1702" s="4" t="inlineStr">
        <is>
          <t>Approved</t>
        </is>
      </c>
      <c r="N1702" s="4" t="inlineStr">
        <is>
          <t>paragraph</t>
        </is>
      </c>
    </row>
    <row r="1703" ht="40" customHeight="1">
      <c r="A1703" s="8" t="inlineStr">
        <is>
          <t>C27-P0005</t>
        </is>
      </c>
      <c r="B1703" s="8" t="inlineStr">
        <is>
          <t>C27</t>
        </is>
      </c>
      <c r="C1703" s="8" t="inlineStr">
        <is>
          <t>Pradhan Mantri Virasat ka Samvardhan</t>
        </is>
      </c>
      <c r="D1703" s="8" t="inlineStr">
        <is>
          <t>Details</t>
        </is>
      </c>
      <c r="E1703" s="8" t="inlineStr"/>
      <c r="F1703" s="8" t="inlineStr">
        <is>
          <t>en.schemeContent.detailedDescription[8]</t>
        </is>
      </c>
      <c r="G1703" s="8" t="inlineStr">
        <is>
          <t>C27@20261028-7c3ca7ef</t>
        </is>
      </c>
      <c r="H1703" s="8" t="n">
        <v>1</v>
      </c>
      <c r="I1703" s="8" t="n">
        <v>1</v>
      </c>
      <c r="J1703" s="8" t="inlineStr">
        <is>
          <t>iv.	Infrastructure Development (through Pradhan Mantri Jan Vikas Karyakram)</t>
        </is>
      </c>
      <c r="K1703" s="8" t="inlineStr">
        <is>
          <t>MS-C27</t>
        </is>
      </c>
      <c r="L1703" s="9" t="n">
        <v>46323</v>
      </c>
      <c r="M1703" s="8" t="inlineStr">
        <is>
          <t>Approved</t>
        </is>
      </c>
      <c r="N1703" s="8" t="inlineStr">
        <is>
          <t>paragraph</t>
        </is>
      </c>
    </row>
    <row r="1704" ht="40" customHeight="1">
      <c r="A1704" s="4" t="inlineStr">
        <is>
          <t>C27-P0006</t>
        </is>
      </c>
      <c r="B1704" s="4" t="inlineStr">
        <is>
          <t>C27</t>
        </is>
      </c>
      <c r="C1704" s="4" t="inlineStr">
        <is>
          <t>Pradhan Mantri Virasat ka Samvardhan</t>
        </is>
      </c>
      <c r="D1704" s="4" t="inlineStr">
        <is>
          <t>Details</t>
        </is>
      </c>
      <c r="E1704" s="4" t="inlineStr"/>
      <c r="F1704" s="4" t="inlineStr">
        <is>
          <t>en.schemeContent.detailedDescription[10]</t>
        </is>
      </c>
      <c r="G1704" s="4" t="inlineStr">
        <is>
          <t>C27@20261028-7c3ca7ef</t>
        </is>
      </c>
      <c r="H1704" s="4" t="n">
        <v>1</v>
      </c>
      <c r="I1704" s="4" t="n">
        <v>1</v>
      </c>
      <c r="J1704" s="4" t="inlineStr">
        <is>
          <t>Scheme Objectives:</t>
        </is>
      </c>
      <c r="K1704" s="4" t="inlineStr">
        <is>
          <t>MS-C27</t>
        </is>
      </c>
      <c r="L1704" s="6" t="n">
        <v>46323</v>
      </c>
      <c r="M1704" s="4" t="inlineStr">
        <is>
          <t>Approved</t>
        </is>
      </c>
      <c r="N1704" s="4" t="inlineStr">
        <is>
          <t>paragraph</t>
        </is>
      </c>
    </row>
    <row r="1705" ht="82" customHeight="1">
      <c r="A1705" s="8" t="inlineStr">
        <is>
          <t>C27-P0007</t>
        </is>
      </c>
      <c r="B1705" s="8" t="inlineStr">
        <is>
          <t>C27</t>
        </is>
      </c>
      <c r="C1705" s="8" t="inlineStr">
        <is>
          <t>Pradhan Mantri Virasat ka Samvardhan</t>
        </is>
      </c>
      <c r="D1705" s="8" t="inlineStr">
        <is>
          <t>Details</t>
        </is>
      </c>
      <c r="E1705" s="8" t="inlineStr"/>
      <c r="F1705" s="8" t="inlineStr">
        <is>
          <t>en.schemeContent.detailedDescription[11]</t>
        </is>
      </c>
      <c r="G1705" s="8" t="inlineStr">
        <is>
          <t>C27@20261028-7c3ca7ef</t>
        </is>
      </c>
      <c r="H1705" s="8" t="n">
        <v>1</v>
      </c>
      <c r="I1705" s="8" t="n">
        <v>1</v>
      </c>
      <c r="J1705" s="8" t="inlineStr">
        <is>
          <t>The initiative aims to empower minority communities through targeted skill training, formal education via open schooling, and improved livelihood opportunities. It promotes the preservation cultural heritage and traditional arts and crafts. Women from minority communities are empowered through leadership and entrepreneurship support. Market and credit linkages are provided to enhance employability and enterprise.</t>
        </is>
      </c>
      <c r="K1705" s="8" t="inlineStr">
        <is>
          <t>MS-C27</t>
        </is>
      </c>
      <c r="L1705" s="9" t="n">
        <v>46323</v>
      </c>
      <c r="M1705" s="8" t="inlineStr">
        <is>
          <t>Approved</t>
        </is>
      </c>
      <c r="N1705" s="8" t="inlineStr">
        <is>
          <t>paragraph</t>
        </is>
      </c>
    </row>
    <row r="1706" ht="40" customHeight="1">
      <c r="A1706" s="4" t="inlineStr">
        <is>
          <t>C27-P0008</t>
        </is>
      </c>
      <c r="B1706" s="4" t="inlineStr">
        <is>
          <t>C27</t>
        </is>
      </c>
      <c r="C1706" s="4" t="inlineStr">
        <is>
          <t>Pradhan Mantri Virasat ka Samvardhan</t>
        </is>
      </c>
      <c r="D1706" s="4" t="inlineStr">
        <is>
          <t>Details</t>
        </is>
      </c>
      <c r="E1706" s="4" t="inlineStr">
        <is>
          <t>Salient Features:</t>
        </is>
      </c>
      <c r="F1706" s="4" t="inlineStr">
        <is>
          <t>en.schemeContent.detailedDescription[13]</t>
        </is>
      </c>
      <c r="G1706" s="4" t="inlineStr">
        <is>
          <t>C27@20261028-7c3ca7ef</t>
        </is>
      </c>
      <c r="H1706" s="4" t="n">
        <v>1</v>
      </c>
      <c r="I1706" s="4" t="n">
        <v>1</v>
      </c>
      <c r="J1706" s="4" t="inlineStr">
        <is>
          <t>Salient Features:</t>
        </is>
      </c>
      <c r="K1706" s="4" t="inlineStr">
        <is>
          <t>MS-C27</t>
        </is>
      </c>
      <c r="L1706" s="6" t="n">
        <v>46323</v>
      </c>
      <c r="M1706" s="4" t="inlineStr">
        <is>
          <t>Approved</t>
        </is>
      </c>
      <c r="N1706" s="4" t="inlineStr">
        <is>
          <t>paragraph</t>
        </is>
      </c>
    </row>
    <row r="1707" ht="40" customHeight="1">
      <c r="A1707" s="8" t="inlineStr">
        <is>
          <t>C27-P0009</t>
        </is>
      </c>
      <c r="B1707" s="8" t="inlineStr">
        <is>
          <t>C27</t>
        </is>
      </c>
      <c r="C1707" s="8" t="inlineStr">
        <is>
          <t>Pradhan Mantri Virasat ka Samvardhan</t>
        </is>
      </c>
      <c r="D1707" s="8" t="inlineStr">
        <is>
          <t>Details</t>
        </is>
      </c>
      <c r="E1707" s="8" t="inlineStr">
        <is>
          <t>Salient Features:</t>
        </is>
      </c>
      <c r="F1707" s="8" t="inlineStr">
        <is>
          <t>en.schemeContent.detailedDescription[14]</t>
        </is>
      </c>
      <c r="G1707" s="8" t="inlineStr">
        <is>
          <t>C27@20261028-7c3ca7ef</t>
        </is>
      </c>
      <c r="H1707" s="8" t="n">
        <v>1</v>
      </c>
      <c r="I1707" s="8" t="n">
        <v>1</v>
      </c>
      <c r="J1707" s="8" t="inlineStr">
        <is>
          <t>1)	Aims at holistic development of minority communities through skilling, education, entrepreneurship, and cultural heritage preservation.</t>
        </is>
      </c>
      <c r="K1707" s="8" t="inlineStr">
        <is>
          <t>MS-C27</t>
        </is>
      </c>
      <c r="L1707" s="9" t="n">
        <v>46323</v>
      </c>
      <c r="M1707" s="8" t="inlineStr">
        <is>
          <t>Approved</t>
        </is>
      </c>
      <c r="N1707" s="8" t="inlineStr">
        <is>
          <t>paragraph</t>
        </is>
      </c>
    </row>
    <row r="1708" ht="40" customHeight="1">
      <c r="A1708" s="4" t="inlineStr">
        <is>
          <t>C27-P0010</t>
        </is>
      </c>
      <c r="B1708" s="4" t="inlineStr">
        <is>
          <t>C27</t>
        </is>
      </c>
      <c r="C1708" s="4" t="inlineStr">
        <is>
          <t>Pradhan Mantri Virasat ka Samvardhan</t>
        </is>
      </c>
      <c r="D1708" s="4" t="inlineStr">
        <is>
          <t>Details</t>
        </is>
      </c>
      <c r="E1708" s="4" t="inlineStr">
        <is>
          <t>Salient Features:</t>
        </is>
      </c>
      <c r="F1708" s="4" t="inlineStr">
        <is>
          <t>en.schemeContent.detailedDescription[15]</t>
        </is>
      </c>
      <c r="G1708" s="4" t="inlineStr">
        <is>
          <t>C27@20261028-7c3ca7ef</t>
        </is>
      </c>
      <c r="H1708" s="4" t="n">
        <v>1</v>
      </c>
      <c r="I1708" s="4" t="n">
        <v>1</v>
      </c>
      <c r="J1708" s="4" t="inlineStr">
        <is>
          <t>2)	Merges five earlier schemes: Seekho aur Kamao, USTTAD, Hamari Dharohar, Nai Roshni, and Nai Manzil.</t>
        </is>
      </c>
      <c r="K1708" s="4" t="inlineStr">
        <is>
          <t>MS-C27</t>
        </is>
      </c>
      <c r="L1708" s="6" t="n">
        <v>46323</v>
      </c>
      <c r="M1708" s="4" t="inlineStr">
        <is>
          <t>Approved</t>
        </is>
      </c>
      <c r="N1708" s="4" t="inlineStr">
        <is>
          <t>paragraph</t>
        </is>
      </c>
    </row>
    <row r="1709" ht="40" customHeight="1">
      <c r="A1709" s="8" t="inlineStr">
        <is>
          <t>C27-P0011</t>
        </is>
      </c>
      <c r="B1709" s="8" t="inlineStr">
        <is>
          <t>C27</t>
        </is>
      </c>
      <c r="C1709" s="8" t="inlineStr">
        <is>
          <t>Pradhan Mantri Virasat ka Samvardhan</t>
        </is>
      </c>
      <c r="D1709" s="8" t="inlineStr">
        <is>
          <t>Details</t>
        </is>
      </c>
      <c r="E1709" s="8" t="inlineStr">
        <is>
          <t>Salient Features:</t>
        </is>
      </c>
      <c r="F1709" s="8" t="inlineStr">
        <is>
          <t>en.schemeContent.detailedDescription[16]</t>
        </is>
      </c>
      <c r="G1709" s="8" t="inlineStr">
        <is>
          <t>C27@20261028-7c3ca7ef</t>
        </is>
      </c>
      <c r="H1709" s="8" t="n">
        <v>1</v>
      </c>
      <c r="I1709" s="8" t="n">
        <v>1</v>
      </c>
      <c r="J1709" s="8" t="inlineStr">
        <is>
          <t>3)	Focuses on traditional and modern skill training, women’s leadership, education for school dropouts, and infrastructure development.</t>
        </is>
      </c>
      <c r="K1709" s="8" t="inlineStr">
        <is>
          <t>MS-C27</t>
        </is>
      </c>
      <c r="L1709" s="9" t="n">
        <v>46323</v>
      </c>
      <c r="M1709" s="8" t="inlineStr">
        <is>
          <t>Approved</t>
        </is>
      </c>
      <c r="N1709" s="8" t="inlineStr">
        <is>
          <t>paragraph</t>
        </is>
      </c>
    </row>
    <row r="1710" ht="40" customHeight="1">
      <c r="A1710" s="4" t="inlineStr">
        <is>
          <t>C27-P0012</t>
        </is>
      </c>
      <c r="B1710" s="4" t="inlineStr">
        <is>
          <t>C27</t>
        </is>
      </c>
      <c r="C1710" s="4" t="inlineStr">
        <is>
          <t>Pradhan Mantri Virasat ka Samvardhan</t>
        </is>
      </c>
      <c r="D1710" s="4" t="inlineStr">
        <is>
          <t>Details</t>
        </is>
      </c>
      <c r="E1710" s="4" t="inlineStr">
        <is>
          <t>Salient Features:</t>
        </is>
      </c>
      <c r="F1710" s="4" t="inlineStr">
        <is>
          <t>en.schemeContent.detailedDescription[17]</t>
        </is>
      </c>
      <c r="G1710" s="4" t="inlineStr">
        <is>
          <t>C27@20261028-7c3ca7ef</t>
        </is>
      </c>
      <c r="H1710" s="4" t="n">
        <v>1</v>
      </c>
      <c r="I1710" s="4" t="n">
        <v>1</v>
      </c>
      <c r="J1710" s="4" t="inlineStr">
        <is>
          <t>4)	Special emphasis on women, youth, and persons with disabilities from six notified minority communities.</t>
        </is>
      </c>
      <c r="K1710" s="4" t="inlineStr">
        <is>
          <t>MS-C27</t>
        </is>
      </c>
      <c r="L1710" s="6" t="n">
        <v>46323</v>
      </c>
      <c r="M1710" s="4" t="inlineStr">
        <is>
          <t>Approved</t>
        </is>
      </c>
      <c r="N1710" s="4" t="inlineStr">
        <is>
          <t>paragraph</t>
        </is>
      </c>
    </row>
    <row r="1711" ht="40" customHeight="1">
      <c r="A1711" s="8" t="inlineStr">
        <is>
          <t>C27-P0013</t>
        </is>
      </c>
      <c r="B1711" s="8" t="inlineStr">
        <is>
          <t>C27</t>
        </is>
      </c>
      <c r="C1711" s="8" t="inlineStr">
        <is>
          <t>Pradhan Mantri Virasat ka Samvardhan</t>
        </is>
      </c>
      <c r="D1711" s="8" t="inlineStr">
        <is>
          <t>Details</t>
        </is>
      </c>
      <c r="E1711" s="8" t="inlineStr">
        <is>
          <t>Salient Features:</t>
        </is>
      </c>
      <c r="F1711" s="8" t="inlineStr">
        <is>
          <t>en.schemeContent.detailedDescription[18]</t>
        </is>
      </c>
      <c r="G1711" s="8" t="inlineStr">
        <is>
          <t>C27@20261028-7c3ca7ef</t>
        </is>
      </c>
      <c r="H1711" s="8" t="n">
        <v>1</v>
      </c>
      <c r="I1711" s="8" t="n">
        <v>1</v>
      </c>
      <c r="J1711" s="8" t="inlineStr">
        <is>
          <t>5)	Provides financial support, market linkages, and credit access through convergence with other government schemes.</t>
        </is>
      </c>
      <c r="K1711" s="8" t="inlineStr">
        <is>
          <t>MS-C27</t>
        </is>
      </c>
      <c r="L1711" s="9" t="n">
        <v>46323</v>
      </c>
      <c r="M1711" s="8" t="inlineStr">
        <is>
          <t>Approved</t>
        </is>
      </c>
      <c r="N1711" s="8" t="inlineStr">
        <is>
          <t>paragraph</t>
        </is>
      </c>
    </row>
    <row r="1712" ht="40" customHeight="1">
      <c r="A1712" s="4" t="inlineStr">
        <is>
          <t>C27-P0014</t>
        </is>
      </c>
      <c r="B1712" s="4" t="inlineStr">
        <is>
          <t>C27</t>
        </is>
      </c>
      <c r="C1712" s="4" t="inlineStr">
        <is>
          <t>Pradhan Mantri Virasat ka Samvardhan</t>
        </is>
      </c>
      <c r="D1712" s="4" t="inlineStr">
        <is>
          <t>Details</t>
        </is>
      </c>
      <c r="E1712" s="4" t="inlineStr">
        <is>
          <t>Salient Features:</t>
        </is>
      </c>
      <c r="F1712" s="4" t="inlineStr">
        <is>
          <t>en.schemeContent.detailedDescription[19]</t>
        </is>
      </c>
      <c r="G1712" s="4" t="inlineStr">
        <is>
          <t>C27@20261028-7c3ca7ef</t>
        </is>
      </c>
      <c r="H1712" s="4" t="n">
        <v>1</v>
      </c>
      <c r="I1712" s="4" t="n">
        <v>1</v>
      </c>
      <c r="J1712" s="4" t="inlineStr">
        <is>
          <t>6)	100% central funding for training, education, and entrepreneurship; infrastructure support via Pradhan Mantri Jan Vikas Karyakram (PMJVK) on a cost-sharing basis.</t>
        </is>
      </c>
      <c r="K1712" s="4" t="inlineStr">
        <is>
          <t>MS-C27</t>
        </is>
      </c>
      <c r="L1712" s="6" t="n">
        <v>46323</v>
      </c>
      <c r="M1712" s="4" t="inlineStr">
        <is>
          <t>Approved</t>
        </is>
      </c>
      <c r="N1712" s="4" t="inlineStr">
        <is>
          <t>paragraph</t>
        </is>
      </c>
    </row>
    <row r="1713" ht="40" customHeight="1">
      <c r="A1713" s="8" t="inlineStr">
        <is>
          <t>C27-P0015</t>
        </is>
      </c>
      <c r="B1713" s="8" t="inlineStr">
        <is>
          <t>C27</t>
        </is>
      </c>
      <c r="C1713" s="8" t="inlineStr">
        <is>
          <t>Pradhan Mantri Virasat ka Samvardhan</t>
        </is>
      </c>
      <c r="D1713" s="8" t="inlineStr">
        <is>
          <t>Details</t>
        </is>
      </c>
      <c r="E1713" s="8" t="inlineStr">
        <is>
          <t>Target Beneficiaries:</t>
        </is>
      </c>
      <c r="F1713" s="8" t="inlineStr">
        <is>
          <t>en.schemeContent.detailedDescription[21]</t>
        </is>
      </c>
      <c r="G1713" s="8" t="inlineStr">
        <is>
          <t>C27@20261028-7c3ca7ef</t>
        </is>
      </c>
      <c r="H1713" s="8" t="n">
        <v>1</v>
      </c>
      <c r="I1713" s="8" t="n">
        <v>1</v>
      </c>
      <c r="J1713" s="8" t="inlineStr">
        <is>
          <t>Target Beneficiaries:</t>
        </is>
      </c>
      <c r="K1713" s="8" t="inlineStr">
        <is>
          <t>MS-C27</t>
        </is>
      </c>
      <c r="L1713" s="9" t="n">
        <v>46323</v>
      </c>
      <c r="M1713" s="8" t="inlineStr">
        <is>
          <t>Approved</t>
        </is>
      </c>
      <c r="N1713" s="8" t="inlineStr">
        <is>
          <t>paragraph</t>
        </is>
      </c>
    </row>
    <row r="1714" ht="40" customHeight="1">
      <c r="A1714" s="4" t="inlineStr">
        <is>
          <t>C27-P0016</t>
        </is>
      </c>
      <c r="B1714" s="4" t="inlineStr">
        <is>
          <t>C27</t>
        </is>
      </c>
      <c r="C1714" s="4" t="inlineStr">
        <is>
          <t>Pradhan Mantri Virasat ka Samvardhan</t>
        </is>
      </c>
      <c r="D1714" s="4" t="inlineStr">
        <is>
          <t>Details</t>
        </is>
      </c>
      <c r="E1714" s="4" t="inlineStr">
        <is>
          <t>Target Beneficiaries:</t>
        </is>
      </c>
      <c r="F1714" s="4" t="inlineStr">
        <is>
          <t>en.schemeContent.detailedDescription[23]</t>
        </is>
      </c>
      <c r="G1714" s="4" t="inlineStr">
        <is>
          <t>C27@20261028-7c3ca7ef</t>
        </is>
      </c>
      <c r="H1714" s="4" t="n">
        <v>1</v>
      </c>
      <c r="I1714" s="4" t="n">
        <v>1</v>
      </c>
      <c r="J1714" s="4" t="inlineStr">
        <is>
          <t>1)	Indian nationals belonging to the six notified minority communities: Muslims, Christians, Sikhs, Buddhists, Jains, and Parsis with following:</t>
        </is>
      </c>
      <c r="K1714" s="4" t="inlineStr">
        <is>
          <t>MS-C27</t>
        </is>
      </c>
      <c r="L1714" s="6" t="n">
        <v>46323</v>
      </c>
      <c r="M1714" s="4" t="inlineStr">
        <is>
          <t>Approved</t>
        </is>
      </c>
      <c r="N1714" s="4" t="inlineStr">
        <is>
          <t>paragraph</t>
        </is>
      </c>
    </row>
    <row r="1715" ht="40" customHeight="1">
      <c r="A1715" s="8" t="inlineStr">
        <is>
          <t>C27-P0017</t>
        </is>
      </c>
      <c r="B1715" s="8" t="inlineStr">
        <is>
          <t>C27</t>
        </is>
      </c>
      <c r="C1715" s="8" t="inlineStr">
        <is>
          <t>Pradhan Mantri Virasat ka Samvardhan</t>
        </is>
      </c>
      <c r="D1715" s="8" t="inlineStr">
        <is>
          <t>Details</t>
        </is>
      </c>
      <c r="E1715" s="8" t="inlineStr">
        <is>
          <t>Target Beneficiaries:</t>
        </is>
      </c>
      <c r="F1715" s="8" t="inlineStr">
        <is>
          <t>en.schemeContent.detailedDescription[24]</t>
        </is>
      </c>
      <c r="G1715" s="8" t="inlineStr">
        <is>
          <t>C27@20261028-7c3ca7ef</t>
        </is>
      </c>
      <c r="H1715" s="8" t="n">
        <v>1</v>
      </c>
      <c r="I1715" s="8" t="n">
        <v>1</v>
      </c>
      <c r="J1715" s="8" t="inlineStr">
        <is>
          <t>a.	Minority individuals aged 14–45 years for skilling and education; 18–45 years for women leadership and entrepreneurship.</t>
        </is>
      </c>
      <c r="K1715" s="8" t="inlineStr">
        <is>
          <t>MS-C27</t>
        </is>
      </c>
      <c r="L1715" s="9" t="n">
        <v>46323</v>
      </c>
      <c r="M1715" s="8" t="inlineStr">
        <is>
          <t>Approved</t>
        </is>
      </c>
      <c r="N1715" s="8" t="inlineStr">
        <is>
          <t>paragraph</t>
        </is>
      </c>
    </row>
    <row r="1716" ht="40" customHeight="1">
      <c r="A1716" s="4" t="inlineStr">
        <is>
          <t>C27-P0018</t>
        </is>
      </c>
      <c r="B1716" s="4" t="inlineStr">
        <is>
          <t>C27</t>
        </is>
      </c>
      <c r="C1716" s="4" t="inlineStr">
        <is>
          <t>Pradhan Mantri Virasat ka Samvardhan</t>
        </is>
      </c>
      <c r="D1716" s="4" t="inlineStr">
        <is>
          <t>Details</t>
        </is>
      </c>
      <c r="E1716" s="4" t="inlineStr">
        <is>
          <t>Target Beneficiaries:</t>
        </is>
      </c>
      <c r="F1716" s="4" t="inlineStr">
        <is>
          <t>en.schemeContent.detailedDescription[25]</t>
        </is>
      </c>
      <c r="G1716" s="4" t="inlineStr">
        <is>
          <t>C27@20261028-7c3ca7ef</t>
        </is>
      </c>
      <c r="H1716" s="4" t="n">
        <v>1</v>
      </c>
      <c r="I1716" s="4" t="n">
        <v>1</v>
      </c>
      <c r="J1716" s="4" t="inlineStr">
        <is>
          <t>b.	Women beneficiaries: Minimum 33% in skilling, 50% in education, and 100% in women leadership and entrepreneurship component.</t>
        </is>
      </c>
      <c r="K1716" s="4" t="inlineStr">
        <is>
          <t>MS-C27</t>
        </is>
      </c>
      <c r="L1716" s="6" t="n">
        <v>46323</v>
      </c>
      <c r="M1716" s="4" t="inlineStr">
        <is>
          <t>Approved</t>
        </is>
      </c>
      <c r="N1716" s="4" t="inlineStr">
        <is>
          <t>paragraph</t>
        </is>
      </c>
    </row>
    <row r="1717" ht="40" customHeight="1">
      <c r="A1717" s="8" t="inlineStr">
        <is>
          <t>C27-P0019</t>
        </is>
      </c>
      <c r="B1717" s="8" t="inlineStr">
        <is>
          <t>C27</t>
        </is>
      </c>
      <c r="C1717" s="8" t="inlineStr">
        <is>
          <t>Pradhan Mantri Virasat ka Samvardhan</t>
        </is>
      </c>
      <c r="D1717" s="8" t="inlineStr">
        <is>
          <t>Details</t>
        </is>
      </c>
      <c r="E1717" s="8" t="inlineStr">
        <is>
          <t>Target Beneficiaries:</t>
        </is>
      </c>
      <c r="F1717" s="8" t="inlineStr">
        <is>
          <t>en.schemeContent.detailedDescription[26]</t>
        </is>
      </c>
      <c r="G1717" s="8" t="inlineStr">
        <is>
          <t>C27@20261028-7c3ca7ef</t>
        </is>
      </c>
      <c r="H1717" s="8" t="n">
        <v>1</v>
      </c>
      <c r="I1717" s="8" t="n">
        <v>1</v>
      </c>
      <c r="J1717" s="8" t="inlineStr">
        <is>
          <t>c.	Persons with Disabilities (PwDs): 3% reservation across all components.</t>
        </is>
      </c>
      <c r="K1717" s="8" t="inlineStr">
        <is>
          <t>MS-C27</t>
        </is>
      </c>
      <c r="L1717" s="9" t="n">
        <v>46323</v>
      </c>
      <c r="M1717" s="8" t="inlineStr">
        <is>
          <t>Approved</t>
        </is>
      </c>
      <c r="N1717" s="8" t="inlineStr">
        <is>
          <t>paragraph</t>
        </is>
      </c>
    </row>
    <row r="1718" ht="40" customHeight="1">
      <c r="A1718" s="4" t="inlineStr">
        <is>
          <t>C27-P0020</t>
        </is>
      </c>
      <c r="B1718" s="4" t="inlineStr">
        <is>
          <t>C27</t>
        </is>
      </c>
      <c r="C1718" s="4" t="inlineStr">
        <is>
          <t>Pradhan Mantri Virasat ka Samvardhan</t>
        </is>
      </c>
      <c r="D1718" s="4" t="inlineStr">
        <is>
          <t>Details</t>
        </is>
      </c>
      <c r="E1718" s="4" t="inlineStr">
        <is>
          <t>Target Beneficiaries:</t>
        </is>
      </c>
      <c r="F1718" s="4" t="inlineStr">
        <is>
          <t>en.schemeContent.detailedDescription[27]</t>
        </is>
      </c>
      <c r="G1718" s="4" t="inlineStr">
        <is>
          <t>C27@20261028-7c3ca7ef</t>
        </is>
      </c>
      <c r="H1718" s="4" t="n">
        <v>1</v>
      </c>
      <c r="I1718" s="4" t="n">
        <v>1</v>
      </c>
      <c r="J1718" s="4" t="inlineStr">
        <is>
          <t>2)	Up to 25% non-minority (EWS) candidates may be included in Traditional Skilling and 15% in other components to promote inter-community solidarity.</t>
        </is>
      </c>
      <c r="K1718" s="4" t="inlineStr">
        <is>
          <t>MS-C27</t>
        </is>
      </c>
      <c r="L1718" s="6" t="n">
        <v>46323</v>
      </c>
      <c r="M1718" s="4" t="inlineStr">
        <is>
          <t>Approved</t>
        </is>
      </c>
      <c r="N1718" s="4" t="inlineStr">
        <is>
          <t>paragraph</t>
        </is>
      </c>
    </row>
    <row r="1719" ht="40" customHeight="1">
      <c r="A1719" s="8" t="inlineStr">
        <is>
          <t>C27-P0021</t>
        </is>
      </c>
      <c r="B1719" s="8" t="inlineStr">
        <is>
          <t>C27</t>
        </is>
      </c>
      <c r="C1719" s="8" t="inlineStr">
        <is>
          <t>Pradhan Mantri Virasat ka Samvardhan</t>
        </is>
      </c>
      <c r="D1719" s="8" t="inlineStr">
        <is>
          <t>Details</t>
        </is>
      </c>
      <c r="E1719" s="8" t="inlineStr">
        <is>
          <t>Benefits:</t>
        </is>
      </c>
      <c r="F1719" s="8" t="inlineStr">
        <is>
          <t>en.schemeContent.detailedDescription[30]</t>
        </is>
      </c>
      <c r="G1719" s="8" t="inlineStr">
        <is>
          <t>C27@20261028-7c3ca7ef</t>
        </is>
      </c>
      <c r="H1719" s="8" t="n">
        <v>1</v>
      </c>
      <c r="I1719" s="8" t="n">
        <v>1</v>
      </c>
      <c r="J1719" s="8" t="inlineStr">
        <is>
          <t>Benefits:</t>
        </is>
      </c>
      <c r="K1719" s="8" t="inlineStr">
        <is>
          <t>MS-C27</t>
        </is>
      </c>
      <c r="L1719" s="9" t="n">
        <v>46323</v>
      </c>
      <c r="M1719" s="8" t="inlineStr">
        <is>
          <t>Approved</t>
        </is>
      </c>
      <c r="N1719" s="8" t="inlineStr">
        <is>
          <t>paragraph</t>
        </is>
      </c>
    </row>
    <row r="1720" ht="40" customHeight="1">
      <c r="A1720" s="4" t="inlineStr">
        <is>
          <t>C27-P0022</t>
        </is>
      </c>
      <c r="B1720" s="4" t="inlineStr">
        <is>
          <t>C27</t>
        </is>
      </c>
      <c r="C1720" s="4" t="inlineStr">
        <is>
          <t>Pradhan Mantri Virasat ka Samvardhan</t>
        </is>
      </c>
      <c r="D1720" s="4" t="inlineStr">
        <is>
          <t>Details</t>
        </is>
      </c>
      <c r="E1720" s="4" t="inlineStr">
        <is>
          <t>Benefits:</t>
        </is>
      </c>
      <c r="F1720" s="4" t="inlineStr">
        <is>
          <t>en.schemeContent.detailedDescription[31]</t>
        </is>
      </c>
      <c r="G1720" s="4" t="inlineStr">
        <is>
          <t>C27@20261028-7c3ca7ef</t>
        </is>
      </c>
      <c r="H1720" s="4" t="n">
        <v>1</v>
      </c>
      <c r="I1720" s="4" t="n">
        <v>1</v>
      </c>
      <c r="J1720" s="4" t="inlineStr">
        <is>
          <t>1)	Provides skill development in both traditional crafts and modern sectors to enhance employability of minority youth.</t>
        </is>
      </c>
      <c r="K1720" s="4" t="inlineStr">
        <is>
          <t>MS-C27</t>
        </is>
      </c>
      <c r="L1720" s="6" t="n">
        <v>46323</v>
      </c>
      <c r="M1720" s="4" t="inlineStr">
        <is>
          <t>Approved</t>
        </is>
      </c>
      <c r="N1720" s="4" t="inlineStr">
        <is>
          <t>paragraph</t>
        </is>
      </c>
    </row>
    <row r="1721" ht="40" customHeight="1">
      <c r="A1721" s="8" t="inlineStr">
        <is>
          <t>C27-P0023</t>
        </is>
      </c>
      <c r="B1721" s="8" t="inlineStr">
        <is>
          <t>C27</t>
        </is>
      </c>
      <c r="C1721" s="8" t="inlineStr">
        <is>
          <t>Pradhan Mantri Virasat ka Samvardhan</t>
        </is>
      </c>
      <c r="D1721" s="8" t="inlineStr">
        <is>
          <t>Details</t>
        </is>
      </c>
      <c r="E1721" s="8" t="inlineStr">
        <is>
          <t>Benefits:</t>
        </is>
      </c>
      <c r="F1721" s="8" t="inlineStr">
        <is>
          <t>en.schemeContent.detailedDescription[32]</t>
        </is>
      </c>
      <c r="G1721" s="8" t="inlineStr">
        <is>
          <t>C27@20261028-7c3ca7ef</t>
        </is>
      </c>
      <c r="H1721" s="8" t="n">
        <v>1</v>
      </c>
      <c r="I1721" s="8" t="n">
        <v>1</v>
      </c>
      <c r="J1721" s="8" t="inlineStr">
        <is>
          <t>2)	Empowers minority women through leadership and entrepreneurship training, including support to start enterprises.</t>
        </is>
      </c>
      <c r="K1721" s="8" t="inlineStr">
        <is>
          <t>MS-C27</t>
        </is>
      </c>
      <c r="L1721" s="9" t="n">
        <v>46323</v>
      </c>
      <c r="M1721" s="8" t="inlineStr">
        <is>
          <t>Approved</t>
        </is>
      </c>
      <c r="N1721" s="8" t="inlineStr">
        <is>
          <t>paragraph</t>
        </is>
      </c>
    </row>
    <row r="1722" ht="40" customHeight="1">
      <c r="A1722" s="4" t="inlineStr">
        <is>
          <t>C27-P0024</t>
        </is>
      </c>
      <c r="B1722" s="4" t="inlineStr">
        <is>
          <t>C27</t>
        </is>
      </c>
      <c r="C1722" s="4" t="inlineStr">
        <is>
          <t>Pradhan Mantri Virasat ka Samvardhan</t>
        </is>
      </c>
      <c r="D1722" s="4" t="inlineStr">
        <is>
          <t>Details</t>
        </is>
      </c>
      <c r="E1722" s="4" t="inlineStr">
        <is>
          <t>Benefits:</t>
        </is>
      </c>
      <c r="F1722" s="4" t="inlineStr">
        <is>
          <t>en.schemeContent.detailedDescription[33]</t>
        </is>
      </c>
      <c r="G1722" s="4" t="inlineStr">
        <is>
          <t>C27@20261028-7c3ca7ef</t>
        </is>
      </c>
      <c r="H1722" s="4" t="n">
        <v>1</v>
      </c>
      <c r="I1722" s="4" t="n">
        <v>1</v>
      </c>
      <c r="J1722" s="4" t="inlineStr">
        <is>
          <t>3)	Offers bridge education for school dropouts to complete classes 8th, 10th, and 12th via open schooling.</t>
        </is>
      </c>
      <c r="K1722" s="4" t="inlineStr">
        <is>
          <t>MS-C27</t>
        </is>
      </c>
      <c r="L1722" s="6" t="n">
        <v>46323</v>
      </c>
      <c r="M1722" s="4" t="inlineStr">
        <is>
          <t>Approved</t>
        </is>
      </c>
      <c r="N1722" s="4" t="inlineStr">
        <is>
          <t>paragraph</t>
        </is>
      </c>
    </row>
    <row r="1723" ht="40" customHeight="1">
      <c r="A1723" s="8" t="inlineStr">
        <is>
          <t>C27-P0025</t>
        </is>
      </c>
      <c r="B1723" s="8" t="inlineStr">
        <is>
          <t>C27</t>
        </is>
      </c>
      <c r="C1723" s="8" t="inlineStr">
        <is>
          <t>Pradhan Mantri Virasat ka Samvardhan</t>
        </is>
      </c>
      <c r="D1723" s="8" t="inlineStr">
        <is>
          <t>Details</t>
        </is>
      </c>
      <c r="E1723" s="8" t="inlineStr">
        <is>
          <t>Benefits:</t>
        </is>
      </c>
      <c r="F1723" s="8" t="inlineStr">
        <is>
          <t>en.schemeContent.detailedDescription[34]</t>
        </is>
      </c>
      <c r="G1723" s="8" t="inlineStr">
        <is>
          <t>C27@20261028-7c3ca7ef</t>
        </is>
      </c>
      <c r="H1723" s="8" t="n">
        <v>1</v>
      </c>
      <c r="I1723" s="8" t="n">
        <v>1</v>
      </c>
      <c r="J1723" s="8" t="inlineStr">
        <is>
          <t>4)	Facilitates access to credit, market linkages, and e-commerce platforms for artisans and entrepreneurs.</t>
        </is>
      </c>
      <c r="K1723" s="8" t="inlineStr">
        <is>
          <t>MS-C27</t>
        </is>
      </c>
      <c r="L1723" s="9" t="n">
        <v>46323</v>
      </c>
      <c r="M1723" s="8" t="inlineStr">
        <is>
          <t>Approved</t>
        </is>
      </c>
      <c r="N1723" s="8" t="inlineStr">
        <is>
          <t>paragraph</t>
        </is>
      </c>
    </row>
    <row r="1724" ht="40" customHeight="1">
      <c r="A1724" s="4" t="inlineStr">
        <is>
          <t>C27-P0026</t>
        </is>
      </c>
      <c r="B1724" s="4" t="inlineStr">
        <is>
          <t>C27</t>
        </is>
      </c>
      <c r="C1724" s="4" t="inlineStr">
        <is>
          <t>Pradhan Mantri Virasat ka Samvardhan</t>
        </is>
      </c>
      <c r="D1724" s="4" t="inlineStr">
        <is>
          <t>Details</t>
        </is>
      </c>
      <c r="E1724" s="4" t="inlineStr">
        <is>
          <t>Benefits:</t>
        </is>
      </c>
      <c r="F1724" s="4" t="inlineStr">
        <is>
          <t>en.schemeContent.detailedDescription[35]</t>
        </is>
      </c>
      <c r="G1724" s="4" t="inlineStr">
        <is>
          <t>C27@20261028-7c3ca7ef</t>
        </is>
      </c>
      <c r="H1724" s="4" t="n">
        <v>1</v>
      </c>
      <c r="I1724" s="4" t="n">
        <v>1</v>
      </c>
      <c r="J1724" s="4" t="inlineStr">
        <is>
          <t>5)	Promotes preservation and promotion of traditional arts, crafts, and cultural heritage.</t>
        </is>
      </c>
      <c r="K1724" s="4" t="inlineStr">
        <is>
          <t>MS-C27</t>
        </is>
      </c>
      <c r="L1724" s="6" t="n">
        <v>46323</v>
      </c>
      <c r="M1724" s="4" t="inlineStr">
        <is>
          <t>Approved</t>
        </is>
      </c>
      <c r="N1724" s="4" t="inlineStr">
        <is>
          <t>paragraph</t>
        </is>
      </c>
    </row>
    <row r="1725" ht="40" customHeight="1">
      <c r="A1725" s="8" t="inlineStr">
        <is>
          <t>C27-P0027</t>
        </is>
      </c>
      <c r="B1725" s="8" t="inlineStr">
        <is>
          <t>C27</t>
        </is>
      </c>
      <c r="C1725" s="8" t="inlineStr">
        <is>
          <t>Pradhan Mantri Virasat ka Samvardhan</t>
        </is>
      </c>
      <c r="D1725" s="8" t="inlineStr">
        <is>
          <t>Details</t>
        </is>
      </c>
      <c r="E1725" s="8" t="inlineStr">
        <is>
          <t>Benefits:</t>
        </is>
      </c>
      <c r="F1725" s="8" t="inlineStr">
        <is>
          <t>en.schemeContent.detailedDescription[36]</t>
        </is>
      </c>
      <c r="G1725" s="8" t="inlineStr">
        <is>
          <t>C27@20261028-7c3ca7ef</t>
        </is>
      </c>
      <c r="H1725" s="8" t="n">
        <v>1</v>
      </c>
      <c r="I1725" s="8" t="n">
        <v>1</v>
      </c>
      <c r="J1725" s="8" t="inlineStr">
        <is>
          <t>6)	Ensures inclusive development by converging with other government schemes and leveraging existing infrastructure.</t>
        </is>
      </c>
      <c r="K1725" s="8" t="inlineStr">
        <is>
          <t>MS-C27</t>
        </is>
      </c>
      <c r="L1725" s="9" t="n">
        <v>46323</v>
      </c>
      <c r="M1725" s="8" t="inlineStr">
        <is>
          <t>Approved</t>
        </is>
      </c>
      <c r="N1725" s="8" t="inlineStr">
        <is>
          <t>paragraph</t>
        </is>
      </c>
    </row>
    <row r="1726" ht="40" customHeight="1">
      <c r="A1726" s="4" t="inlineStr">
        <is>
          <t>C27-P0028</t>
        </is>
      </c>
      <c r="B1726" s="4" t="inlineStr">
        <is>
          <t>C27</t>
        </is>
      </c>
      <c r="C1726" s="4" t="inlineStr">
        <is>
          <t>Pradhan Mantri Virasat ka Samvardhan</t>
        </is>
      </c>
      <c r="D1726" s="4" t="inlineStr">
        <is>
          <t>Benefits</t>
        </is>
      </c>
      <c r="E1726" s="4" t="inlineStr"/>
      <c r="F1726" s="4" t="inlineStr">
        <is>
          <t>en.schemeContent.benefits[0]</t>
        </is>
      </c>
      <c r="G1726" s="4" t="inlineStr">
        <is>
          <t>C27@20261028-7c3ca7ef</t>
        </is>
      </c>
      <c r="H1726" s="4" t="n">
        <v>1</v>
      </c>
      <c r="I1726" s="4" t="n">
        <v>1</v>
      </c>
      <c r="J1726" s="4" t="inlineStr">
        <is>
          <t>1)	Skill training (both traditional and modern)</t>
        </is>
      </c>
      <c r="K1726" s="4" t="inlineStr">
        <is>
          <t>MS-C27</t>
        </is>
      </c>
      <c r="L1726" s="6" t="n">
        <v>46323</v>
      </c>
      <c r="M1726" s="4" t="inlineStr">
        <is>
          <t>Approved</t>
        </is>
      </c>
      <c r="N1726" s="4" t="inlineStr">
        <is>
          <t>paragraph</t>
        </is>
      </c>
    </row>
    <row r="1727" ht="40" customHeight="1">
      <c r="A1727" s="8" t="inlineStr">
        <is>
          <t>C27-P0029</t>
        </is>
      </c>
      <c r="B1727" s="8" t="inlineStr">
        <is>
          <t>C27</t>
        </is>
      </c>
      <c r="C1727" s="8" t="inlineStr">
        <is>
          <t>Pradhan Mantri Virasat ka Samvardhan</t>
        </is>
      </c>
      <c r="D1727" s="8" t="inlineStr">
        <is>
          <t>Benefits</t>
        </is>
      </c>
      <c r="E1727" s="8" t="inlineStr"/>
      <c r="F1727" s="8" t="inlineStr">
        <is>
          <t>en.schemeContent.benefits[1]</t>
        </is>
      </c>
      <c r="G1727" s="8" t="inlineStr">
        <is>
          <t>C27@20261028-7c3ca7ef</t>
        </is>
      </c>
      <c r="H1727" s="8" t="n">
        <v>1</v>
      </c>
      <c r="I1727" s="8" t="n">
        <v>1</v>
      </c>
      <c r="J1727" s="8" t="inlineStr">
        <is>
          <t>2)	Education support (8th std, 10th std. and 12th std.)</t>
        </is>
      </c>
      <c r="K1727" s="8" t="inlineStr">
        <is>
          <t>MS-C27</t>
        </is>
      </c>
      <c r="L1727" s="9" t="n">
        <v>46323</v>
      </c>
      <c r="M1727" s="8" t="inlineStr">
        <is>
          <t>Approved</t>
        </is>
      </c>
      <c r="N1727" s="8" t="inlineStr">
        <is>
          <t>paragraph</t>
        </is>
      </c>
    </row>
    <row r="1728" ht="40" customHeight="1">
      <c r="A1728" s="4" t="inlineStr">
        <is>
          <t>C27-P0030</t>
        </is>
      </c>
      <c r="B1728" s="4" t="inlineStr">
        <is>
          <t>C27</t>
        </is>
      </c>
      <c r="C1728" s="4" t="inlineStr">
        <is>
          <t>Pradhan Mantri Virasat ka Samvardhan</t>
        </is>
      </c>
      <c r="D1728" s="4" t="inlineStr">
        <is>
          <t>Benefits</t>
        </is>
      </c>
      <c r="E1728" s="4" t="inlineStr"/>
      <c r="F1728" s="4" t="inlineStr">
        <is>
          <t>en.schemeContent.benefits[2]</t>
        </is>
      </c>
      <c r="G1728" s="4" t="inlineStr">
        <is>
          <t>C27@20261028-7c3ca7ef</t>
        </is>
      </c>
      <c r="H1728" s="4" t="n">
        <v>1</v>
      </c>
      <c r="I1728" s="4" t="n">
        <v>1</v>
      </c>
      <c r="J1728" s="4" t="inlineStr">
        <is>
          <t>3)	Leadership and entrepreneurship support for women</t>
        </is>
      </c>
      <c r="K1728" s="4" t="inlineStr">
        <is>
          <t>MS-C27</t>
        </is>
      </c>
      <c r="L1728" s="6" t="n">
        <v>46323</v>
      </c>
      <c r="M1728" s="4" t="inlineStr">
        <is>
          <t>Approved</t>
        </is>
      </c>
      <c r="N1728" s="4" t="inlineStr">
        <is>
          <t>paragraph</t>
        </is>
      </c>
    </row>
    <row r="1729" ht="40" customHeight="1">
      <c r="A1729" s="8" t="inlineStr">
        <is>
          <t>C27-P0031</t>
        </is>
      </c>
      <c r="B1729" s="8" t="inlineStr">
        <is>
          <t>C27</t>
        </is>
      </c>
      <c r="C1729" s="8" t="inlineStr">
        <is>
          <t>Pradhan Mantri Virasat ka Samvardhan</t>
        </is>
      </c>
      <c r="D1729" s="8" t="inlineStr">
        <is>
          <t>Benefits</t>
        </is>
      </c>
      <c r="E1729" s="8" t="inlineStr"/>
      <c r="F1729" s="8" t="inlineStr">
        <is>
          <t>en.schemeContent.benefits[3]</t>
        </is>
      </c>
      <c r="G1729" s="8" t="inlineStr">
        <is>
          <t>C27@20261028-7c3ca7ef</t>
        </is>
      </c>
      <c r="H1729" s="8" t="n">
        <v>1</v>
      </c>
      <c r="I1729" s="8" t="n">
        <v>1</v>
      </c>
      <c r="J1729" s="8" t="inlineStr">
        <is>
          <t>4)	Stipend support to trainees</t>
        </is>
      </c>
      <c r="K1729" s="8" t="inlineStr">
        <is>
          <t>MS-C27</t>
        </is>
      </c>
      <c r="L1729" s="9" t="n">
        <v>46323</v>
      </c>
      <c r="M1729" s="8" t="inlineStr">
        <is>
          <t>Approved</t>
        </is>
      </c>
      <c r="N1729" s="8" t="inlineStr">
        <is>
          <t>paragraph</t>
        </is>
      </c>
    </row>
    <row r="1730" ht="40" customHeight="1">
      <c r="A1730" s="4" t="inlineStr">
        <is>
          <t>C27-P0032</t>
        </is>
      </c>
      <c r="B1730" s="4" t="inlineStr">
        <is>
          <t>C27</t>
        </is>
      </c>
      <c r="C1730" s="4" t="inlineStr">
        <is>
          <t>Pradhan Mantri Virasat ka Samvardhan</t>
        </is>
      </c>
      <c r="D1730" s="4" t="inlineStr">
        <is>
          <t>Eligibility</t>
        </is>
      </c>
      <c r="E1730" s="4" t="inlineStr"/>
      <c r="F1730" s="4" t="inlineStr">
        <is>
          <t>en.eligibilityCriteria.eligibilityDescription[0]</t>
        </is>
      </c>
      <c r="G1730" s="4" t="inlineStr">
        <is>
          <t>C27@20261028-7c3ca7ef</t>
        </is>
      </c>
      <c r="H1730" s="4" t="n">
        <v>1</v>
      </c>
      <c r="I1730" s="4" t="n">
        <v>1</v>
      </c>
      <c r="J1730" s="4" t="inlineStr">
        <is>
          <t>1)	The Age of the applicant should be 14 to 45 years for skilling and education component and 18 to 45 years for Women Leadership and Entrepreneurship Component</t>
        </is>
      </c>
      <c r="K1730" s="4" t="inlineStr">
        <is>
          <t>MS-C27</t>
        </is>
      </c>
      <c r="L1730" s="6" t="n">
        <v>46323</v>
      </c>
      <c r="M1730" s="4" t="inlineStr">
        <is>
          <t>Approved</t>
        </is>
      </c>
      <c r="N1730" s="4" t="inlineStr">
        <is>
          <t>paragraph</t>
        </is>
      </c>
    </row>
    <row r="1731" ht="54" customHeight="1">
      <c r="A1731" s="8" t="inlineStr">
        <is>
          <t>C27-P0033</t>
        </is>
      </c>
      <c r="B1731" s="8" t="inlineStr">
        <is>
          <t>C27</t>
        </is>
      </c>
      <c r="C1731" s="8" t="inlineStr">
        <is>
          <t>Pradhan Mantri Virasat ka Samvardhan</t>
        </is>
      </c>
      <c r="D1731" s="8" t="inlineStr">
        <is>
          <t>Eligibility</t>
        </is>
      </c>
      <c r="E1731" s="8" t="inlineStr"/>
      <c r="F1731" s="8" t="inlineStr">
        <is>
          <t>en.eligibilityCriteria.eligibilityDescription[2]</t>
        </is>
      </c>
      <c r="G1731" s="8" t="inlineStr">
        <is>
          <t>C27@20261028-7c3ca7ef</t>
        </is>
      </c>
      <c r="H1731" s="8" t="n">
        <v>1</v>
      </c>
      <c r="I1731" s="8" t="n">
        <v>1</v>
      </c>
      <c r="J1731" s="8" t="inlineStr">
        <is>
          <t>2)	33% of total seats in Skilling and Training component, 50% of total seats in Education component and 100% of total seats in Women Leadership and Entrepreneurship component are earmarked for women.</t>
        </is>
      </c>
      <c r="K1731" s="8" t="inlineStr">
        <is>
          <t>MS-C27</t>
        </is>
      </c>
      <c r="L1731" s="9" t="n">
        <v>46323</v>
      </c>
      <c r="M1731" s="8" t="inlineStr">
        <is>
          <t>Approved</t>
        </is>
      </c>
      <c r="N1731" s="8" t="inlineStr">
        <is>
          <t>paragraph</t>
        </is>
      </c>
    </row>
    <row r="1732" ht="54" customHeight="1">
      <c r="A1732" s="4" t="inlineStr">
        <is>
          <t>C27-P0034</t>
        </is>
      </c>
      <c r="B1732" s="4" t="inlineStr">
        <is>
          <t>C27</t>
        </is>
      </c>
      <c r="C1732" s="4" t="inlineStr">
        <is>
          <t>Pradhan Mantri Virasat ka Samvardhan</t>
        </is>
      </c>
      <c r="D1732" s="4" t="inlineStr">
        <is>
          <t>Eligibility</t>
        </is>
      </c>
      <c r="E1732" s="4" t="inlineStr"/>
      <c r="F1732" s="4" t="inlineStr">
        <is>
          <t>en.eligibilityCriteria.eligibilityDescription[4]</t>
        </is>
      </c>
      <c r="G1732" s="4" t="inlineStr">
        <is>
          <t>C27@20261028-7c3ca7ef</t>
        </is>
      </c>
      <c r="H1732" s="4" t="n">
        <v>1</v>
      </c>
      <c r="I1732" s="4" t="n">
        <v>1</v>
      </c>
      <c r="J1732" s="4" t="inlineStr">
        <is>
          <t>3)	The education qualification for Skilling and Training component would be as per NSQF norms and Education component would be as per NIOS norms. Candidates with aptitude and leadership qualities will be selected for Women Leadership and Entrepreneurship component.</t>
        </is>
      </c>
      <c r="K1732" s="4" t="inlineStr">
        <is>
          <t>MS-C27</t>
        </is>
      </c>
      <c r="L1732" s="6" t="n">
        <v>46323</v>
      </c>
      <c r="M1732" s="4" t="inlineStr">
        <is>
          <t>Approved</t>
        </is>
      </c>
      <c r="N1732" s="4" t="inlineStr">
        <is>
          <t>paragraph</t>
        </is>
      </c>
    </row>
    <row r="1733" ht="40" customHeight="1">
      <c r="A1733" s="8" t="inlineStr">
        <is>
          <t>C27-P0035</t>
        </is>
      </c>
      <c r="B1733" s="8" t="inlineStr">
        <is>
          <t>C27</t>
        </is>
      </c>
      <c r="C1733" s="8" t="inlineStr">
        <is>
          <t>Pradhan Mantri Virasat ka Samvardhan</t>
        </is>
      </c>
      <c r="D1733" s="8" t="inlineStr">
        <is>
          <t>Applicant documents</t>
        </is>
      </c>
      <c r="E1733" s="8" t="inlineStr"/>
      <c r="F1733" s="8" t="inlineStr">
        <is>
          <t>documents.en.documents_required[0]</t>
        </is>
      </c>
      <c r="G1733" s="8" t="inlineStr">
        <is>
          <t>C27@20261028-7c3ca7ef</t>
        </is>
      </c>
      <c r="H1733" s="8" t="n">
        <v>1</v>
      </c>
      <c r="I1733" s="8" t="n">
        <v>1</v>
      </c>
      <c r="J1733" s="8" t="inlineStr">
        <is>
          <t>1)	Aadhaar card and aadhar linked bank account.</t>
        </is>
      </c>
      <c r="K1733" s="8" t="inlineStr">
        <is>
          <t>MS-C27</t>
        </is>
      </c>
      <c r="L1733" s="9" t="n">
        <v>46323</v>
      </c>
      <c r="M1733" s="8" t="inlineStr">
        <is>
          <t>Approved</t>
        </is>
      </c>
      <c r="N1733" s="8" t="inlineStr">
        <is>
          <t>paragraph</t>
        </is>
      </c>
    </row>
    <row r="1734" ht="40" customHeight="1">
      <c r="A1734" s="4" t="inlineStr">
        <is>
          <t>C27-P0036</t>
        </is>
      </c>
      <c r="B1734" s="4" t="inlineStr">
        <is>
          <t>C27</t>
        </is>
      </c>
      <c r="C1734" s="4" t="inlineStr">
        <is>
          <t>Pradhan Mantri Virasat ka Samvardhan</t>
        </is>
      </c>
      <c r="D1734" s="4" t="inlineStr">
        <is>
          <t>Applicant documents</t>
        </is>
      </c>
      <c r="E1734" s="4" t="inlineStr"/>
      <c r="F1734" s="4" t="inlineStr">
        <is>
          <t>documents.en.documents_required[1]</t>
        </is>
      </c>
      <c r="G1734" s="4" t="inlineStr">
        <is>
          <t>C27@20261028-7c3ca7ef</t>
        </is>
      </c>
      <c r="H1734" s="4" t="n">
        <v>1</v>
      </c>
      <c r="I1734" s="4" t="n">
        <v>1</v>
      </c>
      <c r="J1734" s="4" t="inlineStr">
        <is>
          <t>2)	EWS Certificate for non-minority candidates.</t>
        </is>
      </c>
      <c r="K1734" s="4" t="inlineStr">
        <is>
          <t>MS-C27</t>
        </is>
      </c>
      <c r="L1734" s="6" t="n">
        <v>46323</v>
      </c>
      <c r="M1734" s="4" t="inlineStr">
        <is>
          <t>Approved</t>
        </is>
      </c>
      <c r="N1734" s="4" t="inlineStr">
        <is>
          <t>paragraph</t>
        </is>
      </c>
    </row>
    <row r="1735" ht="40" customHeight="1">
      <c r="A1735" s="8" t="inlineStr">
        <is>
          <t>C27-P0037</t>
        </is>
      </c>
      <c r="B1735" s="8" t="inlineStr">
        <is>
          <t>C27</t>
        </is>
      </c>
      <c r="C1735" s="8" t="inlineStr">
        <is>
          <t>Pradhan Mantri Virasat ka Samvardhan</t>
        </is>
      </c>
      <c r="D1735" s="8" t="inlineStr">
        <is>
          <t>Applicant documents</t>
        </is>
      </c>
      <c r="E1735" s="8" t="inlineStr"/>
      <c r="F1735" s="8" t="inlineStr">
        <is>
          <t>documents.en.documents_required[2]</t>
        </is>
      </c>
      <c r="G1735" s="8" t="inlineStr">
        <is>
          <t>C27@20261028-7c3ca7ef</t>
        </is>
      </c>
      <c r="H1735" s="8" t="n">
        <v>1</v>
      </c>
      <c r="I1735" s="8" t="n">
        <v>1</v>
      </c>
      <c r="J1735" s="8" t="inlineStr">
        <is>
          <t>3)     Educational Qualification in line with the training programme being applied for.</t>
        </is>
      </c>
      <c r="K1735" s="8" t="inlineStr">
        <is>
          <t>MS-C27</t>
        </is>
      </c>
      <c r="L1735" s="9" t="n">
        <v>46323</v>
      </c>
      <c r="M1735" s="8" t="inlineStr">
        <is>
          <t>Approved</t>
        </is>
      </c>
      <c r="N1735" s="8" t="inlineStr">
        <is>
          <t>paragraph</t>
        </is>
      </c>
    </row>
    <row r="1736" ht="40" customHeight="1">
      <c r="A1736" s="4" t="inlineStr">
        <is>
          <t>C27-P0038</t>
        </is>
      </c>
      <c r="B1736" s="4" t="inlineStr">
        <is>
          <t>C27</t>
        </is>
      </c>
      <c r="C1736" s="4" t="inlineStr">
        <is>
          <t>Pradhan Mantri Virasat ka Samvardhan</t>
        </is>
      </c>
      <c r="D1736" s="4" t="inlineStr">
        <is>
          <t>Application process</t>
        </is>
      </c>
      <c r="E1736" s="4" t="inlineStr"/>
      <c r="F1736" s="4" t="inlineStr">
        <is>
          <t>en.applicationProcess[0].process[0]</t>
        </is>
      </c>
      <c r="G1736" s="4" t="inlineStr">
        <is>
          <t>C27@20261028-7c3ca7ef</t>
        </is>
      </c>
      <c r="H1736" s="4" t="n">
        <v>1</v>
      </c>
      <c r="I1736" s="4" t="n">
        <v>1</v>
      </c>
      <c r="J1736" s="4" t="inlineStr">
        <is>
          <t>Step 01: Register/Login</t>
        </is>
      </c>
      <c r="K1736" s="4" t="inlineStr">
        <is>
          <t>MS-C27</t>
        </is>
      </c>
      <c r="L1736" s="6" t="n">
        <v>46323</v>
      </c>
      <c r="M1736" s="4" t="inlineStr">
        <is>
          <t>Approved</t>
        </is>
      </c>
      <c r="N1736" s="4" t="inlineStr">
        <is>
          <t>paragraph</t>
        </is>
      </c>
    </row>
    <row r="1737" ht="40" customHeight="1">
      <c r="A1737" s="8" t="inlineStr">
        <is>
          <t>C27-P0039</t>
        </is>
      </c>
      <c r="B1737" s="8" t="inlineStr">
        <is>
          <t>C27</t>
        </is>
      </c>
      <c r="C1737" s="8" t="inlineStr">
        <is>
          <t>Pradhan Mantri Virasat ka Samvardhan</t>
        </is>
      </c>
      <c r="D1737" s="8" t="inlineStr">
        <is>
          <t>Application process</t>
        </is>
      </c>
      <c r="E1737" s="8" t="inlineStr"/>
      <c r="F1737" s="8" t="inlineStr">
        <is>
          <t>en.applicationProcess[0].process[1]</t>
        </is>
      </c>
      <c r="G1737" s="8" t="inlineStr">
        <is>
          <t>C27@20261028-7c3ca7ef</t>
        </is>
      </c>
      <c r="H1737" s="8" t="n">
        <v>1</v>
      </c>
      <c r="I1737" s="8" t="n">
        <v>1</v>
      </c>
      <c r="J1737" s="8" t="inlineStr">
        <is>
          <t>Visit the SIDH Portal (https://www.skillindiadigital.gov.in/), register as a Learner/Participant (Candidate) or log in if already registered, and complete e-KYC using your personal details.</t>
        </is>
      </c>
      <c r="K1737" s="8" t="inlineStr">
        <is>
          <t>MS-C27</t>
        </is>
      </c>
      <c r="L1737" s="9" t="n">
        <v>46323</v>
      </c>
      <c r="M1737" s="8" t="inlineStr">
        <is>
          <t>Approved</t>
        </is>
      </c>
      <c r="N1737" s="8" t="inlineStr">
        <is>
          <t>paragraph</t>
        </is>
      </c>
    </row>
    <row r="1738" ht="40" customHeight="1">
      <c r="A1738" s="4" t="inlineStr">
        <is>
          <t>C27-P0040</t>
        </is>
      </c>
      <c r="B1738" s="4" t="inlineStr">
        <is>
          <t>C27</t>
        </is>
      </c>
      <c r="C1738" s="4" t="inlineStr">
        <is>
          <t>Pradhan Mantri Virasat ka Samvardhan</t>
        </is>
      </c>
      <c r="D1738" s="4" t="inlineStr">
        <is>
          <t>Application process</t>
        </is>
      </c>
      <c r="E1738" s="4" t="inlineStr">
        <is>
          <t>Step 02:Profile Setup</t>
        </is>
      </c>
      <c r="F1738" s="4" t="inlineStr">
        <is>
          <t>en.applicationProcess[0].process[3]</t>
        </is>
      </c>
      <c r="G1738" s="4" t="inlineStr">
        <is>
          <t>C27@20261028-7c3ca7ef</t>
        </is>
      </c>
      <c r="H1738" s="4" t="n">
        <v>1</v>
      </c>
      <c r="I1738" s="4" t="n">
        <v>1</v>
      </c>
      <c r="J1738" s="4" t="inlineStr">
        <is>
          <t>Step 02:Profile Setup</t>
        </is>
      </c>
      <c r="K1738" s="4" t="inlineStr">
        <is>
          <t>MS-C27</t>
        </is>
      </c>
      <c r="L1738" s="6" t="n">
        <v>46323</v>
      </c>
      <c r="M1738" s="4" t="inlineStr">
        <is>
          <t>Approved</t>
        </is>
      </c>
      <c r="N1738" s="4" t="inlineStr">
        <is>
          <t>paragraph</t>
        </is>
      </c>
    </row>
    <row r="1739" ht="40" customHeight="1">
      <c r="A1739" s="8" t="inlineStr">
        <is>
          <t>C27-P0041</t>
        </is>
      </c>
      <c r="B1739" s="8" t="inlineStr">
        <is>
          <t>C27</t>
        </is>
      </c>
      <c r="C1739" s="8" t="inlineStr">
        <is>
          <t>Pradhan Mantri Virasat ka Samvardhan</t>
        </is>
      </c>
      <c r="D1739" s="8" t="inlineStr">
        <is>
          <t>Application process</t>
        </is>
      </c>
      <c r="E1739" s="8" t="inlineStr">
        <is>
          <t>Step 02:Profile Setup</t>
        </is>
      </c>
      <c r="F1739" s="8" t="inlineStr">
        <is>
          <t>en.applicationProcess[0].process[4]</t>
        </is>
      </c>
      <c r="G1739" s="8" t="inlineStr">
        <is>
          <t>C27@20261028-7c3ca7ef</t>
        </is>
      </c>
      <c r="H1739" s="8" t="n">
        <v>1</v>
      </c>
      <c r="I1739" s="8" t="n">
        <v>1</v>
      </c>
      <c r="J1739" s="8" t="inlineStr">
        <is>
          <t>Create your account password/PIN, verify your mobile number via OTP, and ensure all profile details (name, date of birth, and contact information) are accurate and updated.</t>
        </is>
      </c>
      <c r="K1739" s="8" t="inlineStr">
        <is>
          <t>MS-C27</t>
        </is>
      </c>
      <c r="L1739" s="9" t="n">
        <v>46323</v>
      </c>
      <c r="M1739" s="8" t="inlineStr">
        <is>
          <t>Approved</t>
        </is>
      </c>
      <c r="N1739" s="8" t="inlineStr">
        <is>
          <t>paragraph</t>
        </is>
      </c>
    </row>
    <row r="1740" ht="40" customHeight="1">
      <c r="A1740" s="4" t="inlineStr">
        <is>
          <t>C27-P0042</t>
        </is>
      </c>
      <c r="B1740" s="4" t="inlineStr">
        <is>
          <t>C27</t>
        </is>
      </c>
      <c r="C1740" s="4" t="inlineStr">
        <is>
          <t>Pradhan Mantri Virasat ka Samvardhan</t>
        </is>
      </c>
      <c r="D1740" s="4" t="inlineStr">
        <is>
          <t>Application process</t>
        </is>
      </c>
      <c r="E1740" s="4" t="inlineStr">
        <is>
          <t>Step 03:Explore Schemes &amp; Courses</t>
        </is>
      </c>
      <c r="F1740" s="4" t="inlineStr">
        <is>
          <t>en.applicationProcess[0].process[6]</t>
        </is>
      </c>
      <c r="G1740" s="4" t="inlineStr">
        <is>
          <t>C27@20261028-7c3ca7ef</t>
        </is>
      </c>
      <c r="H1740" s="4" t="n">
        <v>1</v>
      </c>
      <c r="I1740" s="4" t="n">
        <v>1</v>
      </c>
      <c r="J1740" s="4" t="inlineStr">
        <is>
          <t>Step 03:Explore Schemes &amp; Courses</t>
        </is>
      </c>
      <c r="K1740" s="4" t="inlineStr">
        <is>
          <t>MS-C27</t>
        </is>
      </c>
      <c r="L1740" s="6" t="n">
        <v>46323</v>
      </c>
      <c r="M1740" s="4" t="inlineStr">
        <is>
          <t>Approved</t>
        </is>
      </c>
      <c r="N1740" s="4" t="inlineStr">
        <is>
          <t>paragraph</t>
        </is>
      </c>
    </row>
    <row r="1741" ht="40" customHeight="1">
      <c r="A1741" s="8" t="inlineStr">
        <is>
          <t>C27-P0043</t>
        </is>
      </c>
      <c r="B1741" s="8" t="inlineStr">
        <is>
          <t>C27</t>
        </is>
      </c>
      <c r="C1741" s="8" t="inlineStr">
        <is>
          <t>Pradhan Mantri Virasat ka Samvardhan</t>
        </is>
      </c>
      <c r="D1741" s="8" t="inlineStr">
        <is>
          <t>Application process</t>
        </is>
      </c>
      <c r="E1741" s="8" t="inlineStr">
        <is>
          <t>Step 03:Explore Schemes &amp; Courses</t>
        </is>
      </c>
      <c r="F1741" s="8" t="inlineStr">
        <is>
          <t>en.applicationProcess[0].process[8]</t>
        </is>
      </c>
      <c r="G1741" s="8" t="inlineStr">
        <is>
          <t>C27@20261028-7c3ca7ef</t>
        </is>
      </c>
      <c r="H1741" s="8" t="n">
        <v>1</v>
      </c>
      <c r="I1741" s="8" t="n">
        <v>1</v>
      </c>
      <c r="J1741" s="8" t="inlineStr">
        <is>
          <t>Access your dashboard and search for PM VIKAS and job roles. Use filters such as scheme, mode, and sector to find suitable courses or batches.</t>
        </is>
      </c>
      <c r="K1741" s="8" t="inlineStr">
        <is>
          <t>MS-C27</t>
        </is>
      </c>
      <c r="L1741" s="9" t="n">
        <v>46323</v>
      </c>
      <c r="M1741" s="8" t="inlineStr">
        <is>
          <t>Approved</t>
        </is>
      </c>
      <c r="N1741" s="8" t="inlineStr">
        <is>
          <t>paragraph</t>
        </is>
      </c>
    </row>
    <row r="1742" ht="40" customHeight="1">
      <c r="A1742" s="4" t="inlineStr">
        <is>
          <t>C27-P0044</t>
        </is>
      </c>
      <c r="B1742" s="4" t="inlineStr">
        <is>
          <t>C27</t>
        </is>
      </c>
      <c r="C1742" s="4" t="inlineStr">
        <is>
          <t>Pradhan Mantri Virasat ka Samvardhan</t>
        </is>
      </c>
      <c r="D1742" s="4" t="inlineStr">
        <is>
          <t>Application process</t>
        </is>
      </c>
      <c r="E1742" s="4" t="inlineStr">
        <is>
          <t>Step 04:Show Interest / Apply for a Batch</t>
        </is>
      </c>
      <c r="F1742" s="4" t="inlineStr">
        <is>
          <t>en.applicationProcess[0].process[10]</t>
        </is>
      </c>
      <c r="G1742" s="4" t="inlineStr">
        <is>
          <t>C27@20261028-7c3ca7ef</t>
        </is>
      </c>
      <c r="H1742" s="4" t="n">
        <v>1</v>
      </c>
      <c r="I1742" s="4" t="n">
        <v>1</v>
      </c>
      <c r="J1742" s="4" t="inlineStr">
        <is>
          <t>Step 04:Show Interest / Apply for a Batch</t>
        </is>
      </c>
      <c r="K1742" s="4" t="inlineStr">
        <is>
          <t>MS-C27</t>
        </is>
      </c>
      <c r="L1742" s="6" t="n">
        <v>46323</v>
      </c>
      <c r="M1742" s="4" t="inlineStr">
        <is>
          <t>Approved</t>
        </is>
      </c>
      <c r="N1742" s="4" t="inlineStr">
        <is>
          <t>paragraph</t>
        </is>
      </c>
    </row>
    <row r="1743" ht="40" customHeight="1">
      <c r="A1743" s="8" t="inlineStr">
        <is>
          <t>C27-P0045</t>
        </is>
      </c>
      <c r="B1743" s="8" t="inlineStr">
        <is>
          <t>C27</t>
        </is>
      </c>
      <c r="C1743" s="8" t="inlineStr">
        <is>
          <t>Pradhan Mantri Virasat ka Samvardhan</t>
        </is>
      </c>
      <c r="D1743" s="8" t="inlineStr">
        <is>
          <t>Application process</t>
        </is>
      </c>
      <c r="E1743" s="8" t="inlineStr">
        <is>
          <t>Step 04:Show Interest / Apply for a Batch</t>
        </is>
      </c>
      <c r="F1743" s="8" t="inlineStr">
        <is>
          <t>en.applicationProcess[0].process[12]</t>
        </is>
      </c>
      <c r="G1743" s="8" t="inlineStr">
        <is>
          <t>C27@20261028-7c3ca7ef</t>
        </is>
      </c>
      <c r="H1743" s="8" t="n">
        <v>1</v>
      </c>
      <c r="I1743" s="8" t="n">
        <v>1</v>
      </c>
      <c r="J1743" s="8" t="inlineStr">
        <is>
          <t>Choose a batch for your preferred job role and submit your interest or application. You may select up to five batches, which will be reviewed by the training partner /training centre.</t>
        </is>
      </c>
      <c r="K1743" s="8" t="inlineStr">
        <is>
          <t>MS-C27</t>
        </is>
      </c>
      <c r="L1743" s="9" t="n">
        <v>46323</v>
      </c>
      <c r="M1743" s="8" t="inlineStr">
        <is>
          <t>Approved</t>
        </is>
      </c>
      <c r="N1743" s="8" t="inlineStr">
        <is>
          <t>paragraph</t>
        </is>
      </c>
    </row>
    <row r="1744" ht="40" customHeight="1">
      <c r="A1744" s="4" t="inlineStr">
        <is>
          <t>C27-P0046</t>
        </is>
      </c>
      <c r="B1744" s="4" t="inlineStr">
        <is>
          <t>C27</t>
        </is>
      </c>
      <c r="C1744" s="4" t="inlineStr">
        <is>
          <t>Pradhan Mantri Virasat ka Samvardhan</t>
        </is>
      </c>
      <c r="D1744" s="4" t="inlineStr">
        <is>
          <t>Application process</t>
        </is>
      </c>
      <c r="E1744" s="4" t="inlineStr">
        <is>
          <t>Step 04:Show Interest / Apply for a Batch</t>
        </is>
      </c>
      <c r="F1744" s="4" t="inlineStr">
        <is>
          <t>en.applicationProcess[0].process[14]</t>
        </is>
      </c>
      <c r="G1744" s="4" t="inlineStr">
        <is>
          <t>C27@20261028-7c3ca7ef</t>
        </is>
      </c>
      <c r="H1744" s="4" t="n">
        <v>1</v>
      </c>
      <c r="I1744" s="4" t="n">
        <v>1</v>
      </c>
      <c r="J1744" s="4" t="inlineStr">
        <is>
          <t>Step 05:Finalise Enrolment &amp; Status</t>
        </is>
      </c>
      <c r="K1744" s="4" t="inlineStr">
        <is>
          <t>MS-C27</t>
        </is>
      </c>
      <c r="L1744" s="6" t="n">
        <v>46323</v>
      </c>
      <c r="M1744" s="4" t="inlineStr">
        <is>
          <t>Approved</t>
        </is>
      </c>
      <c r="N1744" s="4" t="inlineStr">
        <is>
          <t>paragraph</t>
        </is>
      </c>
    </row>
    <row r="1745" ht="40" customHeight="1">
      <c r="A1745" s="8" t="inlineStr">
        <is>
          <t>C27-P0047</t>
        </is>
      </c>
      <c r="B1745" s="8" t="inlineStr">
        <is>
          <t>C27</t>
        </is>
      </c>
      <c r="C1745" s="8" t="inlineStr">
        <is>
          <t>Pradhan Mantri Virasat ka Samvardhan</t>
        </is>
      </c>
      <c r="D1745" s="8" t="inlineStr">
        <is>
          <t>Application process</t>
        </is>
      </c>
      <c r="E1745" s="8" t="inlineStr">
        <is>
          <t>Step 04:Show Interest / Apply for a Batch</t>
        </is>
      </c>
      <c r="F1745" s="8" t="inlineStr">
        <is>
          <t>en.applicationProcess[0].process[15]</t>
        </is>
      </c>
      <c r="G1745" s="8" t="inlineStr">
        <is>
          <t>C27@20261028-7c3ca7ef</t>
        </is>
      </c>
      <c r="H1745" s="8" t="n">
        <v>1</v>
      </c>
      <c r="I1745" s="8" t="n">
        <v>1</v>
      </c>
      <c r="J1745" s="8" t="inlineStr">
        <is>
          <t>After approval from the training partner / training centre, accept the invitation through your portal to confirm enrolment. Track your application status under the “Applications” section.</t>
        </is>
      </c>
      <c r="K1745" s="8" t="inlineStr">
        <is>
          <t>MS-C27</t>
        </is>
      </c>
      <c r="L1745" s="9" t="n">
        <v>46323</v>
      </c>
      <c r="M1745" s="8" t="inlineStr">
        <is>
          <t>Approved</t>
        </is>
      </c>
      <c r="N1745" s="8" t="inlineStr">
        <is>
          <t>paragraph</t>
        </is>
      </c>
    </row>
    <row r="1746" ht="82" customHeight="1">
      <c r="A1746" s="4" t="inlineStr">
        <is>
          <t>C27-P0048</t>
        </is>
      </c>
      <c r="B1746" s="4" t="inlineStr">
        <is>
          <t>C27</t>
        </is>
      </c>
      <c r="C1746" s="4" t="inlineStr">
        <is>
          <t>Pradhan Mantri Virasat ka Samvardhan</t>
        </is>
      </c>
      <c r="D1746" s="4" t="inlineStr">
        <is>
          <t>FAQ</t>
        </is>
      </c>
      <c r="E1746" s="4" t="inlineStr"/>
      <c r="F1746" s="4" t="inlineStr">
        <is>
          <t>faqs.en.faqs[0]</t>
        </is>
      </c>
      <c r="G1746" s="4" t="inlineStr">
        <is>
          <t>C27@20261028-7c3ca7ef</t>
        </is>
      </c>
      <c r="H1746" s="4" t="n">
        <v>1</v>
      </c>
      <c r="I1746" s="4" t="n">
        <v>1</v>
      </c>
      <c r="J1746" s="4" t="inlineStr">
        <is>
          <t>What are the components supported under the scheme?
i.	Skilling and Training (Non-traditional and traditional)
ii.	Women Leadership and Entrepreneurship
iii.	Education (through National Institute of Open Schooling)
iv.	Infrastructure Development (through Pradhan Mantri Jan Vikas Karyakram)</t>
        </is>
      </c>
      <c r="K1746" s="4" t="inlineStr">
        <is>
          <t>MS-C27</t>
        </is>
      </c>
      <c r="L1746" s="6" t="n">
        <v>46323</v>
      </c>
      <c r="M1746" s="4" t="inlineStr">
        <is>
          <t>Approved</t>
        </is>
      </c>
      <c r="N1746" s="4" t="inlineStr">
        <is>
          <t>faq</t>
        </is>
      </c>
    </row>
    <row r="1747" ht="54" customHeight="1">
      <c r="A1747" s="8" t="inlineStr">
        <is>
          <t>C27-P0049</t>
        </is>
      </c>
      <c r="B1747" s="8" t="inlineStr">
        <is>
          <t>C27</t>
        </is>
      </c>
      <c r="C1747" s="8" t="inlineStr">
        <is>
          <t>Pradhan Mantri Virasat ka Samvardhan</t>
        </is>
      </c>
      <c r="D1747" s="8" t="inlineStr">
        <is>
          <t>FAQ</t>
        </is>
      </c>
      <c r="E1747" s="8" t="inlineStr"/>
      <c r="F1747" s="8" t="inlineStr">
        <is>
          <t>faqs.en.faqs[1]</t>
        </is>
      </c>
      <c r="G1747" s="8" t="inlineStr">
        <is>
          <t>C27@20261028-7c3ca7ef</t>
        </is>
      </c>
      <c r="H1747" s="8" t="n">
        <v>1</v>
      </c>
      <c r="I1747" s="8" t="n">
        <v>1</v>
      </c>
      <c r="J1747" s="8" t="inlineStr">
        <is>
          <t>What are the skills taught under the scheme?
Any of the skills approved by the NSQC and registered under the National Qualification Register (NQR) are eligible to be provided under the scheme.</t>
        </is>
      </c>
      <c r="K1747" s="8" t="inlineStr">
        <is>
          <t>MS-C27</t>
        </is>
      </c>
      <c r="L1747" s="9" t="n">
        <v>46323</v>
      </c>
      <c r="M1747" s="8" t="inlineStr">
        <is>
          <t>Approved</t>
        </is>
      </c>
      <c r="N1747" s="8" t="inlineStr">
        <is>
          <t>faq</t>
        </is>
      </c>
    </row>
    <row r="1748" ht="138" customHeight="1">
      <c r="A1748" s="4" t="inlineStr">
        <is>
          <t>C27-P0050</t>
        </is>
      </c>
      <c r="B1748" s="4" t="inlineStr">
        <is>
          <t>C27</t>
        </is>
      </c>
      <c r="C1748" s="4" t="inlineStr">
        <is>
          <t>Pradhan Mantri Virasat ka Samvardhan</t>
        </is>
      </c>
      <c r="D1748" s="4" t="inlineStr">
        <is>
          <t>FAQ</t>
        </is>
      </c>
      <c r="E1748" s="4" t="inlineStr"/>
      <c r="F1748" s="4" t="inlineStr">
        <is>
          <t>faqs.en.faqs[2]</t>
        </is>
      </c>
      <c r="G1748" s="4" t="inlineStr">
        <is>
          <t>C27@20261028-7c3ca7ef</t>
        </is>
      </c>
      <c r="H1748" s="4" t="n">
        <v>1</v>
      </c>
      <c r="I1748" s="4" t="n">
        <v>1</v>
      </c>
      <c r="J1748" s="4" t="inlineStr">
        <is>
          <t>Is there any stipend provided under the scheme?
Yes.
Rs.3000/- per month for beneficiaries undertaking traditional skilling,
Rs. 2000/- per month for beneficiaries undertaking non-traditional (modern) skilling in non residential mode,
Rs. 1000/- per month for beneficiaries undertaking non-traditional (modern) skilling in residential mode (Max 12 months)
Rs. 1000/- for beneficiaries enrolled under education component (Max 6 months),
Rs. 200/- per day for beneficiaries under women leadership and entrepreneurship component</t>
        </is>
      </c>
      <c r="K1748" s="4" t="inlineStr">
        <is>
          <t>MS-C27</t>
        </is>
      </c>
      <c r="L1748" s="6" t="n">
        <v>46323</v>
      </c>
      <c r="M1748" s="4" t="inlineStr">
        <is>
          <t>Approved</t>
        </is>
      </c>
      <c r="N1748" s="4" t="inlineStr">
        <is>
          <t>faq</t>
        </is>
      </c>
    </row>
    <row r="1749" ht="96" customHeight="1">
      <c r="A1749" s="8" t="inlineStr">
        <is>
          <t>C27-P0051</t>
        </is>
      </c>
      <c r="B1749" s="8" t="inlineStr">
        <is>
          <t>C27</t>
        </is>
      </c>
      <c r="C1749" s="8" t="inlineStr">
        <is>
          <t>Pradhan Mantri Virasat ka Samvardhan</t>
        </is>
      </c>
      <c r="D1749" s="8" t="inlineStr">
        <is>
          <t>FAQ</t>
        </is>
      </c>
      <c r="E1749" s="8" t="inlineStr"/>
      <c r="F1749" s="8" t="inlineStr">
        <is>
          <t>faqs.en.faqs[3]</t>
        </is>
      </c>
      <c r="G1749" s="8" t="inlineStr">
        <is>
          <t>C27@20261028-7c3ca7ef</t>
        </is>
      </c>
      <c r="H1749" s="8" t="n">
        <v>1</v>
      </c>
      <c r="I1749" s="8" t="n">
        <v>1</v>
      </c>
      <c r="J1749" s="8" t="inlineStr">
        <is>
          <t>Does the scheme involves linking trained and certified candidates in modern skilling with placement opportunities? 
Placement of minimum 75% of beneficiaries trained under modern skilling are to be ensured by the implementing agency post completion of training program, with at least 50% of them in organised as categorized in the National Skills Qualification Framework (NSQF)/ Common Cost Norms (CCN) of Ministry of Skill Development and Entrepreneurship.</t>
        </is>
      </c>
      <c r="K1749" s="8" t="inlineStr">
        <is>
          <t>MS-C27</t>
        </is>
      </c>
      <c r="L1749" s="9" t="n">
        <v>46323</v>
      </c>
      <c r="M1749" s="8" t="inlineStr">
        <is>
          <t>Approved</t>
        </is>
      </c>
      <c r="N1749" s="8" t="inlineStr">
        <is>
          <t>faq</t>
        </is>
      </c>
    </row>
    <row r="1750" ht="82" customHeight="1">
      <c r="A1750" s="4" t="inlineStr">
        <is>
          <t>C27-P0052</t>
        </is>
      </c>
      <c r="B1750" s="4" t="inlineStr">
        <is>
          <t>C27</t>
        </is>
      </c>
      <c r="C1750" s="4" t="inlineStr">
        <is>
          <t>Pradhan Mantri Virasat ka Samvardhan</t>
        </is>
      </c>
      <c r="D1750" s="4" t="inlineStr">
        <is>
          <t>FAQ</t>
        </is>
      </c>
      <c r="E1750" s="4" t="inlineStr"/>
      <c r="F1750" s="4" t="inlineStr">
        <is>
          <t>faqs.en.faqs[4]</t>
        </is>
      </c>
      <c r="G1750" s="4" t="inlineStr">
        <is>
          <t>C27@20261028-7c3ca7ef</t>
        </is>
      </c>
      <c r="H1750" s="4" t="n">
        <v>1</v>
      </c>
      <c r="I1750" s="4" t="n">
        <v>1</v>
      </c>
      <c r="J1750" s="4" t="inlineStr">
        <is>
          <t>Who are eligible for benefiting under the scheme?
Six notified communities under the NCM Act, i.e., Buddhists, Christian, Jains, Muslims, Parsis and Sikhs are eligible for applying under the scheme. However, up to 25% of seats may be earmarked under traditional skilling and up to 15% under other components for non minority EWS category.</t>
        </is>
      </c>
      <c r="K1750" s="4" t="inlineStr">
        <is>
          <t>MS-C27</t>
        </is>
      </c>
      <c r="L1750" s="6" t="n">
        <v>46323</v>
      </c>
      <c r="M1750" s="4" t="inlineStr">
        <is>
          <t>Approved</t>
        </is>
      </c>
      <c r="N1750" s="4" t="inlineStr">
        <is>
          <t>faq</t>
        </is>
      </c>
    </row>
    <row r="1751" ht="82" customHeight="1">
      <c r="A1751" s="8" t="inlineStr">
        <is>
          <t>C27-P0053</t>
        </is>
      </c>
      <c r="B1751" s="8" t="inlineStr">
        <is>
          <t>C27</t>
        </is>
      </c>
      <c r="C1751" s="8" t="inlineStr">
        <is>
          <t>Pradhan Mantri Virasat ka Samvardhan</t>
        </is>
      </c>
      <c r="D1751" s="8" t="inlineStr">
        <is>
          <t>FAQ</t>
        </is>
      </c>
      <c r="E1751" s="8" t="inlineStr"/>
      <c r="F1751" s="8" t="inlineStr">
        <is>
          <t>faqs.en.faqs[5]</t>
        </is>
      </c>
      <c r="G1751" s="8" t="inlineStr">
        <is>
          <t>C27@20261028-7c3ca7ef</t>
        </is>
      </c>
      <c r="H1751" s="8" t="n">
        <v>1</v>
      </c>
      <c r="I1751" s="8" t="n">
        <v>1</v>
      </c>
      <c r="J1751" s="8" t="inlineStr">
        <is>
          <t>What is the educational qualification required under the scheme?
The educational qualification for Skilling and Training component would be as per National Skills Qualification Framework (NSQF) norms and Education component would be as per National Institute of Open Schooling (NIOS) norms. Candidates with aptitude and leadership qualities will be selected for Women Leadership and Entrepreneurship component.</t>
        </is>
      </c>
      <c r="K1751" s="8" t="inlineStr">
        <is>
          <t>MS-C27</t>
        </is>
      </c>
      <c r="L1751" s="9" t="n">
        <v>46323</v>
      </c>
      <c r="M1751" s="8" t="inlineStr">
        <is>
          <t>Approved</t>
        </is>
      </c>
      <c r="N1751" s="8" t="inlineStr">
        <is>
          <t>faq</t>
        </is>
      </c>
    </row>
    <row r="1752" ht="54" customHeight="1">
      <c r="A1752" s="4" t="inlineStr">
        <is>
          <t>C27-P0054</t>
        </is>
      </c>
      <c r="B1752" s="4" t="inlineStr">
        <is>
          <t>C27</t>
        </is>
      </c>
      <c r="C1752" s="4" t="inlineStr">
        <is>
          <t>Pradhan Mantri Virasat ka Samvardhan</t>
        </is>
      </c>
      <c r="D1752" s="4" t="inlineStr">
        <is>
          <t>FAQ</t>
        </is>
      </c>
      <c r="E1752" s="4" t="inlineStr"/>
      <c r="F1752" s="4" t="inlineStr">
        <is>
          <t>faqs.en.faqs[6]</t>
        </is>
      </c>
      <c r="G1752" s="4" t="inlineStr">
        <is>
          <t>C27@20261028-7c3ca7ef</t>
        </is>
      </c>
      <c r="H1752" s="4" t="n">
        <v>1</v>
      </c>
      <c r="I1752" s="4" t="n">
        <v>1</v>
      </c>
      <c r="J1752" s="4" t="inlineStr">
        <is>
          <t>Are there any seats earmarked for women candidates?
33% in Skilling and Training component, 50% in Education component and 100% in Women Leadership and Entrepreneurship component are reserved for women candidates.</t>
        </is>
      </c>
      <c r="K1752" s="4" t="inlineStr">
        <is>
          <t>MS-C27</t>
        </is>
      </c>
      <c r="L1752" s="6" t="n">
        <v>46323</v>
      </c>
      <c r="M1752" s="4" t="inlineStr">
        <is>
          <t>Approved</t>
        </is>
      </c>
      <c r="N1752" s="4" t="inlineStr">
        <is>
          <t>faq</t>
        </is>
      </c>
    </row>
    <row r="1753" ht="40" customHeight="1">
      <c r="A1753" s="8" t="inlineStr">
        <is>
          <t>C27-P0055</t>
        </is>
      </c>
      <c r="B1753" s="8" t="inlineStr">
        <is>
          <t>C27</t>
        </is>
      </c>
      <c r="C1753" s="8" t="inlineStr">
        <is>
          <t>Pradhan Mantri Virasat ka Samvardhan</t>
        </is>
      </c>
      <c r="D1753" s="8" t="inlineStr">
        <is>
          <t>FAQ</t>
        </is>
      </c>
      <c r="E1753" s="8" t="inlineStr"/>
      <c r="F1753" s="8" t="inlineStr">
        <is>
          <t>faqs.en.faqs[7]</t>
        </is>
      </c>
      <c r="G1753" s="8" t="inlineStr">
        <is>
          <t>C27@20261028-7c3ca7ef</t>
        </is>
      </c>
      <c r="H1753" s="8" t="n">
        <v>1</v>
      </c>
      <c r="I1753" s="8" t="n">
        <v>1</v>
      </c>
      <c r="J1753" s="8" t="inlineStr">
        <is>
          <t>Are there any seats earmarked for PwD candidates?
3% of the scheme benefits are earmarked for PwD candidates.</t>
        </is>
      </c>
      <c r="K1753" s="8" t="inlineStr">
        <is>
          <t>MS-C27</t>
        </is>
      </c>
      <c r="L1753" s="9" t="n">
        <v>46323</v>
      </c>
      <c r="M1753" s="8" t="inlineStr">
        <is>
          <t>Approved</t>
        </is>
      </c>
      <c r="N1753" s="8" t="inlineStr">
        <is>
          <t>faq</t>
        </is>
      </c>
    </row>
    <row r="1754" ht="54" customHeight="1">
      <c r="A1754" s="4" t="inlineStr">
        <is>
          <t>C27-P0056</t>
        </is>
      </c>
      <c r="B1754" s="4" t="inlineStr">
        <is>
          <t>C27</t>
        </is>
      </c>
      <c r="C1754" s="4" t="inlineStr">
        <is>
          <t>Pradhan Mantri Virasat ka Samvardhan</t>
        </is>
      </c>
      <c r="D1754" s="4" t="inlineStr">
        <is>
          <t>FAQ</t>
        </is>
      </c>
      <c r="E1754" s="4" t="inlineStr"/>
      <c r="F1754" s="4" t="inlineStr">
        <is>
          <t>faqs.en.faqs[8]</t>
        </is>
      </c>
      <c r="G1754" s="4" t="inlineStr">
        <is>
          <t>C27@20261028-7c3ca7ef</t>
        </is>
      </c>
      <c r="H1754" s="4" t="n">
        <v>1</v>
      </c>
      <c r="I1754" s="4" t="n">
        <v>1</v>
      </c>
      <c r="J1754" s="4" t="inlineStr">
        <is>
          <t>Is there any income criteria?
Up to 25% of seats may be earmarked under traditional skilling and up to 15% under other components for non minority EWS category.</t>
        </is>
      </c>
      <c r="K1754" s="4" t="inlineStr">
        <is>
          <t>MS-C27</t>
        </is>
      </c>
      <c r="L1754" s="6" t="n">
        <v>46323</v>
      </c>
      <c r="M1754" s="4" t="inlineStr">
        <is>
          <t>Approved</t>
        </is>
      </c>
      <c r="N1754" s="4" t="inlineStr">
        <is>
          <t>faq</t>
        </is>
      </c>
    </row>
    <row r="1755" ht="54" customHeight="1">
      <c r="A1755" s="8" t="inlineStr">
        <is>
          <t>C27-P0057</t>
        </is>
      </c>
      <c r="B1755" s="8" t="inlineStr">
        <is>
          <t>C27</t>
        </is>
      </c>
      <c r="C1755" s="8" t="inlineStr">
        <is>
          <t>Pradhan Mantri Virasat ka Samvardhan</t>
        </is>
      </c>
      <c r="D1755" s="8" t="inlineStr">
        <is>
          <t>FAQ</t>
        </is>
      </c>
      <c r="E1755" s="8" t="inlineStr"/>
      <c r="F1755" s="8" t="inlineStr">
        <is>
          <t>faqs.en.faqs[9]</t>
        </is>
      </c>
      <c r="G1755" s="8" t="inlineStr">
        <is>
          <t>C27@20261028-7c3ca7ef</t>
        </is>
      </c>
      <c r="H1755" s="8" t="n">
        <v>1</v>
      </c>
      <c r="I1755" s="8" t="n">
        <v>1</v>
      </c>
      <c r="J1755" s="8" t="inlineStr">
        <is>
          <t>How to register for PM VIKAS scheme?
Visit the SIDH Portal (https://www.skillindiadigital.gov.in/), register as a Learner/Participant (Candidate) or log in if already registered, and complete e-KYC using your personal details</t>
        </is>
      </c>
      <c r="K1755" s="8" t="inlineStr">
        <is>
          <t>MS-C27</t>
        </is>
      </c>
      <c r="L1755" s="9" t="n">
        <v>46323</v>
      </c>
      <c r="M1755" s="8" t="inlineStr">
        <is>
          <t>Approved</t>
        </is>
      </c>
      <c r="N1755" s="8" t="inlineStr">
        <is>
          <t>faq</t>
        </is>
      </c>
    </row>
    <row r="1756" ht="54" customHeight="1">
      <c r="A1756" s="4" t="inlineStr">
        <is>
          <t>C27-P0058</t>
        </is>
      </c>
      <c r="B1756" s="4" t="inlineStr">
        <is>
          <t>C27</t>
        </is>
      </c>
      <c r="C1756" s="4" t="inlineStr">
        <is>
          <t>Pradhan Mantri Virasat ka Samvardhan</t>
        </is>
      </c>
      <c r="D1756" s="4" t="inlineStr">
        <is>
          <t>FAQ</t>
        </is>
      </c>
      <c r="E1756" s="4" t="inlineStr"/>
      <c r="F1756" s="4" t="inlineStr">
        <is>
          <t>faqs.en.faqs[10]</t>
        </is>
      </c>
      <c r="G1756" s="4" t="inlineStr">
        <is>
          <t>C27@20261028-7c3ca7ef</t>
        </is>
      </c>
      <c r="H1756" s="4" t="n">
        <v>1</v>
      </c>
      <c r="I1756" s="4" t="n">
        <v>1</v>
      </c>
      <c r="J1756" s="4" t="inlineStr">
        <is>
          <t>How to apply for scheme/courses?
Access your dashboard on SIDH portal to find PM VIKAS scheme and job roles. Use filters such as scheme, mode, and sector to find suitable courses or batches.</t>
        </is>
      </c>
      <c r="K1756" s="4" t="inlineStr">
        <is>
          <t>MS-C27</t>
        </is>
      </c>
      <c r="L1756" s="6" t="n">
        <v>46323</v>
      </c>
      <c r="M1756" s="4" t="inlineStr">
        <is>
          <t>Approved</t>
        </is>
      </c>
      <c r="N1756" s="4" t="inlineStr">
        <is>
          <t>faq</t>
        </is>
      </c>
    </row>
    <row r="1757" ht="54" customHeight="1">
      <c r="A1757" s="8" t="inlineStr">
        <is>
          <t>C27-P0059</t>
        </is>
      </c>
      <c r="B1757" s="8" t="inlineStr">
        <is>
          <t>C27</t>
        </is>
      </c>
      <c r="C1757" s="8" t="inlineStr">
        <is>
          <t>Pradhan Mantri Virasat ka Samvardhan</t>
        </is>
      </c>
      <c r="D1757" s="8" t="inlineStr">
        <is>
          <t>FAQ</t>
        </is>
      </c>
      <c r="E1757" s="8" t="inlineStr"/>
      <c r="F1757" s="8" t="inlineStr">
        <is>
          <t>faqs.en.faqs[11]</t>
        </is>
      </c>
      <c r="G1757" s="8" t="inlineStr">
        <is>
          <t>C27@20261028-7c3ca7ef</t>
        </is>
      </c>
      <c r="H1757" s="8" t="n">
        <v>1</v>
      </c>
      <c r="I1757" s="8" t="n">
        <v>1</v>
      </c>
      <c r="J1757" s="8" t="inlineStr">
        <is>
          <t>How to apply for a training batch?
Choose a batch for your preferred job role and submit your interest or application. You may select up to five batches, which will be reviewed by the training partner /training centre.</t>
        </is>
      </c>
      <c r="K1757" s="8" t="inlineStr">
        <is>
          <t>MS-C27</t>
        </is>
      </c>
      <c r="L1757" s="9" t="n">
        <v>46323</v>
      </c>
      <c r="M1757" s="8" t="inlineStr">
        <is>
          <t>Approved</t>
        </is>
      </c>
      <c r="N1757" s="8" t="inlineStr">
        <is>
          <t>faq</t>
        </is>
      </c>
    </row>
    <row r="1758" ht="54" customHeight="1">
      <c r="A1758" s="4" t="inlineStr">
        <is>
          <t>C27-P0060</t>
        </is>
      </c>
      <c r="B1758" s="4" t="inlineStr">
        <is>
          <t>C27</t>
        </is>
      </c>
      <c r="C1758" s="4" t="inlineStr">
        <is>
          <t>Pradhan Mantri Virasat ka Samvardhan</t>
        </is>
      </c>
      <c r="D1758" s="4" t="inlineStr">
        <is>
          <t>FAQ</t>
        </is>
      </c>
      <c r="E1758" s="4" t="inlineStr"/>
      <c r="F1758" s="4" t="inlineStr">
        <is>
          <t>faqs.en.faqs[12]</t>
        </is>
      </c>
      <c r="G1758" s="4" t="inlineStr">
        <is>
          <t>C27@20261028-7c3ca7ef</t>
        </is>
      </c>
      <c r="H1758" s="4" t="n">
        <v>1</v>
      </c>
      <c r="I1758" s="4" t="n">
        <v>1</v>
      </c>
      <c r="J1758" s="4" t="inlineStr">
        <is>
          <t>How to finalize enrolment?
After approval from the training partner / training centre, accept the invitation through your portal to confirm enrolment. Track your application status under the 'Applications' section.</t>
        </is>
      </c>
      <c r="K1758" s="4" t="inlineStr">
        <is>
          <t>MS-C27</t>
        </is>
      </c>
      <c r="L1758" s="6" t="n">
        <v>46323</v>
      </c>
      <c r="M1758" s="4" t="inlineStr">
        <is>
          <t>Approved</t>
        </is>
      </c>
      <c r="N1758" s="4" t="inlineStr">
        <is>
          <t>faq</t>
        </is>
      </c>
    </row>
    <row r="1759" ht="82" customHeight="1">
      <c r="A1759" s="8" t="inlineStr">
        <is>
          <t>C28-P0001</t>
        </is>
      </c>
      <c r="B1759" s="8" t="inlineStr">
        <is>
          <t>C28</t>
        </is>
      </c>
      <c r="C1759" s="8" t="inlineStr">
        <is>
          <t>Agnipath Yojana</t>
        </is>
      </c>
      <c r="D1759" s="8" t="inlineStr">
        <is>
          <t>Details</t>
        </is>
      </c>
      <c r="E1759" s="8" t="inlineStr"/>
      <c r="F1759" s="8" t="inlineStr">
        <is>
          <t>en.schemeContent.detailedDescription[0].children[0]</t>
        </is>
      </c>
      <c r="G1759" s="8" t="inlineStr">
        <is>
          <t>C28@20261028-f53d5aa4</t>
        </is>
      </c>
      <c r="H1759" s="8" t="n">
        <v>1</v>
      </c>
      <c r="I1759" s="8" t="n">
        <v>1</v>
      </c>
      <c r="J1759" s="8" t="inlineStr">
        <is>
          <t>The Union Cabinet on 14th June 2022 approved an attractive recruitment scheme for Indian youth to serve in the Armed Forces called AGNIPATH and the youth selected under this scheme will be known as Agniveers. AGNIPATH allows patriotic and motivated youth to serve in the Armed Forces for a period of four years. The AGNIPATH scheme has been designed to enable a youthful profile of the Armed Forces.</t>
        </is>
      </c>
      <c r="K1759" s="8" t="inlineStr">
        <is>
          <t>MS-C28</t>
        </is>
      </c>
      <c r="L1759" s="9" t="n">
        <v>46323</v>
      </c>
      <c r="M1759" s="8" t="inlineStr">
        <is>
          <t>Approved</t>
        </is>
      </c>
      <c r="N1759" s="8" t="inlineStr">
        <is>
          <t>paragraph</t>
        </is>
      </c>
    </row>
    <row r="1760" ht="110" customHeight="1">
      <c r="A1760" s="4" t="inlineStr">
        <is>
          <t>C28-P0002</t>
        </is>
      </c>
      <c r="B1760" s="4" t="inlineStr">
        <is>
          <t>C28</t>
        </is>
      </c>
      <c r="C1760" s="4" t="inlineStr">
        <is>
          <t>Agnipath Yojana</t>
        </is>
      </c>
      <c r="D1760" s="4" t="inlineStr">
        <is>
          <t>Details</t>
        </is>
      </c>
      <c r="E1760" s="4" t="inlineStr"/>
      <c r="F1760" s="4" t="inlineStr">
        <is>
          <t>en.schemeContent.detailedDescription[0].children[1]</t>
        </is>
      </c>
      <c r="G1760" s="4" t="inlineStr">
        <is>
          <t>C28@20261028-f53d5aa4</t>
        </is>
      </c>
      <c r="H1760" s="4" t="n">
        <v>1</v>
      </c>
      <c r="I1760" s="4" t="n">
        <v>1</v>
      </c>
      <c r="J1760" s="4" t="inlineStr">
        <is>
          <t>"Agnipath Yojana" is a new HR Management scheme for the Armed Forces. Candidates inducted through this scheme will be called Agniveers. These Agniveers once enrolled into the Indian Air Force, will be governed under the Air Force Act 1950, for a period of four years. Endeavour will be made to enroll candidates as Agniveers from all parts of the nation, utilising contemporary technology (online STAR exam and associated testing methods), specialized rallies, and campus interviews at recognized technical institutes such as Industrial Training Institutes, NSQF, etc. Agniveers would form a distinct rank in the IAF, different from any other existing rank.</t>
        </is>
      </c>
      <c r="K1760" s="4" t="inlineStr">
        <is>
          <t>MS-C28</t>
        </is>
      </c>
      <c r="L1760" s="6" t="n">
        <v>46323</v>
      </c>
      <c r="M1760" s="4" t="inlineStr">
        <is>
          <t>Approved</t>
        </is>
      </c>
      <c r="N1760" s="4" t="inlineStr">
        <is>
          <t>paragraph</t>
        </is>
      </c>
    </row>
    <row r="1761" ht="54" customHeight="1">
      <c r="A1761" s="8" t="inlineStr">
        <is>
          <t>C28-P0003</t>
        </is>
      </c>
      <c r="B1761" s="8" t="inlineStr">
        <is>
          <t>C28</t>
        </is>
      </c>
      <c r="C1761" s="8" t="inlineStr">
        <is>
          <t>Agnipath Yojana</t>
        </is>
      </c>
      <c r="D1761" s="8" t="inlineStr">
        <is>
          <t>Details</t>
        </is>
      </c>
      <c r="E1761" s="8" t="inlineStr"/>
      <c r="F1761" s="8" t="inlineStr">
        <is>
          <t>en.schemeContent.detailedDescription[0].children[2]</t>
        </is>
      </c>
      <c r="G1761" s="8" t="inlineStr">
        <is>
          <t>C28@20261028-f53d5aa4</t>
        </is>
      </c>
      <c r="H1761" s="8" t="n">
        <v>1</v>
      </c>
      <c r="I1761" s="8" t="n">
        <v>1</v>
      </c>
      <c r="J1761" s="8" t="inlineStr">
        <is>
          <t>As part of the enrolment process, each ‘Agniveer’ will be required to formally accept all terms and conditions of the AGNIPATH Scheme. For personnel below the age of 18 years, the enrolment form will need to be signed by the parents/guardians, in accordance with extant provisions.</t>
        </is>
      </c>
      <c r="K1761" s="8" t="inlineStr">
        <is>
          <t>MS-C28</t>
        </is>
      </c>
      <c r="L1761" s="9" t="n">
        <v>46323</v>
      </c>
      <c r="M1761" s="8" t="inlineStr">
        <is>
          <t>Approved</t>
        </is>
      </c>
      <c r="N1761" s="8" t="inlineStr">
        <is>
          <t>paragraph</t>
        </is>
      </c>
    </row>
    <row r="1762" ht="110" customHeight="1">
      <c r="A1762" s="4" t="inlineStr">
        <is>
          <t>C28-P0004</t>
        </is>
      </c>
      <c r="B1762" s="4" t="inlineStr">
        <is>
          <t>C28</t>
        </is>
      </c>
      <c r="C1762" s="4" t="inlineStr">
        <is>
          <t>Agnipath Yojana</t>
        </is>
      </c>
      <c r="D1762" s="4" t="inlineStr">
        <is>
          <t>Details</t>
        </is>
      </c>
      <c r="E1762" s="4" t="inlineStr"/>
      <c r="F1762" s="4" t="inlineStr">
        <is>
          <t>en.schemeContent.detailedDescription[0].children[3]</t>
        </is>
      </c>
      <c r="G1762" s="4" t="inlineStr">
        <is>
          <t>C28@20261028-f53d5aa4</t>
        </is>
      </c>
      <c r="H1762" s="4" t="n">
        <v>1</v>
      </c>
      <c r="I1762" s="4" t="n">
        <v>1</v>
      </c>
      <c r="J1762" s="4" t="inlineStr">
        <is>
          <t>Post the period of four years, all Agniveers will go back to society. However, based on organizational requirements and policies promulgated by the IAF, Agniveers who have exited will be offered an opportunity to apply for enrolment in the IAF in the regular cadre. The skills gained by each Agniveer will be captured in a certificate to form part of his resume. These applications will be considered by a centralized board in a transparent manner and not more than 25% of the strength of the specific batch of original Agniveers will be enrolled in the IAF based on performance during their four-year engagement period as Agniveers.</t>
        </is>
      </c>
      <c r="K1762" s="4" t="inlineStr">
        <is>
          <t>MS-C28</t>
        </is>
      </c>
      <c r="L1762" s="6" t="n">
        <v>46323</v>
      </c>
      <c r="M1762" s="4" t="inlineStr">
        <is>
          <t>Approved</t>
        </is>
      </c>
      <c r="N1762" s="4" t="inlineStr">
        <is>
          <t>paragraph</t>
        </is>
      </c>
    </row>
    <row r="1763" ht="68" customHeight="1">
      <c r="A1763" s="8" t="inlineStr">
        <is>
          <t>C28-P0005</t>
        </is>
      </c>
      <c r="B1763" s="8" t="inlineStr">
        <is>
          <t>C28</t>
        </is>
      </c>
      <c r="C1763" s="8" t="inlineStr">
        <is>
          <t>Agnipath Yojana</t>
        </is>
      </c>
      <c r="D1763" s="8" t="inlineStr">
        <is>
          <t>Details</t>
        </is>
      </c>
      <c r="E1763" s="8" t="inlineStr"/>
      <c r="F1763" s="8" t="inlineStr">
        <is>
          <t>en.schemeContent.detailedDescription[0].children[4]</t>
        </is>
      </c>
      <c r="G1763" s="8" t="inlineStr">
        <is>
          <t>C28@20261028-f53d5aa4</t>
        </is>
      </c>
      <c r="H1763" s="8" t="n">
        <v>1</v>
      </c>
      <c r="I1763" s="8" t="n">
        <v>1</v>
      </c>
      <c r="J1763" s="8" t="inlineStr">
        <is>
          <t>Agniveers will not have any right to be selected for further enrolment into the Armed Forces. Selection will be the exclusive jurisdiction of the Government. The enrolment as airmen into the regular cadre of Indian Air Force except for Medical tradesmen, will be available only to those personnel who have completed their engagement period as Agniveers.</t>
        </is>
      </c>
      <c r="K1763" s="8" t="inlineStr">
        <is>
          <t>MS-C28</t>
        </is>
      </c>
      <c r="L1763" s="9" t="n">
        <v>46323</v>
      </c>
      <c r="M1763" s="8" t="inlineStr">
        <is>
          <t>Approved</t>
        </is>
      </c>
      <c r="N1763" s="8" t="inlineStr">
        <is>
          <t>paragraph</t>
        </is>
      </c>
    </row>
    <row r="1764" ht="82" customHeight="1">
      <c r="A1764" s="4" t="inlineStr">
        <is>
          <t>C28-P0006</t>
        </is>
      </c>
      <c r="B1764" s="4" t="inlineStr">
        <is>
          <t>C28</t>
        </is>
      </c>
      <c r="C1764" s="4" t="inlineStr">
        <is>
          <t>Agnipath Yojana</t>
        </is>
      </c>
      <c r="D1764" s="4" t="inlineStr">
        <is>
          <t>Benefits</t>
        </is>
      </c>
      <c r="E1764" s="4" t="inlineStr"/>
      <c r="F1764" s="4" t="inlineStr">
        <is>
          <t>en.schemeContent.benefits[0].children[0]</t>
        </is>
      </c>
      <c r="G1764" s="4" t="inlineStr">
        <is>
          <t>C28@20261028-f53d5aa4</t>
        </is>
      </c>
      <c r="H1764" s="4" t="n">
        <v>1</v>
      </c>
      <c r="I1764" s="4" t="n">
        <v>1</v>
      </c>
      <c r="J1764" s="4" t="inlineStr">
        <is>
          <t>Agniveers will be given an attractive customized monthly package along with Risk and Hardship allowances as applicable in the three services. On completion of the engagement period of four years, Agniveers will be paid a one-time ‘SevaNidhi’ package which shall comprise their contribution including accrued interest thereon and a matching contribution from the Government equal to the accumulated amount of their contribution including interest as indicated below:</t>
        </is>
      </c>
      <c r="K1764" s="4" t="inlineStr">
        <is>
          <t>MS-C28</t>
        </is>
      </c>
      <c r="L1764" s="6" t="n">
        <v>46323</v>
      </c>
      <c r="M1764" s="4" t="inlineStr">
        <is>
          <t>Approved</t>
        </is>
      </c>
      <c r="N1764" s="4" t="inlineStr">
        <is>
          <t>paragraph</t>
        </is>
      </c>
    </row>
    <row r="1765" ht="40" customHeight="1">
      <c r="A1765" s="8" t="inlineStr">
        <is>
          <t>C28-P0007</t>
        </is>
      </c>
      <c r="B1765" s="8" t="inlineStr">
        <is>
          <t>C28</t>
        </is>
      </c>
      <c r="C1765" s="8" t="inlineStr">
        <is>
          <t>Agnipath Yojana</t>
        </is>
      </c>
      <c r="D1765" s="8" t="inlineStr">
        <is>
          <t>Benefits</t>
        </is>
      </c>
      <c r="E1765" s="8" t="inlineStr"/>
      <c r="F1765" s="8" t="inlineStr">
        <is>
          <t>en.schemeContent.benefits[1].children[0].children[0].children[0]</t>
        </is>
      </c>
      <c r="G1765" s="8" t="inlineStr">
        <is>
          <t>C28@20261028-f53d5aa4</t>
        </is>
      </c>
      <c r="H1765" s="8" t="n">
        <v>1</v>
      </c>
      <c r="I1765" s="8" t="n">
        <v>1</v>
      </c>
      <c r="J1765" s="8" t="inlineStr">
        <is>
          <t>Year</t>
        </is>
      </c>
      <c r="K1765" s="8" t="inlineStr">
        <is>
          <t>MS-C28</t>
        </is>
      </c>
      <c r="L1765" s="9" t="n">
        <v>46323</v>
      </c>
      <c r="M1765" s="8" t="inlineStr">
        <is>
          <t>Approved</t>
        </is>
      </c>
      <c r="N1765" s="8" t="inlineStr">
        <is>
          <t>text</t>
        </is>
      </c>
    </row>
    <row r="1766" ht="40" customHeight="1">
      <c r="A1766" s="4" t="inlineStr">
        <is>
          <t>C28-P0008</t>
        </is>
      </c>
      <c r="B1766" s="4" t="inlineStr">
        <is>
          <t>C28</t>
        </is>
      </c>
      <c r="C1766" s="4" t="inlineStr">
        <is>
          <t>Agnipath Yojana</t>
        </is>
      </c>
      <c r="D1766" s="4" t="inlineStr">
        <is>
          <t>Benefits</t>
        </is>
      </c>
      <c r="E1766" s="4" t="inlineStr"/>
      <c r="F1766" s="4" t="inlineStr">
        <is>
          <t>en.schemeContent.benefits[1].children[0].children[1].children[0]</t>
        </is>
      </c>
      <c r="G1766" s="4" t="inlineStr">
        <is>
          <t>C28@20261028-f53d5aa4</t>
        </is>
      </c>
      <c r="H1766" s="4" t="n">
        <v>1</v>
      </c>
      <c r="I1766" s="4" t="n">
        <v>1</v>
      </c>
      <c r="J1766" s="4" t="inlineStr">
        <is>
          <t xml:space="preserve">Customized Package (Monthly) </t>
        </is>
      </c>
      <c r="K1766" s="4" t="inlineStr">
        <is>
          <t>MS-C28</t>
        </is>
      </c>
      <c r="L1766" s="6" t="n">
        <v>46323</v>
      </c>
      <c r="M1766" s="4" t="inlineStr">
        <is>
          <t>Approved</t>
        </is>
      </c>
      <c r="N1766" s="4" t="inlineStr">
        <is>
          <t>text</t>
        </is>
      </c>
    </row>
    <row r="1767" ht="40" customHeight="1">
      <c r="A1767" s="8" t="inlineStr">
        <is>
          <t>C28-P0009</t>
        </is>
      </c>
      <c r="B1767" s="8" t="inlineStr">
        <is>
          <t>C28</t>
        </is>
      </c>
      <c r="C1767" s="8" t="inlineStr">
        <is>
          <t>Agnipath Yojana</t>
        </is>
      </c>
      <c r="D1767" s="8" t="inlineStr">
        <is>
          <t>Benefits</t>
        </is>
      </c>
      <c r="E1767" s="8" t="inlineStr"/>
      <c r="F1767" s="8" t="inlineStr">
        <is>
          <t>en.schemeContent.benefits[1].children[0].children[1].children[1]</t>
        </is>
      </c>
      <c r="G1767" s="8" t="inlineStr">
        <is>
          <t>C28@20261028-f53d5aa4</t>
        </is>
      </c>
      <c r="H1767" s="8" t="n">
        <v>1</v>
      </c>
      <c r="I1767" s="8" t="n">
        <v>1</v>
      </c>
      <c r="J1767" s="8" t="inlineStr">
        <is>
          <t>[All figures in ₹ (Monthly Contribution)]</t>
        </is>
      </c>
      <c r="K1767" s="8" t="inlineStr">
        <is>
          <t>MS-C28</t>
        </is>
      </c>
      <c r="L1767" s="9" t="n">
        <v>46323</v>
      </c>
      <c r="M1767" s="8" t="inlineStr">
        <is>
          <t>Approved</t>
        </is>
      </c>
      <c r="N1767" s="8" t="inlineStr">
        <is>
          <t>text</t>
        </is>
      </c>
    </row>
    <row r="1768" ht="40" customHeight="1">
      <c r="A1768" s="4" t="inlineStr">
        <is>
          <t>C28-P0010</t>
        </is>
      </c>
      <c r="B1768" s="4" t="inlineStr">
        <is>
          <t>C28</t>
        </is>
      </c>
      <c r="C1768" s="4" t="inlineStr">
        <is>
          <t>Agnipath Yojana</t>
        </is>
      </c>
      <c r="D1768" s="4" t="inlineStr">
        <is>
          <t>Benefits</t>
        </is>
      </c>
      <c r="E1768" s="4" t="inlineStr"/>
      <c r="F1768" s="4" t="inlineStr">
        <is>
          <t>en.schemeContent.benefits[1].children[0].children[2].children[0]</t>
        </is>
      </c>
      <c r="G1768" s="4" t="inlineStr">
        <is>
          <t>C28@20261028-f53d5aa4</t>
        </is>
      </c>
      <c r="H1768" s="4" t="n">
        <v>1</v>
      </c>
      <c r="I1768" s="4" t="n">
        <v>1</v>
      </c>
      <c r="J1768" s="4" t="inlineStr">
        <is>
          <t>In-Hand (70%)</t>
        </is>
      </c>
      <c r="K1768" s="4" t="inlineStr">
        <is>
          <t>MS-C28</t>
        </is>
      </c>
      <c r="L1768" s="6" t="n">
        <v>46323</v>
      </c>
      <c r="M1768" s="4" t="inlineStr">
        <is>
          <t>Approved</t>
        </is>
      </c>
      <c r="N1768" s="4" t="inlineStr">
        <is>
          <t>text</t>
        </is>
      </c>
    </row>
    <row r="1769" ht="40" customHeight="1">
      <c r="A1769" s="8" t="inlineStr">
        <is>
          <t>C28-P0011</t>
        </is>
      </c>
      <c r="B1769" s="8" t="inlineStr">
        <is>
          <t>C28</t>
        </is>
      </c>
      <c r="C1769" s="8" t="inlineStr">
        <is>
          <t>Agnipath Yojana</t>
        </is>
      </c>
      <c r="D1769" s="8" t="inlineStr">
        <is>
          <t>Benefits</t>
        </is>
      </c>
      <c r="E1769" s="8" t="inlineStr"/>
      <c r="F1769" s="8" t="inlineStr">
        <is>
          <t>en.schemeContent.benefits[1].children[0].children[2].children[1]</t>
        </is>
      </c>
      <c r="G1769" s="8" t="inlineStr">
        <is>
          <t>C28@20261028-f53d5aa4</t>
        </is>
      </c>
      <c r="H1769" s="8" t="n">
        <v>1</v>
      </c>
      <c r="I1769" s="8" t="n">
        <v>1</v>
      </c>
      <c r="J1769" s="8" t="inlineStr">
        <is>
          <t xml:space="preserve"> [All figures in ₹ (Monthly Contribution)]</t>
        </is>
      </c>
      <c r="K1769" s="8" t="inlineStr">
        <is>
          <t>MS-C28</t>
        </is>
      </c>
      <c r="L1769" s="9" t="n">
        <v>46323</v>
      </c>
      <c r="M1769" s="8" t="inlineStr">
        <is>
          <t>Approved</t>
        </is>
      </c>
      <c r="N1769" s="8" t="inlineStr">
        <is>
          <t>text</t>
        </is>
      </c>
    </row>
    <row r="1770" ht="40" customHeight="1">
      <c r="A1770" s="4" t="inlineStr">
        <is>
          <t>C28-P0012</t>
        </is>
      </c>
      <c r="B1770" s="4" t="inlineStr">
        <is>
          <t>C28</t>
        </is>
      </c>
      <c r="C1770" s="4" t="inlineStr">
        <is>
          <t>Agnipath Yojana</t>
        </is>
      </c>
      <c r="D1770" s="4" t="inlineStr">
        <is>
          <t>Benefits</t>
        </is>
      </c>
      <c r="E1770" s="4" t="inlineStr"/>
      <c r="F1770" s="4" t="inlineStr">
        <is>
          <t>en.schemeContent.benefits[1].children[0].children[3].children[0]</t>
        </is>
      </c>
      <c r="G1770" s="4" t="inlineStr">
        <is>
          <t>C28@20261028-f53d5aa4</t>
        </is>
      </c>
      <c r="H1770" s="4" t="n">
        <v>1</v>
      </c>
      <c r="I1770" s="4" t="n">
        <v>1</v>
      </c>
      <c r="J1770" s="4" t="inlineStr">
        <is>
          <t xml:space="preserve">Contribution to Agniveer Corpus Fund (30%) </t>
        </is>
      </c>
      <c r="K1770" s="4" t="inlineStr">
        <is>
          <t>MS-C28</t>
        </is>
      </c>
      <c r="L1770" s="6" t="n">
        <v>46323</v>
      </c>
      <c r="M1770" s="4" t="inlineStr">
        <is>
          <t>Approved</t>
        </is>
      </c>
      <c r="N1770" s="4" t="inlineStr">
        <is>
          <t>text</t>
        </is>
      </c>
    </row>
    <row r="1771" ht="40" customHeight="1">
      <c r="A1771" s="8" t="inlineStr">
        <is>
          <t>C28-P0013</t>
        </is>
      </c>
      <c r="B1771" s="8" t="inlineStr">
        <is>
          <t>C28</t>
        </is>
      </c>
      <c r="C1771" s="8" t="inlineStr">
        <is>
          <t>Agnipath Yojana</t>
        </is>
      </c>
      <c r="D1771" s="8" t="inlineStr">
        <is>
          <t>Benefits</t>
        </is>
      </c>
      <c r="E1771" s="8" t="inlineStr"/>
      <c r="F1771" s="8" t="inlineStr">
        <is>
          <t>en.schemeContent.benefits[1].children[0].children[3].children[1]</t>
        </is>
      </c>
      <c r="G1771" s="8" t="inlineStr">
        <is>
          <t>C28@20261028-f53d5aa4</t>
        </is>
      </c>
      <c r="H1771" s="8" t="n">
        <v>1</v>
      </c>
      <c r="I1771" s="8" t="n">
        <v>1</v>
      </c>
      <c r="J1771" s="8" t="inlineStr">
        <is>
          <t>[All figures in ₹ (Monthly Contribution)]</t>
        </is>
      </c>
      <c r="K1771" s="8" t="inlineStr">
        <is>
          <t>MS-C28</t>
        </is>
      </c>
      <c r="L1771" s="9" t="n">
        <v>46323</v>
      </c>
      <c r="M1771" s="8" t="inlineStr">
        <is>
          <t>Approved</t>
        </is>
      </c>
      <c r="N1771" s="8" t="inlineStr">
        <is>
          <t>text</t>
        </is>
      </c>
    </row>
    <row r="1772" ht="40" customHeight="1">
      <c r="A1772" s="4" t="inlineStr">
        <is>
          <t>C28-P0014</t>
        </is>
      </c>
      <c r="B1772" s="4" t="inlineStr">
        <is>
          <t>C28</t>
        </is>
      </c>
      <c r="C1772" s="4" t="inlineStr">
        <is>
          <t>Agnipath Yojana</t>
        </is>
      </c>
      <c r="D1772" s="4" t="inlineStr">
        <is>
          <t>Benefits</t>
        </is>
      </c>
      <c r="E1772" s="4" t="inlineStr"/>
      <c r="F1772" s="4" t="inlineStr">
        <is>
          <t>en.schemeContent.benefits[1].children[0].children[4].children[0]</t>
        </is>
      </c>
      <c r="G1772" s="4" t="inlineStr">
        <is>
          <t>C28@20261028-f53d5aa4</t>
        </is>
      </c>
      <c r="H1772" s="4" t="n">
        <v>1</v>
      </c>
      <c r="I1772" s="4" t="n">
        <v>1</v>
      </c>
      <c r="J1772" s="4" t="inlineStr">
        <is>
          <t xml:space="preserve">Contribution to corpus fund by GoI </t>
        </is>
      </c>
      <c r="K1772" s="4" t="inlineStr">
        <is>
          <t>MS-C28</t>
        </is>
      </c>
      <c r="L1772" s="6" t="n">
        <v>46323</v>
      </c>
      <c r="M1772" s="4" t="inlineStr">
        <is>
          <t>Approved</t>
        </is>
      </c>
      <c r="N1772" s="4" t="inlineStr">
        <is>
          <t>text</t>
        </is>
      </c>
    </row>
    <row r="1773" ht="40" customHeight="1">
      <c r="A1773" s="8" t="inlineStr">
        <is>
          <t>C28-P0015</t>
        </is>
      </c>
      <c r="B1773" s="8" t="inlineStr">
        <is>
          <t>C28</t>
        </is>
      </c>
      <c r="C1773" s="8" t="inlineStr">
        <is>
          <t>Agnipath Yojana</t>
        </is>
      </c>
      <c r="D1773" s="8" t="inlineStr">
        <is>
          <t>Benefits</t>
        </is>
      </c>
      <c r="E1773" s="8" t="inlineStr"/>
      <c r="F1773" s="8" t="inlineStr">
        <is>
          <t>en.schemeContent.benefits[1].children[0].children[4].children[1]</t>
        </is>
      </c>
      <c r="G1773" s="8" t="inlineStr">
        <is>
          <t>C28@20261028-f53d5aa4</t>
        </is>
      </c>
      <c r="H1773" s="8" t="n">
        <v>1</v>
      </c>
      <c r="I1773" s="8" t="n">
        <v>1</v>
      </c>
      <c r="J1773" s="8" t="inlineStr">
        <is>
          <t>[All figures in ₹ (Monthly Contribution)]</t>
        </is>
      </c>
      <c r="K1773" s="8" t="inlineStr">
        <is>
          <t>MS-C28</t>
        </is>
      </c>
      <c r="L1773" s="9" t="n">
        <v>46323</v>
      </c>
      <c r="M1773" s="8" t="inlineStr">
        <is>
          <t>Approved</t>
        </is>
      </c>
      <c r="N1773" s="8" t="inlineStr">
        <is>
          <t>text</t>
        </is>
      </c>
    </row>
    <row r="1774" ht="40" customHeight="1">
      <c r="A1774" s="4" t="inlineStr">
        <is>
          <t>C28-P0016</t>
        </is>
      </c>
      <c r="B1774" s="4" t="inlineStr">
        <is>
          <t>C28</t>
        </is>
      </c>
      <c r="C1774" s="4" t="inlineStr">
        <is>
          <t>Agnipath Yojana</t>
        </is>
      </c>
      <c r="D1774" s="4" t="inlineStr">
        <is>
          <t>Benefits</t>
        </is>
      </c>
      <c r="E1774" s="4" t="inlineStr"/>
      <c r="F1774" s="4" t="inlineStr">
        <is>
          <t>en.schemeContent.benefits[1].children[1].children[0].children[0]</t>
        </is>
      </c>
      <c r="G1774" s="4" t="inlineStr">
        <is>
          <t>C28@20261028-f53d5aa4</t>
        </is>
      </c>
      <c r="H1774" s="4" t="n">
        <v>1</v>
      </c>
      <c r="I1774" s="4" t="n">
        <v>1</v>
      </c>
      <c r="J1774" s="4" t="inlineStr">
        <is>
          <t>1st Year</t>
        </is>
      </c>
      <c r="K1774" s="4" t="inlineStr">
        <is>
          <t>MS-C28</t>
        </is>
      </c>
      <c r="L1774" s="6" t="n">
        <v>46323</v>
      </c>
      <c r="M1774" s="4" t="inlineStr">
        <is>
          <t>Approved</t>
        </is>
      </c>
      <c r="N1774" s="4" t="inlineStr">
        <is>
          <t>text</t>
        </is>
      </c>
    </row>
    <row r="1775" ht="40" customHeight="1">
      <c r="A1775" s="8" t="inlineStr">
        <is>
          <t>C28-P0017</t>
        </is>
      </c>
      <c r="B1775" s="8" t="inlineStr">
        <is>
          <t>C28</t>
        </is>
      </c>
      <c r="C1775" s="8" t="inlineStr">
        <is>
          <t>Agnipath Yojana</t>
        </is>
      </c>
      <c r="D1775" s="8" t="inlineStr">
        <is>
          <t>Benefits</t>
        </is>
      </c>
      <c r="E1775" s="8" t="inlineStr"/>
      <c r="F1775" s="8" t="inlineStr">
        <is>
          <t>en.schemeContent.benefits[1].children[1].children[1].children[0]</t>
        </is>
      </c>
      <c r="G1775" s="8" t="inlineStr">
        <is>
          <t>C28@20261028-f53d5aa4</t>
        </is>
      </c>
      <c r="H1775" s="8" t="n">
        <v>1</v>
      </c>
      <c r="I1775" s="8" t="n">
        <v>1</v>
      </c>
      <c r="J1775" s="8" t="inlineStr">
        <is>
          <t>30000</t>
        </is>
      </c>
      <c r="K1775" s="8" t="inlineStr">
        <is>
          <t>MS-C28</t>
        </is>
      </c>
      <c r="L1775" s="9" t="n">
        <v>46323</v>
      </c>
      <c r="M1775" s="8" t="inlineStr">
        <is>
          <t>Approved</t>
        </is>
      </c>
      <c r="N1775" s="8" t="inlineStr">
        <is>
          <t>text</t>
        </is>
      </c>
    </row>
    <row r="1776" ht="40" customHeight="1">
      <c r="A1776" s="4" t="inlineStr">
        <is>
          <t>C28-P0018</t>
        </is>
      </c>
      <c r="B1776" s="4" t="inlineStr">
        <is>
          <t>C28</t>
        </is>
      </c>
      <c r="C1776" s="4" t="inlineStr">
        <is>
          <t>Agnipath Yojana</t>
        </is>
      </c>
      <c r="D1776" s="4" t="inlineStr">
        <is>
          <t>Benefits</t>
        </is>
      </c>
      <c r="E1776" s="4" t="inlineStr"/>
      <c r="F1776" s="4" t="inlineStr">
        <is>
          <t>en.schemeContent.benefits[1].children[1].children[2].children[0]</t>
        </is>
      </c>
      <c r="G1776" s="4" t="inlineStr">
        <is>
          <t>C28@20261028-f53d5aa4</t>
        </is>
      </c>
      <c r="H1776" s="4" t="n">
        <v>1</v>
      </c>
      <c r="I1776" s="4" t="n">
        <v>1</v>
      </c>
      <c r="J1776" s="4" t="inlineStr">
        <is>
          <t>21000</t>
        </is>
      </c>
      <c r="K1776" s="4" t="inlineStr">
        <is>
          <t>MS-C28</t>
        </is>
      </c>
      <c r="L1776" s="6" t="n">
        <v>46323</v>
      </c>
      <c r="M1776" s="4" t="inlineStr">
        <is>
          <t>Approved</t>
        </is>
      </c>
      <c r="N1776" s="4" t="inlineStr">
        <is>
          <t>text</t>
        </is>
      </c>
    </row>
    <row r="1777" ht="40" customHeight="1">
      <c r="A1777" s="8" t="inlineStr">
        <is>
          <t>C28-P0019</t>
        </is>
      </c>
      <c r="B1777" s="8" t="inlineStr">
        <is>
          <t>C28</t>
        </is>
      </c>
      <c r="C1777" s="8" t="inlineStr">
        <is>
          <t>Agnipath Yojana</t>
        </is>
      </c>
      <c r="D1777" s="8" t="inlineStr">
        <is>
          <t>Benefits</t>
        </is>
      </c>
      <c r="E1777" s="8" t="inlineStr"/>
      <c r="F1777" s="8" t="inlineStr">
        <is>
          <t>en.schemeContent.benefits[1].children[1].children[3].children[0]</t>
        </is>
      </c>
      <c r="G1777" s="8" t="inlineStr">
        <is>
          <t>C28@20261028-f53d5aa4</t>
        </is>
      </c>
      <c r="H1777" s="8" t="n">
        <v>1</v>
      </c>
      <c r="I1777" s="8" t="n">
        <v>1</v>
      </c>
      <c r="J1777" s="8" t="inlineStr">
        <is>
          <t>9000</t>
        </is>
      </c>
      <c r="K1777" s="8" t="inlineStr">
        <is>
          <t>MS-C28</t>
        </is>
      </c>
      <c r="L1777" s="9" t="n">
        <v>46323</v>
      </c>
      <c r="M1777" s="8" t="inlineStr">
        <is>
          <t>Approved</t>
        </is>
      </c>
      <c r="N1777" s="8" t="inlineStr">
        <is>
          <t>text</t>
        </is>
      </c>
    </row>
    <row r="1778" ht="40" customHeight="1">
      <c r="A1778" s="4" t="inlineStr">
        <is>
          <t>C28-P0020</t>
        </is>
      </c>
      <c r="B1778" s="4" t="inlineStr">
        <is>
          <t>C28</t>
        </is>
      </c>
      <c r="C1778" s="4" t="inlineStr">
        <is>
          <t>Agnipath Yojana</t>
        </is>
      </c>
      <c r="D1778" s="4" t="inlineStr">
        <is>
          <t>Benefits</t>
        </is>
      </c>
      <c r="E1778" s="4" t="inlineStr"/>
      <c r="F1778" s="4" t="inlineStr">
        <is>
          <t>en.schemeContent.benefits[1].children[1].children[4].children[0]</t>
        </is>
      </c>
      <c r="G1778" s="4" t="inlineStr">
        <is>
          <t>C28@20261028-f53d5aa4</t>
        </is>
      </c>
      <c r="H1778" s="4" t="n">
        <v>1</v>
      </c>
      <c r="I1778" s="4" t="n">
        <v>1</v>
      </c>
      <c r="J1778" s="4" t="inlineStr">
        <is>
          <t>9000</t>
        </is>
      </c>
      <c r="K1778" s="4" t="inlineStr">
        <is>
          <t>MS-C28</t>
        </is>
      </c>
      <c r="L1778" s="6" t="n">
        <v>46323</v>
      </c>
      <c r="M1778" s="4" t="inlineStr">
        <is>
          <t>Approved</t>
        </is>
      </c>
      <c r="N1778" s="4" t="inlineStr">
        <is>
          <t>text</t>
        </is>
      </c>
    </row>
    <row r="1779" ht="40" customHeight="1">
      <c r="A1779" s="8" t="inlineStr">
        <is>
          <t>C28-P0021</t>
        </is>
      </c>
      <c r="B1779" s="8" t="inlineStr">
        <is>
          <t>C28</t>
        </is>
      </c>
      <c r="C1779" s="8" t="inlineStr">
        <is>
          <t>Agnipath Yojana</t>
        </is>
      </c>
      <c r="D1779" s="8" t="inlineStr">
        <is>
          <t>Benefits</t>
        </is>
      </c>
      <c r="E1779" s="8" t="inlineStr"/>
      <c r="F1779" s="8" t="inlineStr">
        <is>
          <t>en.schemeContent.benefits[1].children[2].children[0].children[0]</t>
        </is>
      </c>
      <c r="G1779" s="8" t="inlineStr">
        <is>
          <t>C28@20261028-f53d5aa4</t>
        </is>
      </c>
      <c r="H1779" s="8" t="n">
        <v>1</v>
      </c>
      <c r="I1779" s="8" t="n">
        <v>1</v>
      </c>
      <c r="J1779" s="8" t="inlineStr">
        <is>
          <t>2nd Year</t>
        </is>
      </c>
      <c r="K1779" s="8" t="inlineStr">
        <is>
          <t>MS-C28</t>
        </is>
      </c>
      <c r="L1779" s="9" t="n">
        <v>46323</v>
      </c>
      <c r="M1779" s="8" t="inlineStr">
        <is>
          <t>Approved</t>
        </is>
      </c>
      <c r="N1779" s="8" t="inlineStr">
        <is>
          <t>text</t>
        </is>
      </c>
    </row>
    <row r="1780" ht="40" customHeight="1">
      <c r="A1780" s="4" t="inlineStr">
        <is>
          <t>C28-P0022</t>
        </is>
      </c>
      <c r="B1780" s="4" t="inlineStr">
        <is>
          <t>C28</t>
        </is>
      </c>
      <c r="C1780" s="4" t="inlineStr">
        <is>
          <t>Agnipath Yojana</t>
        </is>
      </c>
      <c r="D1780" s="4" t="inlineStr">
        <is>
          <t>Benefits</t>
        </is>
      </c>
      <c r="E1780" s="4" t="inlineStr"/>
      <c r="F1780" s="4" t="inlineStr">
        <is>
          <t>en.schemeContent.benefits[1].children[2].children[1].children[0]</t>
        </is>
      </c>
      <c r="G1780" s="4" t="inlineStr">
        <is>
          <t>C28@20261028-f53d5aa4</t>
        </is>
      </c>
      <c r="H1780" s="4" t="n">
        <v>1</v>
      </c>
      <c r="I1780" s="4" t="n">
        <v>1</v>
      </c>
      <c r="J1780" s="4" t="inlineStr">
        <is>
          <t>33000</t>
        </is>
      </c>
      <c r="K1780" s="4" t="inlineStr">
        <is>
          <t>MS-C28</t>
        </is>
      </c>
      <c r="L1780" s="6" t="n">
        <v>46323</v>
      </c>
      <c r="M1780" s="4" t="inlineStr">
        <is>
          <t>Approved</t>
        </is>
      </c>
      <c r="N1780" s="4" t="inlineStr">
        <is>
          <t>text</t>
        </is>
      </c>
    </row>
    <row r="1781" ht="40" customHeight="1">
      <c r="A1781" s="8" t="inlineStr">
        <is>
          <t>C28-P0023</t>
        </is>
      </c>
      <c r="B1781" s="8" t="inlineStr">
        <is>
          <t>C28</t>
        </is>
      </c>
      <c r="C1781" s="8" t="inlineStr">
        <is>
          <t>Agnipath Yojana</t>
        </is>
      </c>
      <c r="D1781" s="8" t="inlineStr">
        <is>
          <t>Benefits</t>
        </is>
      </c>
      <c r="E1781" s="8" t="inlineStr"/>
      <c r="F1781" s="8" t="inlineStr">
        <is>
          <t>en.schemeContent.benefits[1].children[2].children[2].children[0]</t>
        </is>
      </c>
      <c r="G1781" s="8" t="inlineStr">
        <is>
          <t>C28@20261028-f53d5aa4</t>
        </is>
      </c>
      <c r="H1781" s="8" t="n">
        <v>1</v>
      </c>
      <c r="I1781" s="8" t="n">
        <v>1</v>
      </c>
      <c r="J1781" s="8" t="inlineStr">
        <is>
          <t>23100</t>
        </is>
      </c>
      <c r="K1781" s="8" t="inlineStr">
        <is>
          <t>MS-C28</t>
        </is>
      </c>
      <c r="L1781" s="9" t="n">
        <v>46323</v>
      </c>
      <c r="M1781" s="8" t="inlineStr">
        <is>
          <t>Approved</t>
        </is>
      </c>
      <c r="N1781" s="8" t="inlineStr">
        <is>
          <t>text</t>
        </is>
      </c>
    </row>
    <row r="1782" ht="40" customHeight="1">
      <c r="A1782" s="4" t="inlineStr">
        <is>
          <t>C28-P0024</t>
        </is>
      </c>
      <c r="B1782" s="4" t="inlineStr">
        <is>
          <t>C28</t>
        </is>
      </c>
      <c r="C1782" s="4" t="inlineStr">
        <is>
          <t>Agnipath Yojana</t>
        </is>
      </c>
      <c r="D1782" s="4" t="inlineStr">
        <is>
          <t>Benefits</t>
        </is>
      </c>
      <c r="E1782" s="4" t="inlineStr"/>
      <c r="F1782" s="4" t="inlineStr">
        <is>
          <t>en.schemeContent.benefits[1].children[2].children[3].children[0]</t>
        </is>
      </c>
      <c r="G1782" s="4" t="inlineStr">
        <is>
          <t>C28@20261028-f53d5aa4</t>
        </is>
      </c>
      <c r="H1782" s="4" t="n">
        <v>1</v>
      </c>
      <c r="I1782" s="4" t="n">
        <v>1</v>
      </c>
      <c r="J1782" s="4" t="inlineStr">
        <is>
          <t>9900</t>
        </is>
      </c>
      <c r="K1782" s="4" t="inlineStr">
        <is>
          <t>MS-C28</t>
        </is>
      </c>
      <c r="L1782" s="6" t="n">
        <v>46323</v>
      </c>
      <c r="M1782" s="4" t="inlineStr">
        <is>
          <t>Approved</t>
        </is>
      </c>
      <c r="N1782" s="4" t="inlineStr">
        <is>
          <t>text</t>
        </is>
      </c>
    </row>
    <row r="1783" ht="40" customHeight="1">
      <c r="A1783" s="8" t="inlineStr">
        <is>
          <t>C28-P0025</t>
        </is>
      </c>
      <c r="B1783" s="8" t="inlineStr">
        <is>
          <t>C28</t>
        </is>
      </c>
      <c r="C1783" s="8" t="inlineStr">
        <is>
          <t>Agnipath Yojana</t>
        </is>
      </c>
      <c r="D1783" s="8" t="inlineStr">
        <is>
          <t>Benefits</t>
        </is>
      </c>
      <c r="E1783" s="8" t="inlineStr"/>
      <c r="F1783" s="8" t="inlineStr">
        <is>
          <t>en.schemeContent.benefits[1].children[2].children[4].children[0]</t>
        </is>
      </c>
      <c r="G1783" s="8" t="inlineStr">
        <is>
          <t>C28@20261028-f53d5aa4</t>
        </is>
      </c>
      <c r="H1783" s="8" t="n">
        <v>1</v>
      </c>
      <c r="I1783" s="8" t="n">
        <v>1</v>
      </c>
      <c r="J1783" s="8" t="inlineStr">
        <is>
          <t>9900</t>
        </is>
      </c>
      <c r="K1783" s="8" t="inlineStr">
        <is>
          <t>MS-C28</t>
        </is>
      </c>
      <c r="L1783" s="9" t="n">
        <v>46323</v>
      </c>
      <c r="M1783" s="8" t="inlineStr">
        <is>
          <t>Approved</t>
        </is>
      </c>
      <c r="N1783" s="8" t="inlineStr">
        <is>
          <t>text</t>
        </is>
      </c>
    </row>
    <row r="1784" ht="40" customHeight="1">
      <c r="A1784" s="4" t="inlineStr">
        <is>
          <t>C28-P0026</t>
        </is>
      </c>
      <c r="B1784" s="4" t="inlineStr">
        <is>
          <t>C28</t>
        </is>
      </c>
      <c r="C1784" s="4" t="inlineStr">
        <is>
          <t>Agnipath Yojana</t>
        </is>
      </c>
      <c r="D1784" s="4" t="inlineStr">
        <is>
          <t>Benefits</t>
        </is>
      </c>
      <c r="E1784" s="4" t="inlineStr"/>
      <c r="F1784" s="4" t="inlineStr">
        <is>
          <t>en.schemeContent.benefits[1].children[3].children[0].children[0]</t>
        </is>
      </c>
      <c r="G1784" s="4" t="inlineStr">
        <is>
          <t>C28@20261028-f53d5aa4</t>
        </is>
      </c>
      <c r="H1784" s="4" t="n">
        <v>1</v>
      </c>
      <c r="I1784" s="4" t="n">
        <v>1</v>
      </c>
      <c r="J1784" s="4" t="inlineStr">
        <is>
          <t>3rd Year</t>
        </is>
      </c>
      <c r="K1784" s="4" t="inlineStr">
        <is>
          <t>MS-C28</t>
        </is>
      </c>
      <c r="L1784" s="6" t="n">
        <v>46323</v>
      </c>
      <c r="M1784" s="4" t="inlineStr">
        <is>
          <t>Approved</t>
        </is>
      </c>
      <c r="N1784" s="4" t="inlineStr">
        <is>
          <t>text</t>
        </is>
      </c>
    </row>
    <row r="1785" ht="40" customHeight="1">
      <c r="A1785" s="8" t="inlineStr">
        <is>
          <t>C28-P0027</t>
        </is>
      </c>
      <c r="B1785" s="8" t="inlineStr">
        <is>
          <t>C28</t>
        </is>
      </c>
      <c r="C1785" s="8" t="inlineStr">
        <is>
          <t>Agnipath Yojana</t>
        </is>
      </c>
      <c r="D1785" s="8" t="inlineStr">
        <is>
          <t>Benefits</t>
        </is>
      </c>
      <c r="E1785" s="8" t="inlineStr"/>
      <c r="F1785" s="8" t="inlineStr">
        <is>
          <t>en.schemeContent.benefits[1].children[3].children[1].children[0]</t>
        </is>
      </c>
      <c r="G1785" s="8" t="inlineStr">
        <is>
          <t>C28@20261028-f53d5aa4</t>
        </is>
      </c>
      <c r="H1785" s="8" t="n">
        <v>1</v>
      </c>
      <c r="I1785" s="8" t="n">
        <v>1</v>
      </c>
      <c r="J1785" s="8" t="inlineStr">
        <is>
          <t>36500</t>
        </is>
      </c>
      <c r="K1785" s="8" t="inlineStr">
        <is>
          <t>MS-C28</t>
        </is>
      </c>
      <c r="L1785" s="9" t="n">
        <v>46323</v>
      </c>
      <c r="M1785" s="8" t="inlineStr">
        <is>
          <t>Approved</t>
        </is>
      </c>
      <c r="N1785" s="8" t="inlineStr">
        <is>
          <t>text</t>
        </is>
      </c>
    </row>
    <row r="1786" ht="40" customHeight="1">
      <c r="A1786" s="4" t="inlineStr">
        <is>
          <t>C28-P0028</t>
        </is>
      </c>
      <c r="B1786" s="4" t="inlineStr">
        <is>
          <t>C28</t>
        </is>
      </c>
      <c r="C1786" s="4" t="inlineStr">
        <is>
          <t>Agnipath Yojana</t>
        </is>
      </c>
      <c r="D1786" s="4" t="inlineStr">
        <is>
          <t>Benefits</t>
        </is>
      </c>
      <c r="E1786" s="4" t="inlineStr"/>
      <c r="F1786" s="4" t="inlineStr">
        <is>
          <t>en.schemeContent.benefits[1].children[3].children[2].children[0]</t>
        </is>
      </c>
      <c r="G1786" s="4" t="inlineStr">
        <is>
          <t>C28@20261028-f53d5aa4</t>
        </is>
      </c>
      <c r="H1786" s="4" t="n">
        <v>1</v>
      </c>
      <c r="I1786" s="4" t="n">
        <v>1</v>
      </c>
      <c r="J1786" s="4" t="inlineStr">
        <is>
          <t>25580</t>
        </is>
      </c>
      <c r="K1786" s="4" t="inlineStr">
        <is>
          <t>MS-C28</t>
        </is>
      </c>
      <c r="L1786" s="6" t="n">
        <v>46323</v>
      </c>
      <c r="M1786" s="4" t="inlineStr">
        <is>
          <t>Approved</t>
        </is>
      </c>
      <c r="N1786" s="4" t="inlineStr">
        <is>
          <t>text</t>
        </is>
      </c>
    </row>
    <row r="1787" ht="40" customHeight="1">
      <c r="A1787" s="8" t="inlineStr">
        <is>
          <t>C28-P0029</t>
        </is>
      </c>
      <c r="B1787" s="8" t="inlineStr">
        <is>
          <t>C28</t>
        </is>
      </c>
      <c r="C1787" s="8" t="inlineStr">
        <is>
          <t>Agnipath Yojana</t>
        </is>
      </c>
      <c r="D1787" s="8" t="inlineStr">
        <is>
          <t>Benefits</t>
        </is>
      </c>
      <c r="E1787" s="8" t="inlineStr"/>
      <c r="F1787" s="8" t="inlineStr">
        <is>
          <t>en.schemeContent.benefits[1].children[3].children[3].children[0]</t>
        </is>
      </c>
      <c r="G1787" s="8" t="inlineStr">
        <is>
          <t>C28@20261028-f53d5aa4</t>
        </is>
      </c>
      <c r="H1787" s="8" t="n">
        <v>1</v>
      </c>
      <c r="I1787" s="8" t="n">
        <v>1</v>
      </c>
      <c r="J1787" s="8" t="inlineStr">
        <is>
          <t>10950</t>
        </is>
      </c>
      <c r="K1787" s="8" t="inlineStr">
        <is>
          <t>MS-C28</t>
        </is>
      </c>
      <c r="L1787" s="9" t="n">
        <v>46323</v>
      </c>
      <c r="M1787" s="8" t="inlineStr">
        <is>
          <t>Approved</t>
        </is>
      </c>
      <c r="N1787" s="8" t="inlineStr">
        <is>
          <t>text</t>
        </is>
      </c>
    </row>
    <row r="1788" ht="40" customHeight="1">
      <c r="A1788" s="4" t="inlineStr">
        <is>
          <t>C28-P0030</t>
        </is>
      </c>
      <c r="B1788" s="4" t="inlineStr">
        <is>
          <t>C28</t>
        </is>
      </c>
      <c r="C1788" s="4" t="inlineStr">
        <is>
          <t>Agnipath Yojana</t>
        </is>
      </c>
      <c r="D1788" s="4" t="inlineStr">
        <is>
          <t>Benefits</t>
        </is>
      </c>
      <c r="E1788" s="4" t="inlineStr"/>
      <c r="F1788" s="4" t="inlineStr">
        <is>
          <t>en.schemeContent.benefits[1].children[3].children[4].children[0]</t>
        </is>
      </c>
      <c r="G1788" s="4" t="inlineStr">
        <is>
          <t>C28@20261028-f53d5aa4</t>
        </is>
      </c>
      <c r="H1788" s="4" t="n">
        <v>1</v>
      </c>
      <c r="I1788" s="4" t="n">
        <v>1</v>
      </c>
      <c r="J1788" s="4" t="inlineStr">
        <is>
          <t>10950</t>
        </is>
      </c>
      <c r="K1788" s="4" t="inlineStr">
        <is>
          <t>MS-C28</t>
        </is>
      </c>
      <c r="L1788" s="6" t="n">
        <v>46323</v>
      </c>
      <c r="M1788" s="4" t="inlineStr">
        <is>
          <t>Approved</t>
        </is>
      </c>
      <c r="N1788" s="4" t="inlineStr">
        <is>
          <t>text</t>
        </is>
      </c>
    </row>
    <row r="1789" ht="40" customHeight="1">
      <c r="A1789" s="8" t="inlineStr">
        <is>
          <t>C28-P0031</t>
        </is>
      </c>
      <c r="B1789" s="8" t="inlineStr">
        <is>
          <t>C28</t>
        </is>
      </c>
      <c r="C1789" s="8" t="inlineStr">
        <is>
          <t>Agnipath Yojana</t>
        </is>
      </c>
      <c r="D1789" s="8" t="inlineStr">
        <is>
          <t>Benefits</t>
        </is>
      </c>
      <c r="E1789" s="8" t="inlineStr"/>
      <c r="F1789" s="8" t="inlineStr">
        <is>
          <t>en.schemeContent.benefits[1].children[4].children[0].children[0]</t>
        </is>
      </c>
      <c r="G1789" s="8" t="inlineStr">
        <is>
          <t>C28@20261028-f53d5aa4</t>
        </is>
      </c>
      <c r="H1789" s="8" t="n">
        <v>1</v>
      </c>
      <c r="I1789" s="8" t="n">
        <v>1</v>
      </c>
      <c r="J1789" s="8" t="inlineStr">
        <is>
          <t>4th Year</t>
        </is>
      </c>
      <c r="K1789" s="8" t="inlineStr">
        <is>
          <t>MS-C28</t>
        </is>
      </c>
      <c r="L1789" s="9" t="n">
        <v>46323</v>
      </c>
      <c r="M1789" s="8" t="inlineStr">
        <is>
          <t>Approved</t>
        </is>
      </c>
      <c r="N1789" s="8" t="inlineStr">
        <is>
          <t>text</t>
        </is>
      </c>
    </row>
    <row r="1790" ht="40" customHeight="1">
      <c r="A1790" s="4" t="inlineStr">
        <is>
          <t>C28-P0032</t>
        </is>
      </c>
      <c r="B1790" s="4" t="inlineStr">
        <is>
          <t>C28</t>
        </is>
      </c>
      <c r="C1790" s="4" t="inlineStr">
        <is>
          <t>Agnipath Yojana</t>
        </is>
      </c>
      <c r="D1790" s="4" t="inlineStr">
        <is>
          <t>Benefits</t>
        </is>
      </c>
      <c r="E1790" s="4" t="inlineStr"/>
      <c r="F1790" s="4" t="inlineStr">
        <is>
          <t>en.schemeContent.benefits[1].children[4].children[1].children[0]</t>
        </is>
      </c>
      <c r="G1790" s="4" t="inlineStr">
        <is>
          <t>C28@20261028-f53d5aa4</t>
        </is>
      </c>
      <c r="H1790" s="4" t="n">
        <v>1</v>
      </c>
      <c r="I1790" s="4" t="n">
        <v>1</v>
      </c>
      <c r="J1790" s="4" t="inlineStr">
        <is>
          <t>40000</t>
        </is>
      </c>
      <c r="K1790" s="4" t="inlineStr">
        <is>
          <t>MS-C28</t>
        </is>
      </c>
      <c r="L1790" s="6" t="n">
        <v>46323</v>
      </c>
      <c r="M1790" s="4" t="inlineStr">
        <is>
          <t>Approved</t>
        </is>
      </c>
      <c r="N1790" s="4" t="inlineStr">
        <is>
          <t>text</t>
        </is>
      </c>
    </row>
    <row r="1791" ht="40" customHeight="1">
      <c r="A1791" s="8" t="inlineStr">
        <is>
          <t>C28-P0033</t>
        </is>
      </c>
      <c r="B1791" s="8" t="inlineStr">
        <is>
          <t>C28</t>
        </is>
      </c>
      <c r="C1791" s="8" t="inlineStr">
        <is>
          <t>Agnipath Yojana</t>
        </is>
      </c>
      <c r="D1791" s="8" t="inlineStr">
        <is>
          <t>Benefits</t>
        </is>
      </c>
      <c r="E1791" s="8" t="inlineStr"/>
      <c r="F1791" s="8" t="inlineStr">
        <is>
          <t>en.schemeContent.benefits[1].children[4].children[2].children[0]</t>
        </is>
      </c>
      <c r="G1791" s="8" t="inlineStr">
        <is>
          <t>C28@20261028-f53d5aa4</t>
        </is>
      </c>
      <c r="H1791" s="8" t="n">
        <v>1</v>
      </c>
      <c r="I1791" s="8" t="n">
        <v>1</v>
      </c>
      <c r="J1791" s="8" t="inlineStr">
        <is>
          <t>28000</t>
        </is>
      </c>
      <c r="K1791" s="8" t="inlineStr">
        <is>
          <t>MS-C28</t>
        </is>
      </c>
      <c r="L1791" s="9" t="n">
        <v>46323</v>
      </c>
      <c r="M1791" s="8" t="inlineStr">
        <is>
          <t>Approved</t>
        </is>
      </c>
      <c r="N1791" s="8" t="inlineStr">
        <is>
          <t>text</t>
        </is>
      </c>
    </row>
    <row r="1792" ht="40" customHeight="1">
      <c r="A1792" s="4" t="inlineStr">
        <is>
          <t>C28-P0034</t>
        </is>
      </c>
      <c r="B1792" s="4" t="inlineStr">
        <is>
          <t>C28</t>
        </is>
      </c>
      <c r="C1792" s="4" t="inlineStr">
        <is>
          <t>Agnipath Yojana</t>
        </is>
      </c>
      <c r="D1792" s="4" t="inlineStr">
        <is>
          <t>Benefits</t>
        </is>
      </c>
      <c r="E1792" s="4" t="inlineStr"/>
      <c r="F1792" s="4" t="inlineStr">
        <is>
          <t>en.schemeContent.benefits[1].children[4].children[3].children[0]</t>
        </is>
      </c>
      <c r="G1792" s="4" t="inlineStr">
        <is>
          <t>C28@20261028-f53d5aa4</t>
        </is>
      </c>
      <c r="H1792" s="4" t="n">
        <v>1</v>
      </c>
      <c r="I1792" s="4" t="n">
        <v>1</v>
      </c>
      <c r="J1792" s="4" t="inlineStr">
        <is>
          <t>12000</t>
        </is>
      </c>
      <c r="K1792" s="4" t="inlineStr">
        <is>
          <t>MS-C28</t>
        </is>
      </c>
      <c r="L1792" s="6" t="n">
        <v>46323</v>
      </c>
      <c r="M1792" s="4" t="inlineStr">
        <is>
          <t>Approved</t>
        </is>
      </c>
      <c r="N1792" s="4" t="inlineStr">
        <is>
          <t>text</t>
        </is>
      </c>
    </row>
    <row r="1793" ht="40" customHeight="1">
      <c r="A1793" s="8" t="inlineStr">
        <is>
          <t>C28-P0035</t>
        </is>
      </c>
      <c r="B1793" s="8" t="inlineStr">
        <is>
          <t>C28</t>
        </is>
      </c>
      <c r="C1793" s="8" t="inlineStr">
        <is>
          <t>Agnipath Yojana</t>
        </is>
      </c>
      <c r="D1793" s="8" t="inlineStr">
        <is>
          <t>Benefits</t>
        </is>
      </c>
      <c r="E1793" s="8" t="inlineStr"/>
      <c r="F1793" s="8" t="inlineStr">
        <is>
          <t>en.schemeContent.benefits[1].children[4].children[4].children[0]</t>
        </is>
      </c>
      <c r="G1793" s="8" t="inlineStr">
        <is>
          <t>C28@20261028-f53d5aa4</t>
        </is>
      </c>
      <c r="H1793" s="8" t="n">
        <v>1</v>
      </c>
      <c r="I1793" s="8" t="n">
        <v>1</v>
      </c>
      <c r="J1793" s="8" t="inlineStr">
        <is>
          <t>12000</t>
        </is>
      </c>
      <c r="K1793" s="8" t="inlineStr">
        <is>
          <t>MS-C28</t>
        </is>
      </c>
      <c r="L1793" s="9" t="n">
        <v>46323</v>
      </c>
      <c r="M1793" s="8" t="inlineStr">
        <is>
          <t>Approved</t>
        </is>
      </c>
      <c r="N1793" s="8" t="inlineStr">
        <is>
          <t>text</t>
        </is>
      </c>
    </row>
    <row r="1794" ht="40" customHeight="1">
      <c r="A1794" s="4" t="inlineStr">
        <is>
          <t>C28-P0036</t>
        </is>
      </c>
      <c r="B1794" s="4" t="inlineStr">
        <is>
          <t>C28</t>
        </is>
      </c>
      <c r="C1794" s="4" t="inlineStr">
        <is>
          <t>Agnipath Yojana</t>
        </is>
      </c>
      <c r="D1794" s="4" t="inlineStr">
        <is>
          <t>Benefits</t>
        </is>
      </c>
      <c r="E1794" s="4" t="inlineStr"/>
      <c r="F1794" s="4" t="inlineStr">
        <is>
          <t>en.schemeContent.benefits[1].children[5].children[0].children[0]</t>
        </is>
      </c>
      <c r="G1794" s="4" t="inlineStr">
        <is>
          <t>C28@20261028-f53d5aa4</t>
        </is>
      </c>
      <c r="H1794" s="4" t="n">
        <v>1</v>
      </c>
      <c r="I1794" s="4" t="n">
        <v>1</v>
      </c>
      <c r="J1794" s="4" t="inlineStr">
        <is>
          <t>Total contribution in Agniveer Corpus Fund after four years</t>
        </is>
      </c>
      <c r="K1794" s="4" t="inlineStr">
        <is>
          <t>MS-C28</t>
        </is>
      </c>
      <c r="L1794" s="6" t="n">
        <v>46323</v>
      </c>
      <c r="M1794" s="4" t="inlineStr">
        <is>
          <t>Approved</t>
        </is>
      </c>
      <c r="N1794" s="4" t="inlineStr">
        <is>
          <t>text</t>
        </is>
      </c>
    </row>
    <row r="1795" ht="40" customHeight="1">
      <c r="A1795" s="8" t="inlineStr">
        <is>
          <t>C28-P0037</t>
        </is>
      </c>
      <c r="B1795" s="8" t="inlineStr">
        <is>
          <t>C28</t>
        </is>
      </c>
      <c r="C1795" s="8" t="inlineStr">
        <is>
          <t>Agnipath Yojana</t>
        </is>
      </c>
      <c r="D1795" s="8" t="inlineStr">
        <is>
          <t>Benefits</t>
        </is>
      </c>
      <c r="E1795" s="8" t="inlineStr"/>
      <c r="F1795" s="8" t="inlineStr">
        <is>
          <t>en.schemeContent.benefits[1].children[5].children[3].children[0]</t>
        </is>
      </c>
      <c r="G1795" s="8" t="inlineStr">
        <is>
          <t>C28@20261028-f53d5aa4</t>
        </is>
      </c>
      <c r="H1795" s="8" t="n">
        <v>1</v>
      </c>
      <c r="I1795" s="8" t="n">
        <v>1</v>
      </c>
      <c r="J1795" s="8" t="inlineStr">
        <is>
          <t>₹ 5.02 Lakh</t>
        </is>
      </c>
      <c r="K1795" s="8" t="inlineStr">
        <is>
          <t>MS-C28</t>
        </is>
      </c>
      <c r="L1795" s="9" t="n">
        <v>46323</v>
      </c>
      <c r="M1795" s="8" t="inlineStr">
        <is>
          <t>Approved</t>
        </is>
      </c>
      <c r="N1795" s="8" t="inlineStr">
        <is>
          <t>text</t>
        </is>
      </c>
    </row>
    <row r="1796" ht="40" customHeight="1">
      <c r="A1796" s="4" t="inlineStr">
        <is>
          <t>C28-P0038</t>
        </is>
      </c>
      <c r="B1796" s="4" t="inlineStr">
        <is>
          <t>C28</t>
        </is>
      </c>
      <c r="C1796" s="4" t="inlineStr">
        <is>
          <t>Agnipath Yojana</t>
        </is>
      </c>
      <c r="D1796" s="4" t="inlineStr">
        <is>
          <t>Benefits</t>
        </is>
      </c>
      <c r="E1796" s="4" t="inlineStr"/>
      <c r="F1796" s="4" t="inlineStr">
        <is>
          <t>en.schemeContent.benefits[1].children[5].children[4].children[0]</t>
        </is>
      </c>
      <c r="G1796" s="4" t="inlineStr">
        <is>
          <t>C28@20261028-f53d5aa4</t>
        </is>
      </c>
      <c r="H1796" s="4" t="n">
        <v>1</v>
      </c>
      <c r="I1796" s="4" t="n">
        <v>1</v>
      </c>
      <c r="J1796" s="4" t="inlineStr">
        <is>
          <t>₹ 5.02 Lakh</t>
        </is>
      </c>
      <c r="K1796" s="4" t="inlineStr">
        <is>
          <t>MS-C28</t>
        </is>
      </c>
      <c r="L1796" s="6" t="n">
        <v>46323</v>
      </c>
      <c r="M1796" s="4" t="inlineStr">
        <is>
          <t>Approved</t>
        </is>
      </c>
      <c r="N1796" s="4" t="inlineStr">
        <is>
          <t>text</t>
        </is>
      </c>
    </row>
    <row r="1797" ht="40" customHeight="1">
      <c r="A1797" s="8" t="inlineStr">
        <is>
          <t>C28-P0039</t>
        </is>
      </c>
      <c r="B1797" s="8" t="inlineStr">
        <is>
          <t>C28</t>
        </is>
      </c>
      <c r="C1797" s="8" t="inlineStr">
        <is>
          <t>Agnipath Yojana</t>
        </is>
      </c>
      <c r="D1797" s="8" t="inlineStr">
        <is>
          <t>Benefits</t>
        </is>
      </c>
      <c r="E1797" s="8" t="inlineStr"/>
      <c r="F1797" s="8" t="inlineStr">
        <is>
          <t>en.schemeContent.benefits[1].children[6].children[0].children[0]</t>
        </is>
      </c>
      <c r="G1797" s="8" t="inlineStr">
        <is>
          <t>C28@20261028-f53d5aa4</t>
        </is>
      </c>
      <c r="H1797" s="8" t="n">
        <v>1</v>
      </c>
      <c r="I1797" s="8" t="n">
        <v>1</v>
      </c>
      <c r="J1797" s="8" t="inlineStr">
        <is>
          <t>Exit After 4 Year</t>
        </is>
      </c>
      <c r="K1797" s="8" t="inlineStr">
        <is>
          <t>MS-C28</t>
        </is>
      </c>
      <c r="L1797" s="9" t="n">
        <v>46323</v>
      </c>
      <c r="M1797" s="8" t="inlineStr">
        <is>
          <t>Approved</t>
        </is>
      </c>
      <c r="N1797" s="8" t="inlineStr">
        <is>
          <t>text</t>
        </is>
      </c>
    </row>
    <row r="1798" ht="40" customHeight="1">
      <c r="A1798" s="4" t="inlineStr">
        <is>
          <t>C28-P0040</t>
        </is>
      </c>
      <c r="B1798" s="4" t="inlineStr">
        <is>
          <t>C28</t>
        </is>
      </c>
      <c r="C1798" s="4" t="inlineStr">
        <is>
          <t>Agnipath Yojana</t>
        </is>
      </c>
      <c r="D1798" s="4" t="inlineStr">
        <is>
          <t>Benefits</t>
        </is>
      </c>
      <c r="E1798" s="4" t="inlineStr"/>
      <c r="F1798" s="4" t="inlineStr">
        <is>
          <t>en.schemeContent.benefits[1].children[6].children[1].children[0]</t>
        </is>
      </c>
      <c r="G1798" s="4" t="inlineStr">
        <is>
          <t>C28@20261028-f53d5aa4</t>
        </is>
      </c>
      <c r="H1798" s="4" t="n">
        <v>1</v>
      </c>
      <c r="I1798" s="4" t="n">
        <v>1</v>
      </c>
      <c r="J1798" s="4" t="inlineStr">
        <is>
          <t>₹11.71 Lakh as SevaNidhi Package</t>
        </is>
      </c>
      <c r="K1798" s="4" t="inlineStr">
        <is>
          <t>MS-C28</t>
        </is>
      </c>
      <c r="L1798" s="6" t="n">
        <v>46323</v>
      </c>
      <c r="M1798" s="4" t="inlineStr">
        <is>
          <t>Approved</t>
        </is>
      </c>
      <c r="N1798" s="4" t="inlineStr">
        <is>
          <t>text</t>
        </is>
      </c>
    </row>
    <row r="1799" ht="40" customHeight="1">
      <c r="A1799" s="8" t="inlineStr">
        <is>
          <t>C28-P0041</t>
        </is>
      </c>
      <c r="B1799" s="8" t="inlineStr">
        <is>
          <t>C28</t>
        </is>
      </c>
      <c r="C1799" s="8" t="inlineStr">
        <is>
          <t>Agnipath Yojana</t>
        </is>
      </c>
      <c r="D1799" s="8" t="inlineStr">
        <is>
          <t>Benefits</t>
        </is>
      </c>
      <c r="E1799" s="8" t="inlineStr"/>
      <c r="F1799" s="8" t="inlineStr">
        <is>
          <t>en.schemeContent.benefits[1].children[6].children[1].children[1]</t>
        </is>
      </c>
      <c r="G1799" s="8" t="inlineStr">
        <is>
          <t>C28@20261028-f53d5aa4</t>
        </is>
      </c>
      <c r="H1799" s="8" t="n">
        <v>1</v>
      </c>
      <c r="I1799" s="8" t="n">
        <v>1</v>
      </c>
      <c r="J1799" s="8" t="inlineStr">
        <is>
          <t xml:space="preserve"> (Including, interest accumulated on the above amount as per the applicable interest rates would also be paid)</t>
        </is>
      </c>
      <c r="K1799" s="8" t="inlineStr">
        <is>
          <t>MS-C28</t>
        </is>
      </c>
      <c r="L1799" s="9" t="n">
        <v>46323</v>
      </c>
      <c r="M1799" s="8" t="inlineStr">
        <is>
          <t>Approved</t>
        </is>
      </c>
      <c r="N1799" s="8" t="inlineStr">
        <is>
          <t>text</t>
        </is>
      </c>
    </row>
    <row r="1800" ht="40" customHeight="1">
      <c r="A1800" s="4" t="inlineStr">
        <is>
          <t>C28-P0042</t>
        </is>
      </c>
      <c r="B1800" s="4" t="inlineStr">
        <is>
          <t>C28</t>
        </is>
      </c>
      <c r="C1800" s="4" t="inlineStr">
        <is>
          <t>Agnipath Yojana</t>
        </is>
      </c>
      <c r="D1800" s="4" t="inlineStr">
        <is>
          <t>Benefits</t>
        </is>
      </c>
      <c r="E1800" s="4" t="inlineStr"/>
      <c r="F1800" s="4" t="inlineStr">
        <is>
          <t>en.schemeContent.benefits[2]</t>
        </is>
      </c>
      <c r="G1800" s="4" t="inlineStr">
        <is>
          <t>C28@20261028-f53d5aa4</t>
        </is>
      </c>
      <c r="H1800" s="4" t="n">
        <v>1</v>
      </c>
      <c r="I1800" s="4" t="n">
        <v>1</v>
      </c>
      <c r="J1800" s="4" t="inlineStr">
        <is>
          <t>Note 01: The ‘Seva Nidhi’ will be exempt from Income Tax.</t>
        </is>
      </c>
      <c r="K1800" s="4" t="inlineStr">
        <is>
          <t>MS-C28</t>
        </is>
      </c>
      <c r="L1800" s="6" t="n">
        <v>46323</v>
      </c>
      <c r="M1800" s="4" t="inlineStr">
        <is>
          <t>Approved</t>
        </is>
      </c>
      <c r="N1800" s="4" t="inlineStr">
        <is>
          <t>paragraph</t>
        </is>
      </c>
    </row>
    <row r="1801" ht="40" customHeight="1">
      <c r="A1801" s="8" t="inlineStr">
        <is>
          <t>C28-P0043</t>
        </is>
      </c>
      <c r="B1801" s="8" t="inlineStr">
        <is>
          <t>C28</t>
        </is>
      </c>
      <c r="C1801" s="8" t="inlineStr">
        <is>
          <t>Agnipath Yojana</t>
        </is>
      </c>
      <c r="D1801" s="8" t="inlineStr">
        <is>
          <t>Benefits</t>
        </is>
      </c>
      <c r="E1801" s="8" t="inlineStr"/>
      <c r="F1801" s="8" t="inlineStr">
        <is>
          <t>en.schemeContent.benefits[3]</t>
        </is>
      </c>
      <c r="G1801" s="8" t="inlineStr">
        <is>
          <t>C28@20261028-f53d5aa4</t>
        </is>
      </c>
      <c r="H1801" s="8" t="n">
        <v>1</v>
      </c>
      <c r="I1801" s="8" t="n">
        <v>1</v>
      </c>
      <c r="J1801" s="8" t="inlineStr">
        <is>
          <t>Note 02: There shall be no entitlement to gratuity and pensionary benefits.</t>
        </is>
      </c>
      <c r="K1801" s="8" t="inlineStr">
        <is>
          <t>MS-C28</t>
        </is>
      </c>
      <c r="L1801" s="9" t="n">
        <v>46323</v>
      </c>
      <c r="M1801" s="8" t="inlineStr">
        <is>
          <t>Approved</t>
        </is>
      </c>
      <c r="N1801" s="8" t="inlineStr">
        <is>
          <t>paragraph</t>
        </is>
      </c>
    </row>
    <row r="1802" ht="40" customHeight="1">
      <c r="A1802" s="4" t="inlineStr">
        <is>
          <t>C28-P0044</t>
        </is>
      </c>
      <c r="B1802" s="4" t="inlineStr">
        <is>
          <t>C28</t>
        </is>
      </c>
      <c r="C1802" s="4" t="inlineStr">
        <is>
          <t>Agnipath Yojana</t>
        </is>
      </c>
      <c r="D1802" s="4" t="inlineStr">
        <is>
          <t>Benefits</t>
        </is>
      </c>
      <c r="E1802" s="4" t="inlineStr"/>
      <c r="F1802" s="4" t="inlineStr">
        <is>
          <t>en.schemeContent.benefits[4].children[0]</t>
        </is>
      </c>
      <c r="G1802" s="4" t="inlineStr">
        <is>
          <t>C28@20261028-f53d5aa4</t>
        </is>
      </c>
      <c r="H1802" s="4" t="n">
        <v>1</v>
      </c>
      <c r="I1802" s="4" t="n">
        <v>1</v>
      </c>
      <c r="J1802" s="4" t="inlineStr">
        <is>
          <t>Note 03: Agniveers will be provided non-contributory Life Insurance Cover of ₹48 lakh for the duration of their engagement period in the Indian Armed Forces.</t>
        </is>
      </c>
      <c r="K1802" s="4" t="inlineStr">
        <is>
          <t>MS-C28</t>
        </is>
      </c>
      <c r="L1802" s="6" t="n">
        <v>46323</v>
      </c>
      <c r="M1802" s="4" t="inlineStr">
        <is>
          <t>Approved</t>
        </is>
      </c>
      <c r="N1802" s="4" t="inlineStr">
        <is>
          <t>paragraph</t>
        </is>
      </c>
    </row>
    <row r="1803" ht="40" customHeight="1">
      <c r="A1803" s="8" t="inlineStr">
        <is>
          <t>C28-P0045</t>
        </is>
      </c>
      <c r="B1803" s="8" t="inlineStr">
        <is>
          <t>C28</t>
        </is>
      </c>
      <c r="C1803" s="8" t="inlineStr">
        <is>
          <t>Agnipath Yojana</t>
        </is>
      </c>
      <c r="D1803" s="8" t="inlineStr">
        <is>
          <t>Eligibility</t>
        </is>
      </c>
      <c r="E1803" s="8" t="inlineStr"/>
      <c r="F1803" s="8" t="inlineStr">
        <is>
          <t>en.eligibilityCriteria.eligibilityDescription[0].children[0].children[0]</t>
        </is>
      </c>
      <c r="G1803" s="8" t="inlineStr">
        <is>
          <t>C28@20261028-f53d5aa4</t>
        </is>
      </c>
      <c r="H1803" s="8" t="n">
        <v>1</v>
      </c>
      <c r="I1803" s="8" t="n">
        <v>1</v>
      </c>
      <c r="J1803" s="8" t="inlineStr">
        <is>
          <t>The applicant must be a citizen of India.</t>
        </is>
      </c>
      <c r="K1803" s="8" t="inlineStr">
        <is>
          <t>MS-C28</t>
        </is>
      </c>
      <c r="L1803" s="9" t="n">
        <v>46323</v>
      </c>
      <c r="M1803" s="8" t="inlineStr">
        <is>
          <t>Approved</t>
        </is>
      </c>
      <c r="N1803" s="8" t="inlineStr">
        <is>
          <t>list_item</t>
        </is>
      </c>
    </row>
    <row r="1804" ht="40" customHeight="1">
      <c r="A1804" s="4" t="inlineStr">
        <is>
          <t>C28-P0046</t>
        </is>
      </c>
      <c r="B1804" s="4" t="inlineStr">
        <is>
          <t>C28</t>
        </is>
      </c>
      <c r="C1804" s="4" t="inlineStr">
        <is>
          <t>Agnipath Yojana</t>
        </is>
      </c>
      <c r="D1804" s="4" t="inlineStr">
        <is>
          <t>Eligibility</t>
        </is>
      </c>
      <c r="E1804" s="4" t="inlineStr"/>
      <c r="F1804" s="4" t="inlineStr">
        <is>
          <t>en.eligibilityCriteria.eligibilityDescription[0].children[0].children[1]</t>
        </is>
      </c>
      <c r="G1804" s="4" t="inlineStr">
        <is>
          <t>C28@20261028-f53d5aa4</t>
        </is>
      </c>
      <c r="H1804" s="4" t="n">
        <v>1</v>
      </c>
      <c r="I1804" s="4" t="n">
        <v>1</v>
      </c>
      <c r="J1804" s="4" t="inlineStr">
        <is>
          <t>For the 2022 intake, the age of the applicant should be between 17.5 to 23 years. For the subsequent intakes, the age of the applicant should be between 17.5 to 21 years.</t>
        </is>
      </c>
      <c r="K1804" s="4" t="inlineStr">
        <is>
          <t>MS-C28</t>
        </is>
      </c>
      <c r="L1804" s="6" t="n">
        <v>46323</v>
      </c>
      <c r="M1804" s="4" t="inlineStr">
        <is>
          <t>Approved</t>
        </is>
      </c>
      <c r="N1804" s="4" t="inlineStr">
        <is>
          <t>list_item</t>
        </is>
      </c>
    </row>
    <row r="1805" ht="40" customHeight="1">
      <c r="A1805" s="8" t="inlineStr">
        <is>
          <t>C28-P0047</t>
        </is>
      </c>
      <c r="B1805" s="8" t="inlineStr">
        <is>
          <t>C28</t>
        </is>
      </c>
      <c r="C1805" s="8" t="inlineStr">
        <is>
          <t>Agnipath Yojana</t>
        </is>
      </c>
      <c r="D1805" s="8" t="inlineStr">
        <is>
          <t>Eligibility</t>
        </is>
      </c>
      <c r="E1805" s="8" t="inlineStr"/>
      <c r="F1805" s="8" t="inlineStr">
        <is>
          <t>en.eligibilityCriteria.eligibilityDescription[0].children[0].children[2]</t>
        </is>
      </c>
      <c r="G1805" s="8" t="inlineStr">
        <is>
          <t>C28@20261028-f53d5aa4</t>
        </is>
      </c>
      <c r="H1805" s="8" t="n">
        <v>1</v>
      </c>
      <c r="I1805" s="8" t="n">
        <v>1</v>
      </c>
      <c r="J1805" s="8" t="inlineStr">
        <is>
          <t>The applicant must fulfill the educational qualifications and physical and medical standards set by the Indian Army / Indian Navy / Indian Air Force.</t>
        </is>
      </c>
      <c r="K1805" s="8" t="inlineStr">
        <is>
          <t>MS-C28</t>
        </is>
      </c>
      <c r="L1805" s="9" t="n">
        <v>46323</v>
      </c>
      <c r="M1805" s="8" t="inlineStr">
        <is>
          <t>Approved</t>
        </is>
      </c>
      <c r="N1805" s="8" t="inlineStr">
        <is>
          <t>list_item</t>
        </is>
      </c>
    </row>
    <row r="1806" ht="54" customHeight="1">
      <c r="A1806" s="4" t="inlineStr">
        <is>
          <t>C28-P0048</t>
        </is>
      </c>
      <c r="B1806" s="4" t="inlineStr">
        <is>
          <t>C28</t>
        </is>
      </c>
      <c r="C1806" s="4" t="inlineStr">
        <is>
          <t>Agnipath Yojana</t>
        </is>
      </c>
      <c r="D1806" s="4" t="inlineStr">
        <is>
          <t>Eligibility</t>
        </is>
      </c>
      <c r="E1806" s="4" t="inlineStr"/>
      <c r="F1806" s="4" t="inlineStr">
        <is>
          <t>en.eligibilityCriteria.eligibilityDescription[1].children[0]</t>
        </is>
      </c>
      <c r="G1806" s="4" t="inlineStr">
        <is>
          <t>C28@20261028-f53d5aa4</t>
        </is>
      </c>
      <c r="H1806" s="4" t="n">
        <v>1</v>
      </c>
      <c r="I1806" s="4" t="n">
        <v>1</v>
      </c>
      <c r="J1806" s="4" t="inlineStr">
        <is>
          <t>Note 01: The Agniveers will be enrolled in the Forces under respective Service Acts for a period of four years. They would form a distinct rank in the Armed Forces, different from any other existing ranks.</t>
        </is>
      </c>
      <c r="K1806" s="4" t="inlineStr">
        <is>
          <t>MS-C28</t>
        </is>
      </c>
      <c r="L1806" s="6" t="n">
        <v>46323</v>
      </c>
      <c r="M1806" s="4" t="inlineStr">
        <is>
          <t>Approved</t>
        </is>
      </c>
      <c r="N1806" s="4" t="inlineStr">
        <is>
          <t>paragraph</t>
        </is>
      </c>
    </row>
    <row r="1807" ht="54" customHeight="1">
      <c r="A1807" s="8" t="inlineStr">
        <is>
          <t>C28-P0049</t>
        </is>
      </c>
      <c r="B1807" s="8" t="inlineStr">
        <is>
          <t>C28</t>
        </is>
      </c>
      <c r="C1807" s="8" t="inlineStr">
        <is>
          <t>Agnipath Yojana</t>
        </is>
      </c>
      <c r="D1807" s="8" t="inlineStr">
        <is>
          <t>Eligibility</t>
        </is>
      </c>
      <c r="E1807" s="8" t="inlineStr"/>
      <c r="F1807" s="8" t="inlineStr">
        <is>
          <t>en.eligibilityCriteria.eligibilityDescription[1].children[1]</t>
        </is>
      </c>
      <c r="G1807" s="8" t="inlineStr">
        <is>
          <t>C28@20261028-f53d5aa4</t>
        </is>
      </c>
      <c r="H1807" s="8" t="n">
        <v>1</v>
      </c>
      <c r="I1807" s="8" t="n">
        <v>1</v>
      </c>
      <c r="J1807" s="8" t="inlineStr">
        <is>
          <t>Note 02: Upon the completion of four years of service, based on organizational requirements and policies promulgated by the Armed Forces from time to time, Agniveers will be offered an opportunity to apply for permanent enrolment in the Armed Forces.</t>
        </is>
      </c>
      <c r="K1807" s="8" t="inlineStr">
        <is>
          <t>MS-C28</t>
        </is>
      </c>
      <c r="L1807" s="9" t="n">
        <v>46323</v>
      </c>
      <c r="M1807" s="8" t="inlineStr">
        <is>
          <t>Approved</t>
        </is>
      </c>
      <c r="N1807" s="8" t="inlineStr">
        <is>
          <t>paragraph</t>
        </is>
      </c>
    </row>
    <row r="1808" ht="68" customHeight="1">
      <c r="A1808" s="4" t="inlineStr">
        <is>
          <t>C28-P0050</t>
        </is>
      </c>
      <c r="B1808" s="4" t="inlineStr">
        <is>
          <t>C28</t>
        </is>
      </c>
      <c r="C1808" s="4" t="inlineStr">
        <is>
          <t>Agnipath Yojana</t>
        </is>
      </c>
      <c r="D1808" s="4" t="inlineStr">
        <is>
          <t>Eligibility</t>
        </is>
      </c>
      <c r="E1808" s="4" t="inlineStr"/>
      <c r="F1808" s="4" t="inlineStr">
        <is>
          <t>en.eligibilityCriteria.eligibilityDescription[1].children[2]</t>
        </is>
      </c>
      <c r="G1808" s="4" t="inlineStr">
        <is>
          <t>C28@20261028-f53d5aa4</t>
        </is>
      </c>
      <c r="H1808" s="4" t="n">
        <v>1</v>
      </c>
      <c r="I1808" s="4" t="n">
        <v>1</v>
      </c>
      <c r="J1808" s="4" t="inlineStr">
        <is>
          <t>Note 03: The applications for permanent enrolment will be considered in a centralized manner based on objective criteria including performance during their four-year engagement period and up to 25% of each specific batch of Agniveers will be enrolled in the regular cadre of the Armed Forces. The selection will be the exclusive jurisdiction of the Armed Forces.</t>
        </is>
      </c>
      <c r="K1808" s="4" t="inlineStr">
        <is>
          <t>MS-C28</t>
        </is>
      </c>
      <c r="L1808" s="6" t="n">
        <v>46323</v>
      </c>
      <c r="M1808" s="4" t="inlineStr">
        <is>
          <t>Approved</t>
        </is>
      </c>
      <c r="N1808" s="4" t="inlineStr">
        <is>
          <t>paragraph</t>
        </is>
      </c>
    </row>
    <row r="1809" ht="40" customHeight="1">
      <c r="A1809" s="8" t="inlineStr">
        <is>
          <t>C28-P0051</t>
        </is>
      </c>
      <c r="B1809" s="8" t="inlineStr">
        <is>
          <t>C28</t>
        </is>
      </c>
      <c r="C1809" s="8" t="inlineStr">
        <is>
          <t>Agnipath Yojana</t>
        </is>
      </c>
      <c r="D1809" s="8" t="inlineStr">
        <is>
          <t>Eligibility</t>
        </is>
      </c>
      <c r="E1809" s="8" t="inlineStr"/>
      <c r="F1809" s="8" t="inlineStr">
        <is>
          <t>en.eligibilityCriteria.eligibilityDescription[1].children[3]</t>
        </is>
      </c>
      <c r="G1809" s="8" t="inlineStr">
        <is>
          <t>C28@20261028-f53d5aa4</t>
        </is>
      </c>
      <c r="H1809" s="8" t="n">
        <v>1</v>
      </c>
      <c r="I1809" s="8" t="n">
        <v>1</v>
      </c>
      <c r="J1809" s="8" t="inlineStr">
        <is>
          <t>Note 04: Agniveers will meet the medical eligibility conditions laid down for enrolment in the armed forces as applicable to respective categories/trades.</t>
        </is>
      </c>
      <c r="K1809" s="8" t="inlineStr">
        <is>
          <t>MS-C28</t>
        </is>
      </c>
      <c r="L1809" s="9" t="n">
        <v>46323</v>
      </c>
      <c r="M1809" s="8" t="inlineStr">
        <is>
          <t>Approved</t>
        </is>
      </c>
      <c r="N1809" s="8" t="inlineStr">
        <is>
          <t>paragraph</t>
        </is>
      </c>
    </row>
    <row r="1810" ht="40" customHeight="1">
      <c r="A1810" s="4" t="inlineStr">
        <is>
          <t>C28-P0052</t>
        </is>
      </c>
      <c r="B1810" s="4" t="inlineStr">
        <is>
          <t>C28</t>
        </is>
      </c>
      <c r="C1810" s="4" t="inlineStr">
        <is>
          <t>Agnipath Yojana</t>
        </is>
      </c>
      <c r="D1810" s="4" t="inlineStr">
        <is>
          <t>Eligibility</t>
        </is>
      </c>
      <c r="E1810" s="4" t="inlineStr"/>
      <c r="F1810" s="4" t="inlineStr">
        <is>
          <t>en.eligibilityCriteria.eligibilityDescription[1].children[4]</t>
        </is>
      </c>
      <c r="G1810" s="4" t="inlineStr">
        <is>
          <t>C28@20261028-f53d5aa4</t>
        </is>
      </c>
      <c r="H1810" s="4" t="n">
        <v>1</v>
      </c>
      <c r="I1810" s="4" t="n">
        <v>1</v>
      </c>
      <c r="J1810" s="4" t="inlineStr">
        <is>
          <t>Note 05: The educational qualification for Agniveers will remain as in vogue for enrollment in various categories.</t>
        </is>
      </c>
      <c r="K1810" s="4" t="inlineStr">
        <is>
          <t>MS-C28</t>
        </is>
      </c>
      <c r="L1810" s="6" t="n">
        <v>46323</v>
      </c>
      <c r="M1810" s="4" t="inlineStr">
        <is>
          <t>Approved</t>
        </is>
      </c>
      <c r="N1810" s="4" t="inlineStr">
        <is>
          <t>paragraph</t>
        </is>
      </c>
    </row>
    <row r="1811" ht="40" customHeight="1">
      <c r="A1811" s="8" t="inlineStr">
        <is>
          <t>C28-P0053</t>
        </is>
      </c>
      <c r="B1811" s="8" t="inlineStr">
        <is>
          <t>C28</t>
        </is>
      </c>
      <c r="C1811" s="8" t="inlineStr">
        <is>
          <t>Agnipath Yojana</t>
        </is>
      </c>
      <c r="D1811" s="8" t="inlineStr">
        <is>
          <t>Exclusions</t>
        </is>
      </c>
      <c r="E1811" s="8" t="inlineStr"/>
      <c r="F1811" s="8" t="inlineStr">
        <is>
          <t>en.schemeContent.exclusions[0]</t>
        </is>
      </c>
      <c r="G1811" s="8" t="inlineStr">
        <is>
          <t>C28@20261028-f53d5aa4</t>
        </is>
      </c>
      <c r="H1811" s="8" t="n">
        <v>1</v>
      </c>
      <c r="I1811" s="8" t="n">
        <v>1</v>
      </c>
      <c r="J1811" s="8" t="inlineStr">
        <is>
          <t>The scheme is applicable at the soldier (jawan) level, and not the officer level.</t>
        </is>
      </c>
      <c r="K1811" s="8" t="inlineStr">
        <is>
          <t>MS-C28</t>
        </is>
      </c>
      <c r="L1811" s="9" t="n">
        <v>46323</v>
      </c>
      <c r="M1811" s="8" t="inlineStr">
        <is>
          <t>Approved</t>
        </is>
      </c>
      <c r="N1811" s="8" t="inlineStr">
        <is>
          <t>paragraph</t>
        </is>
      </c>
    </row>
    <row r="1812" ht="40" customHeight="1">
      <c r="A1812" s="4" t="inlineStr">
        <is>
          <t>C28-P0054</t>
        </is>
      </c>
      <c r="B1812" s="4" t="inlineStr">
        <is>
          <t>C28</t>
        </is>
      </c>
      <c r="C1812" s="4" t="inlineStr">
        <is>
          <t>Agnipath Yojana</t>
        </is>
      </c>
      <c r="D1812" s="4" t="inlineStr">
        <is>
          <t>Applicant documents</t>
        </is>
      </c>
      <c r="E1812" s="4" t="inlineStr"/>
      <c r="F1812" s="4" t="inlineStr">
        <is>
          <t>documents.en.documents_required[0].children[0]</t>
        </is>
      </c>
      <c r="G1812" s="4" t="inlineStr">
        <is>
          <t>C28@20261028-f53d5aa4</t>
        </is>
      </c>
      <c r="H1812" s="4" t="n">
        <v>1</v>
      </c>
      <c r="I1812" s="4" t="n">
        <v>1</v>
      </c>
      <c r="J1812" s="4" t="inlineStr">
        <is>
          <t>Proof of Identity i.e. Aadhaar Card</t>
        </is>
      </c>
      <c r="K1812" s="4" t="inlineStr">
        <is>
          <t>MS-C28</t>
        </is>
      </c>
      <c r="L1812" s="6" t="n">
        <v>46323</v>
      </c>
      <c r="M1812" s="4" t="inlineStr">
        <is>
          <t>Approved</t>
        </is>
      </c>
      <c r="N1812" s="4" t="inlineStr">
        <is>
          <t>list_item</t>
        </is>
      </c>
    </row>
    <row r="1813" ht="40" customHeight="1">
      <c r="A1813" s="8" t="inlineStr">
        <is>
          <t>C28-P0055</t>
        </is>
      </c>
      <c r="B1813" s="8" t="inlineStr">
        <is>
          <t>C28</t>
        </is>
      </c>
      <c r="C1813" s="8" t="inlineStr">
        <is>
          <t>Agnipath Yojana</t>
        </is>
      </c>
      <c r="D1813" s="8" t="inlineStr">
        <is>
          <t>Applicant documents</t>
        </is>
      </c>
      <c r="E1813" s="8" t="inlineStr"/>
      <c r="F1813" s="8" t="inlineStr">
        <is>
          <t>documents.en.documents_required[0].children[1]</t>
        </is>
      </c>
      <c r="G1813" s="8" t="inlineStr">
        <is>
          <t>C28@20261028-f53d5aa4</t>
        </is>
      </c>
      <c r="H1813" s="8" t="n">
        <v>1</v>
      </c>
      <c r="I1813" s="8" t="n">
        <v>1</v>
      </c>
      <c r="J1813" s="8" t="inlineStr">
        <is>
          <t>Proof of Address</t>
        </is>
      </c>
      <c r="K1813" s="8" t="inlineStr">
        <is>
          <t>MS-C28</t>
        </is>
      </c>
      <c r="L1813" s="9" t="n">
        <v>46323</v>
      </c>
      <c r="M1813" s="8" t="inlineStr">
        <is>
          <t>Approved</t>
        </is>
      </c>
      <c r="N1813" s="8" t="inlineStr">
        <is>
          <t>list_item</t>
        </is>
      </c>
    </row>
    <row r="1814" ht="40" customHeight="1">
      <c r="A1814" s="4" t="inlineStr">
        <is>
          <t>C28-P0056</t>
        </is>
      </c>
      <c r="B1814" s="4" t="inlineStr">
        <is>
          <t>C28</t>
        </is>
      </c>
      <c r="C1814" s="4" t="inlineStr">
        <is>
          <t>Agnipath Yojana</t>
        </is>
      </c>
      <c r="D1814" s="4" t="inlineStr">
        <is>
          <t>Applicant documents</t>
        </is>
      </c>
      <c r="E1814" s="4" t="inlineStr"/>
      <c r="F1814" s="4" t="inlineStr">
        <is>
          <t>documents.en.documents_required[0].children[2]</t>
        </is>
      </c>
      <c r="G1814" s="4" t="inlineStr">
        <is>
          <t>C28@20261028-f53d5aa4</t>
        </is>
      </c>
      <c r="H1814" s="4" t="n">
        <v>1</v>
      </c>
      <c r="I1814" s="4" t="n">
        <v>1</v>
      </c>
      <c r="J1814" s="4" t="inlineStr">
        <is>
          <t>Proof of Highest Educational Qualifications</t>
        </is>
      </c>
      <c r="K1814" s="4" t="inlineStr">
        <is>
          <t>MS-C28</t>
        </is>
      </c>
      <c r="L1814" s="6" t="n">
        <v>46323</v>
      </c>
      <c r="M1814" s="4" t="inlineStr">
        <is>
          <t>Approved</t>
        </is>
      </c>
      <c r="N1814" s="4" t="inlineStr">
        <is>
          <t>list_item</t>
        </is>
      </c>
    </row>
    <row r="1815" ht="40" customHeight="1">
      <c r="A1815" s="8" t="inlineStr">
        <is>
          <t>C28-P0057</t>
        </is>
      </c>
      <c r="B1815" s="8" t="inlineStr">
        <is>
          <t>C28</t>
        </is>
      </c>
      <c r="C1815" s="8" t="inlineStr">
        <is>
          <t>Agnipath Yojana</t>
        </is>
      </c>
      <c r="D1815" s="8" t="inlineStr">
        <is>
          <t>Applicant documents</t>
        </is>
      </c>
      <c r="E1815" s="8" t="inlineStr"/>
      <c r="F1815" s="8" t="inlineStr">
        <is>
          <t>documents.en.documents_required[0].children[3]</t>
        </is>
      </c>
      <c r="G1815" s="8" t="inlineStr">
        <is>
          <t>C28@20261028-f53d5aa4</t>
        </is>
      </c>
      <c r="H1815" s="8" t="n">
        <v>1</v>
      </c>
      <c r="I1815" s="8" t="n">
        <v>1</v>
      </c>
      <c r="J1815" s="8" t="inlineStr">
        <is>
          <t>Proof of Medical Category</t>
        </is>
      </c>
      <c r="K1815" s="8" t="inlineStr">
        <is>
          <t>MS-C28</t>
        </is>
      </c>
      <c r="L1815" s="9" t="n">
        <v>46323</v>
      </c>
      <c r="M1815" s="8" t="inlineStr">
        <is>
          <t>Approved</t>
        </is>
      </c>
      <c r="N1815" s="8" t="inlineStr">
        <is>
          <t>list_item</t>
        </is>
      </c>
    </row>
    <row r="1816" ht="40" customHeight="1">
      <c r="A1816" s="4" t="inlineStr">
        <is>
          <t>C28-P0058</t>
        </is>
      </c>
      <c r="B1816" s="4" t="inlineStr">
        <is>
          <t>C28</t>
        </is>
      </c>
      <c r="C1816" s="4" t="inlineStr">
        <is>
          <t>Agnipath Yojana</t>
        </is>
      </c>
      <c r="D1816" s="4" t="inlineStr">
        <is>
          <t>Applicant documents</t>
        </is>
      </c>
      <c r="E1816" s="4" t="inlineStr"/>
      <c r="F1816" s="4" t="inlineStr">
        <is>
          <t>documents.en.documents_required[0].children[4]</t>
        </is>
      </c>
      <c r="G1816" s="4" t="inlineStr">
        <is>
          <t>C28@20261028-f53d5aa4</t>
        </is>
      </c>
      <c r="H1816" s="4" t="n">
        <v>1</v>
      </c>
      <c r="I1816" s="4" t="n">
        <v>1</v>
      </c>
      <c r="J1816" s="4" t="inlineStr">
        <is>
          <t>Passport-size photograph</t>
        </is>
      </c>
      <c r="K1816" s="4" t="inlineStr">
        <is>
          <t>MS-C28</t>
        </is>
      </c>
      <c r="L1816" s="6" t="n">
        <v>46323</v>
      </c>
      <c r="M1816" s="4" t="inlineStr">
        <is>
          <t>Approved</t>
        </is>
      </c>
      <c r="N1816" s="4" t="inlineStr">
        <is>
          <t>list_item</t>
        </is>
      </c>
    </row>
    <row r="1817" ht="40" customHeight="1">
      <c r="A1817" s="8" t="inlineStr">
        <is>
          <t>C28-P0059</t>
        </is>
      </c>
      <c r="B1817" s="8" t="inlineStr">
        <is>
          <t>C28</t>
        </is>
      </c>
      <c r="C1817" s="8" t="inlineStr">
        <is>
          <t>Agnipath Yojana</t>
        </is>
      </c>
      <c r="D1817" s="8" t="inlineStr">
        <is>
          <t>Applicant documents</t>
        </is>
      </c>
      <c r="E1817" s="8" t="inlineStr"/>
      <c r="F1817" s="8" t="inlineStr">
        <is>
          <t>documents.en.documents_required[0].children[5]</t>
        </is>
      </c>
      <c r="G1817" s="8" t="inlineStr">
        <is>
          <t>C28@20261028-f53d5aa4</t>
        </is>
      </c>
      <c r="H1817" s="8" t="n">
        <v>1</v>
      </c>
      <c r="I1817" s="8" t="n">
        <v>1</v>
      </c>
      <c r="J1817" s="8" t="inlineStr">
        <is>
          <t>Domicile Certificate</t>
        </is>
      </c>
      <c r="K1817" s="8" t="inlineStr">
        <is>
          <t>MS-C28</t>
        </is>
      </c>
      <c r="L1817" s="9" t="n">
        <v>46323</v>
      </c>
      <c r="M1817" s="8" t="inlineStr">
        <is>
          <t>Approved</t>
        </is>
      </c>
      <c r="N1817" s="8" t="inlineStr">
        <is>
          <t>list_item</t>
        </is>
      </c>
    </row>
    <row r="1818" ht="40" customHeight="1">
      <c r="A1818" s="4" t="inlineStr">
        <is>
          <t>C28-P0060</t>
        </is>
      </c>
      <c r="B1818" s="4" t="inlineStr">
        <is>
          <t>C28</t>
        </is>
      </c>
      <c r="C1818" s="4" t="inlineStr">
        <is>
          <t>Agnipath Yojana</t>
        </is>
      </c>
      <c r="D1818" s="4" t="inlineStr">
        <is>
          <t>Applicant documents</t>
        </is>
      </c>
      <c r="E1818" s="4" t="inlineStr"/>
      <c r="F1818" s="4" t="inlineStr">
        <is>
          <t>documents.en.documents_required[0].children[6]</t>
        </is>
      </c>
      <c r="G1818" s="4" t="inlineStr">
        <is>
          <t>C28@20261028-f53d5aa4</t>
        </is>
      </c>
      <c r="H1818" s="4" t="n">
        <v>1</v>
      </c>
      <c r="I1818" s="4" t="n">
        <v>1</v>
      </c>
      <c r="J1818" s="4" t="inlineStr">
        <is>
          <t>The applicants will have to submit a written pledge that they were not involved in the violent protests against the Agnipath scheme.</t>
        </is>
      </c>
      <c r="K1818" s="4" t="inlineStr">
        <is>
          <t>MS-C28</t>
        </is>
      </c>
      <c r="L1818" s="6" t="n">
        <v>46323</v>
      </c>
      <c r="M1818" s="4" t="inlineStr">
        <is>
          <t>Approved</t>
        </is>
      </c>
      <c r="N1818" s="4" t="inlineStr">
        <is>
          <t>list_item</t>
        </is>
      </c>
    </row>
    <row r="1819" ht="40" customHeight="1">
      <c r="A1819" s="8" t="inlineStr">
        <is>
          <t>C28-P0061</t>
        </is>
      </c>
      <c r="B1819" s="8" t="inlineStr">
        <is>
          <t>C28</t>
        </is>
      </c>
      <c r="C1819" s="8" t="inlineStr">
        <is>
          <t>Agnipath Yojana</t>
        </is>
      </c>
      <c r="D1819" s="8" t="inlineStr">
        <is>
          <t>Applicant documents</t>
        </is>
      </c>
      <c r="E1819" s="8" t="inlineStr"/>
      <c r="F1819" s="8" t="inlineStr">
        <is>
          <t>documents.en.documents_required[1]</t>
        </is>
      </c>
      <c r="G1819" s="8" t="inlineStr">
        <is>
          <t>C28@20261028-f53d5aa4</t>
        </is>
      </c>
      <c r="H1819" s="8" t="n">
        <v>1</v>
      </c>
      <c r="I1819" s="8" t="n">
        <v>1</v>
      </c>
      <c r="J1819" s="8" t="inlineStr">
        <is>
          <t>Note: The list of documents required is tentative, the ministry shall release the complete list of the required documents in the public domain in the future.</t>
        </is>
      </c>
      <c r="K1819" s="8" t="inlineStr">
        <is>
          <t>MS-C28</t>
        </is>
      </c>
      <c r="L1819" s="9" t="n">
        <v>46323</v>
      </c>
      <c r="M1819" s="8" t="inlineStr">
        <is>
          <t>Approved</t>
        </is>
      </c>
      <c r="N1819" s="8" t="inlineStr">
        <is>
          <t>paragraph</t>
        </is>
      </c>
    </row>
    <row r="1820" ht="54" customHeight="1">
      <c r="A1820" s="4" t="inlineStr">
        <is>
          <t>C28-P0062</t>
        </is>
      </c>
      <c r="B1820" s="4" t="inlineStr">
        <is>
          <t>C28</t>
        </is>
      </c>
      <c r="C1820" s="4" t="inlineStr">
        <is>
          <t>Agnipath Yojana</t>
        </is>
      </c>
      <c r="D1820" s="4" t="inlineStr">
        <is>
          <t>Application process</t>
        </is>
      </c>
      <c r="E1820" s="4" t="inlineStr"/>
      <c r="F1820" s="4" t="inlineStr">
        <is>
          <t>en.applicationProcess[0].process[0].children[0].children[0]</t>
        </is>
      </c>
      <c r="G1820" s="4" t="inlineStr">
        <is>
          <t>C28@20261028-f53d5aa4</t>
        </is>
      </c>
      <c r="H1820" s="4" t="n">
        <v>1</v>
      </c>
      <c r="I1820" s="4" t="n">
        <v>1</v>
      </c>
      <c r="J1820" s="4" t="inlineStr">
        <is>
          <t>Enrolment will be undertaken through an online centralized system for all three services with specialized rallies and campus interviews from recognized technical institutes such as Industrial Training Institutes and National Skills Qualifications Framework, among others.</t>
        </is>
      </c>
      <c r="K1820" s="4" t="inlineStr">
        <is>
          <t>MS-C28</t>
        </is>
      </c>
      <c r="L1820" s="6" t="n">
        <v>46323</v>
      </c>
      <c r="M1820" s="4" t="inlineStr">
        <is>
          <t>Approved</t>
        </is>
      </c>
      <c r="N1820" s="4" t="inlineStr">
        <is>
          <t>list_item</t>
        </is>
      </c>
    </row>
    <row r="1821" ht="40" customHeight="1">
      <c r="A1821" s="8" t="inlineStr">
        <is>
          <t>C28-P0063</t>
        </is>
      </c>
      <c r="B1821" s="8" t="inlineStr">
        <is>
          <t>C28</t>
        </is>
      </c>
      <c r="C1821" s="8" t="inlineStr">
        <is>
          <t>Agnipath Yojana</t>
        </is>
      </c>
      <c r="D1821" s="8" t="inlineStr">
        <is>
          <t>Application process</t>
        </is>
      </c>
      <c r="E1821" s="8" t="inlineStr"/>
      <c r="F1821" s="8" t="inlineStr">
        <is>
          <t>en.applicationProcess[0].process[0].children[0].children[1]</t>
        </is>
      </c>
      <c r="G1821" s="8" t="inlineStr">
        <is>
          <t>C28@20261028-f53d5aa4</t>
        </is>
      </c>
      <c r="H1821" s="8" t="n">
        <v>1</v>
      </c>
      <c r="I1821" s="8" t="n">
        <v>1</v>
      </c>
      <c r="J1821" s="8" t="inlineStr">
        <is>
          <t>Enrolment will be based on an ‘All India All Class’ basis.</t>
        </is>
      </c>
      <c r="K1821" s="8" t="inlineStr">
        <is>
          <t>MS-C28</t>
        </is>
      </c>
      <c r="L1821" s="9" t="n">
        <v>46323</v>
      </c>
      <c r="M1821" s="8" t="inlineStr">
        <is>
          <t>Approved</t>
        </is>
      </c>
      <c r="N1821" s="8" t="inlineStr">
        <is>
          <t>list_item</t>
        </is>
      </c>
    </row>
    <row r="1822" ht="40" customHeight="1">
      <c r="A1822" s="4" t="inlineStr">
        <is>
          <t>C28-P0064</t>
        </is>
      </c>
      <c r="B1822" s="4" t="inlineStr">
        <is>
          <t>C28</t>
        </is>
      </c>
      <c r="C1822" s="4" t="inlineStr">
        <is>
          <t>Agnipath Yojana</t>
        </is>
      </c>
      <c r="D1822" s="4" t="inlineStr">
        <is>
          <t>Application process</t>
        </is>
      </c>
      <c r="E1822" s="4" t="inlineStr"/>
      <c r="F1822" s="4" t="inlineStr">
        <is>
          <t>en.applicationProcess[0].process[0].children[1]</t>
        </is>
      </c>
      <c r="G1822" s="4" t="inlineStr">
        <is>
          <t>C28@20261028-f53d5aa4</t>
        </is>
      </c>
      <c r="H1822" s="4" t="n">
        <v>1</v>
      </c>
      <c r="I1822" s="4" t="n">
        <v>1</v>
      </c>
      <c r="J1822" s="4" t="inlineStr">
        <is>
          <t>The candidates will be recruited as per the existing pattern of selection into the Armed Forces.</t>
        </is>
      </c>
      <c r="K1822" s="4" t="inlineStr">
        <is>
          <t>MS-C28</t>
        </is>
      </c>
      <c r="L1822" s="6" t="n">
        <v>46323</v>
      </c>
      <c r="M1822" s="4" t="inlineStr">
        <is>
          <t>Approved</t>
        </is>
      </c>
      <c r="N1822" s="4" t="inlineStr">
        <is>
          <t>paragraph</t>
        </is>
      </c>
    </row>
    <row r="1823" ht="40" customHeight="1">
      <c r="A1823" s="8" t="inlineStr">
        <is>
          <t>C28-P0065</t>
        </is>
      </c>
      <c r="B1823" s="8" t="inlineStr">
        <is>
          <t>C28</t>
        </is>
      </c>
      <c r="C1823" s="8" t="inlineStr">
        <is>
          <t>Agnipath Yojana</t>
        </is>
      </c>
      <c r="D1823" s="8" t="inlineStr">
        <is>
          <t>Application process</t>
        </is>
      </c>
      <c r="E1823" s="8" t="inlineStr"/>
      <c r="F1823" s="8" t="inlineStr">
        <is>
          <t>en.applicationProcess[0].process[0].children[2].children[0]</t>
        </is>
      </c>
      <c r="G1823" s="8" t="inlineStr">
        <is>
          <t>C28@20261028-f53d5aa4</t>
        </is>
      </c>
      <c r="H1823" s="8" t="n">
        <v>1</v>
      </c>
      <c r="I1823" s="8" t="n">
        <v>1</v>
      </c>
      <c r="J1823" s="8" t="inlineStr">
        <is>
          <t>Indian Army: Official Website</t>
        </is>
      </c>
      <c r="K1823" s="8" t="inlineStr">
        <is>
          <t>MS-C28</t>
        </is>
      </c>
      <c r="L1823" s="9" t="n">
        <v>46323</v>
      </c>
      <c r="M1823" s="8" t="inlineStr">
        <is>
          <t>Approved</t>
        </is>
      </c>
      <c r="N1823" s="8" t="inlineStr">
        <is>
          <t>list_item</t>
        </is>
      </c>
    </row>
    <row r="1824" ht="40" customHeight="1">
      <c r="A1824" s="4" t="inlineStr">
        <is>
          <t>C28-P0066</t>
        </is>
      </c>
      <c r="B1824" s="4" t="inlineStr">
        <is>
          <t>C28</t>
        </is>
      </c>
      <c r="C1824" s="4" t="inlineStr">
        <is>
          <t>Agnipath Yojana</t>
        </is>
      </c>
      <c r="D1824" s="4" t="inlineStr">
        <is>
          <t>Application process</t>
        </is>
      </c>
      <c r="E1824" s="4" t="inlineStr"/>
      <c r="F1824" s="4" t="inlineStr">
        <is>
          <t>en.applicationProcess[0].process[0].children[2].children[1]</t>
        </is>
      </c>
      <c r="G1824" s="4" t="inlineStr">
        <is>
          <t>C28@20261028-f53d5aa4</t>
        </is>
      </c>
      <c r="H1824" s="4" t="n">
        <v>1</v>
      </c>
      <c r="I1824" s="4" t="n">
        <v>1</v>
      </c>
      <c r="J1824" s="4" t="inlineStr">
        <is>
          <t>Indian Navy: Official Website</t>
        </is>
      </c>
      <c r="K1824" s="4" t="inlineStr">
        <is>
          <t>MS-C28</t>
        </is>
      </c>
      <c r="L1824" s="6" t="n">
        <v>46323</v>
      </c>
      <c r="M1824" s="4" t="inlineStr">
        <is>
          <t>Approved</t>
        </is>
      </c>
      <c r="N1824" s="4" t="inlineStr">
        <is>
          <t>list_item</t>
        </is>
      </c>
    </row>
    <row r="1825" ht="40" customHeight="1">
      <c r="A1825" s="8" t="inlineStr">
        <is>
          <t>C28-P0067</t>
        </is>
      </c>
      <c r="B1825" s="8" t="inlineStr">
        <is>
          <t>C28</t>
        </is>
      </c>
      <c r="C1825" s="8" t="inlineStr">
        <is>
          <t>Agnipath Yojana</t>
        </is>
      </c>
      <c r="D1825" s="8" t="inlineStr">
        <is>
          <t>Application process</t>
        </is>
      </c>
      <c r="E1825" s="8" t="inlineStr"/>
      <c r="F1825" s="8" t="inlineStr">
        <is>
          <t>en.applicationProcess[0].process[0].children[2].children[2]</t>
        </is>
      </c>
      <c r="G1825" s="8" t="inlineStr">
        <is>
          <t>C28@20261028-f53d5aa4</t>
        </is>
      </c>
      <c r="H1825" s="8" t="n">
        <v>1</v>
      </c>
      <c r="I1825" s="8" t="n">
        <v>1</v>
      </c>
      <c r="J1825" s="8" t="inlineStr">
        <is>
          <t>Indian Air Force: Official Website</t>
        </is>
      </c>
      <c r="K1825" s="8" t="inlineStr">
        <is>
          <t>MS-C28</t>
        </is>
      </c>
      <c r="L1825" s="9" t="n">
        <v>46323</v>
      </c>
      <c r="M1825" s="8" t="inlineStr">
        <is>
          <t>Approved</t>
        </is>
      </c>
      <c r="N1825" s="8" t="inlineStr">
        <is>
          <t>list_item</t>
        </is>
      </c>
    </row>
    <row r="1826" ht="54" customHeight="1">
      <c r="A1826" s="4" t="inlineStr">
        <is>
          <t>C28-P0068</t>
        </is>
      </c>
      <c r="B1826" s="4" t="inlineStr">
        <is>
          <t>C28</t>
        </is>
      </c>
      <c r="C1826" s="4" t="inlineStr">
        <is>
          <t>Agnipath Yojana</t>
        </is>
      </c>
      <c r="D1826" s="4" t="inlineStr">
        <is>
          <t>FAQ</t>
        </is>
      </c>
      <c r="E1826" s="4" t="inlineStr"/>
      <c r="F1826" s="4" t="inlineStr">
        <is>
          <t>faqs.en.faqs[0]</t>
        </is>
      </c>
      <c r="G1826" s="4" t="inlineStr">
        <is>
          <t>C28@20261028-f53d5aa4</t>
        </is>
      </c>
      <c r="H1826" s="4" t="n">
        <v>1</v>
      </c>
      <c r="I1826" s="4" t="n">
        <v>1</v>
      </c>
      <c r="J1826" s="4" t="inlineStr">
        <is>
          <t>What Is The Service Tenure Granted Under The Scheme?
Under the Agnipath scheme, Agniveers will be employed for four years and rigorous military training will be imparted to them.</t>
        </is>
      </c>
      <c r="K1826" s="4" t="inlineStr">
        <is>
          <t>MS-C28</t>
        </is>
      </c>
      <c r="L1826" s="6" t="n">
        <v>46323</v>
      </c>
      <c r="M1826" s="4" t="inlineStr">
        <is>
          <t>Approved</t>
        </is>
      </c>
      <c r="N1826" s="4" t="inlineStr">
        <is>
          <t>faq</t>
        </is>
      </c>
    </row>
    <row r="1827" ht="54" customHeight="1">
      <c r="A1827" s="8" t="inlineStr">
        <is>
          <t>C28-P0069</t>
        </is>
      </c>
      <c r="B1827" s="8" t="inlineStr">
        <is>
          <t>C28</t>
        </is>
      </c>
      <c r="C1827" s="8" t="inlineStr">
        <is>
          <t>Agnipath Yojana</t>
        </is>
      </c>
      <c r="D1827" s="8" t="inlineStr">
        <is>
          <t>FAQ</t>
        </is>
      </c>
      <c r="E1827" s="8" t="inlineStr"/>
      <c r="F1827" s="8" t="inlineStr">
        <is>
          <t>faqs.en.faqs[1]</t>
        </is>
      </c>
      <c r="G1827" s="8" t="inlineStr">
        <is>
          <t>C28@20261028-f53d5aa4</t>
        </is>
      </c>
      <c r="H1827" s="8" t="n">
        <v>1</v>
      </c>
      <c r="I1827" s="8" t="n">
        <v>1</v>
      </c>
      <c r="J1827" s="8" t="inlineStr">
        <is>
          <t>How Much Salary Will Agniveers Get?
The starting annual package will be Rs 4.76 lakh, which can be increased to 6.92 lakh by the end of service. There will be allowances and non-contributory insurance cover as well.</t>
        </is>
      </c>
      <c r="K1827" s="8" t="inlineStr">
        <is>
          <t>MS-C28</t>
        </is>
      </c>
      <c r="L1827" s="9" t="n">
        <v>46323</v>
      </c>
      <c r="M1827" s="8" t="inlineStr">
        <is>
          <t>Approved</t>
        </is>
      </c>
      <c r="N1827" s="8" t="inlineStr">
        <is>
          <t>faq</t>
        </is>
      </c>
    </row>
    <row r="1828" ht="68" customHeight="1">
      <c r="A1828" s="4" t="inlineStr">
        <is>
          <t>C28-P0070</t>
        </is>
      </c>
      <c r="B1828" s="4" t="inlineStr">
        <is>
          <t>C28</t>
        </is>
      </c>
      <c r="C1828" s="4" t="inlineStr">
        <is>
          <t>Agnipath Yojana</t>
        </is>
      </c>
      <c r="D1828" s="4" t="inlineStr">
        <is>
          <t>FAQ</t>
        </is>
      </c>
      <c r="E1828" s="4" t="inlineStr"/>
      <c r="F1828" s="4" t="inlineStr">
        <is>
          <t>faqs.en.faqs[2]</t>
        </is>
      </c>
      <c r="G1828" s="4" t="inlineStr">
        <is>
          <t>C28@20261028-f53d5aa4</t>
        </is>
      </c>
      <c r="H1828" s="4" t="n">
        <v>1</v>
      </c>
      <c r="I1828" s="4" t="n">
        <v>1</v>
      </c>
      <c r="J1828" s="4" t="inlineStr">
        <is>
          <t>Can Agniveers Opt For Permanent Service In The Armed Forces?
All Agniveers, after four years, will be offered an opportunity to voluntarily apply for enrolment in the permanent cadre. These applications will be considered based on merit and performance during service. As much as 25% of applications will be accepted.</t>
        </is>
      </c>
      <c r="K1828" s="4" t="inlineStr">
        <is>
          <t>MS-C28</t>
        </is>
      </c>
      <c r="L1828" s="6" t="n">
        <v>46323</v>
      </c>
      <c r="M1828" s="4" t="inlineStr">
        <is>
          <t>Approved</t>
        </is>
      </c>
      <c r="N1828" s="4" t="inlineStr">
        <is>
          <t>faq</t>
        </is>
      </c>
    </row>
    <row r="1829" ht="96" customHeight="1">
      <c r="A1829" s="8" t="inlineStr">
        <is>
          <t>C28-P0071</t>
        </is>
      </c>
      <c r="B1829" s="8" t="inlineStr">
        <is>
          <t>C28</t>
        </is>
      </c>
      <c r="C1829" s="8" t="inlineStr">
        <is>
          <t>Agnipath Yojana</t>
        </is>
      </c>
      <c r="D1829" s="8" t="inlineStr">
        <is>
          <t>FAQ</t>
        </is>
      </c>
      <c r="E1829" s="8" t="inlineStr"/>
      <c r="F1829" s="8" t="inlineStr">
        <is>
          <t>faqs.en.faqs[3]</t>
        </is>
      </c>
      <c r="G1829" s="8" t="inlineStr">
        <is>
          <t>C28@20261028-f53d5aa4</t>
        </is>
      </c>
      <c r="H1829" s="8" t="n">
        <v>1</v>
      </c>
      <c r="I1829" s="8" t="n">
        <v>1</v>
      </c>
      <c r="J1829" s="8" t="inlineStr">
        <is>
          <t>How Can I Apply For Agnipath Scheme Recruitment?
The vacancies and joining process will be made available on the armed forces’ respective websites:
joinindianarmy.nic.in
joinindiannavy.gov.in
careerindianairforce.cdac.in</t>
        </is>
      </c>
      <c r="K1829" s="8" t="inlineStr">
        <is>
          <t>MS-C28</t>
        </is>
      </c>
      <c r="L1829" s="9" t="n">
        <v>46323</v>
      </c>
      <c r="M1829" s="8" t="inlineStr">
        <is>
          <t>Approved</t>
        </is>
      </c>
      <c r="N1829" s="8" t="inlineStr">
        <is>
          <t>faq</t>
        </is>
      </c>
    </row>
    <row r="1830" ht="68" customHeight="1">
      <c r="A1830" s="4" t="inlineStr">
        <is>
          <t>C28-P0072</t>
        </is>
      </c>
      <c r="B1830" s="4" t="inlineStr">
        <is>
          <t>C28</t>
        </is>
      </c>
      <c r="C1830" s="4" t="inlineStr">
        <is>
          <t>Agnipath Yojana</t>
        </is>
      </c>
      <c r="D1830" s="4" t="inlineStr">
        <is>
          <t>FAQ</t>
        </is>
      </c>
      <c r="E1830" s="4" t="inlineStr"/>
      <c r="F1830" s="4" t="inlineStr">
        <is>
          <t>faqs.en.faqs[4]</t>
        </is>
      </c>
      <c r="G1830" s="4" t="inlineStr">
        <is>
          <t>C28@20261028-f53d5aa4</t>
        </is>
      </c>
      <c r="H1830" s="4" t="n">
        <v>1</v>
      </c>
      <c r="I1830" s="4" t="n">
        <v>1</v>
      </c>
      <c r="J1830" s="4" t="inlineStr">
        <is>
          <t>What Will The Training Involve?
Training for Agniveers would be on a par with that of the regular armed forces cadres and would involve rigorous military exercises. The training standards would be clearly defined and monitored by the highest authorities in the Armed Forces.</t>
        </is>
      </c>
      <c r="K1830" s="4" t="inlineStr">
        <is>
          <t>MS-C28</t>
        </is>
      </c>
      <c r="L1830" s="6" t="n">
        <v>46323</v>
      </c>
      <c r="M1830" s="4" t="inlineStr">
        <is>
          <t>Approved</t>
        </is>
      </c>
      <c r="N1830" s="4" t="inlineStr">
        <is>
          <t>faq</t>
        </is>
      </c>
    </row>
    <row r="1831" ht="54" customHeight="1">
      <c r="A1831" s="8" t="inlineStr">
        <is>
          <t>C28-P0073</t>
        </is>
      </c>
      <c r="B1831" s="8" t="inlineStr">
        <is>
          <t>C28</t>
        </is>
      </c>
      <c r="C1831" s="8" t="inlineStr">
        <is>
          <t>Agnipath Yojana</t>
        </is>
      </c>
      <c r="D1831" s="8" t="inlineStr">
        <is>
          <t>FAQ</t>
        </is>
      </c>
      <c r="E1831" s="8" t="inlineStr"/>
      <c r="F1831" s="8" t="inlineStr">
        <is>
          <t>faqs.en.faqs[5]</t>
        </is>
      </c>
      <c r="G1831" s="8" t="inlineStr">
        <is>
          <t>C28@20261028-f53d5aa4</t>
        </is>
      </c>
      <c r="H1831" s="8" t="n">
        <v>1</v>
      </c>
      <c r="I1831" s="8" t="n">
        <v>1</v>
      </c>
      <c r="J1831" s="8" t="inlineStr">
        <is>
          <t>Who Will Be Eligible To Apply For Recruitment Under The Agnipath Scheme?
For the 2022 intake, The age range to be eligible for the scheme is 17.5-23 years. For the upcoming batches, the eligible age range will be 17.5 years to 21 years.</t>
        </is>
      </c>
      <c r="K1831" s="8" t="inlineStr">
        <is>
          <t>MS-C28</t>
        </is>
      </c>
      <c r="L1831" s="9" t="n">
        <v>46323</v>
      </c>
      <c r="M1831" s="8" t="inlineStr">
        <is>
          <t>Approved</t>
        </is>
      </c>
      <c r="N1831" s="8" t="inlineStr">
        <is>
          <t>faq</t>
        </is>
      </c>
    </row>
    <row r="1832" ht="124" customHeight="1">
      <c r="A1832" s="4" t="inlineStr">
        <is>
          <t>C28-P0074</t>
        </is>
      </c>
      <c r="B1832" s="4" t="inlineStr">
        <is>
          <t>C28</t>
        </is>
      </c>
      <c r="C1832" s="4" t="inlineStr">
        <is>
          <t>Agnipath Yojana</t>
        </is>
      </c>
      <c r="D1832" s="4" t="inlineStr">
        <is>
          <t>FAQ</t>
        </is>
      </c>
      <c r="E1832" s="4" t="inlineStr"/>
      <c r="F1832" s="4" t="inlineStr">
        <is>
          <t>faqs.en.faqs[6]</t>
        </is>
      </c>
      <c r="G1832" s="4" t="inlineStr">
        <is>
          <t>C28@20261028-f53d5aa4</t>
        </is>
      </c>
      <c r="H1832" s="4" t="n">
        <v>1</v>
      </c>
      <c r="I1832" s="4" t="n">
        <v>1</v>
      </c>
      <c r="J1832" s="4" t="inlineStr">
        <is>
          <t>Can Agniveers opt for role in the permanent cadre?
Based on organisational requirement and policies promulgated by the Armed Forces, all Agniveers after completing their engagement period, will be offered an opportunity to apply for enrolment in the permanent cadre. These applications will be considered by a centralised transparent rigorous screening system which would be based on merit and demonstrated performance during service. Upto 25% of the Aginveers would be selected for enrolment in the permanent Cadre as per the existing Terms and Conditions. Selection of Agniveers for further enrolment into the Armed Forces will be the exclusive jurisdiction of the Government through laid down policies.</t>
        </is>
      </c>
      <c r="K1832" s="4" t="inlineStr">
        <is>
          <t>MS-C28</t>
        </is>
      </c>
      <c r="L1832" s="6" t="n">
        <v>46323</v>
      </c>
      <c r="M1832" s="4" t="inlineStr">
        <is>
          <t>Approved</t>
        </is>
      </c>
      <c r="N1832" s="4" t="inlineStr">
        <is>
          <t>faq</t>
        </is>
      </c>
    </row>
    <row r="1833" ht="138" customHeight="1">
      <c r="A1833" s="8" t="inlineStr">
        <is>
          <t>C28-P0075</t>
        </is>
      </c>
      <c r="B1833" s="8" t="inlineStr">
        <is>
          <t>C28</t>
        </is>
      </c>
      <c r="C1833" s="8" t="inlineStr">
        <is>
          <t>Agnipath Yojana</t>
        </is>
      </c>
      <c r="D1833" s="8" t="inlineStr">
        <is>
          <t>FAQ</t>
        </is>
      </c>
      <c r="E1833" s="8" t="inlineStr"/>
      <c r="F1833" s="8" t="inlineStr">
        <is>
          <t>faqs.en.faqs[7]</t>
        </is>
      </c>
      <c r="G1833" s="8" t="inlineStr">
        <is>
          <t>C28@20261028-f53d5aa4</t>
        </is>
      </c>
      <c r="H1833" s="8" t="n">
        <v>1</v>
      </c>
      <c r="I1833" s="8" t="n">
        <v>1</v>
      </c>
      <c r="J1833" s="8" t="inlineStr">
        <is>
          <t>How will this scheme ensure recruitment from all over the country?
Aims to capitalize on the broad based talent pool of the Nation and select the best for a career in the Armed Forces. The present pattern of selection into the Armed Forces is not being changed with the introduction of the scheme. The only change that is happening is in the Terms and Conditions of the service. As you all are aware, that the three Services are having well established selections centers spread over the country which have enabled them to recruit people from even the remotest part of the Nation. Since these very selection centers would continue to undertake the responsibility of recruiting personnel, we expect that the all India representation would not be affected by the introduction of the Scheme.</t>
        </is>
      </c>
      <c r="K1833" s="8" t="inlineStr">
        <is>
          <t>MS-C28</t>
        </is>
      </c>
      <c r="L1833" s="9" t="n">
        <v>46323</v>
      </c>
      <c r="M1833" s="8" t="inlineStr">
        <is>
          <t>Approved</t>
        </is>
      </c>
      <c r="N1833" s="8" t="inlineStr">
        <is>
          <t>faq</t>
        </is>
      </c>
    </row>
    <row r="1834" ht="82" customHeight="1">
      <c r="A1834" s="4" t="inlineStr">
        <is>
          <t>C29-P0001</t>
        </is>
      </c>
      <c r="B1834" s="4" t="inlineStr">
        <is>
          <t>C29</t>
        </is>
      </c>
      <c r="C1834" s="4" t="inlineStr">
        <is>
          <t>Indira Gandhi National Disability Pension Scheme</t>
        </is>
      </c>
      <c r="D1834" s="4" t="inlineStr">
        <is>
          <t>Details</t>
        </is>
      </c>
      <c r="E1834" s="4" t="inlineStr"/>
      <c r="F1834" s="4" t="inlineStr">
        <is>
          <t>en.schemeContent.detailedDescription[0]</t>
        </is>
      </c>
      <c r="G1834" s="4" t="inlineStr">
        <is>
          <t>C29@20261028-2bdc71e1</t>
        </is>
      </c>
      <c r="H1834" s="4" t="n">
        <v>1</v>
      </c>
      <c r="I1834" s="4" t="n">
        <v>1</v>
      </c>
      <c r="J1834" s="4" t="inlineStr">
        <is>
          <t>Indira Gandhi National Disability Scheme was launched on February 2009 by the Ministry of Rural Development headed by the Central Government to support the disabled people in our country. This scheme introduced under National Social Assistance Program provides monthly pension to disabled people for the prosperity of their lives. Any disabled person whose age is more than 18 years, and with disability 80% or more belonging to the poverty line can apply for this scheme.</t>
        </is>
      </c>
      <c r="K1834" s="4" t="inlineStr">
        <is>
          <t>MS-C29</t>
        </is>
      </c>
      <c r="L1834" s="6" t="n">
        <v>46323</v>
      </c>
      <c r="M1834" s="4" t="inlineStr">
        <is>
          <t>Approved</t>
        </is>
      </c>
      <c r="N1834" s="4" t="inlineStr">
        <is>
          <t>paragraph</t>
        </is>
      </c>
    </row>
    <row r="1835" ht="40" customHeight="1">
      <c r="A1835" s="8" t="inlineStr">
        <is>
          <t>C29-P0002</t>
        </is>
      </c>
      <c r="B1835" s="8" t="inlineStr">
        <is>
          <t>C29</t>
        </is>
      </c>
      <c r="C1835" s="8" t="inlineStr">
        <is>
          <t>Indira Gandhi National Disability Pension Scheme</t>
        </is>
      </c>
      <c r="D1835" s="8" t="inlineStr">
        <is>
          <t>Benefits</t>
        </is>
      </c>
      <c r="E1835" s="8" t="inlineStr"/>
      <c r="F1835" s="8" t="inlineStr">
        <is>
          <t>en.schemeContent.benefits[0].children[0]</t>
        </is>
      </c>
      <c r="G1835" s="8" t="inlineStr">
        <is>
          <t>C29@20261028-2bdc71e1</t>
        </is>
      </c>
      <c r="H1835" s="8" t="n">
        <v>1</v>
      </c>
      <c r="I1835" s="8" t="n">
        <v>1</v>
      </c>
      <c r="J1835" s="8" t="inlineStr">
        <is>
          <t>A pension of Rs.300/- per month is provided to Divyangjan between 18-79 years.</t>
        </is>
      </c>
      <c r="K1835" s="8" t="inlineStr">
        <is>
          <t>MS-C29</t>
        </is>
      </c>
      <c r="L1835" s="9" t="n">
        <v>46323</v>
      </c>
      <c r="M1835" s="8" t="inlineStr">
        <is>
          <t>Approved</t>
        </is>
      </c>
      <c r="N1835" s="8" t="inlineStr">
        <is>
          <t>list_item</t>
        </is>
      </c>
    </row>
    <row r="1836" ht="40" customHeight="1">
      <c r="A1836" s="4" t="inlineStr">
        <is>
          <t>C29-P0003</t>
        </is>
      </c>
      <c r="B1836" s="4" t="inlineStr">
        <is>
          <t>C29</t>
        </is>
      </c>
      <c r="C1836" s="4" t="inlineStr">
        <is>
          <t>Indira Gandhi National Disability Pension Scheme</t>
        </is>
      </c>
      <c r="D1836" s="4" t="inlineStr">
        <is>
          <t>Benefits</t>
        </is>
      </c>
      <c r="E1836" s="4" t="inlineStr"/>
      <c r="F1836" s="4" t="inlineStr">
        <is>
          <t>en.schemeContent.benefits[0].children[1]</t>
        </is>
      </c>
      <c r="G1836" s="4" t="inlineStr">
        <is>
          <t>C29@20261028-2bdc71e1</t>
        </is>
      </c>
      <c r="H1836" s="4" t="n">
        <v>1</v>
      </c>
      <c r="I1836" s="4" t="n">
        <v>1</v>
      </c>
      <c r="J1836" s="4" t="inlineStr">
        <is>
          <t>A pension of Rs.500/- per month will be provided to Divyangjan aged 80 years and above.</t>
        </is>
      </c>
      <c r="K1836" s="4" t="inlineStr">
        <is>
          <t>MS-C29</t>
        </is>
      </c>
      <c r="L1836" s="6" t="n">
        <v>46323</v>
      </c>
      <c r="M1836" s="4" t="inlineStr">
        <is>
          <t>Approved</t>
        </is>
      </c>
      <c r="N1836" s="4" t="inlineStr">
        <is>
          <t>list_item</t>
        </is>
      </c>
    </row>
    <row r="1837" ht="40" customHeight="1">
      <c r="A1837" s="8" t="inlineStr">
        <is>
          <t>C29-P0004</t>
        </is>
      </c>
      <c r="B1837" s="8" t="inlineStr">
        <is>
          <t>C29</t>
        </is>
      </c>
      <c r="C1837" s="8" t="inlineStr">
        <is>
          <t>Indira Gandhi National Disability Pension Scheme</t>
        </is>
      </c>
      <c r="D1837" s="8" t="inlineStr">
        <is>
          <t>Eligibility</t>
        </is>
      </c>
      <c r="E1837" s="8" t="inlineStr"/>
      <c r="F1837" s="8" t="inlineStr">
        <is>
          <t>en.eligibilityCriteria.eligibilityDescription[0]</t>
        </is>
      </c>
      <c r="G1837" s="8" t="inlineStr">
        <is>
          <t>C29@20261028-2bdc71e1</t>
        </is>
      </c>
      <c r="H1837" s="8" t="n">
        <v>1</v>
      </c>
      <c r="I1837" s="8" t="n">
        <v>1</v>
      </c>
      <c r="J1837" s="8" t="inlineStr">
        <is>
          <t>The eligibility criteria for a disabled person to avail of the benefits are as follows.</t>
        </is>
      </c>
      <c r="K1837" s="8" t="inlineStr">
        <is>
          <t>MS-C29</t>
        </is>
      </c>
      <c r="L1837" s="9" t="n">
        <v>46323</v>
      </c>
      <c r="M1837" s="8" t="inlineStr">
        <is>
          <t>Approved</t>
        </is>
      </c>
      <c r="N1837" s="8" t="inlineStr">
        <is>
          <t>paragraph</t>
        </is>
      </c>
    </row>
    <row r="1838" ht="40" customHeight="1">
      <c r="A1838" s="4" t="inlineStr">
        <is>
          <t>C29-P0005</t>
        </is>
      </c>
      <c r="B1838" s="4" t="inlineStr">
        <is>
          <t>C29</t>
        </is>
      </c>
      <c r="C1838" s="4" t="inlineStr">
        <is>
          <t>Indira Gandhi National Disability Pension Scheme</t>
        </is>
      </c>
      <c r="D1838" s="4" t="inlineStr">
        <is>
          <t>Eligibility</t>
        </is>
      </c>
      <c r="E1838" s="4" t="inlineStr"/>
      <c r="F1838" s="4" t="inlineStr">
        <is>
          <t>en.eligibilityCriteria.eligibilityDescription[2].children[0]</t>
        </is>
      </c>
      <c r="G1838" s="4" t="inlineStr">
        <is>
          <t>C29@20261028-2bdc71e1</t>
        </is>
      </c>
      <c r="H1838" s="4" t="n">
        <v>1</v>
      </c>
      <c r="I1838" s="4" t="n">
        <v>1</v>
      </c>
      <c r="J1838" s="4" t="inlineStr">
        <is>
          <t>The age of the applicant should be 18 years and above.</t>
        </is>
      </c>
      <c r="K1838" s="4" t="inlineStr">
        <is>
          <t>MS-C29</t>
        </is>
      </c>
      <c r="L1838" s="6" t="n">
        <v>46323</v>
      </c>
      <c r="M1838" s="4" t="inlineStr">
        <is>
          <t>Approved</t>
        </is>
      </c>
      <c r="N1838" s="4" t="inlineStr">
        <is>
          <t>list_item</t>
        </is>
      </c>
    </row>
    <row r="1839" ht="40" customHeight="1">
      <c r="A1839" s="8" t="inlineStr">
        <is>
          <t>C29-P0006</t>
        </is>
      </c>
      <c r="B1839" s="8" t="inlineStr">
        <is>
          <t>C29</t>
        </is>
      </c>
      <c r="C1839" s="8" t="inlineStr">
        <is>
          <t>Indira Gandhi National Disability Pension Scheme</t>
        </is>
      </c>
      <c r="D1839" s="8" t="inlineStr">
        <is>
          <t>Eligibility</t>
        </is>
      </c>
      <c r="E1839" s="8" t="inlineStr"/>
      <c r="F1839" s="8" t="inlineStr">
        <is>
          <t>en.eligibilityCriteria.eligibilityDescription[2].children[1]</t>
        </is>
      </c>
      <c r="G1839" s="8" t="inlineStr">
        <is>
          <t>C29@20261028-2bdc71e1</t>
        </is>
      </c>
      <c r="H1839" s="8" t="n">
        <v>1</v>
      </c>
      <c r="I1839" s="8" t="n">
        <v>1</v>
      </c>
      <c r="J1839" s="8" t="inlineStr">
        <is>
          <t>The applicant should be a resident of India.</t>
        </is>
      </c>
      <c r="K1839" s="8" t="inlineStr">
        <is>
          <t>MS-C29</t>
        </is>
      </c>
      <c r="L1839" s="9" t="n">
        <v>46323</v>
      </c>
      <c r="M1839" s="8" t="inlineStr">
        <is>
          <t>Approved</t>
        </is>
      </c>
      <c r="N1839" s="8" t="inlineStr">
        <is>
          <t>list_item</t>
        </is>
      </c>
    </row>
    <row r="1840" ht="40" customHeight="1">
      <c r="A1840" s="4" t="inlineStr">
        <is>
          <t>C29-P0007</t>
        </is>
      </c>
      <c r="B1840" s="4" t="inlineStr">
        <is>
          <t>C29</t>
        </is>
      </c>
      <c r="C1840" s="4" t="inlineStr">
        <is>
          <t>Indira Gandhi National Disability Pension Scheme</t>
        </is>
      </c>
      <c r="D1840" s="4" t="inlineStr">
        <is>
          <t>Eligibility</t>
        </is>
      </c>
      <c r="E1840" s="4" t="inlineStr"/>
      <c r="F1840" s="4" t="inlineStr">
        <is>
          <t>en.eligibilityCriteria.eligibilityDescription[2].children[2]</t>
        </is>
      </c>
      <c r="G1840" s="4" t="inlineStr">
        <is>
          <t>C29@20261028-2bdc71e1</t>
        </is>
      </c>
      <c r="H1840" s="4" t="n">
        <v>1</v>
      </c>
      <c r="I1840" s="4" t="n">
        <v>1</v>
      </c>
      <c r="J1840" s="4" t="inlineStr">
        <is>
          <t>The applicant should be a physically or mentally disabled person.</t>
        </is>
      </c>
      <c r="K1840" s="4" t="inlineStr">
        <is>
          <t>MS-C29</t>
        </is>
      </c>
      <c r="L1840" s="6" t="n">
        <v>46323</v>
      </c>
      <c r="M1840" s="4" t="inlineStr">
        <is>
          <t>Approved</t>
        </is>
      </c>
      <c r="N1840" s="4" t="inlineStr">
        <is>
          <t>list_item</t>
        </is>
      </c>
    </row>
    <row r="1841" ht="40" customHeight="1">
      <c r="A1841" s="8" t="inlineStr">
        <is>
          <t>C29-P0008</t>
        </is>
      </c>
      <c r="B1841" s="8" t="inlineStr">
        <is>
          <t>C29</t>
        </is>
      </c>
      <c r="C1841" s="8" t="inlineStr">
        <is>
          <t>Indira Gandhi National Disability Pension Scheme</t>
        </is>
      </c>
      <c r="D1841" s="8" t="inlineStr">
        <is>
          <t>Eligibility</t>
        </is>
      </c>
      <c r="E1841" s="8" t="inlineStr"/>
      <c r="F1841" s="8" t="inlineStr">
        <is>
          <t>en.eligibilityCriteria.eligibilityDescription[2].children[3]</t>
        </is>
      </c>
      <c r="G1841" s="8" t="inlineStr">
        <is>
          <t>C29@20261028-2bdc71e1</t>
        </is>
      </c>
      <c r="H1841" s="8" t="n">
        <v>1</v>
      </c>
      <c r="I1841" s="8" t="n">
        <v>1</v>
      </c>
      <c r="J1841" s="8" t="inlineStr">
        <is>
          <t>The applicant’s disability should be more than 80%.</t>
        </is>
      </c>
      <c r="K1841" s="8" t="inlineStr">
        <is>
          <t>MS-C29</t>
        </is>
      </c>
      <c r="L1841" s="9" t="n">
        <v>46323</v>
      </c>
      <c r="M1841" s="8" t="inlineStr">
        <is>
          <t>Approved</t>
        </is>
      </c>
      <c r="N1841" s="8" t="inlineStr">
        <is>
          <t>list_item</t>
        </is>
      </c>
    </row>
    <row r="1842" ht="40" customHeight="1">
      <c r="A1842" s="4" t="inlineStr">
        <is>
          <t>C29-P0009</t>
        </is>
      </c>
      <c r="B1842" s="4" t="inlineStr">
        <is>
          <t>C29</t>
        </is>
      </c>
      <c r="C1842" s="4" t="inlineStr">
        <is>
          <t>Indira Gandhi National Disability Pension Scheme</t>
        </is>
      </c>
      <c r="D1842" s="4" t="inlineStr">
        <is>
          <t>Eligibility</t>
        </is>
      </c>
      <c r="E1842" s="4" t="inlineStr"/>
      <c r="F1842" s="4" t="inlineStr">
        <is>
          <t>en.eligibilityCriteria.eligibilityDescription[2].children[4]</t>
        </is>
      </c>
      <c r="G1842" s="4" t="inlineStr">
        <is>
          <t>C29@20261028-2bdc71e1</t>
        </is>
      </c>
      <c r="H1842" s="4" t="n">
        <v>1</v>
      </c>
      <c r="I1842" s="4" t="n">
        <v>1</v>
      </c>
      <c r="J1842" s="4" t="inlineStr">
        <is>
          <t>Dwarfs are also eligible for this scheme.</t>
        </is>
      </c>
      <c r="K1842" s="4" t="inlineStr">
        <is>
          <t>MS-C29</t>
        </is>
      </c>
      <c r="L1842" s="6" t="n">
        <v>46323</v>
      </c>
      <c r="M1842" s="4" t="inlineStr">
        <is>
          <t>Approved</t>
        </is>
      </c>
      <c r="N1842" s="4" t="inlineStr">
        <is>
          <t>list_item</t>
        </is>
      </c>
    </row>
    <row r="1843" ht="40" customHeight="1">
      <c r="A1843" s="8" t="inlineStr">
        <is>
          <t>C29-P0010</t>
        </is>
      </c>
      <c r="B1843" s="8" t="inlineStr">
        <is>
          <t>C29</t>
        </is>
      </c>
      <c r="C1843" s="8" t="inlineStr">
        <is>
          <t>Indira Gandhi National Disability Pension Scheme</t>
        </is>
      </c>
      <c r="D1843" s="8" t="inlineStr">
        <is>
          <t>Eligibility</t>
        </is>
      </c>
      <c r="E1843" s="8" t="inlineStr"/>
      <c r="F1843" s="8" t="inlineStr">
        <is>
          <t>en.eligibilityCriteria.eligibilityDescription[2].children[5]</t>
        </is>
      </c>
      <c r="G1843" s="8" t="inlineStr">
        <is>
          <t>C29@20261028-2bdc71e1</t>
        </is>
      </c>
      <c r="H1843" s="8" t="n">
        <v>1</v>
      </c>
      <c r="I1843" s="8" t="n">
        <v>1</v>
      </c>
      <c r="J1843" s="8" t="inlineStr">
        <is>
          <t>The applicant should belong to the Below Poverty Line.</t>
        </is>
      </c>
      <c r="K1843" s="8" t="inlineStr">
        <is>
          <t>MS-C29</t>
        </is>
      </c>
      <c r="L1843" s="9" t="n">
        <v>46323</v>
      </c>
      <c r="M1843" s="8" t="inlineStr">
        <is>
          <t>Approved</t>
        </is>
      </c>
      <c r="N1843" s="8" t="inlineStr">
        <is>
          <t>list_item</t>
        </is>
      </c>
    </row>
    <row r="1844" ht="40" customHeight="1">
      <c r="A1844" s="4" t="inlineStr">
        <is>
          <t>C29-P0011</t>
        </is>
      </c>
      <c r="B1844" s="4" t="inlineStr">
        <is>
          <t>C29</t>
        </is>
      </c>
      <c r="C1844" s="4" t="inlineStr">
        <is>
          <t>Indira Gandhi National Disability Pension Scheme</t>
        </is>
      </c>
      <c r="D1844" s="4" t="inlineStr">
        <is>
          <t>Applicant documents</t>
        </is>
      </c>
      <c r="E1844" s="4" t="inlineStr"/>
      <c r="F1844" s="4" t="inlineStr">
        <is>
          <t>documents.en.documents_required[0].children[0]</t>
        </is>
      </c>
      <c r="G1844" s="4" t="inlineStr">
        <is>
          <t>C29@20261028-2bdc71e1</t>
        </is>
      </c>
      <c r="H1844" s="4" t="n">
        <v>1</v>
      </c>
      <c r="I1844" s="4" t="n">
        <v>1</v>
      </c>
      <c r="J1844" s="4" t="inlineStr">
        <is>
          <t>BPL Card</t>
        </is>
      </c>
      <c r="K1844" s="4" t="inlineStr">
        <is>
          <t>MS-C29</t>
        </is>
      </c>
      <c r="L1844" s="6" t="n">
        <v>46323</v>
      </c>
      <c r="M1844" s="4" t="inlineStr">
        <is>
          <t>Approved</t>
        </is>
      </c>
      <c r="N1844" s="4" t="inlineStr">
        <is>
          <t>list_item</t>
        </is>
      </c>
    </row>
    <row r="1845" ht="40" customHeight="1">
      <c r="A1845" s="8" t="inlineStr">
        <is>
          <t>C29-P0012</t>
        </is>
      </c>
      <c r="B1845" s="8" t="inlineStr">
        <is>
          <t>C29</t>
        </is>
      </c>
      <c r="C1845" s="8" t="inlineStr">
        <is>
          <t>Indira Gandhi National Disability Pension Scheme</t>
        </is>
      </c>
      <c r="D1845" s="8" t="inlineStr">
        <is>
          <t>Applicant documents</t>
        </is>
      </c>
      <c r="E1845" s="8" t="inlineStr"/>
      <c r="F1845" s="8" t="inlineStr">
        <is>
          <t>documents.en.documents_required[0].children[1]</t>
        </is>
      </c>
      <c r="G1845" s="8" t="inlineStr">
        <is>
          <t>C29@20261028-2bdc71e1</t>
        </is>
      </c>
      <c r="H1845" s="8" t="n">
        <v>1</v>
      </c>
      <c r="I1845" s="8" t="n">
        <v>1</v>
      </c>
      <c r="J1845" s="8" t="inlineStr">
        <is>
          <t>Aadhaar card</t>
        </is>
      </c>
      <c r="K1845" s="8" t="inlineStr">
        <is>
          <t>MS-C29</t>
        </is>
      </c>
      <c r="L1845" s="9" t="n">
        <v>46323</v>
      </c>
      <c r="M1845" s="8" t="inlineStr">
        <is>
          <t>Approved</t>
        </is>
      </c>
      <c r="N1845" s="8" t="inlineStr">
        <is>
          <t>list_item</t>
        </is>
      </c>
    </row>
    <row r="1846" ht="54" customHeight="1">
      <c r="A1846" s="4" t="inlineStr">
        <is>
          <t>C29-P0013</t>
        </is>
      </c>
      <c r="B1846" s="4" t="inlineStr">
        <is>
          <t>C29</t>
        </is>
      </c>
      <c r="C1846" s="4" t="inlineStr">
        <is>
          <t>Indira Gandhi National Disability Pension Scheme</t>
        </is>
      </c>
      <c r="D1846" s="4" t="inlineStr">
        <is>
          <t>Applicant documents</t>
        </is>
      </c>
      <c r="E1846" s="4" t="inlineStr"/>
      <c r="F1846" s="4" t="inlineStr">
        <is>
          <t>documents.en.documents_required[0].children[2]</t>
        </is>
      </c>
      <c r="G1846" s="4" t="inlineStr">
        <is>
          <t>C29@20261028-2bdc71e1</t>
        </is>
      </c>
      <c r="H1846" s="4" t="n">
        <v>1</v>
      </c>
      <c r="I1846" s="4" t="n">
        <v>1</v>
      </c>
      <c r="J1846" s="4" t="inlineStr">
        <is>
          <t>Age Proof - For age, the birth certificate or school certificate may be relied on. In their absence ration card and EPIC may be considered. If there is no valid document, any Medical Officer of any government hospital may be authorized to issue the age certificate.</t>
        </is>
      </c>
      <c r="K1846" s="4" t="inlineStr">
        <is>
          <t>MS-C29</t>
        </is>
      </c>
      <c r="L1846" s="6" t="n">
        <v>46323</v>
      </c>
      <c r="M1846" s="4" t="inlineStr">
        <is>
          <t>Approved</t>
        </is>
      </c>
      <c r="N1846" s="4" t="inlineStr">
        <is>
          <t>list_item</t>
        </is>
      </c>
    </row>
    <row r="1847" ht="40" customHeight="1">
      <c r="A1847" s="8" t="inlineStr">
        <is>
          <t>C29-P0014</t>
        </is>
      </c>
      <c r="B1847" s="8" t="inlineStr">
        <is>
          <t>C29</t>
        </is>
      </c>
      <c r="C1847" s="8" t="inlineStr">
        <is>
          <t>Indira Gandhi National Disability Pension Scheme</t>
        </is>
      </c>
      <c r="D1847" s="8" t="inlineStr">
        <is>
          <t>Applicant documents</t>
        </is>
      </c>
      <c r="E1847" s="8" t="inlineStr"/>
      <c r="F1847" s="8" t="inlineStr">
        <is>
          <t>documents.en.documents_required[0].children[3]</t>
        </is>
      </c>
      <c r="G1847" s="8" t="inlineStr">
        <is>
          <t>C29@20261028-2bdc71e1</t>
        </is>
      </c>
      <c r="H1847" s="8" t="n">
        <v>1</v>
      </c>
      <c r="I1847" s="8" t="n">
        <v>1</v>
      </c>
      <c r="J1847" s="8" t="inlineStr">
        <is>
          <t>Disability certificate:- Disability certificate (80% and More) issued from Chief Medical Officer, Community Health Centre or Primary Health Centre will be accepted.</t>
        </is>
      </c>
      <c r="K1847" s="8" t="inlineStr">
        <is>
          <t>MS-C29</t>
        </is>
      </c>
      <c r="L1847" s="9" t="n">
        <v>46323</v>
      </c>
      <c r="M1847" s="8" t="inlineStr">
        <is>
          <t>Approved</t>
        </is>
      </c>
      <c r="N1847" s="8" t="inlineStr">
        <is>
          <t>list_item</t>
        </is>
      </c>
    </row>
    <row r="1848" ht="40" customHeight="1">
      <c r="A1848" s="4" t="inlineStr">
        <is>
          <t>C29-P0015</t>
        </is>
      </c>
      <c r="B1848" s="4" t="inlineStr">
        <is>
          <t>C29</t>
        </is>
      </c>
      <c r="C1848" s="4" t="inlineStr">
        <is>
          <t>Indira Gandhi National Disability Pension Scheme</t>
        </is>
      </c>
      <c r="D1848" s="4" t="inlineStr">
        <is>
          <t>Applicant documents</t>
        </is>
      </c>
      <c r="E1848" s="4" t="inlineStr"/>
      <c r="F1848" s="4" t="inlineStr">
        <is>
          <t>documents.en.documents_required[0].children[4]</t>
        </is>
      </c>
      <c r="G1848" s="4" t="inlineStr">
        <is>
          <t>C29@20261028-2bdc71e1</t>
        </is>
      </c>
      <c r="H1848" s="4" t="n">
        <v>1</v>
      </c>
      <c r="I1848" s="4" t="n">
        <v>1</v>
      </c>
      <c r="J1848" s="4" t="inlineStr">
        <is>
          <t>Passport Size Photographs.</t>
        </is>
      </c>
      <c r="K1848" s="4" t="inlineStr">
        <is>
          <t>MS-C29</t>
        </is>
      </c>
      <c r="L1848" s="6" t="n">
        <v>46323</v>
      </c>
      <c r="M1848" s="4" t="inlineStr">
        <is>
          <t>Approved</t>
        </is>
      </c>
      <c r="N1848" s="4" t="inlineStr">
        <is>
          <t>list_item</t>
        </is>
      </c>
    </row>
    <row r="1849" ht="40" customHeight="1">
      <c r="A1849" s="8" t="inlineStr">
        <is>
          <t>C29-P0016</t>
        </is>
      </c>
      <c r="B1849" s="8" t="inlineStr">
        <is>
          <t>C29</t>
        </is>
      </c>
      <c r="C1849" s="8" t="inlineStr">
        <is>
          <t>Indira Gandhi National Disability Pension Scheme</t>
        </is>
      </c>
      <c r="D1849" s="8" t="inlineStr">
        <is>
          <t>Application process</t>
        </is>
      </c>
      <c r="E1849" s="8" t="inlineStr"/>
      <c r="F1849" s="8" t="inlineStr">
        <is>
          <t>en.applicationProcess[0].process[0].children[0]</t>
        </is>
      </c>
      <c r="G1849" s="8" t="inlineStr">
        <is>
          <t>C29@20261028-2bdc71e1</t>
        </is>
      </c>
      <c r="H1849" s="8" t="n">
        <v>1</v>
      </c>
      <c r="I1849" s="8" t="n">
        <v>1</v>
      </c>
      <c r="J1849" s="8" t="inlineStr">
        <is>
          <t>One can download UMANG App or visit website https://web.umang.gov.in/web_new/home</t>
        </is>
      </c>
      <c r="K1849" s="8" t="inlineStr">
        <is>
          <t>MS-C29</t>
        </is>
      </c>
      <c r="L1849" s="9" t="n">
        <v>46323</v>
      </c>
      <c r="M1849" s="8" t="inlineStr">
        <is>
          <t>Approved</t>
        </is>
      </c>
      <c r="N1849" s="8" t="inlineStr">
        <is>
          <t>list_item</t>
        </is>
      </c>
    </row>
    <row r="1850" ht="40" customHeight="1">
      <c r="A1850" s="4" t="inlineStr">
        <is>
          <t>C29-P0017</t>
        </is>
      </c>
      <c r="B1850" s="4" t="inlineStr">
        <is>
          <t>C29</t>
        </is>
      </c>
      <c r="C1850" s="4" t="inlineStr">
        <is>
          <t>Indira Gandhi National Disability Pension Scheme</t>
        </is>
      </c>
      <c r="D1850" s="4" t="inlineStr">
        <is>
          <t>Application process</t>
        </is>
      </c>
      <c r="E1850" s="4" t="inlineStr"/>
      <c r="F1850" s="4" t="inlineStr">
        <is>
          <t>en.applicationProcess[0].process[0].children[1]</t>
        </is>
      </c>
      <c r="G1850" s="4" t="inlineStr">
        <is>
          <t>C29@20261028-2bdc71e1</t>
        </is>
      </c>
      <c r="H1850" s="4" t="n">
        <v>1</v>
      </c>
      <c r="I1850" s="4" t="n">
        <v>1</v>
      </c>
      <c r="J1850" s="4" t="inlineStr">
        <is>
          <t>The citizen can login using mobile number and OTP.</t>
        </is>
      </c>
      <c r="K1850" s="4" t="inlineStr">
        <is>
          <t>MS-C29</t>
        </is>
      </c>
      <c r="L1850" s="6" t="n">
        <v>46323</v>
      </c>
      <c r="M1850" s="4" t="inlineStr">
        <is>
          <t>Approved</t>
        </is>
      </c>
      <c r="N1850" s="4" t="inlineStr">
        <is>
          <t>list_item</t>
        </is>
      </c>
    </row>
    <row r="1851" ht="40" customHeight="1">
      <c r="A1851" s="8" t="inlineStr">
        <is>
          <t>C29-P0018</t>
        </is>
      </c>
      <c r="B1851" s="8" t="inlineStr">
        <is>
          <t>C29</t>
        </is>
      </c>
      <c r="C1851" s="8" t="inlineStr">
        <is>
          <t>Indira Gandhi National Disability Pension Scheme</t>
        </is>
      </c>
      <c r="D1851" s="8" t="inlineStr">
        <is>
          <t>Application process</t>
        </is>
      </c>
      <c r="E1851" s="8" t="inlineStr"/>
      <c r="F1851" s="8" t="inlineStr">
        <is>
          <t>en.applicationProcess[0].process[0].children[2]</t>
        </is>
      </c>
      <c r="G1851" s="8" t="inlineStr">
        <is>
          <t>C29@20261028-2bdc71e1</t>
        </is>
      </c>
      <c r="H1851" s="8" t="n">
        <v>1</v>
      </c>
      <c r="I1851" s="8" t="n">
        <v>1</v>
      </c>
      <c r="J1851" s="8" t="inlineStr">
        <is>
          <t>Once logged In, citizen can search for NSAP.</t>
        </is>
      </c>
      <c r="K1851" s="8" t="inlineStr">
        <is>
          <t>MS-C29</t>
        </is>
      </c>
      <c r="L1851" s="9" t="n">
        <v>46323</v>
      </c>
      <c r="M1851" s="8" t="inlineStr">
        <is>
          <t>Approved</t>
        </is>
      </c>
      <c r="N1851" s="8" t="inlineStr">
        <is>
          <t>list_item</t>
        </is>
      </c>
    </row>
    <row r="1852" ht="40" customHeight="1">
      <c r="A1852" s="4" t="inlineStr">
        <is>
          <t>C29-P0019</t>
        </is>
      </c>
      <c r="B1852" s="4" t="inlineStr">
        <is>
          <t>C29</t>
        </is>
      </c>
      <c r="C1852" s="4" t="inlineStr">
        <is>
          <t>Indira Gandhi National Disability Pension Scheme</t>
        </is>
      </c>
      <c r="D1852" s="4" t="inlineStr">
        <is>
          <t>Application process</t>
        </is>
      </c>
      <c r="E1852" s="4" t="inlineStr"/>
      <c r="F1852" s="4" t="inlineStr">
        <is>
          <t>en.applicationProcess[0].process[0].children[3]</t>
        </is>
      </c>
      <c r="G1852" s="4" t="inlineStr">
        <is>
          <t>C29@20261028-2bdc71e1</t>
        </is>
      </c>
      <c r="H1852" s="4" t="n">
        <v>1</v>
      </c>
      <c r="I1852" s="4" t="n">
        <v>1</v>
      </c>
      <c r="J1852" s="4" t="inlineStr">
        <is>
          <t>Click on “Apply Online”</t>
        </is>
      </c>
      <c r="K1852" s="4" t="inlineStr">
        <is>
          <t>MS-C29</t>
        </is>
      </c>
      <c r="L1852" s="6" t="n">
        <v>46323</v>
      </c>
      <c r="M1852" s="4" t="inlineStr">
        <is>
          <t>Approved</t>
        </is>
      </c>
      <c r="N1852" s="4" t="inlineStr">
        <is>
          <t>list_item</t>
        </is>
      </c>
    </row>
    <row r="1853" ht="40" customHeight="1">
      <c r="A1853" s="8" t="inlineStr">
        <is>
          <t>C29-P0020</t>
        </is>
      </c>
      <c r="B1853" s="8" t="inlineStr">
        <is>
          <t>C29</t>
        </is>
      </c>
      <c r="C1853" s="8" t="inlineStr">
        <is>
          <t>Indira Gandhi National Disability Pension Scheme</t>
        </is>
      </c>
      <c r="D1853" s="8" t="inlineStr">
        <is>
          <t>Application process</t>
        </is>
      </c>
      <c r="E1853" s="8" t="inlineStr"/>
      <c r="F1853" s="8" t="inlineStr">
        <is>
          <t>en.applicationProcess[0].process[0].children[4]</t>
        </is>
      </c>
      <c r="G1853" s="8" t="inlineStr">
        <is>
          <t>C29@20261028-2bdc71e1</t>
        </is>
      </c>
      <c r="H1853" s="8" t="n">
        <v>1</v>
      </c>
      <c r="I1853" s="8" t="n">
        <v>1</v>
      </c>
      <c r="J1853" s="8" t="inlineStr">
        <is>
          <t>Fill the basic details, choose the mode of payment of pension, upload photo and click on “Submit”.</t>
        </is>
      </c>
      <c r="K1853" s="8" t="inlineStr">
        <is>
          <t>MS-C29</t>
        </is>
      </c>
      <c r="L1853" s="9" t="n">
        <v>46323</v>
      </c>
      <c r="M1853" s="8" t="inlineStr">
        <is>
          <t>Approved</t>
        </is>
      </c>
      <c r="N1853" s="8" t="inlineStr">
        <is>
          <t>list_item</t>
        </is>
      </c>
    </row>
    <row r="1854" ht="40" customHeight="1">
      <c r="A1854" s="4" t="inlineStr">
        <is>
          <t>C29-P0021</t>
        </is>
      </c>
      <c r="B1854" s="4" t="inlineStr">
        <is>
          <t>C29</t>
        </is>
      </c>
      <c r="C1854" s="4" t="inlineStr">
        <is>
          <t>Indira Gandhi National Disability Pension Scheme</t>
        </is>
      </c>
      <c r="D1854" s="4" t="inlineStr">
        <is>
          <t>Application process</t>
        </is>
      </c>
      <c r="E1854" s="4" t="inlineStr"/>
      <c r="F1854" s="4" t="inlineStr">
        <is>
          <t>en.applicationProcess[1].process[0].children[0]</t>
        </is>
      </c>
      <c r="G1854" s="4" t="inlineStr">
        <is>
          <t>C29@20261028-2bdc71e1</t>
        </is>
      </c>
      <c r="H1854" s="4" t="n">
        <v>1</v>
      </c>
      <c r="I1854" s="4" t="n">
        <v>1</v>
      </c>
      <c r="J1854" s="4" t="inlineStr">
        <is>
          <t>Individuals can submit completely filled applications to the Gram Panchayat / Block Office in the rural area and the Municipality / Municipal Council in the urban area, as per eligibility.</t>
        </is>
      </c>
      <c r="K1854" s="4" t="inlineStr">
        <is>
          <t>MS-C29</t>
        </is>
      </c>
      <c r="L1854" s="6" t="n">
        <v>46323</v>
      </c>
      <c r="M1854" s="4" t="inlineStr">
        <is>
          <t>Approved</t>
        </is>
      </c>
      <c r="N1854" s="4" t="inlineStr">
        <is>
          <t>list_item</t>
        </is>
      </c>
    </row>
    <row r="1855" ht="40" customHeight="1">
      <c r="A1855" s="8" t="inlineStr">
        <is>
          <t>C29-P0022</t>
        </is>
      </c>
      <c r="B1855" s="8" t="inlineStr">
        <is>
          <t>C29</t>
        </is>
      </c>
      <c r="C1855" s="8" t="inlineStr">
        <is>
          <t>Indira Gandhi National Disability Pension Scheme</t>
        </is>
      </c>
      <c r="D1855" s="8" t="inlineStr">
        <is>
          <t>Application process</t>
        </is>
      </c>
      <c r="E1855" s="8" t="inlineStr"/>
      <c r="F1855" s="8" t="inlineStr">
        <is>
          <t>en.applicationProcess[1].process[0].children[1]</t>
        </is>
      </c>
      <c r="G1855" s="8" t="inlineStr">
        <is>
          <t>C29@20261028-2bdc71e1</t>
        </is>
      </c>
      <c r="H1855" s="8" t="n">
        <v>1</v>
      </c>
      <c r="I1855" s="8" t="n">
        <v>1</v>
      </c>
      <c r="J1855" s="8" t="inlineStr">
        <is>
          <t>A Verification Officer or Verification Team under an authorized officer verifies the applications with reference to facts related to eligibility</t>
        </is>
      </c>
      <c r="K1855" s="8" t="inlineStr">
        <is>
          <t>MS-C29</t>
        </is>
      </c>
      <c r="L1855" s="9" t="n">
        <v>46323</v>
      </c>
      <c r="M1855" s="8" t="inlineStr">
        <is>
          <t>Approved</t>
        </is>
      </c>
      <c r="N1855" s="8" t="inlineStr">
        <is>
          <t>list_item</t>
        </is>
      </c>
    </row>
    <row r="1856" ht="40" customHeight="1">
      <c r="A1856" s="4" t="inlineStr">
        <is>
          <t>C29-P0023</t>
        </is>
      </c>
      <c r="B1856" s="4" t="inlineStr">
        <is>
          <t>C29</t>
        </is>
      </c>
      <c r="C1856" s="4" t="inlineStr">
        <is>
          <t>Indira Gandhi National Disability Pension Scheme</t>
        </is>
      </c>
      <c r="D1856" s="4" t="inlineStr">
        <is>
          <t>Application process</t>
        </is>
      </c>
      <c r="E1856" s="4" t="inlineStr"/>
      <c r="F1856" s="4" t="inlineStr">
        <is>
          <t>en.applicationProcess[1].process[0].children[2]</t>
        </is>
      </c>
      <c r="G1856" s="4" t="inlineStr">
        <is>
          <t>C29@20261028-2bdc71e1</t>
        </is>
      </c>
      <c r="H1856" s="4" t="n">
        <v>1</v>
      </c>
      <c r="I1856" s="4" t="n">
        <v>1</v>
      </c>
      <c r="J1856" s="4" t="inlineStr">
        <is>
          <t>The Verification Officer make the necessary recommendation for sanction or rejection with reasons.</t>
        </is>
      </c>
      <c r="K1856" s="4" t="inlineStr">
        <is>
          <t>MS-C29</t>
        </is>
      </c>
      <c r="L1856" s="6" t="n">
        <v>46323</v>
      </c>
      <c r="M1856" s="4" t="inlineStr">
        <is>
          <t>Approved</t>
        </is>
      </c>
      <c r="N1856" s="4" t="inlineStr">
        <is>
          <t>list_item</t>
        </is>
      </c>
    </row>
    <row r="1857" ht="54" customHeight="1">
      <c r="A1857" s="8" t="inlineStr">
        <is>
          <t>C29-P0024</t>
        </is>
      </c>
      <c r="B1857" s="8" t="inlineStr">
        <is>
          <t>C29</t>
        </is>
      </c>
      <c r="C1857" s="8" t="inlineStr">
        <is>
          <t>Indira Gandhi National Disability Pension Scheme</t>
        </is>
      </c>
      <c r="D1857" s="8" t="inlineStr">
        <is>
          <t>Application process</t>
        </is>
      </c>
      <c r="E1857" s="8" t="inlineStr"/>
      <c r="F1857" s="8" t="inlineStr">
        <is>
          <t>en.applicationProcess[1].process[0].children[3]</t>
        </is>
      </c>
      <c r="G1857" s="8" t="inlineStr">
        <is>
          <t>C29@20261028-2bdc71e1</t>
        </is>
      </c>
      <c r="H1857" s="8" t="n">
        <v>1</v>
      </c>
      <c r="I1857" s="8" t="n">
        <v>1</v>
      </c>
      <c r="J1857" s="8" t="inlineStr">
        <is>
          <t>The list of applicants with the recommendations of the Verifying Authority is discussed in the Gram Sabha in rural areas or Ward Sabha / Area Sabha as designated by the State Government in urban areas and thereafter in the Gram Panchayats and Municipalities.</t>
        </is>
      </c>
      <c r="K1857" s="8" t="inlineStr">
        <is>
          <t>MS-C29</t>
        </is>
      </c>
      <c r="L1857" s="9" t="n">
        <v>46323</v>
      </c>
      <c r="M1857" s="8" t="inlineStr">
        <is>
          <t>Approved</t>
        </is>
      </c>
      <c r="N1857" s="8" t="inlineStr">
        <is>
          <t>list_item</t>
        </is>
      </c>
    </row>
    <row r="1858" ht="54" customHeight="1">
      <c r="A1858" s="4" t="inlineStr">
        <is>
          <t>C29-P0025</t>
        </is>
      </c>
      <c r="B1858" s="4" t="inlineStr">
        <is>
          <t>C29</t>
        </is>
      </c>
      <c r="C1858" s="4" t="inlineStr">
        <is>
          <t>Indira Gandhi National Disability Pension Scheme</t>
        </is>
      </c>
      <c r="D1858" s="4" t="inlineStr">
        <is>
          <t>Application process</t>
        </is>
      </c>
      <c r="E1858" s="4" t="inlineStr"/>
      <c r="F1858" s="4" t="inlineStr">
        <is>
          <t>en.applicationProcess[1].process[0].children[4]</t>
        </is>
      </c>
      <c r="G1858" s="4" t="inlineStr">
        <is>
          <t>C29@20261028-2bdc71e1</t>
        </is>
      </c>
      <c r="H1858" s="4" t="n">
        <v>1</v>
      </c>
      <c r="I1858" s="4" t="n">
        <v>1</v>
      </c>
      <c r="J1858" s="4" t="inlineStr">
        <is>
          <t>If the time limits are not adhered to by Gram Sabha / Ward Sabhas, Gram Panchayats / Municipalities the Verification Officer directly submits his recommendations to the Sanctioning Authority under intimation to the Gram Panchayat / Municipality.</t>
        </is>
      </c>
      <c r="K1858" s="4" t="inlineStr">
        <is>
          <t>MS-C29</t>
        </is>
      </c>
      <c r="L1858" s="6" t="n">
        <v>46323</v>
      </c>
      <c r="M1858" s="4" t="inlineStr">
        <is>
          <t>Approved</t>
        </is>
      </c>
      <c r="N1858" s="4" t="inlineStr">
        <is>
          <t>list_item</t>
        </is>
      </c>
    </row>
    <row r="1859" ht="54" customHeight="1">
      <c r="A1859" s="8" t="inlineStr">
        <is>
          <t>C29-P0026</t>
        </is>
      </c>
      <c r="B1859" s="8" t="inlineStr">
        <is>
          <t>C29</t>
        </is>
      </c>
      <c r="C1859" s="8" t="inlineStr">
        <is>
          <t>Indira Gandhi National Disability Pension Scheme</t>
        </is>
      </c>
      <c r="D1859" s="8" t="inlineStr">
        <is>
          <t>Application process</t>
        </is>
      </c>
      <c r="E1859" s="8" t="inlineStr"/>
      <c r="F1859" s="8" t="inlineStr">
        <is>
          <t>en.applicationProcess[1].process[0].children[5]</t>
        </is>
      </c>
      <c r="G1859" s="8" t="inlineStr">
        <is>
          <t>C29@20261028-2bdc71e1</t>
        </is>
      </c>
      <c r="H1859" s="8" t="n">
        <v>1</v>
      </c>
      <c r="I1859" s="8" t="n">
        <v>1</v>
      </c>
      <c r="J1859" s="8" t="inlineStr">
        <is>
          <t>After receipt of applications which are verified and recommended by the Gram Sabha / Ward Committee / Area Sabha, the Sanctioning Authority convey approval to the applicant in the form of a Sanction Order with a copy to Gram Panchayat / Municipality concerned.</t>
        </is>
      </c>
      <c r="K1859" s="8" t="inlineStr">
        <is>
          <t>MS-C29</t>
        </is>
      </c>
      <c r="L1859" s="9" t="n">
        <v>46323</v>
      </c>
      <c r="M1859" s="8" t="inlineStr">
        <is>
          <t>Approved</t>
        </is>
      </c>
      <c r="N1859" s="8" t="inlineStr">
        <is>
          <t>list_item</t>
        </is>
      </c>
    </row>
    <row r="1860" ht="40" customHeight="1">
      <c r="A1860" s="4" t="inlineStr">
        <is>
          <t>C29-P0027</t>
        </is>
      </c>
      <c r="B1860" s="4" t="inlineStr">
        <is>
          <t>C29</t>
        </is>
      </c>
      <c r="C1860" s="4" t="inlineStr">
        <is>
          <t>Indira Gandhi National Disability Pension Scheme</t>
        </is>
      </c>
      <c r="D1860" s="4" t="inlineStr">
        <is>
          <t>Application process</t>
        </is>
      </c>
      <c r="E1860" s="4" t="inlineStr"/>
      <c r="F1860" s="4" t="inlineStr">
        <is>
          <t>en.applicationProcess[1].process[0].children[6]</t>
        </is>
      </c>
      <c r="G1860" s="4" t="inlineStr">
        <is>
          <t>C29@20261028-2bdc71e1</t>
        </is>
      </c>
      <c r="H1860" s="4" t="n">
        <v>1</v>
      </c>
      <c r="I1860" s="4" t="n">
        <v>1</v>
      </c>
      <c r="J1860" s="4" t="inlineStr">
        <is>
          <t>The Sanctioning Authority issues Sanction Order under his seal</t>
        </is>
      </c>
      <c r="K1860" s="4" t="inlineStr">
        <is>
          <t>MS-C29</t>
        </is>
      </c>
      <c r="L1860" s="6" t="n">
        <v>46323</v>
      </c>
      <c r="M1860" s="4" t="inlineStr">
        <is>
          <t>Approved</t>
        </is>
      </c>
      <c r="N1860" s="4" t="inlineStr">
        <is>
          <t>list_item</t>
        </is>
      </c>
    </row>
    <row r="1861" ht="54" customHeight="1">
      <c r="A1861" s="8" t="inlineStr">
        <is>
          <t>C29-P0028</t>
        </is>
      </c>
      <c r="B1861" s="8" t="inlineStr">
        <is>
          <t>C29</t>
        </is>
      </c>
      <c r="C1861" s="8" t="inlineStr">
        <is>
          <t>Indira Gandhi National Disability Pension Scheme</t>
        </is>
      </c>
      <c r="D1861" s="8" t="inlineStr">
        <is>
          <t>Application process</t>
        </is>
      </c>
      <c r="E1861" s="8" t="inlineStr"/>
      <c r="F1861" s="8" t="inlineStr">
        <is>
          <t>en.applicationProcess[1].process[0].children[7]</t>
        </is>
      </c>
      <c r="G1861" s="8" t="inlineStr">
        <is>
          <t>C29@20261028-2bdc71e1</t>
        </is>
      </c>
      <c r="H1861" s="8" t="n">
        <v>1</v>
      </c>
      <c r="I1861" s="8" t="n">
        <v>1</v>
      </c>
      <c r="J1861" s="8" t="inlineStr">
        <is>
          <t>Every beneficiary who has been sanctioned pension under schemes of NSAP are issued a Pension Passbook. The Passbook contain details of the Sanction Order, particulars of the pensioner and disbursement details</t>
        </is>
      </c>
      <c r="K1861" s="8" t="inlineStr">
        <is>
          <t>MS-C29</t>
        </is>
      </c>
      <c r="L1861" s="9" t="n">
        <v>46323</v>
      </c>
      <c r="M1861" s="8" t="inlineStr">
        <is>
          <t>Approved</t>
        </is>
      </c>
      <c r="N1861" s="8" t="inlineStr">
        <is>
          <t>list_item</t>
        </is>
      </c>
    </row>
    <row r="1862" ht="40" customHeight="1">
      <c r="A1862" s="4" t="inlineStr">
        <is>
          <t>C29-P0029</t>
        </is>
      </c>
      <c r="B1862" s="4" t="inlineStr">
        <is>
          <t>C29</t>
        </is>
      </c>
      <c r="C1862" s="4" t="inlineStr">
        <is>
          <t>Indira Gandhi National Disability Pension Scheme</t>
        </is>
      </c>
      <c r="D1862" s="4" t="inlineStr">
        <is>
          <t>Application process</t>
        </is>
      </c>
      <c r="E1862" s="4" t="inlineStr"/>
      <c r="F1862" s="4" t="inlineStr">
        <is>
          <t>en.applicationProcess[1].process[0].children[8]</t>
        </is>
      </c>
      <c r="G1862" s="4" t="inlineStr">
        <is>
          <t>C29@20261028-2bdc71e1</t>
        </is>
      </c>
      <c r="H1862" s="4" t="n">
        <v>1</v>
      </c>
      <c r="I1862" s="4" t="n">
        <v>1</v>
      </c>
      <c r="J1862" s="4" t="inlineStr">
        <is>
          <t>The list of beneficiaries to whom sanctions are issued is displayed at the Gram Panchayat / Ward / Municipal Office and updated every three months.</t>
        </is>
      </c>
      <c r="K1862" s="4" t="inlineStr">
        <is>
          <t>MS-C29</t>
        </is>
      </c>
      <c r="L1862" s="6" t="n">
        <v>46323</v>
      </c>
      <c r="M1862" s="4" t="inlineStr">
        <is>
          <t>Approved</t>
        </is>
      </c>
      <c r="N1862" s="4" t="inlineStr">
        <is>
          <t>list_item</t>
        </is>
      </c>
    </row>
    <row r="1863" ht="40" customHeight="1">
      <c r="A1863" s="8" t="inlineStr">
        <is>
          <t>C29-P0030</t>
        </is>
      </c>
      <c r="B1863" s="8" t="inlineStr">
        <is>
          <t>C29</t>
        </is>
      </c>
      <c r="C1863" s="8" t="inlineStr">
        <is>
          <t>Indira Gandhi National Disability Pension Scheme</t>
        </is>
      </c>
      <c r="D1863" s="8" t="inlineStr">
        <is>
          <t>Application process</t>
        </is>
      </c>
      <c r="E1863" s="8" t="inlineStr"/>
      <c r="F1863" s="8" t="inlineStr">
        <is>
          <t>en.applicationProcess[1].process[0].children[9]</t>
        </is>
      </c>
      <c r="G1863" s="8" t="inlineStr">
        <is>
          <t>C29@20261028-2bdc71e1</t>
        </is>
      </c>
      <c r="H1863" s="8" t="n">
        <v>1</v>
      </c>
      <c r="I1863" s="8" t="n">
        <v>1</v>
      </c>
      <c r="J1863" s="8" t="inlineStr">
        <is>
          <t>The Pension amount is directly paid to the beneficiaries through the Direct Benefit Transfer (DBT) process to their post office or bank account.</t>
        </is>
      </c>
      <c r="K1863" s="8" t="inlineStr">
        <is>
          <t>MS-C29</t>
        </is>
      </c>
      <c r="L1863" s="9" t="n">
        <v>46323</v>
      </c>
      <c r="M1863" s="8" t="inlineStr">
        <is>
          <t>Approved</t>
        </is>
      </c>
      <c r="N1863" s="8" t="inlineStr">
        <is>
          <t>list_item</t>
        </is>
      </c>
    </row>
    <row r="1864" ht="54" customHeight="1">
      <c r="A1864" s="4" t="inlineStr">
        <is>
          <t>C29-P0031</t>
        </is>
      </c>
      <c r="B1864" s="4" t="inlineStr">
        <is>
          <t>C29</t>
        </is>
      </c>
      <c r="C1864" s="4" t="inlineStr">
        <is>
          <t>Indira Gandhi National Disability Pension Scheme</t>
        </is>
      </c>
      <c r="D1864" s="4" t="inlineStr">
        <is>
          <t>FAQ</t>
        </is>
      </c>
      <c r="E1864" s="4" t="inlineStr"/>
      <c r="F1864" s="4" t="inlineStr">
        <is>
          <t>faqs.en.faqs[0]</t>
        </is>
      </c>
      <c r="G1864" s="4" t="inlineStr">
        <is>
          <t>C29@20261028-2bdc71e1</t>
        </is>
      </c>
      <c r="H1864" s="4" t="n">
        <v>1</v>
      </c>
      <c r="I1864" s="4" t="n">
        <v>1</v>
      </c>
      <c r="J1864" s="4" t="inlineStr">
        <is>
          <t>What Are Different Modes Of Receiving Pension?
One can receive pension amount in Bank Account, Post Office Account, Postal Money Order or in hand cash.</t>
        </is>
      </c>
      <c r="K1864" s="4" t="inlineStr">
        <is>
          <t>MS-C29</t>
        </is>
      </c>
      <c r="L1864" s="6" t="n">
        <v>46323</v>
      </c>
      <c r="M1864" s="4" t="inlineStr">
        <is>
          <t>Approved</t>
        </is>
      </c>
      <c r="N1864" s="4" t="inlineStr">
        <is>
          <t>faq</t>
        </is>
      </c>
    </row>
    <row r="1865" ht="68" customHeight="1">
      <c r="A1865" s="8" t="inlineStr">
        <is>
          <t>C29-P0032</t>
        </is>
      </c>
      <c r="B1865" s="8" t="inlineStr">
        <is>
          <t>C29</t>
        </is>
      </c>
      <c r="C1865" s="8" t="inlineStr">
        <is>
          <t>Indira Gandhi National Disability Pension Scheme</t>
        </is>
      </c>
      <c r="D1865" s="8" t="inlineStr">
        <is>
          <t>FAQ</t>
        </is>
      </c>
      <c r="E1865" s="8" t="inlineStr"/>
      <c r="F1865" s="8" t="inlineStr">
        <is>
          <t>faqs.en.faqs[1]</t>
        </is>
      </c>
      <c r="G1865" s="8" t="inlineStr">
        <is>
          <t>C29@20261028-2bdc71e1</t>
        </is>
      </c>
      <c r="H1865" s="8" t="n">
        <v>1</v>
      </c>
      <c r="I1865" s="8" t="n">
        <v>1</v>
      </c>
      <c r="J1865" s="8" t="inlineStr">
        <is>
          <t>Who Will Disburse In Hand Cash?
In hand cash will be disbursed by Pension Disbursement Authority of respective Sub District/Municipal Area. One can select the pension disbursement authority while filling online application form on UMANG.</t>
        </is>
      </c>
      <c r="K1865" s="8" t="inlineStr">
        <is>
          <t>MS-C29</t>
        </is>
      </c>
      <c r="L1865" s="9" t="n">
        <v>46323</v>
      </c>
      <c r="M1865" s="8" t="inlineStr">
        <is>
          <t>Approved</t>
        </is>
      </c>
      <c r="N1865" s="8" t="inlineStr">
        <is>
          <t>faq</t>
        </is>
      </c>
    </row>
    <row r="1866" ht="40" customHeight="1">
      <c r="A1866" s="4" t="inlineStr">
        <is>
          <t>C29-P0033</t>
        </is>
      </c>
      <c r="B1866" s="4" t="inlineStr">
        <is>
          <t>C29</t>
        </is>
      </c>
      <c r="C1866" s="4" t="inlineStr">
        <is>
          <t>Indira Gandhi National Disability Pension Scheme</t>
        </is>
      </c>
      <c r="D1866" s="4" t="inlineStr">
        <is>
          <t>FAQ</t>
        </is>
      </c>
      <c r="E1866" s="4" t="inlineStr"/>
      <c r="F1866" s="4" t="inlineStr">
        <is>
          <t>faqs.en.faqs[2]</t>
        </is>
      </c>
      <c r="G1866" s="4" t="inlineStr">
        <is>
          <t>C29@20261028-2bdc71e1</t>
        </is>
      </c>
      <c r="H1866" s="4" t="n">
        <v>1</v>
      </c>
      <c r="I1866" s="4" t="n">
        <v>1</v>
      </c>
      <c r="J1866" s="4" t="inlineStr">
        <is>
          <t>Can I Apply Online?
Yes, One can apply through UMANG. https://web.umang.gov.in/web_new/home</t>
        </is>
      </c>
      <c r="K1866" s="4" t="inlineStr">
        <is>
          <t>MS-C29</t>
        </is>
      </c>
      <c r="L1866" s="6" t="n">
        <v>46323</v>
      </c>
      <c r="M1866" s="4" t="inlineStr">
        <is>
          <t>Approved</t>
        </is>
      </c>
      <c r="N1866" s="4" t="inlineStr">
        <is>
          <t>faq</t>
        </is>
      </c>
    </row>
    <row r="1867" ht="40" customHeight="1">
      <c r="A1867" s="8" t="inlineStr">
        <is>
          <t>C29-P0034</t>
        </is>
      </c>
      <c r="B1867" s="8" t="inlineStr">
        <is>
          <t>C29</t>
        </is>
      </c>
      <c r="C1867" s="8" t="inlineStr">
        <is>
          <t>Indira Gandhi National Disability Pension Scheme</t>
        </is>
      </c>
      <c r="D1867" s="8" t="inlineStr">
        <is>
          <t>FAQ</t>
        </is>
      </c>
      <c r="E1867" s="8" t="inlineStr"/>
      <c r="F1867" s="8" t="inlineStr">
        <is>
          <t>faqs.en.faqs[3]</t>
        </is>
      </c>
      <c r="G1867" s="8" t="inlineStr">
        <is>
          <t>C29@20261028-2bdc71e1</t>
        </is>
      </c>
      <c r="H1867" s="8" t="n">
        <v>1</v>
      </c>
      <c r="I1867" s="8" t="n">
        <v>1</v>
      </c>
      <c r="J1867" s="8" t="inlineStr">
        <is>
          <t>Is The Offline Application Process Same For All States?
The offline application process might vary slightly from state to state.</t>
        </is>
      </c>
      <c r="K1867" s="8" t="inlineStr">
        <is>
          <t>MS-C29</t>
        </is>
      </c>
      <c r="L1867" s="9" t="n">
        <v>46323</v>
      </c>
      <c r="M1867" s="8" t="inlineStr">
        <is>
          <t>Approved</t>
        </is>
      </c>
      <c r="N1867" s="8" t="inlineStr">
        <is>
          <t>faq</t>
        </is>
      </c>
    </row>
    <row r="1868" ht="82" customHeight="1">
      <c r="A1868" s="4" t="inlineStr">
        <is>
          <t>C29-P0035</t>
        </is>
      </c>
      <c r="B1868" s="4" t="inlineStr">
        <is>
          <t>C29</t>
        </is>
      </c>
      <c r="C1868" s="4" t="inlineStr">
        <is>
          <t>Indira Gandhi National Disability Pension Scheme</t>
        </is>
      </c>
      <c r="D1868" s="4" t="inlineStr">
        <is>
          <t>FAQ</t>
        </is>
      </c>
      <c r="E1868" s="4" t="inlineStr"/>
      <c r="F1868" s="4" t="inlineStr">
        <is>
          <t>faqs.en.faqs[4]</t>
        </is>
      </c>
      <c r="G1868" s="4" t="inlineStr">
        <is>
          <t>C29@20261028-2bdc71e1</t>
        </is>
      </c>
      <c r="H1868" s="4" t="n">
        <v>1</v>
      </c>
      <c r="I1868" s="4" t="n">
        <v>1</v>
      </c>
      <c r="J1868" s="4" t="inlineStr">
        <is>
          <t>How Can I Track My Application Status?
One can track his/her application through https://nsap.nic.in/applicationTrack1.do?methodName=showStatus
 or 
Through UMANG - https://web.umang.gov.in/web_new/home</t>
        </is>
      </c>
      <c r="K1868" s="4" t="inlineStr">
        <is>
          <t>MS-C29</t>
        </is>
      </c>
      <c r="L1868" s="6" t="n">
        <v>46323</v>
      </c>
      <c r="M1868" s="4" t="inlineStr">
        <is>
          <t>Approved</t>
        </is>
      </c>
      <c r="N1868" s="4" t="inlineStr">
        <is>
          <t>faq</t>
        </is>
      </c>
    </row>
    <row r="1869" ht="40" customHeight="1">
      <c r="A1869" s="8" t="inlineStr">
        <is>
          <t>C29-P0036</t>
        </is>
      </c>
      <c r="B1869" s="8" t="inlineStr">
        <is>
          <t>C29</t>
        </is>
      </c>
      <c r="C1869" s="8" t="inlineStr">
        <is>
          <t>Indira Gandhi National Disability Pension Scheme</t>
        </is>
      </c>
      <c r="D1869" s="8" t="inlineStr">
        <is>
          <t>FAQ</t>
        </is>
      </c>
      <c r="E1869" s="8" t="inlineStr"/>
      <c r="F1869" s="8" t="inlineStr">
        <is>
          <t>faqs.en.faqs[5]</t>
        </is>
      </c>
      <c r="G1869" s="8" t="inlineStr">
        <is>
          <t>C29@20261028-2bdc71e1</t>
        </is>
      </c>
      <c r="H1869" s="8" t="n">
        <v>1</v>
      </c>
      <c r="I1869" s="8" t="n">
        <v>1</v>
      </c>
      <c r="J1869" s="8" t="inlineStr">
        <is>
          <t>Can I Apply For Multiple Disabilities?
Yes.</t>
        </is>
      </c>
      <c r="K1869" s="8" t="inlineStr">
        <is>
          <t>MS-C29</t>
        </is>
      </c>
      <c r="L1869" s="9" t="n">
        <v>46323</v>
      </c>
      <c r="M1869" s="8" t="inlineStr">
        <is>
          <t>Approved</t>
        </is>
      </c>
      <c r="N1869" s="8" t="inlineStr">
        <is>
          <t>faq</t>
        </is>
      </c>
    </row>
    <row r="1870" ht="82" customHeight="1">
      <c r="A1870" s="4" t="inlineStr">
        <is>
          <t>C30-P0001</t>
        </is>
      </c>
      <c r="B1870" s="4" t="inlineStr">
        <is>
          <t>C30</t>
        </is>
      </c>
      <c r="C1870" s="4" t="inlineStr">
        <is>
          <t>Persons With Disabilities Scheme In Colleges: Higher Education For Persons With Special Needs</t>
        </is>
      </c>
      <c r="D1870" s="4" t="inlineStr">
        <is>
          <t>Details</t>
        </is>
      </c>
      <c r="E1870" s="4" t="inlineStr"/>
      <c r="F1870" s="4" t="inlineStr">
        <is>
          <t>en.schemeContent.detailedDescription[0]</t>
        </is>
      </c>
      <c r="G1870" s="4" t="inlineStr">
        <is>
          <t>C30@20261028-a5d3e6b4</t>
        </is>
      </c>
      <c r="H1870" s="4" t="n">
        <v>1</v>
      </c>
      <c r="I1870" s="4" t="n">
        <v>1</v>
      </c>
      <c r="J1870" s="4" t="inlineStr">
        <is>
          <t>The Higher Education for Persons with Special Needs (HEPSN) scheme is meant for creating an environment at higher education institutions to enrich the higher education learning experiences of differently-abled persons. Creating awareness about the capabilities of differently-abled persons, construction aimed at improving accessibility, purchase of equipment to enrich learning, etc., are the broad categories of assistance under this scheme.</t>
        </is>
      </c>
      <c r="K1870" s="4" t="inlineStr">
        <is>
          <t>MS-C30</t>
        </is>
      </c>
      <c r="L1870" s="6" t="n">
        <v>46323</v>
      </c>
      <c r="M1870" s="4" t="inlineStr">
        <is>
          <t>Approved</t>
        </is>
      </c>
      <c r="N1870" s="4" t="inlineStr">
        <is>
          <t>paragraph</t>
        </is>
      </c>
    </row>
    <row r="1871" ht="54" customHeight="1">
      <c r="A1871" s="8" t="inlineStr">
        <is>
          <t>C30-P0002</t>
        </is>
      </c>
      <c r="B1871" s="8" t="inlineStr">
        <is>
          <t>C30</t>
        </is>
      </c>
      <c r="C1871" s="8" t="inlineStr">
        <is>
          <t>Persons With Disabilities Scheme In Colleges: Higher Education For Persons With Special Needs</t>
        </is>
      </c>
      <c r="D1871" s="8" t="inlineStr">
        <is>
          <t>Details</t>
        </is>
      </c>
      <c r="E1871" s="8" t="inlineStr"/>
      <c r="F1871" s="8" t="inlineStr">
        <is>
          <t>en.schemeContent.detailedDescription[1].children[0]</t>
        </is>
      </c>
      <c r="G1871" s="8" t="inlineStr">
        <is>
          <t>C30@20261028-a5d3e6b4</t>
        </is>
      </c>
      <c r="H1871" s="8" t="n">
        <v>1</v>
      </c>
      <c r="I1871" s="8" t="n">
        <v>1</v>
      </c>
      <c r="J1871" s="8" t="inlineStr">
        <is>
          <t>Specific Objectives of HEPSN</t>
        </is>
      </c>
      <c r="K1871" s="8" t="inlineStr">
        <is>
          <t>MS-C30</t>
        </is>
      </c>
      <c r="L1871" s="9" t="n">
        <v>46323</v>
      </c>
      <c r="M1871" s="8" t="inlineStr">
        <is>
          <t>Approved</t>
        </is>
      </c>
      <c r="N1871" s="8" t="inlineStr">
        <is>
          <t>text</t>
        </is>
      </c>
    </row>
    <row r="1872" ht="54" customHeight="1">
      <c r="A1872" s="4" t="inlineStr">
        <is>
          <t>C30-P0004</t>
        </is>
      </c>
      <c r="B1872" s="4" t="inlineStr">
        <is>
          <t>C30</t>
        </is>
      </c>
      <c r="C1872" s="4" t="inlineStr">
        <is>
          <t>Persons With Disabilities Scheme In Colleges: Higher Education For Persons With Special Needs</t>
        </is>
      </c>
      <c r="D1872" s="4" t="inlineStr">
        <is>
          <t>Details</t>
        </is>
      </c>
      <c r="E1872" s="4" t="inlineStr"/>
      <c r="F1872" s="4" t="inlineStr">
        <is>
          <t>en.schemeContent.detailedDescription[2].children[1]</t>
        </is>
      </c>
      <c r="G1872" s="4" t="inlineStr">
        <is>
          <t>C30@20261028-a5d3e6b4</t>
        </is>
      </c>
      <c r="H1872" s="4" t="n">
        <v>1</v>
      </c>
      <c r="I1872" s="4" t="n">
        <v>1</v>
      </c>
      <c r="J1872" s="4" t="inlineStr">
        <is>
          <t xml:space="preserve">The specific objectives of the HEPSN Scheme are as follows: </t>
        </is>
      </c>
      <c r="K1872" s="4" t="inlineStr">
        <is>
          <t>MS-C30</t>
        </is>
      </c>
      <c r="L1872" s="6" t="n">
        <v>46323</v>
      </c>
      <c r="M1872" s="4" t="inlineStr">
        <is>
          <t>Approved</t>
        </is>
      </c>
      <c r="N1872" s="4" t="inlineStr">
        <is>
          <t>text</t>
        </is>
      </c>
    </row>
    <row r="1873" ht="54" customHeight="1">
      <c r="A1873" s="8" t="inlineStr">
        <is>
          <t>C30-P0005</t>
        </is>
      </c>
      <c r="B1873" s="8" t="inlineStr">
        <is>
          <t>C30</t>
        </is>
      </c>
      <c r="C1873" s="8" t="inlineStr">
        <is>
          <t>Persons With Disabilities Scheme In Colleges: Higher Education For Persons With Special Needs</t>
        </is>
      </c>
      <c r="D1873" s="8" t="inlineStr">
        <is>
          <t>Details</t>
        </is>
      </c>
      <c r="E1873" s="8" t="inlineStr"/>
      <c r="F1873" s="8" t="inlineStr">
        <is>
          <t>en.schemeContent.detailedDescription[3].children[0]</t>
        </is>
      </c>
      <c r="G1873" s="8" t="inlineStr">
        <is>
          <t>C30@20261028-a5d3e6b4</t>
        </is>
      </c>
      <c r="H1873" s="8" t="n">
        <v>1</v>
      </c>
      <c r="I1873" s="8" t="n">
        <v>1</v>
      </c>
      <c r="J1873" s="8" t="inlineStr">
        <is>
          <t>To provide equal educational opportunities to differently-abled persons in higher education institutions.</t>
        </is>
      </c>
      <c r="K1873" s="8" t="inlineStr">
        <is>
          <t>MS-C30</t>
        </is>
      </c>
      <c r="L1873" s="9" t="n">
        <v>46323</v>
      </c>
      <c r="M1873" s="8" t="inlineStr">
        <is>
          <t>Approved</t>
        </is>
      </c>
      <c r="N1873" s="8" t="inlineStr">
        <is>
          <t>list_item</t>
        </is>
      </c>
    </row>
    <row r="1874" ht="54" customHeight="1">
      <c r="A1874" s="4" t="inlineStr">
        <is>
          <t>C30-P0006</t>
        </is>
      </c>
      <c r="B1874" s="4" t="inlineStr">
        <is>
          <t>C30</t>
        </is>
      </c>
      <c r="C1874" s="4" t="inlineStr">
        <is>
          <t>Persons With Disabilities Scheme In Colleges: Higher Education For Persons With Special Needs</t>
        </is>
      </c>
      <c r="D1874" s="4" t="inlineStr">
        <is>
          <t>Details</t>
        </is>
      </c>
      <c r="E1874" s="4" t="inlineStr"/>
      <c r="F1874" s="4" t="inlineStr">
        <is>
          <t>en.schemeContent.detailedDescription[3].children[1]</t>
        </is>
      </c>
      <c r="G1874" s="4" t="inlineStr">
        <is>
          <t>C30@20261028-a5d3e6b4</t>
        </is>
      </c>
      <c r="H1874" s="4" t="n">
        <v>1</v>
      </c>
      <c r="I1874" s="4" t="n">
        <v>1</v>
      </c>
      <c r="J1874" s="4" t="inlineStr">
        <is>
          <t>To create awareness among the functionaries of higher education about the specific educational needs of differently-abled persons.</t>
        </is>
      </c>
      <c r="K1874" s="4" t="inlineStr">
        <is>
          <t>MS-C30</t>
        </is>
      </c>
      <c r="L1874" s="6" t="n">
        <v>46323</v>
      </c>
      <c r="M1874" s="4" t="inlineStr">
        <is>
          <t>Approved</t>
        </is>
      </c>
      <c r="N1874" s="4" t="inlineStr">
        <is>
          <t>list_item</t>
        </is>
      </c>
    </row>
    <row r="1875" ht="54" customHeight="1">
      <c r="A1875" s="8" t="inlineStr">
        <is>
          <t>C30-P0007</t>
        </is>
      </c>
      <c r="B1875" s="8" t="inlineStr">
        <is>
          <t>C30</t>
        </is>
      </c>
      <c r="C1875" s="8" t="inlineStr">
        <is>
          <t>Persons With Disabilities Scheme In Colleges: Higher Education For Persons With Special Needs</t>
        </is>
      </c>
      <c r="D1875" s="8" t="inlineStr">
        <is>
          <t>Details</t>
        </is>
      </c>
      <c r="E1875" s="8" t="inlineStr"/>
      <c r="F1875" s="8" t="inlineStr">
        <is>
          <t>en.schemeContent.detailedDescription[3].children[2]</t>
        </is>
      </c>
      <c r="G1875" s="8" t="inlineStr">
        <is>
          <t>C30@20261028-a5d3e6b4</t>
        </is>
      </c>
      <c r="H1875" s="8" t="n">
        <v>1</v>
      </c>
      <c r="I1875" s="8" t="n">
        <v>1</v>
      </c>
      <c r="J1875" s="8" t="inlineStr">
        <is>
          <t>To equip higher education institutions with the facilities to provide access to differently-abled persons.</t>
        </is>
      </c>
      <c r="K1875" s="8" t="inlineStr">
        <is>
          <t>MS-C30</t>
        </is>
      </c>
      <c r="L1875" s="9" t="n">
        <v>46323</v>
      </c>
      <c r="M1875" s="8" t="inlineStr">
        <is>
          <t>Approved</t>
        </is>
      </c>
      <c r="N1875" s="8" t="inlineStr">
        <is>
          <t>list_item</t>
        </is>
      </c>
    </row>
    <row r="1876" ht="54" customHeight="1">
      <c r="A1876" s="4" t="inlineStr">
        <is>
          <t>C30-P0008</t>
        </is>
      </c>
      <c r="B1876" s="4" t="inlineStr">
        <is>
          <t>C30</t>
        </is>
      </c>
      <c r="C1876" s="4" t="inlineStr">
        <is>
          <t>Persons With Disabilities Scheme In Colleges: Higher Education For Persons With Special Needs</t>
        </is>
      </c>
      <c r="D1876" s="4" t="inlineStr">
        <is>
          <t>Details</t>
        </is>
      </c>
      <c r="E1876" s="4" t="inlineStr"/>
      <c r="F1876" s="4" t="inlineStr">
        <is>
          <t>en.schemeContent.detailedDescription[3].children[3]</t>
        </is>
      </c>
      <c r="G1876" s="4" t="inlineStr">
        <is>
          <t>C30@20261028-a5d3e6b4</t>
        </is>
      </c>
      <c r="H1876" s="4" t="n">
        <v>1</v>
      </c>
      <c r="I1876" s="4" t="n">
        <v>1</v>
      </c>
      <c r="J1876" s="4" t="inlineStr">
        <is>
          <t>To provide special devices to higher education institutions that will augment the learning experiences of differently-abled persons.</t>
        </is>
      </c>
      <c r="K1876" s="4" t="inlineStr">
        <is>
          <t>MS-C30</t>
        </is>
      </c>
      <c r="L1876" s="6" t="n">
        <v>46323</v>
      </c>
      <c r="M1876" s="4" t="inlineStr">
        <is>
          <t>Approved</t>
        </is>
      </c>
      <c r="N1876" s="4" t="inlineStr">
        <is>
          <t>list_item</t>
        </is>
      </c>
    </row>
    <row r="1877" ht="54" customHeight="1">
      <c r="A1877" s="8" t="inlineStr">
        <is>
          <t>C30-P0009</t>
        </is>
      </c>
      <c r="B1877" s="8" t="inlineStr">
        <is>
          <t>C30</t>
        </is>
      </c>
      <c r="C1877" s="8" t="inlineStr">
        <is>
          <t>Persons With Disabilities Scheme In Colleges: Higher Education For Persons With Special Needs</t>
        </is>
      </c>
      <c r="D1877" s="8" t="inlineStr">
        <is>
          <t>Details</t>
        </is>
      </c>
      <c r="E1877" s="8" t="inlineStr"/>
      <c r="F1877" s="8" t="inlineStr">
        <is>
          <t>en.schemeContent.detailedDescription[3].children[4]</t>
        </is>
      </c>
      <c r="G1877" s="8" t="inlineStr">
        <is>
          <t>C30@20261028-a5d3e6b4</t>
        </is>
      </c>
      <c r="H1877" s="8" t="n">
        <v>1</v>
      </c>
      <c r="I1877" s="8" t="n">
        <v>1</v>
      </c>
      <c r="J1877" s="8" t="inlineStr">
        <is>
          <t>To monitor the implementation of all existing and future legislation and policies, which are about higher education of differently-abled persons.</t>
        </is>
      </c>
      <c r="K1877" s="8" t="inlineStr">
        <is>
          <t>MS-C30</t>
        </is>
      </c>
      <c r="L1877" s="9" t="n">
        <v>46323</v>
      </c>
      <c r="M1877" s="8" t="inlineStr">
        <is>
          <t>Approved</t>
        </is>
      </c>
      <c r="N1877" s="8" t="inlineStr">
        <is>
          <t>list_item</t>
        </is>
      </c>
    </row>
    <row r="1878" ht="54" customHeight="1">
      <c r="A1878" s="4" t="inlineStr">
        <is>
          <t>C30-P0010</t>
        </is>
      </c>
      <c r="B1878" s="4" t="inlineStr">
        <is>
          <t>C30</t>
        </is>
      </c>
      <c r="C1878" s="4" t="inlineStr">
        <is>
          <t>Persons With Disabilities Scheme In Colleges: Higher Education For Persons With Special Needs</t>
        </is>
      </c>
      <c r="D1878" s="4" t="inlineStr">
        <is>
          <t>Benefits</t>
        </is>
      </c>
      <c r="E1878" s="4" t="inlineStr"/>
      <c r="F1878" s="4" t="inlineStr">
        <is>
          <t>en.schemeContent.benefits[0]</t>
        </is>
      </c>
      <c r="G1878" s="4" t="inlineStr">
        <is>
          <t>C30@20261028-a5d3e6b4</t>
        </is>
      </c>
      <c r="H1878" s="4" t="n">
        <v>1</v>
      </c>
      <c r="I1878" s="4" t="n">
        <v>1</v>
      </c>
      <c r="J1878" s="4" t="inlineStr">
        <is>
          <t>Provision of Facilities and Financial assistance</t>
        </is>
      </c>
      <c r="K1878" s="4" t="inlineStr">
        <is>
          <t>MS-C30</t>
        </is>
      </c>
      <c r="L1878" s="6" t="n">
        <v>46323</v>
      </c>
      <c r="M1878" s="4" t="inlineStr">
        <is>
          <t>Approved</t>
        </is>
      </c>
      <c r="N1878" s="4" t="inlineStr">
        <is>
          <t>paragraph</t>
        </is>
      </c>
    </row>
    <row r="1879" ht="54" customHeight="1">
      <c r="A1879" s="8" t="inlineStr">
        <is>
          <t>C30-P0011</t>
        </is>
      </c>
      <c r="B1879" s="8" t="inlineStr">
        <is>
          <t>C30</t>
        </is>
      </c>
      <c r="C1879" s="8" t="inlineStr">
        <is>
          <t>Persons With Disabilities Scheme In Colleges: Higher Education For Persons With Special Needs</t>
        </is>
      </c>
      <c r="D1879" s="8" t="inlineStr">
        <is>
          <t>Benefits</t>
        </is>
      </c>
      <c r="E1879" s="8" t="inlineStr"/>
      <c r="F1879" s="8" t="inlineStr">
        <is>
          <t>en.schemeContent.benefits[1]</t>
        </is>
      </c>
      <c r="G1879" s="8" t="inlineStr">
        <is>
          <t>C30@20261028-a5d3e6b4</t>
        </is>
      </c>
      <c r="H1879" s="8" t="n">
        <v>1</v>
      </c>
      <c r="I1879" s="8" t="n">
        <v>1</v>
      </c>
      <c r="J1879" s="8" t="inlineStr">
        <is>
          <t>The HEPSN scheme has three components. They are enumerated as follows:</t>
        </is>
      </c>
      <c r="K1879" s="8" t="inlineStr">
        <is>
          <t>MS-C30</t>
        </is>
      </c>
      <c r="L1879" s="9" t="n">
        <v>46323</v>
      </c>
      <c r="M1879" s="8" t="inlineStr">
        <is>
          <t>Approved</t>
        </is>
      </c>
      <c r="N1879" s="8" t="inlineStr">
        <is>
          <t>paragraph</t>
        </is>
      </c>
    </row>
    <row r="1880" ht="54" customHeight="1">
      <c r="A1880" s="4" t="inlineStr">
        <is>
          <t>C30-P0012</t>
        </is>
      </c>
      <c r="B1880" s="4" t="inlineStr">
        <is>
          <t>C30</t>
        </is>
      </c>
      <c r="C1880" s="4" t="inlineStr">
        <is>
          <t>Persons With Disabilities Scheme In Colleges: Higher Education For Persons With Special Needs</t>
        </is>
      </c>
      <c r="D1880" s="4" t="inlineStr">
        <is>
          <t>Benefits</t>
        </is>
      </c>
      <c r="E1880" s="4" t="inlineStr"/>
      <c r="F1880" s="4" t="inlineStr">
        <is>
          <t>en.schemeContent.benefits[2].children[0]</t>
        </is>
      </c>
      <c r="G1880" s="4" t="inlineStr">
        <is>
          <t>C30@20261028-a5d3e6b4</t>
        </is>
      </c>
      <c r="H1880" s="4" t="n">
        <v>1</v>
      </c>
      <c r="I1880" s="4" t="n">
        <v>1</v>
      </c>
      <c r="J1880" s="4" t="inlineStr">
        <is>
          <t xml:space="preserve">Component 1: Establishment of Enabling Units for differently-abled Persons </t>
        </is>
      </c>
      <c r="K1880" s="4" t="inlineStr">
        <is>
          <t>MS-C30</t>
        </is>
      </c>
      <c r="L1880" s="6" t="n">
        <v>46323</v>
      </c>
      <c r="M1880" s="4" t="inlineStr">
        <is>
          <t>Approved</t>
        </is>
      </c>
      <c r="N1880" s="4" t="inlineStr">
        <is>
          <t>text</t>
        </is>
      </c>
    </row>
    <row r="1881" ht="68" customHeight="1">
      <c r="A1881" s="8" t="inlineStr">
        <is>
          <t>C30-P0013</t>
        </is>
      </c>
      <c r="B1881" s="8" t="inlineStr">
        <is>
          <t>C30</t>
        </is>
      </c>
      <c r="C1881" s="8" t="inlineStr">
        <is>
          <t>Persons With Disabilities Scheme In Colleges: Higher Education For Persons With Special Needs</t>
        </is>
      </c>
      <c r="D1881" s="8" t="inlineStr">
        <is>
          <t>Benefits</t>
        </is>
      </c>
      <c r="E1881" s="8" t="inlineStr"/>
      <c r="F1881" s="8" t="inlineStr">
        <is>
          <t>en.schemeContent.benefits[3]</t>
        </is>
      </c>
      <c r="G1881" s="8" t="inlineStr">
        <is>
          <t>C30@20261028-a5d3e6b4</t>
        </is>
      </c>
      <c r="H1881" s="8" t="n">
        <v>1</v>
      </c>
      <c r="I1881" s="8" t="n">
        <v>1</v>
      </c>
      <c r="J1881" s="8" t="inlineStr">
        <is>
          <t>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t>
        </is>
      </c>
      <c r="K1881" s="8" t="inlineStr">
        <is>
          <t>MS-C30</t>
        </is>
      </c>
      <c r="L1881" s="9" t="n">
        <v>46323</v>
      </c>
      <c r="M1881" s="8" t="inlineStr">
        <is>
          <t>Approved</t>
        </is>
      </c>
      <c r="N1881" s="8" t="inlineStr">
        <is>
          <t>paragraph</t>
        </is>
      </c>
    </row>
    <row r="1882" ht="54" customHeight="1">
      <c r="A1882" s="4" t="inlineStr">
        <is>
          <t>C30-P0014</t>
        </is>
      </c>
      <c r="B1882" s="4" t="inlineStr">
        <is>
          <t>C30</t>
        </is>
      </c>
      <c r="C1882" s="4" t="inlineStr">
        <is>
          <t>Persons With Disabilities Scheme In Colleges: Higher Education For Persons With Special Needs</t>
        </is>
      </c>
      <c r="D1882" s="4" t="inlineStr">
        <is>
          <t>Benefits</t>
        </is>
      </c>
      <c r="E1882" s="4" t="inlineStr"/>
      <c r="F1882" s="4" t="inlineStr">
        <is>
          <t>en.schemeContent.benefits[4]</t>
        </is>
      </c>
      <c r="G1882" s="4" t="inlineStr">
        <is>
          <t>C30@20261028-a5d3e6b4</t>
        </is>
      </c>
      <c r="H1882" s="4" t="n">
        <v>1</v>
      </c>
      <c r="I1882" s="4" t="n">
        <v>1</v>
      </c>
      <c r="J1882" s="4" t="inlineStr">
        <is>
          <t>1. Facilitate admission of differently-abled persons in various courses;</t>
        </is>
      </c>
      <c r="K1882" s="4" t="inlineStr">
        <is>
          <t>MS-C30</t>
        </is>
      </c>
      <c r="L1882" s="6" t="n">
        <v>46323</v>
      </c>
      <c r="M1882" s="4" t="inlineStr">
        <is>
          <t>Approved</t>
        </is>
      </c>
      <c r="N1882" s="4" t="inlineStr">
        <is>
          <t>paragraph</t>
        </is>
      </c>
    </row>
    <row r="1883" ht="54" customHeight="1">
      <c r="A1883" s="8" t="inlineStr">
        <is>
          <t>C30-P0015</t>
        </is>
      </c>
      <c r="B1883" s="8" t="inlineStr">
        <is>
          <t>C30</t>
        </is>
      </c>
      <c r="C1883" s="8" t="inlineStr">
        <is>
          <t>Persons With Disabilities Scheme In Colleges: Higher Education For Persons With Special Needs</t>
        </is>
      </c>
      <c r="D1883" s="8" t="inlineStr">
        <is>
          <t>Benefits</t>
        </is>
      </c>
      <c r="E1883" s="8" t="inlineStr"/>
      <c r="F1883" s="8" t="inlineStr">
        <is>
          <t>en.schemeContent.benefits[5]</t>
        </is>
      </c>
      <c r="G1883" s="8" t="inlineStr">
        <is>
          <t>C30@20261028-a5d3e6b4</t>
        </is>
      </c>
      <c r="H1883" s="8" t="n">
        <v>1</v>
      </c>
      <c r="I1883" s="8" t="n">
        <v>1</v>
      </c>
      <c r="J1883" s="8" t="inlineStr">
        <is>
          <t>2. Provide guidance and counseling to differently-abled individuals;</t>
        </is>
      </c>
      <c r="K1883" s="8" t="inlineStr">
        <is>
          <t>MS-C30</t>
        </is>
      </c>
      <c r="L1883" s="9" t="n">
        <v>46323</v>
      </c>
      <c r="M1883" s="8" t="inlineStr">
        <is>
          <t>Approved</t>
        </is>
      </c>
      <c r="N1883" s="8" t="inlineStr">
        <is>
          <t>paragraph</t>
        </is>
      </c>
    </row>
    <row r="1884" ht="54" customHeight="1">
      <c r="A1884" s="4" t="inlineStr">
        <is>
          <t>C30-P0016</t>
        </is>
      </c>
      <c r="B1884" s="4" t="inlineStr">
        <is>
          <t>C30</t>
        </is>
      </c>
      <c r="C1884" s="4" t="inlineStr">
        <is>
          <t>Persons With Disabilities Scheme In Colleges: Higher Education For Persons With Special Needs</t>
        </is>
      </c>
      <c r="D1884" s="4" t="inlineStr">
        <is>
          <t>Benefits</t>
        </is>
      </c>
      <c r="E1884" s="4" t="inlineStr"/>
      <c r="F1884" s="4" t="inlineStr">
        <is>
          <t>en.schemeContent.benefits[6]</t>
        </is>
      </c>
      <c r="G1884" s="4" t="inlineStr">
        <is>
          <t>C30@20261028-a5d3e6b4</t>
        </is>
      </c>
      <c r="H1884" s="4" t="n">
        <v>1</v>
      </c>
      <c r="I1884" s="4" t="n">
        <v>1</v>
      </c>
      <c r="J1884" s="4" t="inlineStr">
        <is>
          <t>3. Create awareness about the needs of differently-abled persons, and other general issues concerning their learning; and</t>
        </is>
      </c>
      <c r="K1884" s="4" t="inlineStr">
        <is>
          <t>MS-C30</t>
        </is>
      </c>
      <c r="L1884" s="6" t="n">
        <v>46323</v>
      </c>
      <c r="M1884" s="4" t="inlineStr">
        <is>
          <t>Approved</t>
        </is>
      </c>
      <c r="N1884" s="4" t="inlineStr">
        <is>
          <t>paragraph</t>
        </is>
      </c>
    </row>
    <row r="1885" ht="54" customHeight="1">
      <c r="A1885" s="8" t="inlineStr">
        <is>
          <t>C30-P0017</t>
        </is>
      </c>
      <c r="B1885" s="8" t="inlineStr">
        <is>
          <t>C30</t>
        </is>
      </c>
      <c r="C1885" s="8" t="inlineStr">
        <is>
          <t>Persons With Disabilities Scheme In Colleges: Higher Education For Persons With Special Needs</t>
        </is>
      </c>
      <c r="D1885" s="8" t="inlineStr">
        <is>
          <t>Benefits</t>
        </is>
      </c>
      <c r="E1885" s="8" t="inlineStr"/>
      <c r="F1885" s="8" t="inlineStr">
        <is>
          <t>en.schemeContent.benefits[7]</t>
        </is>
      </c>
      <c r="G1885" s="8" t="inlineStr">
        <is>
          <t>C30@20261028-a5d3e6b4</t>
        </is>
      </c>
      <c r="H1885" s="8" t="n">
        <v>1</v>
      </c>
      <c r="I1885" s="8" t="n">
        <v>1</v>
      </c>
      <c r="J1885" s="8" t="inlineStr">
        <is>
          <t>4. Assist differently-abled graduates to gain successful employment in the public as well as private sectors.</t>
        </is>
      </c>
      <c r="K1885" s="8" t="inlineStr">
        <is>
          <t>MS-C30</t>
        </is>
      </c>
      <c r="L1885" s="9" t="n">
        <v>46323</v>
      </c>
      <c r="M1885" s="8" t="inlineStr">
        <is>
          <t>Approved</t>
        </is>
      </c>
      <c r="N1885" s="8" t="inlineStr">
        <is>
          <t>paragraph</t>
        </is>
      </c>
    </row>
    <row r="1886" ht="96" customHeight="1">
      <c r="A1886" s="4" t="inlineStr">
        <is>
          <t>C30-P0018</t>
        </is>
      </c>
      <c r="B1886" s="4" t="inlineStr">
        <is>
          <t>C30</t>
        </is>
      </c>
      <c r="C1886" s="4" t="inlineStr">
        <is>
          <t>Persons With Disabilities Scheme In Colleges: Higher Education For Persons With Special Needs</t>
        </is>
      </c>
      <c r="D1886" s="4" t="inlineStr">
        <is>
          <t>Benefits</t>
        </is>
      </c>
      <c r="E1886" s="4" t="inlineStr"/>
      <c r="F1886" s="4" t="inlineStr">
        <is>
          <t>en.schemeContent.benefits[8]</t>
        </is>
      </c>
      <c r="G1886" s="4" t="inlineStr">
        <is>
          <t>C30@20261028-a5d3e6b4</t>
        </is>
      </c>
      <c r="H1886" s="4" t="n">
        <v>1</v>
      </c>
      <c r="I1886" s="4" t="n">
        <v>1</v>
      </c>
      <c r="J1886" s="4" t="inlineStr">
        <is>
          <t>The special unit will be coordinated by a faculty member to be nominated by the head of the institution. He/she will work as an honorary coordinator for which a token honorarium of Rs. 4000/- per month will be paid. The unit will also have a budgetary provision of ₹ 50,000/per year towards general administration, stationery, and contingencies, and to avail the services of experts and personnel for organizing awareness programs, counseling sessions, etc., for efficient and independent functioning in order to achieve its objectives.</t>
        </is>
      </c>
      <c r="K1886" s="4" t="inlineStr">
        <is>
          <t>MS-C30</t>
        </is>
      </c>
      <c r="L1886" s="6" t="n">
        <v>46323</v>
      </c>
      <c r="M1886" s="4" t="inlineStr">
        <is>
          <t>Approved</t>
        </is>
      </c>
      <c r="N1886" s="4" t="inlineStr">
        <is>
          <t>paragraph</t>
        </is>
      </c>
    </row>
    <row r="1887" ht="54" customHeight="1">
      <c r="A1887" s="8" t="inlineStr">
        <is>
          <t>C30-P0019</t>
        </is>
      </c>
      <c r="B1887" s="8" t="inlineStr">
        <is>
          <t>C30</t>
        </is>
      </c>
      <c r="C1887" s="8" t="inlineStr">
        <is>
          <t>Persons With Disabilities Scheme In Colleges: Higher Education For Persons With Special Needs</t>
        </is>
      </c>
      <c r="D1887" s="8" t="inlineStr">
        <is>
          <t>Benefits</t>
        </is>
      </c>
      <c r="E1887" s="8" t="inlineStr"/>
      <c r="F1887" s="8" t="inlineStr">
        <is>
          <t>en.schemeContent.benefits[10].children[0]</t>
        </is>
      </c>
      <c r="G1887" s="8" t="inlineStr">
        <is>
          <t>C30@20261028-a5d3e6b4</t>
        </is>
      </c>
      <c r="H1887" s="8" t="n">
        <v>1</v>
      </c>
      <c r="I1887" s="8" t="n">
        <v>1</v>
      </c>
      <c r="J1887" s="8" t="inlineStr">
        <is>
          <t>Component 2: Providing Access to Differently-abled Persons</t>
        </is>
      </c>
      <c r="K1887" s="8" t="inlineStr">
        <is>
          <t>MS-C30</t>
        </is>
      </c>
      <c r="L1887" s="9" t="n">
        <v>46323</v>
      </c>
      <c r="M1887" s="8" t="inlineStr">
        <is>
          <t>Approved</t>
        </is>
      </c>
      <c r="N1887" s="8" t="inlineStr">
        <is>
          <t>text</t>
        </is>
      </c>
    </row>
    <row r="1888" ht="54" customHeight="1">
      <c r="A1888" s="4" t="inlineStr">
        <is>
          <t>C30-P0020</t>
        </is>
      </c>
      <c r="B1888" s="4" t="inlineStr">
        <is>
          <t>C30</t>
        </is>
      </c>
      <c r="C1888" s="4" t="inlineStr">
        <is>
          <t>Persons With Disabilities Scheme In Colleges: Higher Education For Persons With Special Needs</t>
        </is>
      </c>
      <c r="D1888" s="4" t="inlineStr">
        <is>
          <t>Benefits</t>
        </is>
      </c>
      <c r="E1888" s="4" t="inlineStr"/>
      <c r="F1888" s="4" t="inlineStr">
        <is>
          <t>en.schemeContent.benefits[12].children[0]</t>
        </is>
      </c>
      <c r="G1888" s="4" t="inlineStr">
        <is>
          <t>C30@20261028-a5d3e6b4</t>
        </is>
      </c>
      <c r="H1888" s="4" t="n">
        <v>1</v>
      </c>
      <c r="I1888" s="4" t="n">
        <v>1</v>
      </c>
      <c r="J1888" s="4" t="inlineStr">
        <is>
          <t>The UGC will make a one-time grant of up to ₹ 5,00,000 per college during the Plan period so that the colleges can address the accessibility issues pertaining to disability and make special arrangements in the environment for their mobility and independent functioning.</t>
        </is>
      </c>
      <c r="K1888" s="4" t="inlineStr">
        <is>
          <t>MS-C30</t>
        </is>
      </c>
      <c r="L1888" s="6" t="n">
        <v>46323</v>
      </c>
      <c r="M1888" s="4" t="inlineStr">
        <is>
          <t>Approved</t>
        </is>
      </c>
      <c r="N1888" s="4" t="inlineStr">
        <is>
          <t>list_item</t>
        </is>
      </c>
    </row>
    <row r="1889" ht="54" customHeight="1">
      <c r="A1889" s="8" t="inlineStr">
        <is>
          <t>C30-P0021</t>
        </is>
      </c>
      <c r="B1889" s="8" t="inlineStr">
        <is>
          <t>C30</t>
        </is>
      </c>
      <c r="C1889" s="8" t="inlineStr">
        <is>
          <t>Persons With Disabilities Scheme In Colleges: Higher Education For Persons With Special Needs</t>
        </is>
      </c>
      <c r="D1889" s="8" t="inlineStr">
        <is>
          <t>Benefits</t>
        </is>
      </c>
      <c r="E1889" s="8" t="inlineStr"/>
      <c r="F1889" s="8" t="inlineStr">
        <is>
          <t>en.schemeContent.benefits[12].children[1]</t>
        </is>
      </c>
      <c r="G1889" s="8" t="inlineStr">
        <is>
          <t>C30@20261028-a5d3e6b4</t>
        </is>
      </c>
      <c r="H1889" s="8" t="n">
        <v>1</v>
      </c>
      <c r="I1889" s="8" t="n">
        <v>1</v>
      </c>
      <c r="J1889" s="8" t="inlineStr">
        <is>
          <t>The colleges address accessibility-related issues as per the stipulations of the Persons with Disabilities Act 1995.</t>
        </is>
      </c>
      <c r="K1889" s="8" t="inlineStr">
        <is>
          <t>MS-C30</t>
        </is>
      </c>
      <c r="L1889" s="9" t="n">
        <v>46323</v>
      </c>
      <c r="M1889" s="8" t="inlineStr">
        <is>
          <t>Approved</t>
        </is>
      </c>
      <c r="N1889" s="8" t="inlineStr">
        <is>
          <t>list_item</t>
        </is>
      </c>
    </row>
    <row r="1890" ht="54" customHeight="1">
      <c r="A1890" s="4" t="inlineStr">
        <is>
          <t>C30-P0022</t>
        </is>
      </c>
      <c r="B1890" s="4" t="inlineStr">
        <is>
          <t>C30</t>
        </is>
      </c>
      <c r="C1890" s="4" t="inlineStr">
        <is>
          <t>Persons With Disabilities Scheme In Colleges: Higher Education For Persons With Special Needs</t>
        </is>
      </c>
      <c r="D1890" s="4" t="inlineStr">
        <is>
          <t>Benefits</t>
        </is>
      </c>
      <c r="E1890" s="4" t="inlineStr"/>
      <c r="F1890" s="4" t="inlineStr">
        <is>
          <t>en.schemeContent.benefits[12].children[2]</t>
        </is>
      </c>
      <c r="G1890" s="4" t="inlineStr">
        <is>
          <t>C30@20261028-a5d3e6b4</t>
        </is>
      </c>
      <c r="H1890" s="4" t="n">
        <v>1</v>
      </c>
      <c r="I1890" s="4" t="n">
        <v>1</v>
      </c>
      <c r="J1890" s="4" t="inlineStr">
        <is>
          <t>The colleges ensure that all existing structures as well as future construction projects in their campuses are made disabled-friendly.</t>
        </is>
      </c>
      <c r="K1890" s="4" t="inlineStr">
        <is>
          <t>MS-C30</t>
        </is>
      </c>
      <c r="L1890" s="6" t="n">
        <v>46323</v>
      </c>
      <c r="M1890" s="4" t="inlineStr">
        <is>
          <t>Approved</t>
        </is>
      </c>
      <c r="N1890" s="4" t="inlineStr">
        <is>
          <t>list_item</t>
        </is>
      </c>
    </row>
    <row r="1891" ht="54" customHeight="1">
      <c r="A1891" s="8" t="inlineStr">
        <is>
          <t>C30-P0023</t>
        </is>
      </c>
      <c r="B1891" s="8" t="inlineStr">
        <is>
          <t>C30</t>
        </is>
      </c>
      <c r="C1891" s="8" t="inlineStr">
        <is>
          <t>Persons With Disabilities Scheme In Colleges: Higher Education For Persons With Special Needs</t>
        </is>
      </c>
      <c r="D1891" s="8" t="inlineStr">
        <is>
          <t>Benefits</t>
        </is>
      </c>
      <c r="E1891" s="8" t="inlineStr"/>
      <c r="F1891" s="8" t="inlineStr">
        <is>
          <t>en.schemeContent.benefits[12].children[3]</t>
        </is>
      </c>
      <c r="G1891" s="8" t="inlineStr">
        <is>
          <t>C30@20261028-a5d3e6b4</t>
        </is>
      </c>
      <c r="H1891" s="8" t="n">
        <v>1</v>
      </c>
      <c r="I1891" s="8" t="n">
        <v>1</v>
      </c>
      <c r="J1891" s="8" t="inlineStr">
        <is>
          <t>The institutes create special facilities such as ramps, rails, and special toilets, and make other necessary changes to suit the special needs of differently-abled persons.</t>
        </is>
      </c>
      <c r="K1891" s="8" t="inlineStr">
        <is>
          <t>MS-C30</t>
        </is>
      </c>
      <c r="L1891" s="9" t="n">
        <v>46323</v>
      </c>
      <c r="M1891" s="8" t="inlineStr">
        <is>
          <t>Approved</t>
        </is>
      </c>
      <c r="N1891" s="8" t="inlineStr">
        <is>
          <t>list_item</t>
        </is>
      </c>
    </row>
    <row r="1892" ht="54" customHeight="1">
      <c r="A1892" s="4" t="inlineStr">
        <is>
          <t>C30-P0024</t>
        </is>
      </c>
      <c r="B1892" s="4" t="inlineStr">
        <is>
          <t>C30</t>
        </is>
      </c>
      <c r="C1892" s="4" t="inlineStr">
        <is>
          <t>Persons With Disabilities Scheme In Colleges: Higher Education For Persons With Special Needs</t>
        </is>
      </c>
      <c r="D1892" s="4" t="inlineStr">
        <is>
          <t>Benefits</t>
        </is>
      </c>
      <c r="E1892" s="4" t="inlineStr"/>
      <c r="F1892" s="4" t="inlineStr">
        <is>
          <t>en.schemeContent.benefits[14].children[0]</t>
        </is>
      </c>
      <c r="G1892" s="4" t="inlineStr">
        <is>
          <t>C30@20261028-a5d3e6b4</t>
        </is>
      </c>
      <c r="H1892" s="4" t="n">
        <v>1</v>
      </c>
      <c r="I1892" s="4" t="n">
        <v>1</v>
      </c>
      <c r="J1892" s="4" t="inlineStr">
        <is>
          <t xml:space="preserve">Component 3: Providing Special Equipment to Augment Educational Services for Differently-abled Persons </t>
        </is>
      </c>
      <c r="K1892" s="4" t="inlineStr">
        <is>
          <t>MS-C30</t>
        </is>
      </c>
      <c r="L1892" s="6" t="n">
        <v>46323</v>
      </c>
      <c r="M1892" s="4" t="inlineStr">
        <is>
          <t>Approved</t>
        </is>
      </c>
      <c r="N1892" s="4" t="inlineStr">
        <is>
          <t>text</t>
        </is>
      </c>
    </row>
    <row r="1893" ht="152" customHeight="1">
      <c r="A1893" s="8" t="inlineStr">
        <is>
          <t>C30-P0025</t>
        </is>
      </c>
      <c r="B1893" s="8" t="inlineStr">
        <is>
          <t>C30</t>
        </is>
      </c>
      <c r="C1893" s="8" t="inlineStr">
        <is>
          <t>Persons With Disabilities Scheme In Colleges: Higher Education For Persons With Special Needs</t>
        </is>
      </c>
      <c r="D1893" s="8" t="inlineStr">
        <is>
          <t>Benefits</t>
        </is>
      </c>
      <c r="E1893" s="8" t="inlineStr"/>
      <c r="F1893" s="8" t="inlineStr">
        <is>
          <t>en.schemeContent.benefits[15]</t>
        </is>
      </c>
      <c r="G1893" s="8" t="inlineStr">
        <is>
          <t>C30@20261028-a5d3e6b4</t>
        </is>
      </c>
      <c r="H1893" s="8" t="n">
        <v>1</v>
      </c>
      <c r="I1893" s="8" t="n">
        <v>1</v>
      </c>
      <c r="J1893" s="8" t="inlineStr">
        <is>
          <t>Differently-abled persons require special aids and appliances for their daily functioning. These aids are available through various schemes of the Ministry of Social Justice and Empowerment. In addition to the procurement of assistive devices through these schemes, higher education institutions may also need special learning and assessment devices to help differently-abled students enrolled in higher education. In addition, visually challenged students need Readers. Availability of devices such as computers with screen reading software, low-vision aids, scanners, mobility devices, etc., in the institutes, would enrich the educational experiences of differently-abled persons. Therefore, colleges are encouraged to procure such devices and provide the facility of Readers for visually challenged students. The UGC will provide an ad hoc one-time grant of up to ₹1,50,000  per college during the Twelfth Plan period</t>
        </is>
      </c>
      <c r="K1893" s="8" t="inlineStr">
        <is>
          <t>MS-C30</t>
        </is>
      </c>
      <c r="L1893" s="9" t="n">
        <v>46323</v>
      </c>
      <c r="M1893" s="8" t="inlineStr">
        <is>
          <t>Approved</t>
        </is>
      </c>
      <c r="N1893" s="8" t="inlineStr">
        <is>
          <t>paragraph</t>
        </is>
      </c>
    </row>
    <row r="1894" ht="68" customHeight="1">
      <c r="A1894" s="4" t="inlineStr">
        <is>
          <t>C30-P0026</t>
        </is>
      </c>
      <c r="B1894" s="4" t="inlineStr">
        <is>
          <t>C30</t>
        </is>
      </c>
      <c r="C1894" s="4" t="inlineStr">
        <is>
          <t>Persons With Disabilities Scheme In Colleges: Higher Education For Persons With Special Needs</t>
        </is>
      </c>
      <c r="D1894" s="4" t="inlineStr">
        <is>
          <t>Eligibility</t>
        </is>
      </c>
      <c r="E1894" s="4" t="inlineStr"/>
      <c r="F1894" s="4" t="inlineStr">
        <is>
          <t>en.eligibilityCriteria.eligibilityDescription[0].children[0]</t>
        </is>
      </c>
      <c r="G1894" s="4" t="inlineStr">
        <is>
          <t>C30@20261028-a5d3e6b4</t>
        </is>
      </c>
      <c r="H1894" s="4" t="n">
        <v>1</v>
      </c>
      <c r="I1894" s="4" t="n">
        <v>1</v>
      </c>
      <c r="J1894" s="4" t="inlineStr">
        <is>
          <t>The college applying for a grant for any one of the components of the scheme should have enrolled disabled persons, including persons with visual impairment, hearing impairment, locomotor disability, etc., in various courses of the institute. The definitions of disability are in accordance with the Persons with Disabilities Act 1995.</t>
        </is>
      </c>
      <c r="K1894" s="4" t="inlineStr">
        <is>
          <t>MS-C30</t>
        </is>
      </c>
      <c r="L1894" s="6" t="n">
        <v>46323</v>
      </c>
      <c r="M1894" s="4" t="inlineStr">
        <is>
          <t>Approved</t>
        </is>
      </c>
      <c r="N1894" s="4" t="inlineStr">
        <is>
          <t>list_item</t>
        </is>
      </c>
    </row>
    <row r="1895" ht="54" customHeight="1">
      <c r="A1895" s="8" t="inlineStr">
        <is>
          <t>C30-P0027</t>
        </is>
      </c>
      <c r="B1895" s="8" t="inlineStr">
        <is>
          <t>C30</t>
        </is>
      </c>
      <c r="C1895" s="8" t="inlineStr">
        <is>
          <t>Persons With Disabilities Scheme In Colleges: Higher Education For Persons With Special Needs</t>
        </is>
      </c>
      <c r="D1895" s="8" t="inlineStr">
        <is>
          <t>Eligibility</t>
        </is>
      </c>
      <c r="E1895" s="8" t="inlineStr"/>
      <c r="F1895" s="8" t="inlineStr">
        <is>
          <t>en.eligibilityCriteria.eligibilityDescription[0].children[1]</t>
        </is>
      </c>
      <c r="G1895" s="8" t="inlineStr">
        <is>
          <t>C30@20261028-a5d3e6b4</t>
        </is>
      </c>
      <c r="H1895" s="8" t="n">
        <v>1</v>
      </c>
      <c r="I1895" s="8" t="n">
        <v>1</v>
      </c>
      <c r="J1895" s="8" t="inlineStr">
        <is>
          <t>Institutions applying for the scheme should have been approved by the UGC under Sections 2(f) and 12 B.</t>
        </is>
      </c>
      <c r="K1895" s="8" t="inlineStr">
        <is>
          <t>MS-C30</t>
        </is>
      </c>
      <c r="L1895" s="9" t="n">
        <v>46323</v>
      </c>
      <c r="M1895" s="8" t="inlineStr">
        <is>
          <t>Approved</t>
        </is>
      </c>
      <c r="N1895" s="8" t="inlineStr">
        <is>
          <t>list_item</t>
        </is>
      </c>
    </row>
    <row r="1896" ht="54" customHeight="1">
      <c r="A1896" s="4" t="inlineStr">
        <is>
          <t>C30-P0028</t>
        </is>
      </c>
      <c r="B1896" s="4" t="inlineStr">
        <is>
          <t>C30</t>
        </is>
      </c>
      <c r="C1896" s="4" t="inlineStr">
        <is>
          <t>Persons With Disabilities Scheme In Colleges: Higher Education For Persons With Special Needs</t>
        </is>
      </c>
      <c r="D1896" s="4" t="inlineStr">
        <is>
          <t>Eligibility</t>
        </is>
      </c>
      <c r="E1896" s="4" t="inlineStr"/>
      <c r="F1896" s="4" t="inlineStr">
        <is>
          <t>en.eligibilityCriteria.eligibilityDescription[0].children[2]</t>
        </is>
      </c>
      <c r="G1896" s="4" t="inlineStr">
        <is>
          <t>C30@20261028-a5d3e6b4</t>
        </is>
      </c>
      <c r="H1896" s="4" t="n">
        <v>1</v>
      </c>
      <c r="I1896" s="4" t="n">
        <v>1</v>
      </c>
      <c r="J1896" s="4" t="inlineStr">
        <is>
          <t>The college should have constituted an expert committee involving faculty members, experts in the field and differently-abled persons themselves. The committee should meet at least once a year to review the activities related to the concerned scheme(s).</t>
        </is>
      </c>
      <c r="K1896" s="4" t="inlineStr">
        <is>
          <t>MS-C30</t>
        </is>
      </c>
      <c r="L1896" s="6" t="n">
        <v>46323</v>
      </c>
      <c r="M1896" s="4" t="inlineStr">
        <is>
          <t>Approved</t>
        </is>
      </c>
      <c r="N1896" s="4" t="inlineStr">
        <is>
          <t>list_item</t>
        </is>
      </c>
    </row>
    <row r="1897" ht="54" customHeight="1">
      <c r="A1897" s="8" t="inlineStr">
        <is>
          <t>C30-P0029</t>
        </is>
      </c>
      <c r="B1897" s="8" t="inlineStr">
        <is>
          <t>C30</t>
        </is>
      </c>
      <c r="C1897" s="8" t="inlineStr">
        <is>
          <t>Persons With Disabilities Scheme In Colleges: Higher Education For Persons With Special Needs</t>
        </is>
      </c>
      <c r="D1897" s="8" t="inlineStr">
        <is>
          <t>Applicant documents</t>
        </is>
      </c>
      <c r="E1897" s="8" t="inlineStr"/>
      <c r="F1897" s="8" t="inlineStr">
        <is>
          <t>documents.en.documents_required[0].children[0]</t>
        </is>
      </c>
      <c r="G1897" s="8" t="inlineStr">
        <is>
          <t>C30@20261028-a5d3e6b4</t>
        </is>
      </c>
      <c r="H1897" s="8" t="n">
        <v>1</v>
      </c>
      <c r="I1897" s="8" t="n">
        <v>1</v>
      </c>
      <c r="J1897" s="8" t="inlineStr">
        <is>
          <t>Aadhaar Card.</t>
        </is>
      </c>
      <c r="K1897" s="8" t="inlineStr">
        <is>
          <t>MS-C30</t>
        </is>
      </c>
      <c r="L1897" s="9" t="n">
        <v>46323</v>
      </c>
      <c r="M1897" s="8" t="inlineStr">
        <is>
          <t>Approved</t>
        </is>
      </c>
      <c r="N1897" s="8" t="inlineStr">
        <is>
          <t>list_item</t>
        </is>
      </c>
    </row>
    <row r="1898" ht="54" customHeight="1">
      <c r="A1898" s="4" t="inlineStr">
        <is>
          <t>C30-P0030</t>
        </is>
      </c>
      <c r="B1898" s="4" t="inlineStr">
        <is>
          <t>C30</t>
        </is>
      </c>
      <c r="C1898" s="4" t="inlineStr">
        <is>
          <t>Persons With Disabilities Scheme In Colleges: Higher Education For Persons With Special Needs</t>
        </is>
      </c>
      <c r="D1898" s="4" t="inlineStr">
        <is>
          <t>Applicant documents</t>
        </is>
      </c>
      <c r="E1898" s="4" t="inlineStr"/>
      <c r="F1898" s="4" t="inlineStr">
        <is>
          <t>documents.en.documents_required[0].children[1]</t>
        </is>
      </c>
      <c r="G1898" s="4" t="inlineStr">
        <is>
          <t>C30@20261028-a5d3e6b4</t>
        </is>
      </c>
      <c r="H1898" s="4" t="n">
        <v>1</v>
      </c>
      <c r="I1898" s="4" t="n">
        <v>1</v>
      </c>
      <c r="J1898" s="4" t="inlineStr">
        <is>
          <t>2-Passport Sized Photograph (Signed Across).</t>
        </is>
      </c>
      <c r="K1898" s="4" t="inlineStr">
        <is>
          <t>MS-C30</t>
        </is>
      </c>
      <c r="L1898" s="6" t="n">
        <v>46323</v>
      </c>
      <c r="M1898" s="4" t="inlineStr">
        <is>
          <t>Approved</t>
        </is>
      </c>
      <c r="N1898" s="4" t="inlineStr">
        <is>
          <t>list_item</t>
        </is>
      </c>
    </row>
    <row r="1899" ht="54" customHeight="1">
      <c r="A1899" s="8" t="inlineStr">
        <is>
          <t>C30-P0031</t>
        </is>
      </c>
      <c r="B1899" s="8" t="inlineStr">
        <is>
          <t>C30</t>
        </is>
      </c>
      <c r="C1899" s="8" t="inlineStr">
        <is>
          <t>Persons With Disabilities Scheme In Colleges: Higher Education For Persons With Special Needs</t>
        </is>
      </c>
      <c r="D1899" s="8" t="inlineStr">
        <is>
          <t>Applicant documents</t>
        </is>
      </c>
      <c r="E1899" s="8" t="inlineStr"/>
      <c r="F1899" s="8" t="inlineStr">
        <is>
          <t>documents.en.documents_required[0].children[2]</t>
        </is>
      </c>
      <c r="G1899" s="8" t="inlineStr">
        <is>
          <t>C30@20261028-a5d3e6b4</t>
        </is>
      </c>
      <c r="H1899" s="8" t="n">
        <v>1</v>
      </c>
      <c r="I1899" s="8" t="n">
        <v>1</v>
      </c>
      <c r="J1899" s="8" t="inlineStr">
        <is>
          <t>Residential Certificate.</t>
        </is>
      </c>
      <c r="K1899" s="8" t="inlineStr">
        <is>
          <t>MS-C30</t>
        </is>
      </c>
      <c r="L1899" s="9" t="n">
        <v>46323</v>
      </c>
      <c r="M1899" s="8" t="inlineStr">
        <is>
          <t>Approved</t>
        </is>
      </c>
      <c r="N1899" s="8" t="inlineStr">
        <is>
          <t>list_item</t>
        </is>
      </c>
    </row>
    <row r="1900" ht="54" customHeight="1">
      <c r="A1900" s="4" t="inlineStr">
        <is>
          <t>C30-P0032</t>
        </is>
      </c>
      <c r="B1900" s="4" t="inlineStr">
        <is>
          <t>C30</t>
        </is>
      </c>
      <c r="C1900" s="4" t="inlineStr">
        <is>
          <t>Persons With Disabilities Scheme In Colleges: Higher Education For Persons With Special Needs</t>
        </is>
      </c>
      <c r="D1900" s="4" t="inlineStr">
        <is>
          <t>Applicant documents</t>
        </is>
      </c>
      <c r="E1900" s="4" t="inlineStr"/>
      <c r="F1900" s="4" t="inlineStr">
        <is>
          <t>documents.en.documents_required[0].children[3]</t>
        </is>
      </c>
      <c r="G1900" s="4" t="inlineStr">
        <is>
          <t>C30@20261028-a5d3e6b4</t>
        </is>
      </c>
      <c r="H1900" s="4" t="n">
        <v>1</v>
      </c>
      <c r="I1900" s="4" t="n">
        <v>1</v>
      </c>
      <c r="J1900" s="4" t="inlineStr">
        <is>
          <t>Disability Certificate.</t>
        </is>
      </c>
      <c r="K1900" s="4" t="inlineStr">
        <is>
          <t>MS-C30</t>
        </is>
      </c>
      <c r="L1900" s="6" t="n">
        <v>46323</v>
      </c>
      <c r="M1900" s="4" t="inlineStr">
        <is>
          <t>Approved</t>
        </is>
      </c>
      <c r="N1900" s="4" t="inlineStr">
        <is>
          <t>list_item</t>
        </is>
      </c>
    </row>
    <row r="1901" ht="54" customHeight="1">
      <c r="A1901" s="8" t="inlineStr">
        <is>
          <t>C30-P0033</t>
        </is>
      </c>
      <c r="B1901" s="8" t="inlineStr">
        <is>
          <t>C30</t>
        </is>
      </c>
      <c r="C1901" s="8" t="inlineStr">
        <is>
          <t>Persons With Disabilities Scheme In Colleges: Higher Education For Persons With Special Needs</t>
        </is>
      </c>
      <c r="D1901" s="8" t="inlineStr">
        <is>
          <t>Applicant documents</t>
        </is>
      </c>
      <c r="E1901" s="8" t="inlineStr"/>
      <c r="F1901" s="8" t="inlineStr">
        <is>
          <t>documents.en.documents_required[0].children[4]</t>
        </is>
      </c>
      <c r="G1901" s="8" t="inlineStr">
        <is>
          <t>C30@20261028-a5d3e6b4</t>
        </is>
      </c>
      <c r="H1901" s="8" t="n">
        <v>1</v>
      </c>
      <c r="I1901" s="8" t="n">
        <v>1</v>
      </c>
      <c r="J1901" s="8" t="inlineStr">
        <is>
          <t>Details of the Bank Account (Bank Name, Branch Name, Address, IFSC, etc).</t>
        </is>
      </c>
      <c r="K1901" s="8" t="inlineStr">
        <is>
          <t>MS-C30</t>
        </is>
      </c>
      <c r="L1901" s="9" t="n">
        <v>46323</v>
      </c>
      <c r="M1901" s="8" t="inlineStr">
        <is>
          <t>Approved</t>
        </is>
      </c>
      <c r="N1901" s="8" t="inlineStr">
        <is>
          <t>list_item</t>
        </is>
      </c>
    </row>
    <row r="1902" ht="54" customHeight="1">
      <c r="A1902" s="4" t="inlineStr">
        <is>
          <t>C30-P0034</t>
        </is>
      </c>
      <c r="B1902" s="4" t="inlineStr">
        <is>
          <t>C30</t>
        </is>
      </c>
      <c r="C1902" s="4" t="inlineStr">
        <is>
          <t>Persons With Disabilities Scheme In Colleges: Higher Education For Persons With Special Needs</t>
        </is>
      </c>
      <c r="D1902" s="4" t="inlineStr">
        <is>
          <t>Applicant documents</t>
        </is>
      </c>
      <c r="E1902" s="4" t="inlineStr"/>
      <c r="F1902" s="4" t="inlineStr">
        <is>
          <t>documents.en.documents_required[0].children[5]</t>
        </is>
      </c>
      <c r="G1902" s="4" t="inlineStr">
        <is>
          <t>C30@20261028-a5d3e6b4</t>
        </is>
      </c>
      <c r="H1902" s="4" t="n">
        <v>1</v>
      </c>
      <c r="I1902" s="4" t="n">
        <v>1</v>
      </c>
      <c r="J1902" s="4" t="inlineStr">
        <is>
          <t>Proof of the Latest Educational Qualification (Passing Certificate or Marksheet)</t>
        </is>
      </c>
      <c r="K1902" s="4" t="inlineStr">
        <is>
          <t>MS-C30</t>
        </is>
      </c>
      <c r="L1902" s="6" t="n">
        <v>46323</v>
      </c>
      <c r="M1902" s="4" t="inlineStr">
        <is>
          <t>Approved</t>
        </is>
      </c>
      <c r="N1902" s="4" t="inlineStr">
        <is>
          <t>list_item</t>
        </is>
      </c>
    </row>
    <row r="1903" ht="54" customHeight="1">
      <c r="A1903" s="8" t="inlineStr">
        <is>
          <t>C30-P0035</t>
        </is>
      </c>
      <c r="B1903" s="8" t="inlineStr">
        <is>
          <t>C30</t>
        </is>
      </c>
      <c r="C1903" s="8" t="inlineStr">
        <is>
          <t>Persons With Disabilities Scheme In Colleges: Higher Education For Persons With Special Needs</t>
        </is>
      </c>
      <c r="D1903" s="8" t="inlineStr">
        <is>
          <t>Applicant documents</t>
        </is>
      </c>
      <c r="E1903" s="8" t="inlineStr"/>
      <c r="F1903" s="8" t="inlineStr">
        <is>
          <t>documents.en.documents_required[0].children[6]</t>
        </is>
      </c>
      <c r="G1903" s="8" t="inlineStr">
        <is>
          <t>C30@20261028-a5d3e6b4</t>
        </is>
      </c>
      <c r="H1903" s="8" t="n">
        <v>1</v>
      </c>
      <c r="I1903" s="8" t="n">
        <v>1</v>
      </c>
      <c r="J1903" s="8" t="inlineStr">
        <is>
          <t>Bonafide Certificate from the School/College</t>
        </is>
      </c>
      <c r="K1903" s="8" t="inlineStr">
        <is>
          <t>MS-C30</t>
        </is>
      </c>
      <c r="L1903" s="9" t="n">
        <v>46323</v>
      </c>
      <c r="M1903" s="8" t="inlineStr">
        <is>
          <t>Approved</t>
        </is>
      </c>
      <c r="N1903" s="8" t="inlineStr">
        <is>
          <t>list_item</t>
        </is>
      </c>
    </row>
    <row r="1904" ht="54" customHeight="1">
      <c r="A1904" s="4" t="inlineStr">
        <is>
          <t>C30-P0036</t>
        </is>
      </c>
      <c r="B1904" s="4" t="inlineStr">
        <is>
          <t>C30</t>
        </is>
      </c>
      <c r="C1904" s="4" t="inlineStr">
        <is>
          <t>Persons With Disabilities Scheme In Colleges: Higher Education For Persons With Special Needs</t>
        </is>
      </c>
      <c r="D1904" s="4" t="inlineStr">
        <is>
          <t>Applicant documents</t>
        </is>
      </c>
      <c r="E1904" s="4" t="inlineStr"/>
      <c r="F1904" s="4" t="inlineStr">
        <is>
          <t>documents.en.documents_required[0].children[7]</t>
        </is>
      </c>
      <c r="G1904" s="4" t="inlineStr">
        <is>
          <t>C30@20261028-a5d3e6b4</t>
        </is>
      </c>
      <c r="H1904" s="4" t="n">
        <v>1</v>
      </c>
      <c r="I1904" s="4" t="n">
        <v>1</v>
      </c>
      <c r="J1904" s="4" t="inlineStr">
        <is>
          <t>Any other document required by the College or the District Social Welfare Office.</t>
        </is>
      </c>
      <c r="K1904" s="4" t="inlineStr">
        <is>
          <t>MS-C30</t>
        </is>
      </c>
      <c r="L1904" s="6" t="n">
        <v>46323</v>
      </c>
      <c r="M1904" s="4" t="inlineStr">
        <is>
          <t>Approved</t>
        </is>
      </c>
      <c r="N1904" s="4" t="inlineStr">
        <is>
          <t>list_item</t>
        </is>
      </c>
    </row>
    <row r="1905" ht="54" customHeight="1">
      <c r="A1905" s="8" t="inlineStr">
        <is>
          <t>C30-P0037</t>
        </is>
      </c>
      <c r="B1905" s="8" t="inlineStr">
        <is>
          <t>C30</t>
        </is>
      </c>
      <c r="C1905" s="8" t="inlineStr">
        <is>
          <t>Persons With Disabilities Scheme In Colleges: Higher Education For Persons With Special Needs</t>
        </is>
      </c>
      <c r="D1905" s="8" t="inlineStr">
        <is>
          <t>Application process</t>
        </is>
      </c>
      <c r="E1905" s="8" t="inlineStr"/>
      <c r="F1905" s="8" t="inlineStr">
        <is>
          <t>en.applicationProcess[0].process[0]</t>
        </is>
      </c>
      <c r="G1905" s="8" t="inlineStr">
        <is>
          <t>C30@20261028-a5d3e6b4</t>
        </is>
      </c>
      <c r="H1905" s="8" t="n">
        <v>1</v>
      </c>
      <c r="I1905" s="8" t="n">
        <v>1</v>
      </c>
      <c r="J1905" s="8" t="inlineStr">
        <is>
          <t>Application for specific projects should be sent in the prescribed Proforma For financial assistance under the scheme to assist for college to facilitate higher Education for Person (HEPSN) Scheme on Page number 6 along with the College Development proposal.</t>
        </is>
      </c>
      <c r="K1905" s="8" t="inlineStr">
        <is>
          <t>MS-C30</t>
        </is>
      </c>
      <c r="L1905" s="9" t="n">
        <v>46323</v>
      </c>
      <c r="M1905" s="8" t="inlineStr">
        <is>
          <t>Approved</t>
        </is>
      </c>
      <c r="N1905" s="8" t="inlineStr">
        <is>
          <t>paragraph</t>
        </is>
      </c>
    </row>
    <row r="1906" ht="54" customHeight="1">
      <c r="A1906" s="4" t="inlineStr">
        <is>
          <t>C30-P0038</t>
        </is>
      </c>
      <c r="B1906" s="4" t="inlineStr">
        <is>
          <t>C30</t>
        </is>
      </c>
      <c r="C1906" s="4" t="inlineStr">
        <is>
          <t>Persons With Disabilities Scheme In Colleges: Higher Education For Persons With Special Needs</t>
        </is>
      </c>
      <c r="D1906" s="4" t="inlineStr">
        <is>
          <t>Application process</t>
        </is>
      </c>
      <c r="E1906" s="4" t="inlineStr">
        <is>
          <t>Procedure for release of grant</t>
        </is>
      </c>
      <c r="F1906" s="4" t="inlineStr">
        <is>
          <t>en.applicationProcess[0].process[2]</t>
        </is>
      </c>
      <c r="G1906" s="4" t="inlineStr">
        <is>
          <t>C30@20261028-a5d3e6b4</t>
        </is>
      </c>
      <c r="H1906" s="4" t="n">
        <v>1</v>
      </c>
      <c r="I1906" s="4" t="n">
        <v>1</v>
      </c>
      <c r="J1906" s="4" t="inlineStr">
        <is>
          <t>Procedure for release of grant</t>
        </is>
      </c>
      <c r="K1906" s="4" t="inlineStr">
        <is>
          <t>MS-C30</t>
        </is>
      </c>
      <c r="L1906" s="6" t="n">
        <v>46323</v>
      </c>
      <c r="M1906" s="4" t="inlineStr">
        <is>
          <t>Approved</t>
        </is>
      </c>
      <c r="N1906" s="4" t="inlineStr">
        <is>
          <t>paragraph</t>
        </is>
      </c>
    </row>
    <row r="1907" ht="54" customHeight="1">
      <c r="A1907" s="8" t="inlineStr">
        <is>
          <t>C30-P0039</t>
        </is>
      </c>
      <c r="B1907" s="8" t="inlineStr">
        <is>
          <t>C30</t>
        </is>
      </c>
      <c r="C1907" s="8" t="inlineStr">
        <is>
          <t>Persons With Disabilities Scheme In Colleges: Higher Education For Persons With Special Needs</t>
        </is>
      </c>
      <c r="D1907" s="8" t="inlineStr">
        <is>
          <t>Application process</t>
        </is>
      </c>
      <c r="E1907" s="8" t="inlineStr">
        <is>
          <t>Procedure for release of grant</t>
        </is>
      </c>
      <c r="F1907" s="8" t="inlineStr">
        <is>
          <t>en.applicationProcess[0].process[3].children[0]</t>
        </is>
      </c>
      <c r="G1907" s="8" t="inlineStr">
        <is>
          <t>C30@20261028-a5d3e6b4</t>
        </is>
      </c>
      <c r="H1907" s="8" t="n">
        <v>1</v>
      </c>
      <c r="I1907" s="8" t="n">
        <v>1</v>
      </c>
      <c r="J1907" s="8" t="inlineStr">
        <is>
          <t xml:space="preserve">Component 1. </t>
        </is>
      </c>
      <c r="K1907" s="8" t="inlineStr">
        <is>
          <t>MS-C30</t>
        </is>
      </c>
      <c r="L1907" s="9" t="n">
        <v>46323</v>
      </c>
      <c r="M1907" s="8" t="inlineStr">
        <is>
          <t>Approved</t>
        </is>
      </c>
      <c r="N1907" s="8" t="inlineStr">
        <is>
          <t>text</t>
        </is>
      </c>
    </row>
    <row r="1908" ht="54" customHeight="1">
      <c r="A1908" s="4" t="inlineStr">
        <is>
          <t>C30-P0040</t>
        </is>
      </c>
      <c r="B1908" s="4" t="inlineStr">
        <is>
          <t>C30</t>
        </is>
      </c>
      <c r="C1908" s="4" t="inlineStr">
        <is>
          <t>Persons With Disabilities Scheme In Colleges: Higher Education For Persons With Special Needs</t>
        </is>
      </c>
      <c r="D1908" s="4" t="inlineStr">
        <is>
          <t>Application process</t>
        </is>
      </c>
      <c r="E1908" s="4" t="inlineStr">
        <is>
          <t>Procedure for release of grant</t>
        </is>
      </c>
      <c r="F1908" s="4" t="inlineStr">
        <is>
          <t>en.applicationProcess[0].process[3].children[1]</t>
        </is>
      </c>
      <c r="G1908" s="4" t="inlineStr">
        <is>
          <t>C30@20261028-a5d3e6b4</t>
        </is>
      </c>
      <c r="H1908" s="4" t="n">
        <v>1</v>
      </c>
      <c r="I1908" s="4" t="n">
        <v>1</v>
      </c>
      <c r="J1908" s="4" t="inlineStr">
        <is>
          <t xml:space="preserve">Honorarium to the coordinator and other budgetary provisions @ Rs.50,000/- per year will be released for the 1st year after approval of the proposal. Subsequent grants will be released on the basis of an audited utilization certificate and statement of expenditure. </t>
        </is>
      </c>
      <c r="K1908" s="4" t="inlineStr">
        <is>
          <t>MS-C30</t>
        </is>
      </c>
      <c r="L1908" s="6" t="n">
        <v>46323</v>
      </c>
      <c r="M1908" s="4" t="inlineStr">
        <is>
          <t>Approved</t>
        </is>
      </c>
      <c r="N1908" s="4" t="inlineStr">
        <is>
          <t>text</t>
        </is>
      </c>
    </row>
    <row r="1909" ht="54" customHeight="1">
      <c r="A1909" s="8" t="inlineStr">
        <is>
          <t>C30-P0041</t>
        </is>
      </c>
      <c r="B1909" s="8" t="inlineStr">
        <is>
          <t>C30</t>
        </is>
      </c>
      <c r="C1909" s="8" t="inlineStr">
        <is>
          <t>Persons With Disabilities Scheme In Colleges: Higher Education For Persons With Special Needs</t>
        </is>
      </c>
      <c r="D1909" s="8" t="inlineStr">
        <is>
          <t>Application process</t>
        </is>
      </c>
      <c r="E1909" s="8" t="inlineStr">
        <is>
          <t>Procedure for release of grant</t>
        </is>
      </c>
      <c r="F1909" s="8" t="inlineStr">
        <is>
          <t>en.applicationProcess[0].process[5].children[0]</t>
        </is>
      </c>
      <c r="G1909" s="8" t="inlineStr">
        <is>
          <t>C30@20261028-a5d3e6b4</t>
        </is>
      </c>
      <c r="H1909" s="8" t="n">
        <v>1</v>
      </c>
      <c r="I1909" s="8" t="n">
        <v>1</v>
      </c>
      <c r="J1909" s="8" t="inlineStr">
        <is>
          <t>Component 2.</t>
        </is>
      </c>
      <c r="K1909" s="8" t="inlineStr">
        <is>
          <t>MS-C30</t>
        </is>
      </c>
      <c r="L1909" s="9" t="n">
        <v>46323</v>
      </c>
      <c r="M1909" s="8" t="inlineStr">
        <is>
          <t>Approved</t>
        </is>
      </c>
      <c r="N1909" s="8" t="inlineStr">
        <is>
          <t>text</t>
        </is>
      </c>
    </row>
    <row r="1910" ht="54" customHeight="1">
      <c r="A1910" s="4" t="inlineStr">
        <is>
          <t>C30-P0042</t>
        </is>
      </c>
      <c r="B1910" s="4" t="inlineStr">
        <is>
          <t>C30</t>
        </is>
      </c>
      <c r="C1910" s="4" t="inlineStr">
        <is>
          <t>Persons With Disabilities Scheme In Colleges: Higher Education For Persons With Special Needs</t>
        </is>
      </c>
      <c r="D1910" s="4" t="inlineStr">
        <is>
          <t>Application process</t>
        </is>
      </c>
      <c r="E1910" s="4" t="inlineStr">
        <is>
          <t>Procedure for release of grant</t>
        </is>
      </c>
      <c r="F1910" s="4" t="inlineStr">
        <is>
          <t>en.applicationProcess[0].process[5].children[1]</t>
        </is>
      </c>
      <c r="G1910" s="4" t="inlineStr">
        <is>
          <t>C30@20261028-a5d3e6b4</t>
        </is>
      </c>
      <c r="H1910" s="4" t="n">
        <v>1</v>
      </c>
      <c r="I1910" s="4" t="n">
        <v>1</v>
      </c>
      <c r="J1910" s="4" t="inlineStr">
        <is>
          <t xml:space="preserve"> The grant will be released upon receipt of detailed plans and estimate as per UGC building guidelines. </t>
        </is>
      </c>
      <c r="K1910" s="4" t="inlineStr">
        <is>
          <t>MS-C30</t>
        </is>
      </c>
      <c r="L1910" s="6" t="n">
        <v>46323</v>
      </c>
      <c r="M1910" s="4" t="inlineStr">
        <is>
          <t>Approved</t>
        </is>
      </c>
      <c r="N1910" s="4" t="inlineStr">
        <is>
          <t>text</t>
        </is>
      </c>
    </row>
    <row r="1911" ht="54" customHeight="1">
      <c r="A1911" s="8" t="inlineStr">
        <is>
          <t>C30-P0043</t>
        </is>
      </c>
      <c r="B1911" s="8" t="inlineStr">
        <is>
          <t>C30</t>
        </is>
      </c>
      <c r="C1911" s="8" t="inlineStr">
        <is>
          <t>Persons With Disabilities Scheme In Colleges: Higher Education For Persons With Special Needs</t>
        </is>
      </c>
      <c r="D1911" s="8" t="inlineStr">
        <is>
          <t>Application process</t>
        </is>
      </c>
      <c r="E1911" s="8" t="inlineStr">
        <is>
          <t>Procedure for release of grant</t>
        </is>
      </c>
      <c r="F1911" s="8" t="inlineStr">
        <is>
          <t>en.applicationProcess[0].process[7].children[0]</t>
        </is>
      </c>
      <c r="G1911" s="8" t="inlineStr">
        <is>
          <t>C30@20261028-a5d3e6b4</t>
        </is>
      </c>
      <c r="H1911" s="8" t="n">
        <v>1</v>
      </c>
      <c r="I1911" s="8" t="n">
        <v>1</v>
      </c>
      <c r="J1911" s="8" t="inlineStr">
        <is>
          <t>Component 3.</t>
        </is>
      </c>
      <c r="K1911" s="8" t="inlineStr">
        <is>
          <t>MS-C30</t>
        </is>
      </c>
      <c r="L1911" s="9" t="n">
        <v>46323</v>
      </c>
      <c r="M1911" s="8" t="inlineStr">
        <is>
          <t>Approved</t>
        </is>
      </c>
      <c r="N1911" s="8" t="inlineStr">
        <is>
          <t>text</t>
        </is>
      </c>
    </row>
    <row r="1912" ht="54" customHeight="1">
      <c r="A1912" s="4" t="inlineStr">
        <is>
          <t>C30-P0044</t>
        </is>
      </c>
      <c r="B1912" s="4" t="inlineStr">
        <is>
          <t>C30</t>
        </is>
      </c>
      <c r="C1912" s="4" t="inlineStr">
        <is>
          <t>Persons With Disabilities Scheme In Colleges: Higher Education For Persons With Special Needs</t>
        </is>
      </c>
      <c r="D1912" s="4" t="inlineStr">
        <is>
          <t>Application process</t>
        </is>
      </c>
      <c r="E1912" s="4" t="inlineStr">
        <is>
          <t>Procedure for release of grant</t>
        </is>
      </c>
      <c r="F1912" s="4" t="inlineStr">
        <is>
          <t>en.applicationProcess[0].process[7].children[1]</t>
        </is>
      </c>
      <c r="G1912" s="4" t="inlineStr">
        <is>
          <t>C30@20261028-a5d3e6b4</t>
        </is>
      </c>
      <c r="H1912" s="4" t="n">
        <v>1</v>
      </c>
      <c r="I1912" s="4" t="n">
        <v>1</v>
      </c>
      <c r="J1912" s="4" t="inlineStr">
        <is>
          <t xml:space="preserve"> 90% of the grant allocated will be released as 1st installment and the remaining 10% on a reimbursement basis, upon receipt of the audited statement of expenditure and utilization certificate. </t>
        </is>
      </c>
      <c r="K1912" s="4" t="inlineStr">
        <is>
          <t>MS-C30</t>
        </is>
      </c>
      <c r="L1912" s="6" t="n">
        <v>46323</v>
      </c>
      <c r="M1912" s="4" t="inlineStr">
        <is>
          <t>Approved</t>
        </is>
      </c>
      <c r="N1912" s="4" t="inlineStr">
        <is>
          <t>text</t>
        </is>
      </c>
    </row>
    <row r="1913" ht="54" customHeight="1">
      <c r="A1913" s="8" t="inlineStr">
        <is>
          <t>C30-P0045</t>
        </is>
      </c>
      <c r="B1913" s="8" t="inlineStr">
        <is>
          <t>C30</t>
        </is>
      </c>
      <c r="C1913" s="8" t="inlineStr">
        <is>
          <t>Persons With Disabilities Scheme In Colleges: Higher Education For Persons With Special Needs</t>
        </is>
      </c>
      <c r="D1913" s="8" t="inlineStr">
        <is>
          <t>FAQ</t>
        </is>
      </c>
      <c r="E1913" s="8" t="inlineStr"/>
      <c r="F1913" s="8" t="inlineStr">
        <is>
          <t>faqs.en.faqs[0]</t>
        </is>
      </c>
      <c r="G1913" s="8" t="inlineStr">
        <is>
          <t>C30@20261028-a5d3e6b4</t>
        </is>
      </c>
      <c r="H1913" s="8" t="n">
        <v>1</v>
      </c>
      <c r="I1913" s="8" t="n">
        <v>1</v>
      </c>
      <c r="J1913" s="8" t="inlineStr">
        <is>
          <t>What is Higher Education for Persons with Special Needs (HEPSN) scheme?
HEPSN stands for Higher Education for Persons with Special Needs. It is a scheme designed to provide inclusive higher education opportunities for individuals with disabilities.</t>
        </is>
      </c>
      <c r="K1913" s="8" t="inlineStr">
        <is>
          <t>MS-C30</t>
        </is>
      </c>
      <c r="L1913" s="9" t="n">
        <v>46323</v>
      </c>
      <c r="M1913" s="8" t="inlineStr">
        <is>
          <t>Approved</t>
        </is>
      </c>
      <c r="N1913" s="8" t="inlineStr">
        <is>
          <t>faq</t>
        </is>
      </c>
    </row>
    <row r="1914" ht="82" customHeight="1">
      <c r="A1914" s="4" t="inlineStr">
        <is>
          <t>C30-P0046</t>
        </is>
      </c>
      <c r="B1914" s="4" t="inlineStr">
        <is>
          <t>C30</t>
        </is>
      </c>
      <c r="C1914" s="4" t="inlineStr">
        <is>
          <t>Persons With Disabilities Scheme In Colleges: Higher Education For Persons With Special Needs</t>
        </is>
      </c>
      <c r="D1914" s="4" t="inlineStr">
        <is>
          <t>FAQ</t>
        </is>
      </c>
      <c r="E1914" s="4" t="inlineStr"/>
      <c r="F1914" s="4" t="inlineStr">
        <is>
          <t>faqs.en.faqs[1]</t>
        </is>
      </c>
      <c r="G1914" s="4" t="inlineStr">
        <is>
          <t>C30@20261028-a5d3e6b4</t>
        </is>
      </c>
      <c r="H1914" s="4" t="n">
        <v>1</v>
      </c>
      <c r="I1914" s="4" t="n">
        <v>1</v>
      </c>
      <c r="J1914" s="4" t="inlineStr">
        <is>
          <t>Who is eligible for HEPSN?
The eligibility criteria for Higher Education For Persons With Special Needs (HEPSN) may vary depending on the country or region. Generally, individuals with recognized disabilities, such as physical disabilities, visual impairments, hearing impairments, learning disabilities, or intellectual disabilities, are eligible to apply for the scheme.</t>
        </is>
      </c>
      <c r="K1914" s="4" t="inlineStr">
        <is>
          <t>MS-C30</t>
        </is>
      </c>
      <c r="L1914" s="6" t="n">
        <v>46323</v>
      </c>
      <c r="M1914" s="4" t="inlineStr">
        <is>
          <t>Approved</t>
        </is>
      </c>
      <c r="N1914" s="4" t="inlineStr">
        <is>
          <t>faq</t>
        </is>
      </c>
    </row>
    <row r="1915" ht="96" customHeight="1">
      <c r="A1915" s="8" t="inlineStr">
        <is>
          <t>C30-P0047</t>
        </is>
      </c>
      <c r="B1915" s="8" t="inlineStr">
        <is>
          <t>C30</t>
        </is>
      </c>
      <c r="C1915" s="8" t="inlineStr">
        <is>
          <t>Persons With Disabilities Scheme In Colleges: Higher Education For Persons With Special Needs</t>
        </is>
      </c>
      <c r="D1915" s="8" t="inlineStr">
        <is>
          <t>FAQ</t>
        </is>
      </c>
      <c r="E1915" s="8" t="inlineStr"/>
      <c r="F1915" s="8" t="inlineStr">
        <is>
          <t>faqs.en.faqs[2]</t>
        </is>
      </c>
      <c r="G1915" s="8" t="inlineStr">
        <is>
          <t>C30@20261028-a5d3e6b4</t>
        </is>
      </c>
      <c r="H1915" s="8" t="n">
        <v>1</v>
      </c>
      <c r="I1915" s="8" t="n">
        <v>1</v>
      </c>
      <c r="J1915" s="8" t="inlineStr">
        <is>
          <t>How can I apply for HEPSN?
The application process for HEPSN depends on the specific guidelines and procedures established by the implementing authority. Typically, you would need to fill out an application form and submit it along with the required documents. It is advisable to check the official government websites, education boards, or relevant authorities in your specific country or region for detailed application instructions.</t>
        </is>
      </c>
      <c r="K1915" s="8" t="inlineStr">
        <is>
          <t>MS-C30</t>
        </is>
      </c>
      <c r="L1915" s="9" t="n">
        <v>46323</v>
      </c>
      <c r="M1915" s="8" t="inlineStr">
        <is>
          <t>Approved</t>
        </is>
      </c>
      <c r="N1915" s="8" t="inlineStr">
        <is>
          <t>faq</t>
        </is>
      </c>
    </row>
    <row r="1916" ht="82" customHeight="1">
      <c r="A1916" s="4" t="inlineStr">
        <is>
          <t>C30-P0048</t>
        </is>
      </c>
      <c r="B1916" s="4" t="inlineStr">
        <is>
          <t>C30</t>
        </is>
      </c>
      <c r="C1916" s="4" t="inlineStr">
        <is>
          <t>Persons With Disabilities Scheme In Colleges: Higher Education For Persons With Special Needs</t>
        </is>
      </c>
      <c r="D1916" s="4" t="inlineStr">
        <is>
          <t>FAQ</t>
        </is>
      </c>
      <c r="E1916" s="4" t="inlineStr"/>
      <c r="F1916" s="4" t="inlineStr">
        <is>
          <t>faqs.en.faqs[3]</t>
        </is>
      </c>
      <c r="G1916" s="4" t="inlineStr">
        <is>
          <t>C30@20261028-a5d3e6b4</t>
        </is>
      </c>
      <c r="H1916" s="4" t="n">
        <v>1</v>
      </c>
      <c r="I1916" s="4" t="n">
        <v>1</v>
      </c>
      <c r="J1916" s="4" t="inlineStr">
        <is>
          <t>What support services are provided under HEPSN?
HEPSN offers various support services, which may include accessible infrastructure, assistive technologies, academic accommodations, counseling and guidance, mentoring, and career support. These services aim to facilitate the learning and participation of students with disabilities in higher education.</t>
        </is>
      </c>
      <c r="K1916" s="4" t="inlineStr">
        <is>
          <t>MS-C30</t>
        </is>
      </c>
      <c r="L1916" s="6" t="n">
        <v>46323</v>
      </c>
      <c r="M1916" s="4" t="inlineStr">
        <is>
          <t>Approved</t>
        </is>
      </c>
      <c r="N1916" s="4" t="inlineStr">
        <is>
          <t>faq</t>
        </is>
      </c>
    </row>
    <row r="1917" ht="82" customHeight="1">
      <c r="A1917" s="8" t="inlineStr">
        <is>
          <t>C30-P0049</t>
        </is>
      </c>
      <c r="B1917" s="8" t="inlineStr">
        <is>
          <t>C30</t>
        </is>
      </c>
      <c r="C1917" s="8" t="inlineStr">
        <is>
          <t>Persons With Disabilities Scheme In Colleges: Higher Education For Persons With Special Needs</t>
        </is>
      </c>
      <c r="D1917" s="8" t="inlineStr">
        <is>
          <t>FAQ</t>
        </is>
      </c>
      <c r="E1917" s="8" t="inlineStr"/>
      <c r="F1917" s="8" t="inlineStr">
        <is>
          <t>faqs.en.faqs[4]</t>
        </is>
      </c>
      <c r="G1917" s="8" t="inlineStr">
        <is>
          <t>C30@20261028-a5d3e6b4</t>
        </is>
      </c>
      <c r="H1917" s="8" t="n">
        <v>1</v>
      </c>
      <c r="I1917" s="8" t="n">
        <v>1</v>
      </c>
      <c r="J1917" s="8" t="inlineStr">
        <is>
          <t>Are scholarships available under HEPSN?
In some cases, HEPSN schemes may provide scholarships or financial assistance to students with disabilities to help alleviate the financial burden of higher education. The availability and specific details of scholarships can vary, and it is advisable to check the guidelines and provisions of the HEPSN scheme in your country or region.</t>
        </is>
      </c>
      <c r="K1917" s="8" t="inlineStr">
        <is>
          <t>MS-C30</t>
        </is>
      </c>
      <c r="L1917" s="9" t="n">
        <v>46323</v>
      </c>
      <c r="M1917" s="8" t="inlineStr">
        <is>
          <t>Approved</t>
        </is>
      </c>
      <c r="N1917" s="8" t="inlineStr">
        <is>
          <t>faq</t>
        </is>
      </c>
    </row>
    <row r="1918" ht="68" customHeight="1">
      <c r="A1918" s="4" t="inlineStr">
        <is>
          <t>C30-P0050</t>
        </is>
      </c>
      <c r="B1918" s="4" t="inlineStr">
        <is>
          <t>C30</t>
        </is>
      </c>
      <c r="C1918" s="4" t="inlineStr">
        <is>
          <t>Persons With Disabilities Scheme In Colleges: Higher Education For Persons With Special Needs</t>
        </is>
      </c>
      <c r="D1918" s="4" t="inlineStr">
        <is>
          <t>FAQ</t>
        </is>
      </c>
      <c r="E1918" s="4" t="inlineStr"/>
      <c r="F1918" s="4" t="inlineStr">
        <is>
          <t>faqs.en.faqs[5]</t>
        </is>
      </c>
      <c r="G1918" s="4" t="inlineStr">
        <is>
          <t>C30@20261028-a5d3e6b4</t>
        </is>
      </c>
      <c r="H1918" s="4" t="n">
        <v>1</v>
      </c>
      <c r="I1918" s="4" t="n">
        <v>1</v>
      </c>
      <c r="J1918" s="4" t="inlineStr">
        <is>
          <t>Are there any reserved seats or quotas for students with disabilities under HEPSN?
Some HEPSN schemes may allocate reserved seats or quotas for students with disabilities in educational institutions. This ensures a certain percentage of seats are specifically reserved for individuals with disabilities to promote their access to higher education.</t>
        </is>
      </c>
      <c r="K1918" s="4" t="inlineStr">
        <is>
          <t>MS-C30</t>
        </is>
      </c>
      <c r="L1918" s="6" t="n">
        <v>46323</v>
      </c>
      <c r="M1918" s="4" t="inlineStr">
        <is>
          <t>Approved</t>
        </is>
      </c>
      <c r="N1918" s="4" t="inlineStr">
        <is>
          <t>faq</t>
        </is>
      </c>
    </row>
    <row r="1919" ht="82" customHeight="1">
      <c r="A1919" s="8" t="inlineStr">
        <is>
          <t>C30-P0051</t>
        </is>
      </c>
      <c r="B1919" s="8" t="inlineStr">
        <is>
          <t>C30</t>
        </is>
      </c>
      <c r="C1919" s="8" t="inlineStr">
        <is>
          <t>Persons With Disabilities Scheme In Colleges: Higher Education For Persons With Special Needs</t>
        </is>
      </c>
      <c r="D1919" s="8" t="inlineStr">
        <is>
          <t>FAQ</t>
        </is>
      </c>
      <c r="E1919" s="8" t="inlineStr"/>
      <c r="F1919" s="8" t="inlineStr">
        <is>
          <t>faqs.en.faqs[6]</t>
        </is>
      </c>
      <c r="G1919" s="8" t="inlineStr">
        <is>
          <t>C30@20261028-a5d3e6b4</t>
        </is>
      </c>
      <c r="H1919" s="8" t="n">
        <v>1</v>
      </c>
      <c r="I1919" s="8" t="n">
        <v>1</v>
      </c>
      <c r="J1919" s="8" t="inlineStr">
        <is>
          <t>Can I receive assistance in obtaining disability certificates or documentation?
Enabling units or support centers established under the HEPSN scheme often assist students with disabilities in obtaining the necessary disability certificates or documentation required for their application. They can guide you through the process and help with the required paperwork.</t>
        </is>
      </c>
      <c r="K1919" s="8" t="inlineStr">
        <is>
          <t>MS-C30</t>
        </is>
      </c>
      <c r="L1919" s="9" t="n">
        <v>46323</v>
      </c>
      <c r="M1919" s="8" t="inlineStr">
        <is>
          <t>Approved</t>
        </is>
      </c>
      <c r="N1919" s="8" t="inlineStr">
        <is>
          <t>faq</t>
        </is>
      </c>
    </row>
    <row r="1920" ht="82" customHeight="1">
      <c r="A1920" s="4" t="inlineStr">
        <is>
          <t>C30-P0052</t>
        </is>
      </c>
      <c r="B1920" s="4" t="inlineStr">
        <is>
          <t>C30</t>
        </is>
      </c>
      <c r="C1920" s="4" t="inlineStr">
        <is>
          <t>Persons With Disabilities Scheme In Colleges: Higher Education For Persons With Special Needs</t>
        </is>
      </c>
      <c r="D1920" s="4" t="inlineStr">
        <is>
          <t>FAQ</t>
        </is>
      </c>
      <c r="E1920" s="4" t="inlineStr"/>
      <c r="F1920" s="4" t="inlineStr">
        <is>
          <t>faqs.en.faqs[7]</t>
        </is>
      </c>
      <c r="G1920" s="4" t="inlineStr">
        <is>
          <t>C30@20261028-a5d3e6b4</t>
        </is>
      </c>
      <c r="H1920" s="4" t="n">
        <v>1</v>
      </c>
      <c r="I1920" s="4" t="n">
        <v>1</v>
      </c>
      <c r="J1920" s="4" t="inlineStr">
        <is>
          <t>Are there any specific guidelines for inclusive curriculum and teaching practices under HEPSN?
HEPSN promotes inclusive curriculum and teaching practices to cater to the diverse learning needs of students with disabilities. However, the specific guidelines and recommendations may vary depending on the country or region. It is advisable to consult the implementing authority or refer to official resources for information on inclusive curriculum and teaching practices.</t>
        </is>
      </c>
      <c r="K1920" s="4" t="inlineStr">
        <is>
          <t>MS-C30</t>
        </is>
      </c>
      <c r="L1920" s="6" t="n">
        <v>46323</v>
      </c>
      <c r="M1920" s="4" t="inlineStr">
        <is>
          <t>Approved</t>
        </is>
      </c>
      <c r="N1920" s="4" t="inlineStr">
        <is>
          <t>faq</t>
        </is>
      </c>
    </row>
    <row r="1921" ht="96" customHeight="1">
      <c r="A1921" s="8" t="inlineStr">
        <is>
          <t>C31-P0001</t>
        </is>
      </c>
      <c r="B1921" s="8" t="inlineStr">
        <is>
          <t>C31</t>
        </is>
      </c>
      <c r="C1921" s="8" t="inlineStr">
        <is>
          <t>Scheme For Financial Assistance For Veteran Artists</t>
        </is>
      </c>
      <c r="D1921" s="8" t="inlineStr">
        <is>
          <t>Details</t>
        </is>
      </c>
      <c r="E1921" s="8" t="inlineStr"/>
      <c r="F1921" s="8" t="inlineStr">
        <is>
          <t>en.schemeContent.detailedDescription[0].children[0]</t>
        </is>
      </c>
      <c r="G1921" s="8" t="inlineStr">
        <is>
          <t>C31@20261028-f9d1bef9</t>
        </is>
      </c>
      <c r="H1921" s="8" t="n">
        <v>1</v>
      </c>
      <c r="I1921" s="8" t="n">
        <v>1</v>
      </c>
      <c r="J1921" s="8" t="inlineStr">
        <is>
          <t>The “Scheme for Financial Assistance for Veteran Artists”, earlier known as “Scheme for Pension and Medical Aid to Artists” was launched by the Ministry of Culture.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t>
        </is>
      </c>
      <c r="K1921" s="8" t="inlineStr">
        <is>
          <t>MS-C31</t>
        </is>
      </c>
      <c r="L1921" s="9" t="n">
        <v>46323</v>
      </c>
      <c r="M1921" s="8" t="inlineStr">
        <is>
          <t>Approved</t>
        </is>
      </c>
      <c r="N1921" s="8" t="inlineStr">
        <is>
          <t>paragraph</t>
        </is>
      </c>
    </row>
    <row r="1922" ht="54" customHeight="1">
      <c r="A1922" s="4" t="inlineStr">
        <is>
          <t>C31-P0002</t>
        </is>
      </c>
      <c r="B1922" s="4" t="inlineStr">
        <is>
          <t>C31</t>
        </is>
      </c>
      <c r="C1922" s="4" t="inlineStr">
        <is>
          <t>Scheme For Financial Assistance For Veteran Artists</t>
        </is>
      </c>
      <c r="D1922" s="4" t="inlineStr">
        <is>
          <t>Details</t>
        </is>
      </c>
      <c r="E1922" s="4" t="inlineStr"/>
      <c r="F1922" s="4" t="inlineStr">
        <is>
          <t>en.schemeContent.detailedDescription[0].children[1]</t>
        </is>
      </c>
      <c r="G1922" s="4" t="inlineStr">
        <is>
          <t>C31@20261028-f9d1bef9</t>
        </is>
      </c>
      <c r="H1922" s="4" t="n">
        <v>1</v>
      </c>
      <c r="I1922" s="4" t="n">
        <v>1</v>
      </c>
      <c r="J1922" s="4" t="inlineStr">
        <is>
          <t>Under the scheme, financial assistance from the Government may be given in the form of a monthly allowance. Such allowance given to the artists recommended under the center-state Quota will be shared by the Centre and State Government/UT Administration concerned.</t>
        </is>
      </c>
      <c r="K1922" s="4" t="inlineStr">
        <is>
          <t>MS-C31</t>
        </is>
      </c>
      <c r="L1922" s="6" t="n">
        <v>46323</v>
      </c>
      <c r="M1922" s="4" t="inlineStr">
        <is>
          <t>Approved</t>
        </is>
      </c>
      <c r="N1922" s="4" t="inlineStr">
        <is>
          <t>paragraph</t>
        </is>
      </c>
    </row>
    <row r="1923" ht="40" customHeight="1">
      <c r="A1923" s="8" t="inlineStr">
        <is>
          <t>C31-P0003</t>
        </is>
      </c>
      <c r="B1923" s="8" t="inlineStr">
        <is>
          <t>C31</t>
        </is>
      </c>
      <c r="C1923" s="8" t="inlineStr">
        <is>
          <t>Scheme For Financial Assistance For Veteran Artists</t>
        </is>
      </c>
      <c r="D1923" s="8" t="inlineStr">
        <is>
          <t>Details</t>
        </is>
      </c>
      <c r="E1923" s="8" t="inlineStr">
        <is>
          <t>The following two types of cases/requests will be covered under the Scheme:</t>
        </is>
      </c>
      <c r="F1923" s="8" t="inlineStr">
        <is>
          <t>en.schemeContent.detailedDescription[0].children[2]</t>
        </is>
      </c>
      <c r="G1923" s="8" t="inlineStr">
        <is>
          <t>C31@20261028-f9d1bef9</t>
        </is>
      </c>
      <c r="H1923" s="8" t="n">
        <v>1</v>
      </c>
      <c r="I1923" s="8" t="n">
        <v>1</v>
      </c>
      <c r="J1923" s="8" t="inlineStr">
        <is>
          <t>The following two types of cases/requests will be covered under the Scheme:</t>
        </is>
      </c>
      <c r="K1923" s="8" t="inlineStr">
        <is>
          <t>MS-C31</t>
        </is>
      </c>
      <c r="L1923" s="9" t="n">
        <v>46323</v>
      </c>
      <c r="M1923" s="8" t="inlineStr">
        <is>
          <t>Approved</t>
        </is>
      </c>
      <c r="N1923" s="8" t="inlineStr">
        <is>
          <t>paragraph</t>
        </is>
      </c>
    </row>
    <row r="1924" ht="54" customHeight="1">
      <c r="A1924" s="4" t="inlineStr">
        <is>
          <t>C31-P0004</t>
        </is>
      </c>
      <c r="B1924" s="4" t="inlineStr">
        <is>
          <t>C31</t>
        </is>
      </c>
      <c r="C1924" s="4" t="inlineStr">
        <is>
          <t>Scheme For Financial Assistance For Veteran Artists</t>
        </is>
      </c>
      <c r="D1924" s="4" t="inlineStr">
        <is>
          <t>Details</t>
        </is>
      </c>
      <c r="E1924" s="4" t="inlineStr">
        <is>
          <t>The following two types of cases/requests will be covered under the Scheme:</t>
        </is>
      </c>
      <c r="F1924" s="4" t="inlineStr">
        <is>
          <t>en.schemeContent.detailedDescription[0].children[3].children[0]</t>
        </is>
      </c>
      <c r="G1924" s="4" t="inlineStr">
        <is>
          <t>C31@20261028-f9d1bef9</t>
        </is>
      </c>
      <c r="H1924" s="4" t="n">
        <v>1</v>
      </c>
      <c r="I1924" s="4" t="n">
        <v>1</v>
      </c>
      <c r="J1924" s="4" t="inlineStr">
        <is>
          <t>Existing beneficiaries getting monthly artistes pension under the 1961 Scheme of ‘Financial Assistance to Persons Distinguished in Letters, Arts and such other walks of life who may be in indigent circumstances’ as amended from time to time; and</t>
        </is>
      </c>
      <c r="K1924" s="4" t="inlineStr">
        <is>
          <t>MS-C31</t>
        </is>
      </c>
      <c r="L1924" s="6" t="n">
        <v>46323</v>
      </c>
      <c r="M1924" s="4" t="inlineStr">
        <is>
          <t>Approved</t>
        </is>
      </c>
      <c r="N1924" s="4" t="inlineStr">
        <is>
          <t>list_item</t>
        </is>
      </c>
    </row>
    <row r="1925" ht="40" customHeight="1">
      <c r="A1925" s="8" t="inlineStr">
        <is>
          <t>C31-P0005</t>
        </is>
      </c>
      <c r="B1925" s="8" t="inlineStr">
        <is>
          <t>C31</t>
        </is>
      </c>
      <c r="C1925" s="8" t="inlineStr">
        <is>
          <t>Scheme For Financial Assistance For Veteran Artists</t>
        </is>
      </c>
      <c r="D1925" s="8" t="inlineStr">
        <is>
          <t>Details</t>
        </is>
      </c>
      <c r="E1925" s="8" t="inlineStr">
        <is>
          <t>The following two types of cases/requests will be covered under the Scheme:</t>
        </is>
      </c>
      <c r="F1925" s="8" t="inlineStr">
        <is>
          <t>en.schemeContent.detailedDescription[0].children[3].children[1]</t>
        </is>
      </c>
      <c r="G1925" s="8" t="inlineStr">
        <is>
          <t>C31@20261028-f9d1bef9</t>
        </is>
      </c>
      <c r="H1925" s="8" t="n">
        <v>1</v>
      </c>
      <c r="I1925" s="8" t="n">
        <v>1</v>
      </c>
      <c r="J1925" s="8" t="inlineStr">
        <is>
          <t>Fresh cases of artists, writers, etc. who are eligible for a grant/monthly financial assistance under the extant guidelines of the Scheme.</t>
        </is>
      </c>
      <c r="K1925" s="8" t="inlineStr">
        <is>
          <t>MS-C31</t>
        </is>
      </c>
      <c r="L1925" s="9" t="n">
        <v>46323</v>
      </c>
      <c r="M1925" s="8" t="inlineStr">
        <is>
          <t>Approved</t>
        </is>
      </c>
      <c r="N1925" s="8" t="inlineStr">
        <is>
          <t>list_item</t>
        </is>
      </c>
    </row>
    <row r="1926" ht="40" customHeight="1">
      <c r="A1926" s="4" t="inlineStr">
        <is>
          <t>C31-P0006</t>
        </is>
      </c>
      <c r="B1926" s="4" t="inlineStr">
        <is>
          <t>C31</t>
        </is>
      </c>
      <c r="C1926" s="4" t="inlineStr">
        <is>
          <t>Scheme For Financial Assistance For Veteran Artists</t>
        </is>
      </c>
      <c r="D1926" s="4" t="inlineStr">
        <is>
          <t>Details</t>
        </is>
      </c>
      <c r="E1926" s="4" t="inlineStr">
        <is>
          <t>Administration of the Scheme:</t>
        </is>
      </c>
      <c r="F1926" s="4" t="inlineStr">
        <is>
          <t>en.schemeContent.detailedDescription[0].children[4]</t>
        </is>
      </c>
      <c r="G1926" s="4" t="inlineStr">
        <is>
          <t>C31@20261028-f9d1bef9</t>
        </is>
      </c>
      <c r="H1926" s="4" t="n">
        <v>1</v>
      </c>
      <c r="I1926" s="4" t="n">
        <v>1</v>
      </c>
      <c r="J1926" s="4" t="inlineStr">
        <is>
          <t>Administration of the Scheme:</t>
        </is>
      </c>
      <c r="K1926" s="4" t="inlineStr">
        <is>
          <t>MS-C31</t>
        </is>
      </c>
      <c r="L1926" s="6" t="n">
        <v>46323</v>
      </c>
      <c r="M1926" s="4" t="inlineStr">
        <is>
          <t>Approved</t>
        </is>
      </c>
      <c r="N1926" s="4" t="inlineStr">
        <is>
          <t>paragraph</t>
        </is>
      </c>
    </row>
    <row r="1927" ht="82" customHeight="1">
      <c r="A1927" s="8" t="inlineStr">
        <is>
          <t>C31-P0007</t>
        </is>
      </c>
      <c r="B1927" s="8" t="inlineStr">
        <is>
          <t>C31</t>
        </is>
      </c>
      <c r="C1927" s="8" t="inlineStr">
        <is>
          <t>Scheme For Financial Assistance For Veteran Artists</t>
        </is>
      </c>
      <c r="D1927" s="8" t="inlineStr">
        <is>
          <t>Details</t>
        </is>
      </c>
      <c r="E1927" s="8" t="inlineStr">
        <is>
          <t>Administration of the Scheme:</t>
        </is>
      </c>
      <c r="F1927" s="8" t="inlineStr">
        <is>
          <t>en.schemeContent.detailedDescription[0].children[5]</t>
        </is>
      </c>
      <c r="G1927" s="8" t="inlineStr">
        <is>
          <t>C31@20261028-f9d1bef9</t>
        </is>
      </c>
      <c r="H1927" s="8" t="n">
        <v>1</v>
      </c>
      <c r="I1927" s="8" t="n">
        <v>1</v>
      </c>
      <c r="J1927" s="8" t="inlineStr">
        <is>
          <t>The Scheme will be implemented by the Ministry with the support of all Zonal Cultural Centres and SCZCC, Nagpur will be the main coordinator. The Ministry reserves the right to modify the provisions of the Scheme at any time. In order to implement the Scheme in a better perspective, the Scheme Guidelines will be circulated widely through State Governments/UT Administrations along with sharing the data of beneficiaries of the Central Government with them.</t>
        </is>
      </c>
      <c r="K1927" s="8" t="inlineStr">
        <is>
          <t>MS-C31</t>
        </is>
      </c>
      <c r="L1927" s="9" t="n">
        <v>46323</v>
      </c>
      <c r="M1927" s="8" t="inlineStr">
        <is>
          <t>Approved</t>
        </is>
      </c>
      <c r="N1927" s="8" t="inlineStr">
        <is>
          <t>paragraph</t>
        </is>
      </c>
    </row>
    <row r="1928" ht="40" customHeight="1">
      <c r="A1928" s="4" t="inlineStr">
        <is>
          <t>C31-P0008</t>
        </is>
      </c>
      <c r="B1928" s="4" t="inlineStr">
        <is>
          <t>C31</t>
        </is>
      </c>
      <c r="C1928" s="4" t="inlineStr">
        <is>
          <t>Scheme For Financial Assistance For Veteran Artists</t>
        </is>
      </c>
      <c r="D1928" s="4" t="inlineStr">
        <is>
          <t>Benefits</t>
        </is>
      </c>
      <c r="E1928" s="4" t="inlineStr"/>
      <c r="F1928" s="4" t="inlineStr">
        <is>
          <t>en.schemeContent.benefits[0].children[0].children[0]</t>
        </is>
      </c>
      <c r="G1928" s="4" t="inlineStr">
        <is>
          <t>C31@20261028-f9d1bef9</t>
        </is>
      </c>
      <c r="H1928" s="4" t="n">
        <v>1</v>
      </c>
      <c r="I1928" s="4" t="n">
        <v>1</v>
      </c>
      <c r="J1928" s="4" t="inlineStr">
        <is>
          <t>Under the scheme, a total allowance of ₹6000/- per month will be given to an eligible beneficiary.</t>
        </is>
      </c>
      <c r="K1928" s="4" t="inlineStr">
        <is>
          <t>MS-C31</t>
        </is>
      </c>
      <c r="L1928" s="6" t="n">
        <v>46323</v>
      </c>
      <c r="M1928" s="4" t="inlineStr">
        <is>
          <t>Approved</t>
        </is>
      </c>
      <c r="N1928" s="4" t="inlineStr">
        <is>
          <t>list_item</t>
        </is>
      </c>
    </row>
    <row r="1929" ht="54" customHeight="1">
      <c r="A1929" s="8" t="inlineStr">
        <is>
          <t>C31-P0009</t>
        </is>
      </c>
      <c r="B1929" s="8" t="inlineStr">
        <is>
          <t>C31</t>
        </is>
      </c>
      <c r="C1929" s="8" t="inlineStr">
        <is>
          <t>Scheme For Financial Assistance For Veteran Artists</t>
        </is>
      </c>
      <c r="D1929" s="8" t="inlineStr">
        <is>
          <t>Benefits</t>
        </is>
      </c>
      <c r="E1929" s="8" t="inlineStr"/>
      <c r="F1929" s="8" t="inlineStr">
        <is>
          <t>en.schemeContent.benefits[0].children[0].children[1]</t>
        </is>
      </c>
      <c r="G1929" s="8" t="inlineStr">
        <is>
          <t>C31@20261028-f9d1bef9</t>
        </is>
      </c>
      <c r="H1929" s="8" t="n">
        <v>1</v>
      </c>
      <c r="I1929" s="8" t="n">
        <v>1</v>
      </c>
      <c r="J1929" s="8" t="inlineStr">
        <is>
          <t>In case of the death of a beneficiary getting an artist pension, the financial assistance may be transferred, at the discretion of the Central Government, in the name of the spouse of the beneficiary till life.</t>
        </is>
      </c>
      <c r="K1929" s="8" t="inlineStr">
        <is>
          <t>MS-C31</t>
        </is>
      </c>
      <c r="L1929" s="9" t="n">
        <v>46323</v>
      </c>
      <c r="M1929" s="8" t="inlineStr">
        <is>
          <t>Approved</t>
        </is>
      </c>
      <c r="N1929" s="8" t="inlineStr">
        <is>
          <t>list_item</t>
        </is>
      </c>
    </row>
    <row r="1930" ht="40" customHeight="1">
      <c r="A1930" s="4" t="inlineStr">
        <is>
          <t>C31-P0010</t>
        </is>
      </c>
      <c r="B1930" s="4" t="inlineStr">
        <is>
          <t>C31</t>
        </is>
      </c>
      <c r="C1930" s="4" t="inlineStr">
        <is>
          <t>Scheme For Financial Assistance For Veteran Artists</t>
        </is>
      </c>
      <c r="D1930" s="4" t="inlineStr">
        <is>
          <t>Benefits</t>
        </is>
      </c>
      <c r="E1930" s="4" t="inlineStr"/>
      <c r="F1930" s="4" t="inlineStr">
        <is>
          <t>en.schemeContent.benefits[0].children[1]</t>
        </is>
      </c>
      <c r="G1930" s="4" t="inlineStr">
        <is>
          <t>C31@20261028-f9d1bef9</t>
        </is>
      </c>
      <c r="H1930" s="4" t="n">
        <v>1</v>
      </c>
      <c r="I1930" s="4" t="n">
        <v>1</v>
      </c>
      <c r="J1930" s="4" t="inlineStr">
        <is>
          <t>Note 01: The monthly allowance contributed by the State Government/UT Administration concerned shall be at least ₹500/- per month per beneficiary.</t>
        </is>
      </c>
      <c r="K1930" s="4" t="inlineStr">
        <is>
          <t>MS-C31</t>
        </is>
      </c>
      <c r="L1930" s="6" t="n">
        <v>46323</v>
      </c>
      <c r="M1930" s="4" t="inlineStr">
        <is>
          <t>Approved</t>
        </is>
      </c>
      <c r="N1930" s="4" t="inlineStr">
        <is>
          <t>paragraph</t>
        </is>
      </c>
    </row>
    <row r="1931" ht="40" customHeight="1">
      <c r="A1931" s="8" t="inlineStr">
        <is>
          <t>C31-P0011</t>
        </is>
      </c>
      <c r="B1931" s="8" t="inlineStr">
        <is>
          <t>C31</t>
        </is>
      </c>
      <c r="C1931" s="8" t="inlineStr">
        <is>
          <t>Scheme For Financial Assistance For Veteran Artists</t>
        </is>
      </c>
      <c r="D1931" s="8" t="inlineStr">
        <is>
          <t>Benefits</t>
        </is>
      </c>
      <c r="E1931" s="8" t="inlineStr"/>
      <c r="F1931" s="8" t="inlineStr">
        <is>
          <t>en.schemeContent.benefits[0].children[2]</t>
        </is>
      </c>
      <c r="G1931" s="8" t="inlineStr">
        <is>
          <t>C31@20261028-f9d1bef9</t>
        </is>
      </c>
      <c r="H1931" s="8" t="n">
        <v>1</v>
      </c>
      <c r="I1931" s="8" t="n">
        <v>1</v>
      </c>
      <c r="J1931" s="8" t="inlineStr">
        <is>
          <t>Note 02: The monthly allowance contributed by the Central Government shall not exceed ₹5500/- per month per beneficiary.</t>
        </is>
      </c>
      <c r="K1931" s="8" t="inlineStr">
        <is>
          <t>MS-C31</t>
        </is>
      </c>
      <c r="L1931" s="9" t="n">
        <v>46323</v>
      </c>
      <c r="M1931" s="8" t="inlineStr">
        <is>
          <t>Approved</t>
        </is>
      </c>
      <c r="N1931" s="8" t="inlineStr">
        <is>
          <t>paragraph</t>
        </is>
      </c>
    </row>
    <row r="1932" ht="54" customHeight="1">
      <c r="A1932" s="4" t="inlineStr">
        <is>
          <t>C31-P0012</t>
        </is>
      </c>
      <c r="B1932" s="4" t="inlineStr">
        <is>
          <t>C31</t>
        </is>
      </c>
      <c r="C1932" s="4" t="inlineStr">
        <is>
          <t>Scheme For Financial Assistance For Veteran Artists</t>
        </is>
      </c>
      <c r="D1932" s="4" t="inlineStr">
        <is>
          <t>Benefits</t>
        </is>
      </c>
      <c r="E1932" s="4" t="inlineStr"/>
      <c r="F1932" s="4" t="inlineStr">
        <is>
          <t>en.schemeContent.benefits[0].children[3]</t>
        </is>
      </c>
      <c r="G1932" s="4" t="inlineStr">
        <is>
          <t>C31@20261028-f9d1bef9</t>
        </is>
      </c>
      <c r="H1932" s="4" t="n">
        <v>1</v>
      </c>
      <c r="I1932" s="4" t="n">
        <v>1</v>
      </c>
      <c r="J1932" s="4" t="inlineStr">
        <is>
          <t>Note 03: Out of ₹6000/-, the monthly contribution of allowance of the Central Government will be less than the extent of the monthly contribution of allowance being provided to the applicant by the State Government/UT Administration.</t>
        </is>
      </c>
      <c r="K1932" s="4" t="inlineStr">
        <is>
          <t>MS-C31</t>
        </is>
      </c>
      <c r="L1932" s="6" t="n">
        <v>46323</v>
      </c>
      <c r="M1932" s="4" t="inlineStr">
        <is>
          <t>Approved</t>
        </is>
      </c>
      <c r="N1932" s="4" t="inlineStr">
        <is>
          <t>paragraph</t>
        </is>
      </c>
    </row>
    <row r="1933" ht="54" customHeight="1">
      <c r="A1933" s="8" t="inlineStr">
        <is>
          <t>C31-P0013</t>
        </is>
      </c>
      <c r="B1933" s="8" t="inlineStr">
        <is>
          <t>C31</t>
        </is>
      </c>
      <c r="C1933" s="8" t="inlineStr">
        <is>
          <t>Scheme For Financial Assistance For Veteran Artists</t>
        </is>
      </c>
      <c r="D1933" s="8" t="inlineStr">
        <is>
          <t>Benefits</t>
        </is>
      </c>
      <c r="E1933" s="8" t="inlineStr"/>
      <c r="F1933" s="8" t="inlineStr">
        <is>
          <t>en.schemeContent.benefits[0].children[4]</t>
        </is>
      </c>
      <c r="G1933" s="8" t="inlineStr">
        <is>
          <t>C31@20261028-f9d1bef9</t>
        </is>
      </c>
      <c r="H1933" s="8" t="n">
        <v>1</v>
      </c>
      <c r="I1933" s="8" t="n">
        <v>1</v>
      </c>
      <c r="J1933" s="8" t="inlineStr">
        <is>
          <t>Note 04: If State Government is already providing ₹1000/- per month pension to an artiste recommended to get financial assistance from the Central Government under this Scheme, in that case, the contribution of the Central Government would be only ₹5000/- per month.</t>
        </is>
      </c>
      <c r="K1933" s="8" t="inlineStr">
        <is>
          <t>MS-C31</t>
        </is>
      </c>
      <c r="L1933" s="9" t="n">
        <v>46323</v>
      </c>
      <c r="M1933" s="8" t="inlineStr">
        <is>
          <t>Approved</t>
        </is>
      </c>
      <c r="N1933" s="8" t="inlineStr">
        <is>
          <t>paragraph</t>
        </is>
      </c>
    </row>
    <row r="1934" ht="40" customHeight="1">
      <c r="A1934" s="4" t="inlineStr">
        <is>
          <t>C31-P0014</t>
        </is>
      </c>
      <c r="B1934" s="4" t="inlineStr">
        <is>
          <t>C31</t>
        </is>
      </c>
      <c r="C1934" s="4" t="inlineStr">
        <is>
          <t>Scheme For Financial Assistance For Veteran Artists</t>
        </is>
      </c>
      <c r="D1934" s="4" t="inlineStr">
        <is>
          <t>Benefits</t>
        </is>
      </c>
      <c r="E1934" s="4" t="inlineStr"/>
      <c r="F1934" s="4" t="inlineStr">
        <is>
          <t>en.schemeContent.benefits[0].children[5]</t>
        </is>
      </c>
      <c r="G1934" s="4" t="inlineStr">
        <is>
          <t>C31@20261028-f9d1bef9</t>
        </is>
      </c>
      <c r="H1934" s="4" t="n">
        <v>1</v>
      </c>
      <c r="I1934" s="4" t="n">
        <v>1</v>
      </c>
      <c r="J1934" s="4" t="inlineStr">
        <is>
          <t>Note 05: In respect of State Govt./UT Administration where there is no provision for an Artist's Pension, ₹6000/- per month will be paid as an Artist Pension by the Central Government.</t>
        </is>
      </c>
      <c r="K1934" s="4" t="inlineStr">
        <is>
          <t>MS-C31</t>
        </is>
      </c>
      <c r="L1934" s="6" t="n">
        <v>46323</v>
      </c>
      <c r="M1934" s="4" t="inlineStr">
        <is>
          <t>Approved</t>
        </is>
      </c>
      <c r="N1934" s="4" t="inlineStr">
        <is>
          <t>paragraph</t>
        </is>
      </c>
    </row>
    <row r="1935" ht="82" customHeight="1">
      <c r="A1935" s="8" t="inlineStr">
        <is>
          <t>C31-P0015</t>
        </is>
      </c>
      <c r="B1935" s="8" t="inlineStr">
        <is>
          <t>C31</t>
        </is>
      </c>
      <c r="C1935" s="8" t="inlineStr">
        <is>
          <t>Scheme For Financial Assistance For Veteran Artists</t>
        </is>
      </c>
      <c r="D1935" s="8" t="inlineStr">
        <is>
          <t>Benefits</t>
        </is>
      </c>
      <c r="E1935" s="8" t="inlineStr"/>
      <c r="F1935" s="8" t="inlineStr">
        <is>
          <t>en.schemeContent.benefits[0].children[6]</t>
        </is>
      </c>
      <c r="G1935" s="8" t="inlineStr">
        <is>
          <t>C31@20261028-f9d1bef9</t>
        </is>
      </c>
      <c r="H1935" s="8" t="n">
        <v>1</v>
      </c>
      <c r="I1935" s="8" t="n">
        <v>1</v>
      </c>
      <c r="J1935" s="8" t="inlineStr">
        <is>
          <t>Note 06: In case of the death of a beneficiary, a request application should be received in the Ministry of Culture from the spouse along with the relevant documents within the period of one year from the date of death of the beneficiary artist. After the period of one year, the claim for the transfer of pension in the name of the spouse will stand forfeited and no request in this regard shall be entertained.</t>
        </is>
      </c>
      <c r="K1935" s="8" t="inlineStr">
        <is>
          <t>MS-C31</t>
        </is>
      </c>
      <c r="L1935" s="9" t="n">
        <v>46323</v>
      </c>
      <c r="M1935" s="8" t="inlineStr">
        <is>
          <t>Approved</t>
        </is>
      </c>
      <c r="N1935" s="8" t="inlineStr">
        <is>
          <t>paragraph</t>
        </is>
      </c>
    </row>
    <row r="1936" ht="40" customHeight="1">
      <c r="A1936" s="4" t="inlineStr">
        <is>
          <t>C31-P0016</t>
        </is>
      </c>
      <c r="B1936" s="4" t="inlineStr">
        <is>
          <t>C31</t>
        </is>
      </c>
      <c r="C1936" s="4" t="inlineStr">
        <is>
          <t>Scheme For Financial Assistance For Veteran Artists</t>
        </is>
      </c>
      <c r="D1936" s="4" t="inlineStr">
        <is>
          <t>Eligibility</t>
        </is>
      </c>
      <c r="E1936" s="4" t="inlineStr"/>
      <c r="F1936" s="4" t="inlineStr">
        <is>
          <t>en.eligibilityCriteria.eligibilityDescription[0].children[0].children[0]</t>
        </is>
      </c>
      <c r="G1936" s="4" t="inlineStr">
        <is>
          <t>C31@20261028-f9d1bef9</t>
        </is>
      </c>
      <c r="H1936" s="4" t="n">
        <v>1</v>
      </c>
      <c r="I1936" s="4" t="n">
        <v>1</v>
      </c>
      <c r="J1936" s="4" t="inlineStr">
        <is>
          <t>To be eligible for assistance under the Scheme, a person's contribution to art and letters, etc. must be of significance.</t>
        </is>
      </c>
      <c r="K1936" s="4" t="inlineStr">
        <is>
          <t>MS-C31</t>
        </is>
      </c>
      <c r="L1936" s="6" t="n">
        <v>46323</v>
      </c>
      <c r="M1936" s="4" t="inlineStr">
        <is>
          <t>Approved</t>
        </is>
      </c>
      <c r="N1936" s="4" t="inlineStr">
        <is>
          <t>list_item</t>
        </is>
      </c>
    </row>
    <row r="1937" ht="40" customHeight="1">
      <c r="A1937" s="8" t="inlineStr">
        <is>
          <t>C31-P0017</t>
        </is>
      </c>
      <c r="B1937" s="8" t="inlineStr">
        <is>
          <t>C31</t>
        </is>
      </c>
      <c r="C1937" s="8" t="inlineStr">
        <is>
          <t>Scheme For Financial Assistance For Veteran Artists</t>
        </is>
      </c>
      <c r="D1937" s="8" t="inlineStr">
        <is>
          <t>Eligibility</t>
        </is>
      </c>
      <c r="E1937" s="8" t="inlineStr"/>
      <c r="F1937" s="8" t="inlineStr">
        <is>
          <t>en.eligibilityCriteria.eligibilityDescription[0].children[0].children[1]</t>
        </is>
      </c>
      <c r="G1937" s="8" t="inlineStr">
        <is>
          <t>C31@20261028-f9d1bef9</t>
        </is>
      </c>
      <c r="H1937" s="8" t="n">
        <v>1</v>
      </c>
      <c r="I1937" s="8" t="n">
        <v>1</v>
      </c>
      <c r="J1937" s="8" t="inlineStr">
        <is>
          <t>Traditional scholars who have made significant contributions in their fields would also be eligible notwithstanding the absence of any published works.</t>
        </is>
      </c>
      <c r="K1937" s="8" t="inlineStr">
        <is>
          <t>MS-C31</t>
        </is>
      </c>
      <c r="L1937" s="9" t="n">
        <v>46323</v>
      </c>
      <c r="M1937" s="8" t="inlineStr">
        <is>
          <t>Approved</t>
        </is>
      </c>
      <c r="N1937" s="8" t="inlineStr">
        <is>
          <t>list_item</t>
        </is>
      </c>
    </row>
    <row r="1938" ht="68" customHeight="1">
      <c r="A1938" s="4" t="inlineStr">
        <is>
          <t>C31-P0018</t>
        </is>
      </c>
      <c r="B1938" s="4" t="inlineStr">
        <is>
          <t>C31</t>
        </is>
      </c>
      <c r="C1938" s="4" t="inlineStr">
        <is>
          <t>Scheme For Financial Assistance For Veteran Artists</t>
        </is>
      </c>
      <c r="D1938" s="4" t="inlineStr">
        <is>
          <t>Eligibility</t>
        </is>
      </c>
      <c r="E1938" s="4" t="inlineStr"/>
      <c r="F1938" s="4" t="inlineStr">
        <is>
          <t>en.eligibilityCriteria.eligibilityDescription[0].children[0].children[2]</t>
        </is>
      </c>
      <c r="G1938" s="4" t="inlineStr">
        <is>
          <t>C31@20261028-f9d1bef9</t>
        </is>
      </c>
      <c r="H1938" s="4" t="n">
        <v>1</v>
      </c>
      <c r="I1938" s="4" t="n">
        <v>1</v>
      </c>
      <c r="J1938" s="4" t="inlineStr">
        <is>
          <t>The personal income of the applicant (including the income of the spouse) must not exceed ₹4,000/- per month or an annual income of ₹48,000/-. [This excludes artiste pension assistance amount already getting by a beneficiary from the Government (i.e. concerned State Govt./UT Administration and/or Ministry of Culture)]</t>
        </is>
      </c>
      <c r="K1938" s="4" t="inlineStr">
        <is>
          <t>MS-C31</t>
        </is>
      </c>
      <c r="L1938" s="6" t="n">
        <v>46323</v>
      </c>
      <c r="M1938" s="4" t="inlineStr">
        <is>
          <t>Approved</t>
        </is>
      </c>
      <c r="N1938" s="4" t="inlineStr">
        <is>
          <t>list_item</t>
        </is>
      </c>
    </row>
    <row r="1939" ht="40" customHeight="1">
      <c r="A1939" s="8" t="inlineStr">
        <is>
          <t>C31-P0019</t>
        </is>
      </c>
      <c r="B1939" s="8" t="inlineStr">
        <is>
          <t>C31</t>
        </is>
      </c>
      <c r="C1939" s="8" t="inlineStr">
        <is>
          <t>Scheme For Financial Assistance For Veteran Artists</t>
        </is>
      </c>
      <c r="D1939" s="8" t="inlineStr">
        <is>
          <t>Eligibility</t>
        </is>
      </c>
      <c r="E1939" s="8" t="inlineStr"/>
      <c r="F1939" s="8" t="inlineStr">
        <is>
          <t>en.eligibilityCriteria.eligibilityDescription[0].children[0].children[3]</t>
        </is>
      </c>
      <c r="G1939" s="8" t="inlineStr">
        <is>
          <t>C31@20261028-f9d1bef9</t>
        </is>
      </c>
      <c r="H1939" s="8" t="n">
        <v>1</v>
      </c>
      <c r="I1939" s="8" t="n">
        <v>1</v>
      </c>
      <c r="J1939" s="8" t="inlineStr">
        <is>
          <t>The applicant should not be less than 60 (sixty) years of age (This does not apply in the case of a spouse).</t>
        </is>
      </c>
      <c r="K1939" s="8" t="inlineStr">
        <is>
          <t>MS-C31</t>
        </is>
      </c>
      <c r="L1939" s="9" t="n">
        <v>46323</v>
      </c>
      <c r="M1939" s="8" t="inlineStr">
        <is>
          <t>Approved</t>
        </is>
      </c>
      <c r="N1939" s="8" t="inlineStr">
        <is>
          <t>list_item</t>
        </is>
      </c>
    </row>
    <row r="1940" ht="54" customHeight="1">
      <c r="A1940" s="4" t="inlineStr">
        <is>
          <t>C31-P0020</t>
        </is>
      </c>
      <c r="B1940" s="4" t="inlineStr">
        <is>
          <t>C31</t>
        </is>
      </c>
      <c r="C1940" s="4" t="inlineStr">
        <is>
          <t>Scheme For Financial Assistance For Veteran Artists</t>
        </is>
      </c>
      <c r="D1940" s="4" t="inlineStr">
        <is>
          <t>Eligibility</t>
        </is>
      </c>
      <c r="E1940" s="4" t="inlineStr"/>
      <c r="F1940" s="4" t="inlineStr">
        <is>
          <t>en.eligibilityCriteria.eligibilityDescription[0].children[0].children[4]</t>
        </is>
      </c>
      <c r="G1940" s="4" t="inlineStr">
        <is>
          <t>C31@20261028-f9d1bef9</t>
        </is>
      </c>
      <c r="H1940" s="4" t="n">
        <v>1</v>
      </c>
      <c r="I1940" s="4" t="n">
        <v>1</v>
      </c>
      <c r="J1940" s="4" t="inlineStr">
        <is>
          <t>The applicant artiste is getting a pension of at least ₹500/- per month from the concerned State Government/UT Administration or is recommended by the Zonal Cultural Centres, Ministry of Culture, for the artists of their Members State where State Pension is not there.</t>
        </is>
      </c>
      <c r="K1940" s="4" t="inlineStr">
        <is>
          <t>MS-C31</t>
        </is>
      </c>
      <c r="L1940" s="6" t="n">
        <v>46323</v>
      </c>
      <c r="M1940" s="4" t="inlineStr">
        <is>
          <t>Approved</t>
        </is>
      </c>
      <c r="N1940" s="4" t="inlineStr">
        <is>
          <t>list_item</t>
        </is>
      </c>
    </row>
    <row r="1941" ht="40" customHeight="1">
      <c r="A1941" s="8" t="inlineStr">
        <is>
          <t>C31-P0021</t>
        </is>
      </c>
      <c r="B1941" s="8" t="inlineStr">
        <is>
          <t>C31</t>
        </is>
      </c>
      <c r="C1941" s="8" t="inlineStr">
        <is>
          <t>Scheme For Financial Assistance For Veteran Artists</t>
        </is>
      </c>
      <c r="D1941" s="8" t="inlineStr">
        <is>
          <t>Eligibility</t>
        </is>
      </c>
      <c r="E1941" s="8" t="inlineStr"/>
      <c r="F1941" s="8" t="inlineStr">
        <is>
          <t>en.eligibilityCriteria.eligibilityDescription[0].children[0].children[5]</t>
        </is>
      </c>
      <c r="G1941" s="8" t="inlineStr">
        <is>
          <t>C31@20261028-f9d1bef9</t>
        </is>
      </c>
      <c r="H1941" s="8" t="n">
        <v>1</v>
      </c>
      <c r="I1941" s="8" t="n">
        <v>1</v>
      </c>
      <c r="J1941" s="8" t="inlineStr">
        <is>
          <t>The applicant artists should not be getting financial assistance under other Schemes of the Ministry viz. Repertory Grant etc.</t>
        </is>
      </c>
      <c r="K1941" s="8" t="inlineStr">
        <is>
          <t>MS-C31</t>
        </is>
      </c>
      <c r="L1941" s="9" t="n">
        <v>46323</v>
      </c>
      <c r="M1941" s="8" t="inlineStr">
        <is>
          <t>Approved</t>
        </is>
      </c>
      <c r="N1941" s="8" t="inlineStr">
        <is>
          <t>list_item</t>
        </is>
      </c>
    </row>
    <row r="1942" ht="40" customHeight="1">
      <c r="A1942" s="4" t="inlineStr">
        <is>
          <t>C31-P0022</t>
        </is>
      </c>
      <c r="B1942" s="4" t="inlineStr">
        <is>
          <t>C31</t>
        </is>
      </c>
      <c r="C1942" s="4" t="inlineStr">
        <is>
          <t>Scheme For Financial Assistance For Veteran Artists</t>
        </is>
      </c>
      <c r="D1942" s="4" t="inlineStr">
        <is>
          <t>Applicant documents</t>
        </is>
      </c>
      <c r="E1942" s="4" t="inlineStr"/>
      <c r="F1942" s="4" t="inlineStr">
        <is>
          <t>documents.en.documents_required[0].children[0].children[0]</t>
        </is>
      </c>
      <c r="G1942" s="4" t="inlineStr">
        <is>
          <t>C31@20261028-f9d1bef9</t>
        </is>
      </c>
      <c r="H1942" s="4" t="n">
        <v>1</v>
      </c>
      <c r="I1942" s="4" t="n">
        <v>1</v>
      </c>
      <c r="J1942" s="4" t="inlineStr">
        <is>
          <t>A recent (not older than six months) clear &amp; colored passport-size photograph of the applicant to be affixed on the specified place in the application form;</t>
        </is>
      </c>
      <c r="K1942" s="4" t="inlineStr">
        <is>
          <t>MS-C31</t>
        </is>
      </c>
      <c r="L1942" s="6" t="n">
        <v>46323</v>
      </c>
      <c r="M1942" s="4" t="inlineStr">
        <is>
          <t>Approved</t>
        </is>
      </c>
      <c r="N1942" s="4" t="inlineStr">
        <is>
          <t>list_item</t>
        </is>
      </c>
    </row>
    <row r="1943" ht="96" customHeight="1">
      <c r="A1943" s="8" t="inlineStr">
        <is>
          <t>C31-P0023</t>
        </is>
      </c>
      <c r="B1943" s="8" t="inlineStr">
        <is>
          <t>C31</t>
        </is>
      </c>
      <c r="C1943" s="8" t="inlineStr">
        <is>
          <t>Scheme For Financial Assistance For Veteran Artists</t>
        </is>
      </c>
      <c r="D1943" s="8" t="inlineStr">
        <is>
          <t>Applicant documents</t>
        </is>
      </c>
      <c r="E1943" s="8" t="inlineStr"/>
      <c r="F1943" s="8" t="inlineStr">
        <is>
          <t>documents.en.documents_required[0].children[0].children[1]</t>
        </is>
      </c>
      <c r="G1943" s="8" t="inlineStr">
        <is>
          <t>C31@20261028-f9d1bef9</t>
        </is>
      </c>
      <c r="H1943" s="8" t="n">
        <v>1</v>
      </c>
      <c r="I1943" s="8" t="n">
        <v>1</v>
      </c>
      <c r="J1943" s="8" t="inlineStr">
        <is>
          <t>Self-attested copy of any one document from the following listed documents for address proof:- Aadhaar Card issued by Unique Identification Authority of India(UIDAI); Elector’s photo identity card; Passport; Driving License; Electricity Bill; Landline telephone or broadband connection bill; Water Bill; Consumer gas connection card or book or piped gas bill; Bank account statement, Domicile certificate issued by the Government; Passport of the spouse; Post office passbook having an address of the applicant; Property registration document</t>
        </is>
      </c>
      <c r="K1943" s="8" t="inlineStr">
        <is>
          <t>MS-C31</t>
        </is>
      </c>
      <c r="L1943" s="9" t="n">
        <v>46323</v>
      </c>
      <c r="M1943" s="8" t="inlineStr">
        <is>
          <t>Approved</t>
        </is>
      </c>
      <c r="N1943" s="8" t="inlineStr">
        <is>
          <t>list_item</t>
        </is>
      </c>
    </row>
    <row r="1944" ht="96" customHeight="1">
      <c r="A1944" s="4" t="inlineStr">
        <is>
          <t>C31-P0024</t>
        </is>
      </c>
      <c r="B1944" s="4" t="inlineStr">
        <is>
          <t>C31</t>
        </is>
      </c>
      <c r="C1944" s="4" t="inlineStr">
        <is>
          <t>Scheme For Financial Assistance For Veteran Artists</t>
        </is>
      </c>
      <c r="D1944" s="4" t="inlineStr">
        <is>
          <t>Applicant documents</t>
        </is>
      </c>
      <c r="E1944" s="4" t="inlineStr"/>
      <c r="F1944" s="4" t="inlineStr">
        <is>
          <t>documents.en.documents_required[0].children[0].children[2]</t>
        </is>
      </c>
      <c r="G1944" s="4" t="inlineStr">
        <is>
          <t>C31@20261028-f9d1bef9</t>
        </is>
      </c>
      <c r="H1944" s="4" t="n">
        <v>1</v>
      </c>
      <c r="I1944" s="4" t="n">
        <v>1</v>
      </c>
      <c r="J1944" s="4" t="inlineStr">
        <is>
          <t>Self-attested copy of any one document from the following listed documents for proof of Date of Birth:- Aadhaar Card issued by UIDAI; PAN Card, Elector’s photo identity card; Passport; Driving License; Birth Certificate issued by the Municipal Authority or any office authorized to issue Birth and Death Certificate by the Registrar of Birth and Deaths; Marriage certificate issued by Registrar of Marriages; Matriculation/10th class certificate or mark sheet of recognized Board; Domicile certificate issued by the Government.</t>
        </is>
      </c>
      <c r="K1944" s="4" t="inlineStr">
        <is>
          <t>MS-C31</t>
        </is>
      </c>
      <c r="L1944" s="6" t="n">
        <v>46323</v>
      </c>
      <c r="M1944" s="4" t="inlineStr">
        <is>
          <t>Approved</t>
        </is>
      </c>
      <c r="N1944" s="4" t="inlineStr">
        <is>
          <t>list_item</t>
        </is>
      </c>
    </row>
    <row r="1945" ht="40" customHeight="1">
      <c r="A1945" s="8" t="inlineStr">
        <is>
          <t>C31-P0025</t>
        </is>
      </c>
      <c r="B1945" s="8" t="inlineStr">
        <is>
          <t>C31</t>
        </is>
      </c>
      <c r="C1945" s="8" t="inlineStr">
        <is>
          <t>Scheme For Financial Assistance For Veteran Artists</t>
        </is>
      </c>
      <c r="D1945" s="8" t="inlineStr">
        <is>
          <t>Applicant documents</t>
        </is>
      </c>
      <c r="E1945" s="8" t="inlineStr"/>
      <c r="F1945" s="8" t="inlineStr">
        <is>
          <t>documents.en.documents_required[0].children[0].children[3]</t>
        </is>
      </c>
      <c r="G1945" s="8" t="inlineStr">
        <is>
          <t>C31@20261028-f9d1bef9</t>
        </is>
      </c>
      <c r="H1945" s="8" t="n">
        <v>1</v>
      </c>
      <c r="I1945" s="8" t="n">
        <v>1</v>
      </c>
      <c r="J1945" s="8" t="inlineStr">
        <is>
          <t>Self-attested copy of Aadhaar Card issued by UIDAI.</t>
        </is>
      </c>
      <c r="K1945" s="8" t="inlineStr">
        <is>
          <t>MS-C31</t>
        </is>
      </c>
      <c r="L1945" s="9" t="n">
        <v>46323</v>
      </c>
      <c r="M1945" s="8" t="inlineStr">
        <is>
          <t>Approved</t>
        </is>
      </c>
      <c r="N1945" s="8" t="inlineStr">
        <is>
          <t>list_item</t>
        </is>
      </c>
    </row>
    <row r="1946" ht="40" customHeight="1">
      <c r="A1946" s="4" t="inlineStr">
        <is>
          <t>C31-P0026</t>
        </is>
      </c>
      <c r="B1946" s="4" t="inlineStr">
        <is>
          <t>C31</t>
        </is>
      </c>
      <c r="C1946" s="4" t="inlineStr">
        <is>
          <t>Scheme For Financial Assistance For Veteran Artists</t>
        </is>
      </c>
      <c r="D1946" s="4" t="inlineStr">
        <is>
          <t>Applicant documents</t>
        </is>
      </c>
      <c r="E1946" s="4" t="inlineStr"/>
      <c r="F1946" s="4" t="inlineStr">
        <is>
          <t>documents.en.documents_required[0].children[0].children[4]</t>
        </is>
      </c>
      <c r="G1946" s="4" t="inlineStr">
        <is>
          <t>C31@20261028-f9d1bef9</t>
        </is>
      </c>
      <c r="H1946" s="4" t="n">
        <v>1</v>
      </c>
      <c r="I1946" s="4" t="n">
        <v>1</v>
      </c>
      <c r="J1946" s="4" t="inlineStr">
        <is>
          <t>Original copy of Income Certificate in the prescribed format [Annexure-II(A)] issued by the Competent Authority of the State/UTs concerned.</t>
        </is>
      </c>
      <c r="K1946" s="4" t="inlineStr">
        <is>
          <t>MS-C31</t>
        </is>
      </c>
      <c r="L1946" s="6" t="n">
        <v>46323</v>
      </c>
      <c r="M1946" s="4" t="inlineStr">
        <is>
          <t>Approved</t>
        </is>
      </c>
      <c r="N1946" s="4" t="inlineStr">
        <is>
          <t>list_item</t>
        </is>
      </c>
    </row>
    <row r="1947" ht="54" customHeight="1">
      <c r="A1947" s="8" t="inlineStr">
        <is>
          <t>C31-P0027</t>
        </is>
      </c>
      <c r="B1947" s="8" t="inlineStr">
        <is>
          <t>C31</t>
        </is>
      </c>
      <c r="C1947" s="8" t="inlineStr">
        <is>
          <t>Scheme For Financial Assistance For Veteran Artists</t>
        </is>
      </c>
      <c r="D1947" s="8" t="inlineStr">
        <is>
          <t>Applicant documents</t>
        </is>
      </c>
      <c r="E1947" s="8" t="inlineStr"/>
      <c r="F1947" s="8" t="inlineStr">
        <is>
          <t>documents.en.documents_required[0].children[0].children[5]</t>
        </is>
      </c>
      <c r="G1947" s="8" t="inlineStr">
        <is>
          <t>C31@20261028-f9d1bef9</t>
        </is>
      </c>
      <c r="H1947" s="8" t="n">
        <v>1</v>
      </c>
      <c r="I1947" s="8" t="n">
        <v>1</v>
      </c>
      <c r="J1947" s="8" t="inlineStr">
        <is>
          <t>Copies of relevant documents which support the applicant’s contributions made in the field of Art, Culture, etc., or awards, recognition, or distinction received by the applicant from Central/State Government/Union Territory or any prominent Literary or Arts Society.</t>
        </is>
      </c>
      <c r="K1947" s="8" t="inlineStr">
        <is>
          <t>MS-C31</t>
        </is>
      </c>
      <c r="L1947" s="9" t="n">
        <v>46323</v>
      </c>
      <c r="M1947" s="8" t="inlineStr">
        <is>
          <t>Approved</t>
        </is>
      </c>
      <c r="N1947" s="8" t="inlineStr">
        <is>
          <t>list_item</t>
        </is>
      </c>
    </row>
    <row r="1948" ht="40" customHeight="1">
      <c r="A1948" s="4" t="inlineStr">
        <is>
          <t>C31-P0028</t>
        </is>
      </c>
      <c r="B1948" s="4" t="inlineStr">
        <is>
          <t>C31</t>
        </is>
      </c>
      <c r="C1948" s="4" t="inlineStr">
        <is>
          <t>Scheme For Financial Assistance For Veteran Artists</t>
        </is>
      </c>
      <c r="D1948" s="4" t="inlineStr">
        <is>
          <t>Applicant documents</t>
        </is>
      </c>
      <c r="E1948" s="4" t="inlineStr"/>
      <c r="F1948" s="4" t="inlineStr">
        <is>
          <t>documents.en.documents_required[0].children[0].children[6]</t>
        </is>
      </c>
      <c r="G1948" s="4" t="inlineStr">
        <is>
          <t>C31@20261028-f9d1bef9</t>
        </is>
      </c>
      <c r="H1948" s="4" t="n">
        <v>1</v>
      </c>
      <c r="I1948" s="4" t="n">
        <v>1</v>
      </c>
      <c r="J1948" s="4" t="inlineStr">
        <is>
          <t>Duly filled-in and signed prescribed Bank Authorization letter (Annexure-IV) which is verified &amp; signed by the Manager of the concerned Bank (in original).</t>
        </is>
      </c>
      <c r="K1948" s="4" t="inlineStr">
        <is>
          <t>MS-C31</t>
        </is>
      </c>
      <c r="L1948" s="6" t="n">
        <v>46323</v>
      </c>
      <c r="M1948" s="4" t="inlineStr">
        <is>
          <t>Approved</t>
        </is>
      </c>
      <c r="N1948" s="4" t="inlineStr">
        <is>
          <t>list_item</t>
        </is>
      </c>
    </row>
    <row r="1949" ht="40" customHeight="1">
      <c r="A1949" s="8" t="inlineStr">
        <is>
          <t>C31-P0029</t>
        </is>
      </c>
      <c r="B1949" s="8" t="inlineStr">
        <is>
          <t>C31</t>
        </is>
      </c>
      <c r="C1949" s="8" t="inlineStr">
        <is>
          <t>Scheme For Financial Assistance For Veteran Artists</t>
        </is>
      </c>
      <c r="D1949" s="8" t="inlineStr">
        <is>
          <t>Applicant documents</t>
        </is>
      </c>
      <c r="E1949" s="8" t="inlineStr"/>
      <c r="F1949" s="8" t="inlineStr">
        <is>
          <t>documents.en.documents_required[0].children[0].children[7]</t>
        </is>
      </c>
      <c r="G1949" s="8" t="inlineStr">
        <is>
          <t>C31@20261028-f9d1bef9</t>
        </is>
      </c>
      <c r="H1949" s="8" t="n">
        <v>1</v>
      </c>
      <c r="I1949" s="8" t="n">
        <v>1</v>
      </c>
      <c r="J1949" s="8" t="inlineStr">
        <is>
          <t>Recommendation letter obtained from the Culture Department of the concerned Stated Government/UT Administrations in the prescribed format [Part-II of the Application Form (Appendix)].</t>
        </is>
      </c>
      <c r="K1949" s="8" t="inlineStr">
        <is>
          <t>MS-C31</t>
        </is>
      </c>
      <c r="L1949" s="9" t="n">
        <v>46323</v>
      </c>
      <c r="M1949" s="8" t="inlineStr">
        <is>
          <t>Approved</t>
        </is>
      </c>
      <c r="N1949" s="8" t="inlineStr">
        <is>
          <t>list_item</t>
        </is>
      </c>
    </row>
    <row r="1950" ht="40" customHeight="1">
      <c r="A1950" s="4" t="inlineStr">
        <is>
          <t>C31-P0030</t>
        </is>
      </c>
      <c r="B1950" s="4" t="inlineStr">
        <is>
          <t>C31</t>
        </is>
      </c>
      <c r="C1950" s="4" t="inlineStr">
        <is>
          <t>Scheme For Financial Assistance For Veteran Artists</t>
        </is>
      </c>
      <c r="D1950" s="4" t="inlineStr">
        <is>
          <t>Applicant documents</t>
        </is>
      </c>
      <c r="E1950" s="4" t="inlineStr">
        <is>
          <t>In case of pension to the spouse in case of death of beneficiary:</t>
        </is>
      </c>
      <c r="F1950" s="4" t="inlineStr">
        <is>
          <t>documents.en.documents_required[1]</t>
        </is>
      </c>
      <c r="G1950" s="4" t="inlineStr">
        <is>
          <t>C31@20261028-f9d1bef9</t>
        </is>
      </c>
      <c r="H1950" s="4" t="n">
        <v>1</v>
      </c>
      <c r="I1950" s="4" t="n">
        <v>1</v>
      </c>
      <c r="J1950" s="4" t="inlineStr">
        <is>
          <t>In case of pension to the spouse in case of death of beneficiary:</t>
        </is>
      </c>
      <c r="K1950" s="4" t="inlineStr">
        <is>
          <t>MS-C31</t>
        </is>
      </c>
      <c r="L1950" s="6" t="n">
        <v>46323</v>
      </c>
      <c r="M1950" s="4" t="inlineStr">
        <is>
          <t>Approved</t>
        </is>
      </c>
      <c r="N1950" s="4" t="inlineStr">
        <is>
          <t>paragraph</t>
        </is>
      </c>
    </row>
    <row r="1951" ht="40" customHeight="1">
      <c r="A1951" s="8" t="inlineStr">
        <is>
          <t>C31-P0031</t>
        </is>
      </c>
      <c r="B1951" s="8" t="inlineStr">
        <is>
          <t>C31</t>
        </is>
      </c>
      <c r="C1951" s="8" t="inlineStr">
        <is>
          <t>Scheme For Financial Assistance For Veteran Artists</t>
        </is>
      </c>
      <c r="D1951" s="8" t="inlineStr">
        <is>
          <t>Applicant documents</t>
        </is>
      </c>
      <c r="E1951" s="8" t="inlineStr">
        <is>
          <t>In case of pension to the spouse in case of death of beneficiary:</t>
        </is>
      </c>
      <c r="F1951" s="8" t="inlineStr">
        <is>
          <t>documents.en.documents_required[2].children[0].children[0]</t>
        </is>
      </c>
      <c r="G1951" s="8" t="inlineStr">
        <is>
          <t>C31@20261028-f9d1bef9</t>
        </is>
      </c>
      <c r="H1951" s="8" t="n">
        <v>1</v>
      </c>
      <c r="I1951" s="8" t="n">
        <v>1</v>
      </c>
      <c r="J1951" s="8" t="inlineStr">
        <is>
          <t>Copy of death certificate of the late beneficiary in original or self-attested;</t>
        </is>
      </c>
      <c r="K1951" s="8" t="inlineStr">
        <is>
          <t>MS-C31</t>
        </is>
      </c>
      <c r="L1951" s="9" t="n">
        <v>46323</v>
      </c>
      <c r="M1951" s="8" t="inlineStr">
        <is>
          <t>Approved</t>
        </is>
      </c>
      <c r="N1951" s="8" t="inlineStr">
        <is>
          <t>list_item</t>
        </is>
      </c>
    </row>
    <row r="1952" ht="40" customHeight="1">
      <c r="A1952" s="4" t="inlineStr">
        <is>
          <t>C31-P0032</t>
        </is>
      </c>
      <c r="B1952" s="4" t="inlineStr">
        <is>
          <t>C31</t>
        </is>
      </c>
      <c r="C1952" s="4" t="inlineStr">
        <is>
          <t>Scheme For Financial Assistance For Veteran Artists</t>
        </is>
      </c>
      <c r="D1952" s="4" t="inlineStr">
        <is>
          <t>Applicant documents</t>
        </is>
      </c>
      <c r="E1952" s="4" t="inlineStr">
        <is>
          <t>In case of pension to the spouse in case of death of beneficiary:</t>
        </is>
      </c>
      <c r="F1952" s="4" t="inlineStr">
        <is>
          <t>documents.en.documents_required[2].children[0].children[1]</t>
        </is>
      </c>
      <c r="G1952" s="4" t="inlineStr">
        <is>
          <t>C31@20261028-f9d1bef9</t>
        </is>
      </c>
      <c r="H1952" s="4" t="n">
        <v>1</v>
      </c>
      <c r="I1952" s="4" t="n">
        <v>1</v>
      </c>
      <c r="J1952" s="4" t="inlineStr">
        <is>
          <t>Documentary proof to support that the late beneficiary was getting artistes pension;</t>
        </is>
      </c>
      <c r="K1952" s="4" t="inlineStr">
        <is>
          <t>MS-C31</t>
        </is>
      </c>
      <c r="L1952" s="6" t="n">
        <v>46323</v>
      </c>
      <c r="M1952" s="4" t="inlineStr">
        <is>
          <t>Approved</t>
        </is>
      </c>
      <c r="N1952" s="4" t="inlineStr">
        <is>
          <t>list_item</t>
        </is>
      </c>
    </row>
    <row r="1953" ht="40" customHeight="1">
      <c r="A1953" s="8" t="inlineStr">
        <is>
          <t>C31-P0033</t>
        </is>
      </c>
      <c r="B1953" s="8" t="inlineStr">
        <is>
          <t>C31</t>
        </is>
      </c>
      <c r="C1953" s="8" t="inlineStr">
        <is>
          <t>Scheme For Financial Assistance For Veteran Artists</t>
        </is>
      </c>
      <c r="D1953" s="8" t="inlineStr">
        <is>
          <t>Applicant documents</t>
        </is>
      </c>
      <c r="E1953" s="8" t="inlineStr">
        <is>
          <t>In case of pension to the spouse in case of death of beneficiary:</t>
        </is>
      </c>
      <c r="F1953" s="8" t="inlineStr">
        <is>
          <t>documents.en.documents_required[2].children[0].children[2]</t>
        </is>
      </c>
      <c r="G1953" s="8" t="inlineStr">
        <is>
          <t>C31@20261028-f9d1bef9</t>
        </is>
      </c>
      <c r="H1953" s="8" t="n">
        <v>1</v>
      </c>
      <c r="I1953" s="8" t="n">
        <v>1</v>
      </c>
      <c r="J1953" s="8" t="inlineStr">
        <is>
          <t>Legal heir certificate in the prescribed proforma issued by the Competent Authority and an affidavit from SDM or 1st Class Magistrate in proforma;</t>
        </is>
      </c>
      <c r="K1953" s="8" t="inlineStr">
        <is>
          <t>MS-C31</t>
        </is>
      </c>
      <c r="L1953" s="9" t="n">
        <v>46323</v>
      </c>
      <c r="M1953" s="8" t="inlineStr">
        <is>
          <t>Approved</t>
        </is>
      </c>
      <c r="N1953" s="8" t="inlineStr">
        <is>
          <t>list_item</t>
        </is>
      </c>
    </row>
    <row r="1954" ht="40" customHeight="1">
      <c r="A1954" s="4" t="inlineStr">
        <is>
          <t>C31-P0034</t>
        </is>
      </c>
      <c r="B1954" s="4" t="inlineStr">
        <is>
          <t>C31</t>
        </is>
      </c>
      <c r="C1954" s="4" t="inlineStr">
        <is>
          <t>Scheme For Financial Assistance For Veteran Artists</t>
        </is>
      </c>
      <c r="D1954" s="4" t="inlineStr">
        <is>
          <t>Applicant documents</t>
        </is>
      </c>
      <c r="E1954" s="4" t="inlineStr">
        <is>
          <t>In case of pension to the spouse in case of death of beneficiary:</t>
        </is>
      </c>
      <c r="F1954" s="4" t="inlineStr">
        <is>
          <t>documents.en.documents_required[2].children[0].children[3]</t>
        </is>
      </c>
      <c r="G1954" s="4" t="inlineStr">
        <is>
          <t>C31@20261028-f9d1bef9</t>
        </is>
      </c>
      <c r="H1954" s="4" t="n">
        <v>1</v>
      </c>
      <c r="I1954" s="4" t="n">
        <v>1</v>
      </c>
      <c r="J1954" s="4" t="inlineStr">
        <is>
          <t>Self-attested copy of the Digital Life Certificate (DLC) of the spouse processed through Jeevan Pramaan Portal https://jeevanpramaan.gov.in</t>
        </is>
      </c>
      <c r="K1954" s="4" t="inlineStr">
        <is>
          <t>MS-C31</t>
        </is>
      </c>
      <c r="L1954" s="6" t="n">
        <v>46323</v>
      </c>
      <c r="M1954" s="4" t="inlineStr">
        <is>
          <t>Approved</t>
        </is>
      </c>
      <c r="N1954" s="4" t="inlineStr">
        <is>
          <t>list_item</t>
        </is>
      </c>
    </row>
    <row r="1955" ht="40" customHeight="1">
      <c r="A1955" s="8" t="inlineStr">
        <is>
          <t>C31-P0035</t>
        </is>
      </c>
      <c r="B1955" s="8" t="inlineStr">
        <is>
          <t>C31</t>
        </is>
      </c>
      <c r="C1955" s="8" t="inlineStr">
        <is>
          <t>Scheme For Financial Assistance For Veteran Artists</t>
        </is>
      </c>
      <c r="D1955" s="8" t="inlineStr">
        <is>
          <t>Applicant documents</t>
        </is>
      </c>
      <c r="E1955" s="8" t="inlineStr">
        <is>
          <t>In case of pension to the spouse in case of death of beneficiary:</t>
        </is>
      </c>
      <c r="F1955" s="8" t="inlineStr">
        <is>
          <t>documents.en.documents_required[2].children[0].children[4]</t>
        </is>
      </c>
      <c r="G1955" s="8" t="inlineStr">
        <is>
          <t>C31@20261028-f9d1bef9</t>
        </is>
      </c>
      <c r="H1955" s="8" t="n">
        <v>1</v>
      </c>
      <c r="I1955" s="8" t="n">
        <v>1</v>
      </c>
      <c r="J1955" s="8" t="inlineStr">
        <is>
          <t>Self-attested copy of the latest Income Certificate of the spouse in the prescribed format [Annexure-II(A)] issued by the concerned Competent Authority of the States/UTs[Annexure-II(B)];</t>
        </is>
      </c>
      <c r="K1955" s="8" t="inlineStr">
        <is>
          <t>MS-C31</t>
        </is>
      </c>
      <c r="L1955" s="9" t="n">
        <v>46323</v>
      </c>
      <c r="M1955" s="8" t="inlineStr">
        <is>
          <t>Approved</t>
        </is>
      </c>
      <c r="N1955" s="8" t="inlineStr">
        <is>
          <t>list_item</t>
        </is>
      </c>
    </row>
    <row r="1956" ht="40" customHeight="1">
      <c r="A1956" s="4" t="inlineStr">
        <is>
          <t>C31-P0036</t>
        </is>
      </c>
      <c r="B1956" s="4" t="inlineStr">
        <is>
          <t>C31</t>
        </is>
      </c>
      <c r="C1956" s="4" t="inlineStr">
        <is>
          <t>Scheme For Financial Assistance For Veteran Artists</t>
        </is>
      </c>
      <c r="D1956" s="4" t="inlineStr">
        <is>
          <t>Applicant documents</t>
        </is>
      </c>
      <c r="E1956" s="4" t="inlineStr">
        <is>
          <t>In case of pension to the spouse in case of death of beneficiary:</t>
        </is>
      </c>
      <c r="F1956" s="4" t="inlineStr">
        <is>
          <t>documents.en.documents_required[2].children[0].children[5]</t>
        </is>
      </c>
      <c r="G1956" s="4" t="inlineStr">
        <is>
          <t>C31@20261028-f9d1bef9</t>
        </is>
      </c>
      <c r="H1956" s="4" t="n">
        <v>1</v>
      </c>
      <c r="I1956" s="4" t="n">
        <v>1</v>
      </c>
      <c r="J1956" s="4" t="inlineStr">
        <is>
          <t>Self-attested copy of Aadhaar Card of spouse issued by UIDAI;</t>
        </is>
      </c>
      <c r="K1956" s="4" t="inlineStr">
        <is>
          <t>MS-C31</t>
        </is>
      </c>
      <c r="L1956" s="6" t="n">
        <v>46323</v>
      </c>
      <c r="M1956" s="4" t="inlineStr">
        <is>
          <t>Approved</t>
        </is>
      </c>
      <c r="N1956" s="4" t="inlineStr">
        <is>
          <t>list_item</t>
        </is>
      </c>
    </row>
    <row r="1957" ht="40" customHeight="1">
      <c r="A1957" s="8" t="inlineStr">
        <is>
          <t>C31-P0037</t>
        </is>
      </c>
      <c r="B1957" s="8" t="inlineStr">
        <is>
          <t>C31</t>
        </is>
      </c>
      <c r="C1957" s="8" t="inlineStr">
        <is>
          <t>Scheme For Financial Assistance For Veteran Artists</t>
        </is>
      </c>
      <c r="D1957" s="8" t="inlineStr">
        <is>
          <t>Applicant documents</t>
        </is>
      </c>
      <c r="E1957" s="8" t="inlineStr">
        <is>
          <t>In case of pension to the spouse in case of death of beneficiary:</t>
        </is>
      </c>
      <c r="F1957" s="8" t="inlineStr">
        <is>
          <t>documents.en.documents_required[2].children[0].children[6]</t>
        </is>
      </c>
      <c r="G1957" s="8" t="inlineStr">
        <is>
          <t>C31@20261028-f9d1bef9</t>
        </is>
      </c>
      <c r="H1957" s="8" t="n">
        <v>1</v>
      </c>
      <c r="I1957" s="8" t="n">
        <v>1</v>
      </c>
      <c r="J1957" s="8" t="inlineStr">
        <is>
          <t>Self-attested copy of any document in support of address proof of the spouse.</t>
        </is>
      </c>
      <c r="K1957" s="8" t="inlineStr">
        <is>
          <t>MS-C31</t>
        </is>
      </c>
      <c r="L1957" s="9" t="n">
        <v>46323</v>
      </c>
      <c r="M1957" s="8" t="inlineStr">
        <is>
          <t>Approved</t>
        </is>
      </c>
      <c r="N1957" s="8" t="inlineStr">
        <is>
          <t>list_item</t>
        </is>
      </c>
    </row>
    <row r="1958" ht="40" customHeight="1">
      <c r="A1958" s="4" t="inlineStr">
        <is>
          <t>C31-P0038</t>
        </is>
      </c>
      <c r="B1958" s="4" t="inlineStr">
        <is>
          <t>C31</t>
        </is>
      </c>
      <c r="C1958" s="4" t="inlineStr">
        <is>
          <t>Scheme For Financial Assistance For Veteran Artists</t>
        </is>
      </c>
      <c r="D1958" s="4" t="inlineStr">
        <is>
          <t>Applicant documents</t>
        </is>
      </c>
      <c r="E1958" s="4" t="inlineStr">
        <is>
          <t>In case of pension to the spouse in case of death of beneficiary:</t>
        </is>
      </c>
      <c r="F1958" s="4" t="inlineStr">
        <is>
          <t>documents.en.documents_required[2].children[0].children[7]</t>
        </is>
      </c>
      <c r="G1958" s="4" t="inlineStr">
        <is>
          <t>C31@20261028-f9d1bef9</t>
        </is>
      </c>
      <c r="H1958" s="4" t="n">
        <v>1</v>
      </c>
      <c r="I1958" s="4" t="n">
        <v>1</v>
      </c>
      <c r="J1958" s="4" t="inlineStr">
        <is>
          <t>An undertaking that he/she is not getting financial assistance under other Schemes of the Ministry of Culture or other Ministry/Department of Central Government for the same purpose.</t>
        </is>
      </c>
      <c r="K1958" s="4" t="inlineStr">
        <is>
          <t>MS-C31</t>
        </is>
      </c>
      <c r="L1958" s="6" t="n">
        <v>46323</v>
      </c>
      <c r="M1958" s="4" t="inlineStr">
        <is>
          <t>Approved</t>
        </is>
      </c>
      <c r="N1958" s="4" t="inlineStr">
        <is>
          <t>list_item</t>
        </is>
      </c>
    </row>
    <row r="1959" ht="40" customHeight="1">
      <c r="A1959" s="8" t="inlineStr">
        <is>
          <t>C31-P0039</t>
        </is>
      </c>
      <c r="B1959" s="8" t="inlineStr">
        <is>
          <t>C31</t>
        </is>
      </c>
      <c r="C1959" s="8" t="inlineStr">
        <is>
          <t>Scheme For Financial Assistance For Veteran Artists</t>
        </is>
      </c>
      <c r="D1959" s="8" t="inlineStr">
        <is>
          <t>Applicant documents</t>
        </is>
      </c>
      <c r="E1959" s="8" t="inlineStr">
        <is>
          <t>In case of pension to the spouse in case of death of beneficiary:</t>
        </is>
      </c>
      <c r="F1959" s="8" t="inlineStr">
        <is>
          <t>documents.en.documents_required[2].children[0].children[8]</t>
        </is>
      </c>
      <c r="G1959" s="8" t="inlineStr">
        <is>
          <t>C31@20261028-f9d1bef9</t>
        </is>
      </c>
      <c r="H1959" s="8" t="n">
        <v>1</v>
      </c>
      <c r="I1959" s="8" t="n">
        <v>1</v>
      </c>
      <c r="J1959" s="8" t="inlineStr">
        <is>
          <t>Bank Authorization Letter in the prescribed format (Annexure-IV)</t>
        </is>
      </c>
      <c r="K1959" s="8" t="inlineStr">
        <is>
          <t>MS-C31</t>
        </is>
      </c>
      <c r="L1959" s="9" t="n">
        <v>46323</v>
      </c>
      <c r="M1959" s="8" t="inlineStr">
        <is>
          <t>Approved</t>
        </is>
      </c>
      <c r="N1959" s="8" t="inlineStr">
        <is>
          <t>list_item</t>
        </is>
      </c>
    </row>
    <row r="1960" ht="40" customHeight="1">
      <c r="A1960" s="4" t="inlineStr">
        <is>
          <t>C31-P0040</t>
        </is>
      </c>
      <c r="B1960" s="4" t="inlineStr">
        <is>
          <t>C31</t>
        </is>
      </c>
      <c r="C1960" s="4" t="inlineStr">
        <is>
          <t>Scheme For Financial Assistance For Veteran Artists</t>
        </is>
      </c>
      <c r="D1960" s="4" t="inlineStr">
        <is>
          <t>Application process</t>
        </is>
      </c>
      <c r="E1960" s="4" t="inlineStr">
        <is>
          <t>Application Procedure:</t>
        </is>
      </c>
      <c r="F1960" s="4" t="inlineStr">
        <is>
          <t>en.applicationProcess[0].process[0].children[0]</t>
        </is>
      </c>
      <c r="G1960" s="4" t="inlineStr">
        <is>
          <t>C31@20261028-f9d1bef9</t>
        </is>
      </c>
      <c r="H1960" s="4" t="n">
        <v>1</v>
      </c>
      <c r="I1960" s="4" t="n">
        <v>1</v>
      </c>
      <c r="J1960" s="4" t="inlineStr">
        <is>
          <t>Application Procedure:</t>
        </is>
      </c>
      <c r="K1960" s="4" t="inlineStr">
        <is>
          <t>MS-C31</t>
        </is>
      </c>
      <c r="L1960" s="6" t="n">
        <v>46323</v>
      </c>
      <c r="M1960" s="4" t="inlineStr">
        <is>
          <t>Approved</t>
        </is>
      </c>
      <c r="N1960" s="4" t="inlineStr">
        <is>
          <t>paragraph</t>
        </is>
      </c>
    </row>
    <row r="1961" ht="54" customHeight="1">
      <c r="A1961" s="8" t="inlineStr">
        <is>
          <t>C31-P0041</t>
        </is>
      </c>
      <c r="B1961" s="8" t="inlineStr">
        <is>
          <t>C31</t>
        </is>
      </c>
      <c r="C1961" s="8" t="inlineStr">
        <is>
          <t>Scheme For Financial Assistance For Veteran Artists</t>
        </is>
      </c>
      <c r="D1961" s="8" t="inlineStr">
        <is>
          <t>Application process</t>
        </is>
      </c>
      <c r="E1961" s="8" t="inlineStr">
        <is>
          <t>Application Procedure:</t>
        </is>
      </c>
      <c r="F1961" s="8" t="inlineStr">
        <is>
          <t>en.applicationProcess[0].process[1].children[0]</t>
        </is>
      </c>
      <c r="G1961" s="8" t="inlineStr">
        <is>
          <t>C31@20261028-f9d1bef9</t>
        </is>
      </c>
      <c r="H1961" s="8" t="n">
        <v>1</v>
      </c>
      <c r="I1961" s="8" t="n">
        <v>1</v>
      </c>
      <c r="J1961" s="8" t="inlineStr">
        <is>
          <t>The application may be made online through using the Registration/login Page of "Culture Scheme Monitoring System (CSMS)" on the website of the Ministry of Culture under the heading of "MOC Schemes Application".</t>
        </is>
      </c>
      <c r="K1961" s="8" t="inlineStr">
        <is>
          <t>MS-C31</t>
        </is>
      </c>
      <c r="L1961" s="9" t="n">
        <v>46323</v>
      </c>
      <c r="M1961" s="8" t="inlineStr">
        <is>
          <t>Approved</t>
        </is>
      </c>
      <c r="N1961" s="8" t="inlineStr">
        <is>
          <t>paragraph</t>
        </is>
      </c>
    </row>
    <row r="1962" ht="40" customHeight="1">
      <c r="A1962" s="4" t="inlineStr">
        <is>
          <t>C31-P0042</t>
        </is>
      </c>
      <c r="B1962" s="4" t="inlineStr">
        <is>
          <t>C31</t>
        </is>
      </c>
      <c r="C1962" s="4" t="inlineStr">
        <is>
          <t>Scheme For Financial Assistance For Veteran Artists</t>
        </is>
      </c>
      <c r="D1962" s="4" t="inlineStr">
        <is>
          <t>Application process</t>
        </is>
      </c>
      <c r="E1962" s="4" t="inlineStr">
        <is>
          <t>Selection of Applicants for Award of Artists Pension:</t>
        </is>
      </c>
      <c r="F1962" s="4" t="inlineStr">
        <is>
          <t>en.applicationProcess[0].process[1].children[1]</t>
        </is>
      </c>
      <c r="G1962" s="4" t="inlineStr">
        <is>
          <t>C31@20261028-f9d1bef9</t>
        </is>
      </c>
      <c r="H1962" s="4" t="n">
        <v>1</v>
      </c>
      <c r="I1962" s="4" t="n">
        <v>1</v>
      </c>
      <c r="J1962" s="4" t="inlineStr">
        <is>
          <t>Selection of Applicants for Award of Artists Pension:</t>
        </is>
      </c>
      <c r="K1962" s="4" t="inlineStr">
        <is>
          <t>MS-C31</t>
        </is>
      </c>
      <c r="L1962" s="6" t="n">
        <v>46323</v>
      </c>
      <c r="M1962" s="4" t="inlineStr">
        <is>
          <t>Approved</t>
        </is>
      </c>
      <c r="N1962" s="4" t="inlineStr">
        <is>
          <t>paragraph</t>
        </is>
      </c>
    </row>
    <row r="1963" ht="68" customHeight="1">
      <c r="A1963" s="8" t="inlineStr">
        <is>
          <t>C31-P0043</t>
        </is>
      </c>
      <c r="B1963" s="8" t="inlineStr">
        <is>
          <t>C31</t>
        </is>
      </c>
      <c r="C1963" s="8" t="inlineStr">
        <is>
          <t>Scheme For Financial Assistance For Veteran Artists</t>
        </is>
      </c>
      <c r="D1963" s="8" t="inlineStr">
        <is>
          <t>Application process</t>
        </is>
      </c>
      <c r="E1963" s="8" t="inlineStr">
        <is>
          <t>Selection of Applicants for Award of Artists Pension:</t>
        </is>
      </c>
      <c r="F1963" s="8" t="inlineStr">
        <is>
          <t>en.applicationProcess[0].process[1].children[2]</t>
        </is>
      </c>
      <c r="G1963" s="8" t="inlineStr">
        <is>
          <t>C31@20261028-f9d1bef9</t>
        </is>
      </c>
      <c r="H1963" s="8" t="n">
        <v>1</v>
      </c>
      <c r="I1963" s="8" t="n">
        <v>1</v>
      </c>
      <c r="J1963" s="8" t="inlineStr">
        <is>
          <t>Step 01: The applications of eligible artists found to be complete in all respects will be placed before Expert Committee constituted by the Ministry of Culture under the Scheme after getting physical inspection/verification of the applicants done by officer(s) of the Ministry of Culture or one of the organizations of Ministry of Culture.</t>
        </is>
      </c>
      <c r="K1963" s="8" t="inlineStr">
        <is>
          <t>MS-C31</t>
        </is>
      </c>
      <c r="L1963" s="9" t="n">
        <v>46323</v>
      </c>
      <c r="M1963" s="8" t="inlineStr">
        <is>
          <t>Approved</t>
        </is>
      </c>
      <c r="N1963" s="8" t="inlineStr">
        <is>
          <t>paragraph</t>
        </is>
      </c>
    </row>
    <row r="1964" ht="54" customHeight="1">
      <c r="A1964" s="4" t="inlineStr">
        <is>
          <t>C31-P0044</t>
        </is>
      </c>
      <c r="B1964" s="4" t="inlineStr">
        <is>
          <t>C31</t>
        </is>
      </c>
      <c r="C1964" s="4" t="inlineStr">
        <is>
          <t>Scheme For Financial Assistance For Veteran Artists</t>
        </is>
      </c>
      <c r="D1964" s="4" t="inlineStr">
        <is>
          <t>Application process</t>
        </is>
      </c>
      <c r="E1964" s="4" t="inlineStr">
        <is>
          <t>Selection of Applicants for Award of Artists Pension:</t>
        </is>
      </c>
      <c r="F1964" s="4" t="inlineStr">
        <is>
          <t>en.applicationProcess[0].process[1].children[3]</t>
        </is>
      </c>
      <c r="G1964" s="4" t="inlineStr">
        <is>
          <t>C31@20261028-f9d1bef9</t>
        </is>
      </c>
      <c r="H1964" s="4" t="n">
        <v>1</v>
      </c>
      <c r="I1964" s="4" t="n">
        <v>1</v>
      </c>
      <c r="J1964" s="4" t="inlineStr">
        <is>
          <t>Step 02: The Expert Committee will consider the applications in terms of extant guidelines of the Scheme and recommend the names of deserving candidates for the award of Artists' Pension solely on merit considering the financial position and eminence etc. of the applicant artist.</t>
        </is>
      </c>
      <c r="K1964" s="4" t="inlineStr">
        <is>
          <t>MS-C31</t>
        </is>
      </c>
      <c r="L1964" s="6" t="n">
        <v>46323</v>
      </c>
      <c r="M1964" s="4" t="inlineStr">
        <is>
          <t>Approved</t>
        </is>
      </c>
      <c r="N1964" s="4" t="inlineStr">
        <is>
          <t>paragraph</t>
        </is>
      </c>
    </row>
    <row r="1965" ht="68" customHeight="1">
      <c r="A1965" s="8" t="inlineStr">
        <is>
          <t>C31-P0045</t>
        </is>
      </c>
      <c r="B1965" s="8" t="inlineStr">
        <is>
          <t>C31</t>
        </is>
      </c>
      <c r="C1965" s="8" t="inlineStr">
        <is>
          <t>Scheme For Financial Assistance For Veteran Artists</t>
        </is>
      </c>
      <c r="D1965" s="8" t="inlineStr">
        <is>
          <t>Application process</t>
        </is>
      </c>
      <c r="E1965" s="8" t="inlineStr">
        <is>
          <t>Selection of Applicants for Award of Artists Pension:</t>
        </is>
      </c>
      <c r="F1965" s="8" t="inlineStr">
        <is>
          <t>en.applicationProcess[0].process[1].children[4]</t>
        </is>
      </c>
      <c r="G1965" s="8" t="inlineStr">
        <is>
          <t>C31@20261028-f9d1bef9</t>
        </is>
      </c>
      <c r="H1965" s="8" t="n">
        <v>1</v>
      </c>
      <c r="I1965" s="8" t="n">
        <v>1</v>
      </c>
      <c r="J1965" s="8" t="inlineStr">
        <is>
          <t>Step 03: The recommendations of the Expert Committee are to be examined by the Administration Division with reference to the Scheme guidelines and the rules of the Govt. as also the availability of funds under the Scheme to facilitate an appropriate decision by the Competent Authority.</t>
        </is>
      </c>
      <c r="K1965" s="8" t="inlineStr">
        <is>
          <t>MS-C31</t>
        </is>
      </c>
      <c r="L1965" s="9" t="n">
        <v>46323</v>
      </c>
      <c r="M1965" s="8" t="inlineStr">
        <is>
          <t>Approved</t>
        </is>
      </c>
      <c r="N1965" s="8" t="inlineStr">
        <is>
          <t>paragraph</t>
        </is>
      </c>
    </row>
    <row r="1966" ht="68" customHeight="1">
      <c r="A1966" s="4" t="inlineStr">
        <is>
          <t>C31-P0046</t>
        </is>
      </c>
      <c r="B1966" s="4" t="inlineStr">
        <is>
          <t>C31</t>
        </is>
      </c>
      <c r="C1966" s="4" t="inlineStr">
        <is>
          <t>Scheme For Financial Assistance For Veteran Artists</t>
        </is>
      </c>
      <c r="D1966" s="4" t="inlineStr">
        <is>
          <t>Application process</t>
        </is>
      </c>
      <c r="E1966" s="4" t="inlineStr">
        <is>
          <t>Selection of Applicants for Award of Artists Pension:</t>
        </is>
      </c>
      <c r="F1966" s="4" t="inlineStr">
        <is>
          <t>en.applicationProcess[0].process[1].children[5]</t>
        </is>
      </c>
      <c r="G1966" s="4" t="inlineStr">
        <is>
          <t>C31@20261028-f9d1bef9</t>
        </is>
      </c>
      <c r="H1966" s="4" t="n">
        <v>1</v>
      </c>
      <c r="I1966" s="4" t="n">
        <v>1</v>
      </c>
      <c r="J1966" s="4" t="inlineStr">
        <is>
          <t>Step 04: The cases of all the recommended candidates will be submitted finally for getting approval of the Competent Authority which will be one level above the Chairperson of the Expert Committee. Before the release of financial assistance to the approved candidates, the concurrence of the Internal Finance Division shall be obtained.</t>
        </is>
      </c>
      <c r="K1966" s="4" t="inlineStr">
        <is>
          <t>MS-C31</t>
        </is>
      </c>
      <c r="L1966" s="6" t="n">
        <v>46323</v>
      </c>
      <c r="M1966" s="4" t="inlineStr">
        <is>
          <t>Approved</t>
        </is>
      </c>
      <c r="N1966" s="4" t="inlineStr">
        <is>
          <t>paragraph</t>
        </is>
      </c>
    </row>
    <row r="1967" ht="40" customHeight="1">
      <c r="A1967" s="8" t="inlineStr">
        <is>
          <t>C31-P0047</t>
        </is>
      </c>
      <c r="B1967" s="8" t="inlineStr">
        <is>
          <t>C31</t>
        </is>
      </c>
      <c r="C1967" s="8" t="inlineStr">
        <is>
          <t>Scheme For Financial Assistance For Veteran Artists</t>
        </is>
      </c>
      <c r="D1967" s="8" t="inlineStr">
        <is>
          <t>Application process</t>
        </is>
      </c>
      <c r="E1967" s="8" t="inlineStr">
        <is>
          <t>Disbursement of artist's pension:</t>
        </is>
      </c>
      <c r="F1967" s="8" t="inlineStr">
        <is>
          <t>en.applicationProcess[0].process[1].children[6]</t>
        </is>
      </c>
      <c r="G1967" s="8" t="inlineStr">
        <is>
          <t>C31@20261028-f9d1bef9</t>
        </is>
      </c>
      <c r="H1967" s="8" t="n">
        <v>1</v>
      </c>
      <c r="I1967" s="8" t="n">
        <v>1</v>
      </c>
      <c r="J1967" s="8" t="inlineStr">
        <is>
          <t>Disbursement of artist's pension:</t>
        </is>
      </c>
      <c r="K1967" s="8" t="inlineStr">
        <is>
          <t>MS-C31</t>
        </is>
      </c>
      <c r="L1967" s="9" t="n">
        <v>46323</v>
      </c>
      <c r="M1967" s="8" t="inlineStr">
        <is>
          <t>Approved</t>
        </is>
      </c>
      <c r="N1967" s="8" t="inlineStr">
        <is>
          <t>paragraph</t>
        </is>
      </c>
    </row>
    <row r="1968" ht="124" customHeight="1">
      <c r="A1968" s="4" t="inlineStr">
        <is>
          <t>C31-P0048</t>
        </is>
      </c>
      <c r="B1968" s="4" t="inlineStr">
        <is>
          <t>C31</t>
        </is>
      </c>
      <c r="C1968" s="4" t="inlineStr">
        <is>
          <t>Scheme For Financial Assistance For Veteran Artists</t>
        </is>
      </c>
      <c r="D1968" s="4" t="inlineStr">
        <is>
          <t>Application process</t>
        </is>
      </c>
      <c r="E1968" s="4" t="inlineStr">
        <is>
          <t>Disbursement of artist's pension:</t>
        </is>
      </c>
      <c r="F1968" s="4" t="inlineStr">
        <is>
          <t>en.applicationProcess[0].process[1].children[7]</t>
        </is>
      </c>
      <c r="G1968" s="4" t="inlineStr">
        <is>
          <t>C31@20261028-f9d1bef9</t>
        </is>
      </c>
      <c r="H1968" s="4" t="n">
        <v>1</v>
      </c>
      <c r="I1968" s="4" t="n">
        <v>1</v>
      </c>
      <c r="J1968" s="4" t="inlineStr">
        <is>
          <t>Monthly Artist Pension to the approved existing beneficiaries (i.e. pensioner) and new artists to be included in the beneficiaries list subsequent to the recommendation of the Expert Committee and thereafter approval of the Competent Authority, will be disbursed by the Ministry of Culture through Public Financial Management System (PFMS)/Direct Benefit Transfer(DBT) or through Service Provider (appointed by Ministry of Culture for disbursement of Artists Pension) directly into their bank account subject to receiving the following documents mandatorily online on the email of Artistes Pension Section of the Ministry i.e. documents.moc@gmail.com or artistspension.moc@gmail.com and after examination/scrutiny, the same are found to be in order:</t>
        </is>
      </c>
      <c r="K1968" s="4" t="inlineStr">
        <is>
          <t>MS-C31</t>
        </is>
      </c>
      <c r="L1968" s="6" t="n">
        <v>46323</v>
      </c>
      <c r="M1968" s="4" t="inlineStr">
        <is>
          <t>Approved</t>
        </is>
      </c>
      <c r="N1968" s="4" t="inlineStr">
        <is>
          <t>paragraph</t>
        </is>
      </c>
    </row>
    <row r="1969" ht="96" customHeight="1">
      <c r="A1969" s="8" t="inlineStr">
        <is>
          <t>C31-P0049</t>
        </is>
      </c>
      <c r="B1969" s="8" t="inlineStr">
        <is>
          <t>C31</t>
        </is>
      </c>
      <c r="C1969" s="8" t="inlineStr">
        <is>
          <t>Scheme For Financial Assistance For Veteran Artists</t>
        </is>
      </c>
      <c r="D1969" s="8" t="inlineStr">
        <is>
          <t>Application process</t>
        </is>
      </c>
      <c r="E1969" s="8" t="inlineStr">
        <is>
          <t>Disbursement of artist's pension:</t>
        </is>
      </c>
      <c r="F1969" s="8" t="inlineStr">
        <is>
          <t>en.applicationProcess[0].process[1].children[8].children[0]</t>
        </is>
      </c>
      <c r="G1969" s="8" t="inlineStr">
        <is>
          <t>C31@20261028-f9d1bef9</t>
        </is>
      </c>
      <c r="H1969" s="8" t="n">
        <v>1</v>
      </c>
      <c r="I1969" s="8" t="n">
        <v>1</v>
      </c>
      <c r="J1969" s="8" t="inlineStr">
        <is>
          <t>Every Year in November, the Digital Life Certificate (DLC) of the beneficiary is processed through the Jeevan Pramaan Portal (https://jeevanpramaan.gov.in) by using necessary information like Aadhaar number, Mobile number, and Pension Payment Order (PPO) displayed by the Ministry on its website [Till the time the Aadhaar Card is made mandatory by the Government for an individual residing in the State of Assam, Meghalaya, and Jammu &amp; Kashmir, they may submit a colored scanned copy of their original Life Certificate]; and</t>
        </is>
      </c>
      <c r="K1969" s="8" t="inlineStr">
        <is>
          <t>MS-C31</t>
        </is>
      </c>
      <c r="L1969" s="9" t="n">
        <v>46323</v>
      </c>
      <c r="M1969" s="8" t="inlineStr">
        <is>
          <t>Approved</t>
        </is>
      </c>
      <c r="N1969" s="8" t="inlineStr">
        <is>
          <t>list_item</t>
        </is>
      </c>
    </row>
    <row r="1970" ht="110" customHeight="1">
      <c r="A1970" s="4" t="inlineStr">
        <is>
          <t>C31-P0050</t>
        </is>
      </c>
      <c r="B1970" s="4" t="inlineStr">
        <is>
          <t>C31</t>
        </is>
      </c>
      <c r="C1970" s="4" t="inlineStr">
        <is>
          <t>Scheme For Financial Assistance For Veteran Artists</t>
        </is>
      </c>
      <c r="D1970" s="4" t="inlineStr">
        <is>
          <t>Application process</t>
        </is>
      </c>
      <c r="E1970" s="4" t="inlineStr">
        <is>
          <t>Disbursement of artist's pension:</t>
        </is>
      </c>
      <c r="F1970" s="4" t="inlineStr">
        <is>
          <t>en.applicationProcess[0].process[1].children[8].children[1]</t>
        </is>
      </c>
      <c r="G1970" s="4" t="inlineStr">
        <is>
          <t>C31@20261028-f9d1bef9</t>
        </is>
      </c>
      <c r="H1970" s="4" t="n">
        <v>1</v>
      </c>
      <c r="I1970" s="4" t="n">
        <v>1</v>
      </c>
      <c r="J1970" s="4" t="inlineStr">
        <is>
          <t>Every Five (05) Years, a Coloured scanned copy of the original Income Certificate in the prescribed format is issued by the concerned Competent Authority of the States/UTs. The beneficiaries will have to furnish any other requisite information/document(s) as sought by the Ministry from time to time. In case the requisite documents sought by the Ministry are not received from a beneficiary, the pension will not be released to him/her. Further, if any discrepancy is found in the documents furnished by the beneficiary, the pension may not be released or stopped forthwith till such time the discrepancy is rectified.</t>
        </is>
      </c>
      <c r="K1970" s="4" t="inlineStr">
        <is>
          <t>MS-C31</t>
        </is>
      </c>
      <c r="L1970" s="6" t="n">
        <v>46323</v>
      </c>
      <c r="M1970" s="4" t="inlineStr">
        <is>
          <t>Approved</t>
        </is>
      </c>
      <c r="N1970" s="4" t="inlineStr">
        <is>
          <t>list_item</t>
        </is>
      </c>
    </row>
    <row r="1971" ht="40" customHeight="1">
      <c r="A1971" s="8" t="inlineStr">
        <is>
          <t>C31-P0051</t>
        </is>
      </c>
      <c r="B1971" s="8" t="inlineStr">
        <is>
          <t>C31</t>
        </is>
      </c>
      <c r="C1971" s="8" t="inlineStr">
        <is>
          <t>Scheme For Financial Assistance For Veteran Artists</t>
        </is>
      </c>
      <c r="D1971" s="8" t="inlineStr">
        <is>
          <t>Application process</t>
        </is>
      </c>
      <c r="E1971" s="8" t="inlineStr">
        <is>
          <t>Renewal of financial assistance to existing beneficiaries:</t>
        </is>
      </c>
      <c r="F1971" s="8" t="inlineStr">
        <is>
          <t>en.applicationProcess[0].process[1].children[9]</t>
        </is>
      </c>
      <c r="G1971" s="8" t="inlineStr">
        <is>
          <t>C31@20261028-f9d1bef9</t>
        </is>
      </c>
      <c r="H1971" s="8" t="n">
        <v>1</v>
      </c>
      <c r="I1971" s="8" t="n">
        <v>1</v>
      </c>
      <c r="J1971" s="8" t="inlineStr">
        <is>
          <t>Renewal of financial assistance to existing beneficiaries:</t>
        </is>
      </c>
      <c r="K1971" s="8" t="inlineStr">
        <is>
          <t>MS-C31</t>
        </is>
      </c>
      <c r="L1971" s="9" t="n">
        <v>46323</v>
      </c>
      <c r="M1971" s="8" t="inlineStr">
        <is>
          <t>Approved</t>
        </is>
      </c>
      <c r="N1971" s="8" t="inlineStr">
        <is>
          <t>paragraph</t>
        </is>
      </c>
    </row>
    <row r="1972" ht="68" customHeight="1">
      <c r="A1972" s="4" t="inlineStr">
        <is>
          <t>C31-P0052</t>
        </is>
      </c>
      <c r="B1972" s="4" t="inlineStr">
        <is>
          <t>C31</t>
        </is>
      </c>
      <c r="C1972" s="4" t="inlineStr">
        <is>
          <t>Scheme For Financial Assistance For Veteran Artists</t>
        </is>
      </c>
      <c r="D1972" s="4" t="inlineStr">
        <is>
          <t>Application process</t>
        </is>
      </c>
      <c r="E1972" s="4" t="inlineStr">
        <is>
          <t>Renewal of financial assistance to existing beneficiaries:</t>
        </is>
      </c>
      <c r="F1972" s="4" t="inlineStr">
        <is>
          <t>en.applicationProcess[0].process[1].children[10]</t>
        </is>
      </c>
      <c r="G1972" s="4" t="inlineStr">
        <is>
          <t>C31@20261028-f9d1bef9</t>
        </is>
      </c>
      <c r="H1972" s="4" t="n">
        <v>1</v>
      </c>
      <c r="I1972" s="4" t="n">
        <v>1</v>
      </c>
      <c r="J1972" s="4" t="inlineStr">
        <is>
          <t>Subject to the above provisions the recurring monthly allowance sanctioned under the Scheme to the existing beneficiaries shall be for such period as may be determined by the Central Government and/or may be continued on a year-to-year basis on receipt of Digital Life Certificate (DLC) and Income Certificate from them.</t>
        </is>
      </c>
      <c r="K1972" s="4" t="inlineStr">
        <is>
          <t>MS-C31</t>
        </is>
      </c>
      <c r="L1972" s="6" t="n">
        <v>46323</v>
      </c>
      <c r="M1972" s="4" t="inlineStr">
        <is>
          <t>Approved</t>
        </is>
      </c>
      <c r="N1972" s="4" t="inlineStr">
        <is>
          <t>paragraph</t>
        </is>
      </c>
    </row>
    <row r="1973" ht="40" customHeight="1">
      <c r="A1973" s="8" t="inlineStr">
        <is>
          <t>C31-P0053</t>
        </is>
      </c>
      <c r="B1973" s="8" t="inlineStr">
        <is>
          <t>C31</t>
        </is>
      </c>
      <c r="C1973" s="8" t="inlineStr">
        <is>
          <t>Scheme For Financial Assistance For Veteran Artists</t>
        </is>
      </c>
      <c r="D1973" s="8" t="inlineStr">
        <is>
          <t>Application process</t>
        </is>
      </c>
      <c r="E1973" s="8" t="inlineStr">
        <is>
          <t>Discontinuance of allowance:</t>
        </is>
      </c>
      <c r="F1973" s="8" t="inlineStr">
        <is>
          <t>en.applicationProcess[0].process[1].children[11]</t>
        </is>
      </c>
      <c r="G1973" s="8" t="inlineStr">
        <is>
          <t>C31@20261028-f9d1bef9</t>
        </is>
      </c>
      <c r="H1973" s="8" t="n">
        <v>1</v>
      </c>
      <c r="I1973" s="8" t="n">
        <v>1</v>
      </c>
      <c r="J1973" s="8" t="inlineStr">
        <is>
          <t>Discontinuance of allowance:</t>
        </is>
      </c>
      <c r="K1973" s="8" t="inlineStr">
        <is>
          <t>MS-C31</t>
        </is>
      </c>
      <c r="L1973" s="9" t="n">
        <v>46323</v>
      </c>
      <c r="M1973" s="8" t="inlineStr">
        <is>
          <t>Approved</t>
        </is>
      </c>
      <c r="N1973" s="8" t="inlineStr">
        <is>
          <t>paragraph</t>
        </is>
      </c>
    </row>
    <row r="1974" ht="96" customHeight="1">
      <c r="A1974" s="4" t="inlineStr">
        <is>
          <t>C31-P0054</t>
        </is>
      </c>
      <c r="B1974" s="4" t="inlineStr">
        <is>
          <t>C31</t>
        </is>
      </c>
      <c r="C1974" s="4" t="inlineStr">
        <is>
          <t>Scheme For Financial Assistance For Veteran Artists</t>
        </is>
      </c>
      <c r="D1974" s="4" t="inlineStr">
        <is>
          <t>Application process</t>
        </is>
      </c>
      <c r="E1974" s="4" t="inlineStr">
        <is>
          <t>Discontinuance of allowance:</t>
        </is>
      </c>
      <c r="F1974" s="4" t="inlineStr">
        <is>
          <t>en.applicationProcess[0].process[1].children[12]</t>
        </is>
      </c>
      <c r="G1974" s="4" t="inlineStr">
        <is>
          <t>C31@20261028-f9d1bef9</t>
        </is>
      </c>
      <c r="H1974" s="4" t="n">
        <v>1</v>
      </c>
      <c r="I1974" s="4" t="n">
        <v>1</v>
      </c>
      <c r="J1974" s="4" t="inlineStr">
        <is>
          <t>If the financial means of a recipient improve beyond ₹4000/- (Rupees four thousand only) per month or annual income of ₹48,000/- (Rupees forty-eight thousand only) [This excludes artiste pension assistance amount already getting by a beneficiary from the Government (i.e. concerned State Govt./UT Administration and/or Ministry of Culture)], allowance under the Scheme will be discontinued forthwith without any notice to the recipient. The government may also at its discretion terminate the allowance after giving three months' notice to the recipient.</t>
        </is>
      </c>
      <c r="K1974" s="4" t="inlineStr">
        <is>
          <t>MS-C31</t>
        </is>
      </c>
      <c r="L1974" s="6" t="n">
        <v>46323</v>
      </c>
      <c r="M1974" s="4" t="inlineStr">
        <is>
          <t>Approved</t>
        </is>
      </c>
      <c r="N1974" s="4" t="inlineStr">
        <is>
          <t>paragraph</t>
        </is>
      </c>
    </row>
    <row r="1975" ht="54" customHeight="1">
      <c r="A1975" s="8" t="inlineStr">
        <is>
          <t>C31-P0055</t>
        </is>
      </c>
      <c r="B1975" s="8" t="inlineStr">
        <is>
          <t>C31</t>
        </is>
      </c>
      <c r="C1975" s="8" t="inlineStr">
        <is>
          <t>Scheme For Financial Assistance For Veteran Artists</t>
        </is>
      </c>
      <c r="D1975" s="8" t="inlineStr">
        <is>
          <t>Application process</t>
        </is>
      </c>
      <c r="E1975" s="8" t="inlineStr">
        <is>
          <t>Discontinuance of allowance:</t>
        </is>
      </c>
      <c r="F1975" s="8" t="inlineStr">
        <is>
          <t>en.applicationProcess[0].process[1].children[13]</t>
        </is>
      </c>
      <c r="G1975" s="8" t="inlineStr">
        <is>
          <t>C31@20261028-f9d1bef9</t>
        </is>
      </c>
      <c r="H1975" s="8" t="n">
        <v>1</v>
      </c>
      <c r="I1975" s="8" t="n">
        <v>1</v>
      </c>
      <c r="J1975" s="8" t="inlineStr">
        <is>
          <t>Any recipient may also relinquish his/her right to receive allowance by giving written notice to the Government. In such cases, the allowance will be discontinued with effect from the date of his/ her letter of relinquish.</t>
        </is>
      </c>
      <c r="K1975" s="8" t="inlineStr">
        <is>
          <t>MS-C31</t>
        </is>
      </c>
      <c r="L1975" s="9" t="n">
        <v>46323</v>
      </c>
      <c r="M1975" s="8" t="inlineStr">
        <is>
          <t>Approved</t>
        </is>
      </c>
      <c r="N1975" s="8" t="inlineStr">
        <is>
          <t>paragraph</t>
        </is>
      </c>
    </row>
    <row r="1976" ht="40" customHeight="1">
      <c r="A1976" s="4" t="inlineStr">
        <is>
          <t>C31-P0056</t>
        </is>
      </c>
      <c r="B1976" s="4" t="inlineStr">
        <is>
          <t>C31</t>
        </is>
      </c>
      <c r="C1976" s="4" t="inlineStr">
        <is>
          <t>Scheme For Financial Assistance For Veteran Artists</t>
        </is>
      </c>
      <c r="D1976" s="4" t="inlineStr">
        <is>
          <t>Application process</t>
        </is>
      </c>
      <c r="E1976" s="4" t="inlineStr">
        <is>
          <t>Contact Details:</t>
        </is>
      </c>
      <c r="F1976" s="4" t="inlineStr">
        <is>
          <t>en.applicationProcess[0].process[1].children[14]</t>
        </is>
      </c>
      <c r="G1976" s="4" t="inlineStr">
        <is>
          <t>C31@20261028-f9d1bef9</t>
        </is>
      </c>
      <c r="H1976" s="4" t="n">
        <v>1</v>
      </c>
      <c r="I1976" s="4" t="n">
        <v>1</v>
      </c>
      <c r="J1976" s="4" t="inlineStr">
        <is>
          <t>Contact Details:</t>
        </is>
      </c>
      <c r="K1976" s="4" t="inlineStr">
        <is>
          <t>MS-C31</t>
        </is>
      </c>
      <c r="L1976" s="6" t="n">
        <v>46323</v>
      </c>
      <c r="M1976" s="4" t="inlineStr">
        <is>
          <t>Approved</t>
        </is>
      </c>
      <c r="N1976" s="4" t="inlineStr">
        <is>
          <t>paragraph</t>
        </is>
      </c>
    </row>
    <row r="1977" ht="40" customHeight="1">
      <c r="A1977" s="8" t="inlineStr">
        <is>
          <t>C31-P0057</t>
        </is>
      </c>
      <c r="B1977" s="8" t="inlineStr">
        <is>
          <t>C31</t>
        </is>
      </c>
      <c r="C1977" s="8" t="inlineStr">
        <is>
          <t>Scheme For Financial Assistance For Veteran Artists</t>
        </is>
      </c>
      <c r="D1977" s="8" t="inlineStr">
        <is>
          <t>Application process</t>
        </is>
      </c>
      <c r="E1977" s="8" t="inlineStr">
        <is>
          <t>Contact Details:</t>
        </is>
      </c>
      <c r="F1977" s="8" t="inlineStr">
        <is>
          <t>en.applicationProcess[0].process[1].children[15].children[0]</t>
        </is>
      </c>
      <c r="G1977" s="8" t="inlineStr">
        <is>
          <t>C31@20261028-f9d1bef9</t>
        </is>
      </c>
      <c r="H1977" s="8" t="n">
        <v>1</v>
      </c>
      <c r="I1977" s="8" t="n">
        <v>1</v>
      </c>
      <c r="J1977" s="8" t="inlineStr">
        <is>
          <t>Section Officer, 210, IInd, ‘D’Block, Puratatva Bhawan, G.P.O. Complex, I.N.A. New Delhi-110023. : (011)-24642165.</t>
        </is>
      </c>
      <c r="K1977" s="8" t="inlineStr">
        <is>
          <t>MS-C31</t>
        </is>
      </c>
      <c r="L1977" s="9" t="n">
        <v>46323</v>
      </c>
      <c r="M1977" s="8" t="inlineStr">
        <is>
          <t>Approved</t>
        </is>
      </c>
      <c r="N1977" s="8" t="inlineStr">
        <is>
          <t>list_item</t>
        </is>
      </c>
    </row>
    <row r="1978" ht="40" customHeight="1">
      <c r="A1978" s="4" t="inlineStr">
        <is>
          <t>C31-P0058</t>
        </is>
      </c>
      <c r="B1978" s="4" t="inlineStr">
        <is>
          <t>C31</t>
        </is>
      </c>
      <c r="C1978" s="4" t="inlineStr">
        <is>
          <t>Scheme For Financial Assistance For Veteran Artists</t>
        </is>
      </c>
      <c r="D1978" s="4" t="inlineStr">
        <is>
          <t>Application process</t>
        </is>
      </c>
      <c r="E1978" s="4" t="inlineStr">
        <is>
          <t>Contact Details:</t>
        </is>
      </c>
      <c r="F1978" s="4" t="inlineStr">
        <is>
          <t>en.applicationProcess[0].process[1].children[15].children[1]</t>
        </is>
      </c>
      <c r="G1978" s="4" t="inlineStr">
        <is>
          <t>C31@20261028-f9d1bef9</t>
        </is>
      </c>
      <c r="H1978" s="4" t="n">
        <v>1</v>
      </c>
      <c r="I1978" s="4" t="n">
        <v>1</v>
      </c>
      <c r="J1978" s="4" t="inlineStr">
        <is>
          <t>Manager (P &amp; GS), Life Insurance Corporation of India (LIC), 6th &amp; 7th Floor, Jeevan Parkash, 25, Kasturba Gandhi Marg, New Delhi- 110001.</t>
        </is>
      </c>
      <c r="K1978" s="4" t="inlineStr">
        <is>
          <t>MS-C31</t>
        </is>
      </c>
      <c r="L1978" s="6" t="n">
        <v>46323</v>
      </c>
      <c r="M1978" s="4" t="inlineStr">
        <is>
          <t>Approved</t>
        </is>
      </c>
      <c r="N1978" s="4" t="inlineStr">
        <is>
          <t>list_item</t>
        </is>
      </c>
    </row>
    <row r="1979" ht="40" customHeight="1">
      <c r="A1979" s="8" t="inlineStr">
        <is>
          <t>C31-P0059</t>
        </is>
      </c>
      <c r="B1979" s="8" t="inlineStr">
        <is>
          <t>C31</t>
        </is>
      </c>
      <c r="C1979" s="8" t="inlineStr">
        <is>
          <t>Scheme For Financial Assistance For Veteran Artists</t>
        </is>
      </c>
      <c r="D1979" s="8" t="inlineStr">
        <is>
          <t>Application process</t>
        </is>
      </c>
      <c r="E1979" s="8" t="inlineStr">
        <is>
          <t>Contact Details:</t>
        </is>
      </c>
      <c r="F1979" s="8" t="inlineStr">
        <is>
          <t>en.applicationProcess[0].process[1].children[15].children[2]</t>
        </is>
      </c>
      <c r="G1979" s="8" t="inlineStr">
        <is>
          <t>C31@20261028-f9d1bef9</t>
        </is>
      </c>
      <c r="H1979" s="8" t="n">
        <v>1</v>
      </c>
      <c r="I1979" s="8" t="n">
        <v>1</v>
      </c>
      <c r="J1979" s="8" t="inlineStr">
        <is>
          <t>Contact Nos. for Enquiries: 23708275, 23705953, Fax No. 23350832, Email: bo_g103[at]licindia[dot]com</t>
        </is>
      </c>
      <c r="K1979" s="8" t="inlineStr">
        <is>
          <t>MS-C31</t>
        </is>
      </c>
      <c r="L1979" s="9" t="n">
        <v>46323</v>
      </c>
      <c r="M1979" s="8" t="inlineStr">
        <is>
          <t>Approved</t>
        </is>
      </c>
      <c r="N1979" s="8" t="inlineStr">
        <is>
          <t>list_item</t>
        </is>
      </c>
    </row>
    <row r="1980" ht="82" customHeight="1">
      <c r="A1980" s="4" t="inlineStr">
        <is>
          <t>C31-P0060</t>
        </is>
      </c>
      <c r="B1980" s="4" t="inlineStr">
        <is>
          <t>C31</t>
        </is>
      </c>
      <c r="C1980" s="4" t="inlineStr">
        <is>
          <t>Scheme For Financial Assistance For Veteran Artists</t>
        </is>
      </c>
      <c r="D1980" s="4" t="inlineStr">
        <is>
          <t>Application process</t>
        </is>
      </c>
      <c r="E1980" s="4" t="inlineStr"/>
      <c r="F1980" s="4" t="inlineStr">
        <is>
          <t>en.applicationProcess[1].process[0].children[0].children[0]</t>
        </is>
      </c>
      <c r="G1980" s="4" t="inlineStr">
        <is>
          <t>C31@20261028-f9d1bef9</t>
        </is>
      </c>
      <c r="H1980" s="4" t="n">
        <v>1</v>
      </c>
      <c r="I1980" s="4" t="n">
        <v>1</v>
      </c>
      <c r="J1980" s="4" t="inlineStr">
        <is>
          <t>The hard copy of the duly filled-in application form for the award of Artists' Pension along with all the necessary enclosures as mentioned in the application form may be sent to the following address through respective State Government/UT Administrations with their recommendations in the prescribed format- "The Director, South Central Zonal Cultural Centre, 56/1, Civil Lines, Opposite MLA’s Hostel, Nagpur, Maharashtra - 440001"</t>
        </is>
      </c>
      <c r="K1980" s="4" t="inlineStr">
        <is>
          <t>MS-C31</t>
        </is>
      </c>
      <c r="L1980" s="6" t="n">
        <v>46323</v>
      </c>
      <c r="M1980" s="4" t="inlineStr">
        <is>
          <t>Approved</t>
        </is>
      </c>
      <c r="N1980" s="4" t="inlineStr">
        <is>
          <t>list_item</t>
        </is>
      </c>
    </row>
    <row r="1981" ht="54" customHeight="1">
      <c r="A1981" s="8" t="inlineStr">
        <is>
          <t>C31-P0061</t>
        </is>
      </c>
      <c r="B1981" s="8" t="inlineStr">
        <is>
          <t>C31</t>
        </is>
      </c>
      <c r="C1981" s="8" t="inlineStr">
        <is>
          <t>Scheme For Financial Assistance For Veteran Artists</t>
        </is>
      </c>
      <c r="D1981" s="8" t="inlineStr">
        <is>
          <t>Application process</t>
        </is>
      </c>
      <c r="E1981" s="8" t="inlineStr"/>
      <c r="F1981" s="8" t="inlineStr">
        <is>
          <t>en.applicationProcess[1].process[0].children[0].children[1]</t>
        </is>
      </c>
      <c r="G1981" s="8" t="inlineStr">
        <is>
          <t>C31@20261028-f9d1bef9</t>
        </is>
      </c>
      <c r="H1981" s="8" t="n">
        <v>1</v>
      </c>
      <c r="I1981" s="8" t="n">
        <v>1</v>
      </c>
      <c r="J1981" s="8" t="inlineStr">
        <is>
          <t>All entries in the application form should be legible and filled in clearly. Each page of the application and enclosures should be serially numbered and signed by the applicant. Further, the page number of the relevant document should clearly be indicated on the checklist.</t>
        </is>
      </c>
      <c r="K1981" s="8" t="inlineStr">
        <is>
          <t>MS-C31</t>
        </is>
      </c>
      <c r="L1981" s="9" t="n">
        <v>46323</v>
      </c>
      <c r="M1981" s="8" t="inlineStr">
        <is>
          <t>Approved</t>
        </is>
      </c>
      <c r="N1981" s="8" t="inlineStr">
        <is>
          <t>list_item</t>
        </is>
      </c>
    </row>
    <row r="1982" ht="82" customHeight="1">
      <c r="A1982" s="4" t="inlineStr">
        <is>
          <t>C31-P0062</t>
        </is>
      </c>
      <c r="B1982" s="4" t="inlineStr">
        <is>
          <t>C31</t>
        </is>
      </c>
      <c r="C1982" s="4" t="inlineStr">
        <is>
          <t>Scheme For Financial Assistance For Veteran Artists</t>
        </is>
      </c>
      <c r="D1982" s="4" t="inlineStr">
        <is>
          <t>FAQ</t>
        </is>
      </c>
      <c r="E1982" s="4" t="inlineStr"/>
      <c r="F1982" s="4" t="inlineStr">
        <is>
          <t>faqs.en.faqs[0]</t>
        </is>
      </c>
      <c r="G1982" s="4" t="inlineStr">
        <is>
          <t>C31@20261028-f9d1bef9</t>
        </is>
      </c>
      <c r="H1982" s="4" t="n">
        <v>1</v>
      </c>
      <c r="I1982" s="4" t="n">
        <v>1</v>
      </c>
      <c r="J1982" s="4" t="inlineStr">
        <is>
          <t>What is the “Scheme for Financial Assistance for Veteran Artists”?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t>
        </is>
      </c>
      <c r="K1982" s="4" t="inlineStr">
        <is>
          <t>MS-C31</t>
        </is>
      </c>
      <c r="L1982" s="6" t="n">
        <v>46323</v>
      </c>
      <c r="M1982" s="4" t="inlineStr">
        <is>
          <t>Approved</t>
        </is>
      </c>
      <c r="N1982" s="4" t="inlineStr">
        <is>
          <t>faq</t>
        </is>
      </c>
    </row>
    <row r="1983" ht="40" customHeight="1">
      <c r="A1983" s="8" t="inlineStr">
        <is>
          <t>C31-P0063</t>
        </is>
      </c>
      <c r="B1983" s="8" t="inlineStr">
        <is>
          <t>C31</t>
        </is>
      </c>
      <c r="C1983" s="8" t="inlineStr">
        <is>
          <t>Scheme For Financial Assistance For Veteran Artists</t>
        </is>
      </c>
      <c r="D1983" s="8" t="inlineStr">
        <is>
          <t>FAQ</t>
        </is>
      </c>
      <c r="E1983" s="8" t="inlineStr"/>
      <c r="F1983" s="8" t="inlineStr">
        <is>
          <t>faqs.en.faqs[1]</t>
        </is>
      </c>
      <c r="G1983" s="8" t="inlineStr">
        <is>
          <t>C31@20261028-f9d1bef9</t>
        </is>
      </c>
      <c r="H1983" s="8" t="n">
        <v>1</v>
      </c>
      <c r="I1983" s="8" t="n">
        <v>1</v>
      </c>
      <c r="J1983" s="8" t="inlineStr">
        <is>
          <t>Is it a Centrally Sponsored Scheme?
Yes, it is a Centrally Sponsored Scheme.</t>
        </is>
      </c>
      <c r="K1983" s="8" t="inlineStr">
        <is>
          <t>MS-C31</t>
        </is>
      </c>
      <c r="L1983" s="9" t="n">
        <v>46323</v>
      </c>
      <c r="M1983" s="8" t="inlineStr">
        <is>
          <t>Approved</t>
        </is>
      </c>
      <c r="N1983" s="8" t="inlineStr">
        <is>
          <t>faq</t>
        </is>
      </c>
    </row>
    <row r="1984" ht="40" customHeight="1">
      <c r="A1984" s="4" t="inlineStr">
        <is>
          <t>C31-P0064</t>
        </is>
      </c>
      <c r="B1984" s="4" t="inlineStr">
        <is>
          <t>C31</t>
        </is>
      </c>
      <c r="C1984" s="4" t="inlineStr">
        <is>
          <t>Scheme For Financial Assistance For Veteran Artists</t>
        </is>
      </c>
      <c r="D1984" s="4" t="inlineStr">
        <is>
          <t>FAQ</t>
        </is>
      </c>
      <c r="E1984" s="4" t="inlineStr"/>
      <c r="F1984" s="4" t="inlineStr">
        <is>
          <t>faqs.en.faqs[2]</t>
        </is>
      </c>
      <c r="G1984" s="4" t="inlineStr">
        <is>
          <t>C31@20261028-f9d1bef9</t>
        </is>
      </c>
      <c r="H1984" s="4" t="n">
        <v>1</v>
      </c>
      <c r="I1984" s="4" t="n">
        <v>1</v>
      </c>
      <c r="J1984" s="4" t="inlineStr">
        <is>
          <t>Which ministry has launched this scheme?
Ministry of Culture, Government of India</t>
        </is>
      </c>
      <c r="K1984" s="4" t="inlineStr">
        <is>
          <t>MS-C31</t>
        </is>
      </c>
      <c r="L1984" s="6" t="n">
        <v>46323</v>
      </c>
      <c r="M1984" s="4" t="inlineStr">
        <is>
          <t>Approved</t>
        </is>
      </c>
      <c r="N1984" s="4" t="inlineStr">
        <is>
          <t>faq</t>
        </is>
      </c>
    </row>
    <row r="1985" ht="54" customHeight="1">
      <c r="A1985" s="8" t="inlineStr">
        <is>
          <t>C31-P0065</t>
        </is>
      </c>
      <c r="B1985" s="8" t="inlineStr">
        <is>
          <t>C31</t>
        </is>
      </c>
      <c r="C1985" s="8" t="inlineStr">
        <is>
          <t>Scheme For Financial Assistance For Veteran Artists</t>
        </is>
      </c>
      <c r="D1985" s="8" t="inlineStr">
        <is>
          <t>FAQ</t>
        </is>
      </c>
      <c r="E1985" s="8" t="inlineStr"/>
      <c r="F1985" s="8" t="inlineStr">
        <is>
          <t>faqs.en.faqs[3]</t>
        </is>
      </c>
      <c r="G1985" s="8" t="inlineStr">
        <is>
          <t>C31@20261028-f9d1bef9</t>
        </is>
      </c>
      <c r="H1985" s="8" t="n">
        <v>1</v>
      </c>
      <c r="I1985" s="8" t="n">
        <v>1</v>
      </c>
      <c r="J1985" s="8" t="inlineStr">
        <is>
          <t>Who is eligible to get the benefits under the scheme?
A person or traditional scholars who have made significant contributions in the field of arts, letters, etc. are eligible to apply under the scheme.</t>
        </is>
      </c>
      <c r="K1985" s="8" t="inlineStr">
        <is>
          <t>MS-C31</t>
        </is>
      </c>
      <c r="L1985" s="9" t="n">
        <v>46323</v>
      </c>
      <c r="M1985" s="8" t="inlineStr">
        <is>
          <t>Approved</t>
        </is>
      </c>
      <c r="N1985" s="8" t="inlineStr">
        <is>
          <t>faq</t>
        </is>
      </c>
    </row>
    <row r="1986" ht="54" customHeight="1">
      <c r="A1986" s="4" t="inlineStr">
        <is>
          <t>C31-P0066</t>
        </is>
      </c>
      <c r="B1986" s="4" t="inlineStr">
        <is>
          <t>C31</t>
        </is>
      </c>
      <c r="C1986" s="4" t="inlineStr">
        <is>
          <t>Scheme For Financial Assistance For Veteran Artists</t>
        </is>
      </c>
      <c r="D1986" s="4" t="inlineStr">
        <is>
          <t>FAQ</t>
        </is>
      </c>
      <c r="E1986" s="4" t="inlineStr"/>
      <c r="F1986" s="4" t="inlineStr">
        <is>
          <t>faqs.en.faqs[4]</t>
        </is>
      </c>
      <c r="G1986" s="4" t="inlineStr">
        <is>
          <t>C31@20261028-f9d1bef9</t>
        </is>
      </c>
      <c r="H1986" s="4" t="n">
        <v>1</v>
      </c>
      <c r="I1986" s="4" t="n">
        <v>1</v>
      </c>
      <c r="J1986" s="4" t="inlineStr">
        <is>
          <t>What is the income criterion to apply under the scheme?
The personal income of the applicant (including the income of the spouse) must not exceed ₹48,000/- per annum.</t>
        </is>
      </c>
      <c r="K1986" s="4" t="inlineStr">
        <is>
          <t>MS-C31</t>
        </is>
      </c>
      <c r="L1986" s="6" t="n">
        <v>46323</v>
      </c>
      <c r="M1986" s="4" t="inlineStr">
        <is>
          <t>Approved</t>
        </is>
      </c>
      <c r="N1986" s="4" t="inlineStr">
        <is>
          <t>faq</t>
        </is>
      </c>
    </row>
    <row r="1987" ht="40" customHeight="1">
      <c r="A1987" s="8" t="inlineStr">
        <is>
          <t>C31-P0067</t>
        </is>
      </c>
      <c r="B1987" s="8" t="inlineStr">
        <is>
          <t>C31</t>
        </is>
      </c>
      <c r="C1987" s="8" t="inlineStr">
        <is>
          <t>Scheme For Financial Assistance For Veteran Artists</t>
        </is>
      </c>
      <c r="D1987" s="8" t="inlineStr">
        <is>
          <t>FAQ</t>
        </is>
      </c>
      <c r="E1987" s="8" t="inlineStr"/>
      <c r="F1987" s="8" t="inlineStr">
        <is>
          <t>faqs.en.faqs[5]</t>
        </is>
      </c>
      <c r="G1987" s="8" t="inlineStr">
        <is>
          <t>C31@20261028-f9d1bef9</t>
        </is>
      </c>
      <c r="H1987" s="8" t="n">
        <v>1</v>
      </c>
      <c r="I1987" s="8" t="n">
        <v>1</v>
      </c>
      <c r="J1987" s="8" t="inlineStr">
        <is>
          <t>Will the artist's pension assistance be included in his/her annual income? 
No, artist’s pension assistance will be excluded which is getting from the Government.</t>
        </is>
      </c>
      <c r="K1987" s="8" t="inlineStr">
        <is>
          <t>MS-C31</t>
        </is>
      </c>
      <c r="L1987" s="9" t="n">
        <v>46323</v>
      </c>
      <c r="M1987" s="8" t="inlineStr">
        <is>
          <t>Approved</t>
        </is>
      </c>
      <c r="N1987" s="8" t="inlineStr">
        <is>
          <t>faq</t>
        </is>
      </c>
    </row>
    <row r="1988" ht="54" customHeight="1">
      <c r="A1988" s="4" t="inlineStr">
        <is>
          <t>C31-P0068</t>
        </is>
      </c>
      <c r="B1988" s="4" t="inlineStr">
        <is>
          <t>C31</t>
        </is>
      </c>
      <c r="C1988" s="4" t="inlineStr">
        <is>
          <t>Scheme For Financial Assistance For Veteran Artists</t>
        </is>
      </c>
      <c r="D1988" s="4" t="inlineStr">
        <is>
          <t>FAQ</t>
        </is>
      </c>
      <c r="E1988" s="4" t="inlineStr"/>
      <c r="F1988" s="4" t="inlineStr">
        <is>
          <t>faqs.en.faqs[6]</t>
        </is>
      </c>
      <c r="G1988" s="4" t="inlineStr">
        <is>
          <t>C31@20261028-f9d1bef9</t>
        </is>
      </c>
      <c r="H1988" s="4" t="n">
        <v>1</v>
      </c>
      <c r="I1988" s="4" t="n">
        <v>1</v>
      </c>
      <c r="J1988" s="4" t="inlineStr">
        <is>
          <t>What should be the age criterion to apply under the scheme?
The applicant should not be less than 60 (sixty) years of age (This does not apply in the case of a spouse).</t>
        </is>
      </c>
      <c r="K1988" s="4" t="inlineStr">
        <is>
          <t>MS-C31</t>
        </is>
      </c>
      <c r="L1988" s="6" t="n">
        <v>46323</v>
      </c>
      <c r="M1988" s="4" t="inlineStr">
        <is>
          <t>Approved</t>
        </is>
      </c>
      <c r="N1988" s="4" t="inlineStr">
        <is>
          <t>faq</t>
        </is>
      </c>
    </row>
    <row r="1989" ht="68" customHeight="1">
      <c r="A1989" s="8" t="inlineStr">
        <is>
          <t>C31-P0069</t>
        </is>
      </c>
      <c r="B1989" s="8" t="inlineStr">
        <is>
          <t>C31</t>
        </is>
      </c>
      <c r="C1989" s="8" t="inlineStr">
        <is>
          <t>Scheme For Financial Assistance For Veteran Artists</t>
        </is>
      </c>
      <c r="D1989" s="8" t="inlineStr">
        <is>
          <t>FAQ</t>
        </is>
      </c>
      <c r="E1989" s="8" t="inlineStr"/>
      <c r="F1989" s="8" t="inlineStr">
        <is>
          <t>faqs.en.faqs[7]</t>
        </is>
      </c>
      <c r="G1989" s="8" t="inlineStr">
        <is>
          <t>C31@20261028-f9d1bef9</t>
        </is>
      </c>
      <c r="H1989" s="8" t="n">
        <v>1</v>
      </c>
      <c r="I1989" s="8" t="n">
        <v>1</v>
      </c>
      <c r="J1989" s="8" t="inlineStr">
        <is>
          <t>Will an applicant be eligible to apply if he/she is getting financial assistance under other Schemes of the Ministry?
No, the applicant artist should not be getting financial assistance under other Schemes of the Ministry viz. Repertory Grant etc.</t>
        </is>
      </c>
      <c r="K1989" s="8" t="inlineStr">
        <is>
          <t>MS-C31</t>
        </is>
      </c>
      <c r="L1989" s="9" t="n">
        <v>46323</v>
      </c>
      <c r="M1989" s="8" t="inlineStr">
        <is>
          <t>Approved</t>
        </is>
      </c>
      <c r="N1989" s="8" t="inlineStr">
        <is>
          <t>faq</t>
        </is>
      </c>
    </row>
    <row r="1990" ht="54" customHeight="1">
      <c r="A1990" s="4" t="inlineStr">
        <is>
          <t>C31-P0070</t>
        </is>
      </c>
      <c r="B1990" s="4" t="inlineStr">
        <is>
          <t>C31</t>
        </is>
      </c>
      <c r="C1990" s="4" t="inlineStr">
        <is>
          <t>Scheme For Financial Assistance For Veteran Artists</t>
        </is>
      </c>
      <c r="D1990" s="4" t="inlineStr">
        <is>
          <t>FAQ</t>
        </is>
      </c>
      <c r="E1990" s="4" t="inlineStr"/>
      <c r="F1990" s="4" t="inlineStr">
        <is>
          <t>faqs.en.faqs[8]</t>
        </is>
      </c>
      <c r="G1990" s="4" t="inlineStr">
        <is>
          <t>C31@20261028-f9d1bef9</t>
        </is>
      </c>
      <c r="H1990" s="4" t="n">
        <v>1</v>
      </c>
      <c r="I1990" s="4" t="n">
        <v>1</v>
      </c>
      <c r="J1990" s="4" t="inlineStr">
        <is>
          <t>What is the benefit of the scheme?
Under the scheme, a total allowance of ₹6000/- per month will be given to an eligible beneficiary.</t>
        </is>
      </c>
      <c r="K1990" s="4" t="inlineStr">
        <is>
          <t>MS-C31</t>
        </is>
      </c>
      <c r="L1990" s="6" t="n">
        <v>46323</v>
      </c>
      <c r="M1990" s="4" t="inlineStr">
        <is>
          <t>Approved</t>
        </is>
      </c>
      <c r="N1990" s="4" t="inlineStr">
        <is>
          <t>faq</t>
        </is>
      </c>
    </row>
    <row r="1991" ht="68" customHeight="1">
      <c r="A1991" s="8" t="inlineStr">
        <is>
          <t>C31-P0071</t>
        </is>
      </c>
      <c r="B1991" s="8" t="inlineStr">
        <is>
          <t>C31</t>
        </is>
      </c>
      <c r="C1991" s="8" t="inlineStr">
        <is>
          <t>Scheme For Financial Assistance For Veteran Artists</t>
        </is>
      </c>
      <c r="D1991" s="8" t="inlineStr">
        <is>
          <t>FAQ</t>
        </is>
      </c>
      <c r="E1991" s="8" t="inlineStr"/>
      <c r="F1991" s="8" t="inlineStr">
        <is>
          <t>faqs.en.faqs[9]</t>
        </is>
      </c>
      <c r="G1991" s="8" t="inlineStr">
        <is>
          <t>C31@20261028-f9d1bef9</t>
        </is>
      </c>
      <c r="H1991" s="8" t="n">
        <v>1</v>
      </c>
      <c r="I1991" s="8" t="n">
        <v>1</v>
      </c>
      <c r="J1991" s="8" t="inlineStr">
        <is>
          <t>Who will get the pension in case of the death of a beneficiary?
In case of the death of a beneficiary getting an artist pension, the financial assistance may be transferred, at the discretion of the Central Government, in the name of the spouse of the beneficiary till life.</t>
        </is>
      </c>
      <c r="K1991" s="8" t="inlineStr">
        <is>
          <t>MS-C31</t>
        </is>
      </c>
      <c r="L1991" s="9" t="n">
        <v>46323</v>
      </c>
      <c r="M1991" s="8" t="inlineStr">
        <is>
          <t>Approved</t>
        </is>
      </c>
      <c r="N1991" s="8" t="inlineStr">
        <is>
          <t>faq</t>
        </is>
      </c>
    </row>
    <row r="1992" ht="96" customHeight="1">
      <c r="A1992" s="4" t="inlineStr">
        <is>
          <t>C31-P0072</t>
        </is>
      </c>
      <c r="B1992" s="4" t="inlineStr">
        <is>
          <t>C31</t>
        </is>
      </c>
      <c r="C1992" s="4" t="inlineStr">
        <is>
          <t>Scheme For Financial Assistance For Veteran Artists</t>
        </is>
      </c>
      <c r="D1992" s="4" t="inlineStr">
        <is>
          <t>FAQ</t>
        </is>
      </c>
      <c r="E1992" s="4" t="inlineStr"/>
      <c r="F1992" s="4" t="inlineStr">
        <is>
          <t>faqs.en.faqs[10]</t>
        </is>
      </c>
      <c r="G1992" s="4" t="inlineStr">
        <is>
          <t>C31@20261028-f9d1bef9</t>
        </is>
      </c>
      <c r="H1992" s="4" t="n">
        <v>1</v>
      </c>
      <c r="I1992" s="4" t="n">
        <v>1</v>
      </c>
      <c r="J1992" s="4" t="inlineStr">
        <is>
          <t>How much minimum monthly allowance will be contributed by the State Government/UT Administration concerned?
The monthly allowance contributed by the State Government/UT Administration concerned shall be at least ₹500/- per month per beneficiary. In respect of State Govt./UT Administration where there is no provision for an Artist's Pension, ₹6000/- per month will be paid as an Artist Pension by the Central Government.</t>
        </is>
      </c>
      <c r="K1992" s="4" t="inlineStr">
        <is>
          <t>MS-C31</t>
        </is>
      </c>
      <c r="L1992" s="6" t="n">
        <v>46323</v>
      </c>
      <c r="M1992" s="4" t="inlineStr">
        <is>
          <t>Approved</t>
        </is>
      </c>
      <c r="N1992" s="4" t="inlineStr">
        <is>
          <t>faq</t>
        </is>
      </c>
    </row>
    <row r="1993" ht="68" customHeight="1">
      <c r="A1993" s="8" t="inlineStr">
        <is>
          <t>C31-P0073</t>
        </is>
      </c>
      <c r="B1993" s="8" t="inlineStr">
        <is>
          <t>C31</t>
        </is>
      </c>
      <c r="C1993" s="8" t="inlineStr">
        <is>
          <t>Scheme For Financial Assistance For Veteran Artists</t>
        </is>
      </c>
      <c r="D1993" s="8" t="inlineStr">
        <is>
          <t>FAQ</t>
        </is>
      </c>
      <c r="E1993" s="8" t="inlineStr"/>
      <c r="F1993" s="8" t="inlineStr">
        <is>
          <t>faqs.en.faqs[11]</t>
        </is>
      </c>
      <c r="G1993" s="8" t="inlineStr">
        <is>
          <t>C31@20261028-f9d1bef9</t>
        </is>
      </c>
      <c r="H1993" s="8" t="n">
        <v>1</v>
      </c>
      <c r="I1993" s="8" t="n">
        <v>1</v>
      </c>
      <c r="J1993" s="8" t="inlineStr">
        <is>
          <t>How can I apply under the scheme?
The application may be made online by using the Registration/login Page of "Culture Scheme Monitoring System (CSMS)" on the website of the Ministry of Culture under the heading of "MOC Schemes Application".</t>
        </is>
      </c>
      <c r="K1993" s="8" t="inlineStr">
        <is>
          <t>MS-C31</t>
        </is>
      </c>
      <c r="L1993" s="9" t="n">
        <v>46323</v>
      </c>
      <c r="M1993" s="8" t="inlineStr">
        <is>
          <t>Approved</t>
        </is>
      </c>
      <c r="N1993" s="8" t="inlineStr">
        <is>
          <t>faq</t>
        </is>
      </c>
    </row>
    <row r="1994" ht="82" customHeight="1">
      <c r="A1994" s="4" t="inlineStr">
        <is>
          <t>C32-P0001</t>
        </is>
      </c>
      <c r="B1994" s="4" t="inlineStr">
        <is>
          <t>C32</t>
        </is>
      </c>
      <c r="C1994" s="4" t="inlineStr">
        <is>
          <t>Free Education For Sports Medal Winners / Participants Of National/ International Events</t>
        </is>
      </c>
      <c r="D1994" s="4" t="inlineStr">
        <is>
          <t>Details</t>
        </is>
      </c>
      <c r="E1994" s="4" t="inlineStr"/>
      <c r="F1994" s="4" t="inlineStr">
        <is>
          <t>en.schemeContent.detailedDescription[0]</t>
        </is>
      </c>
      <c r="G1994" s="4" t="inlineStr">
        <is>
          <t>C32@20261028-67ab4e80</t>
        </is>
      </c>
      <c r="H1994" s="4" t="n">
        <v>1</v>
      </c>
      <c r="I1994" s="4" t="n">
        <v>1</v>
      </c>
      <c r="J1994" s="4" t="inlineStr">
        <is>
          <t>The scheme "Free Education for Sports Medal Winners / Participants of National/ International Events", introduced by the University Grants Commission, Ministry of Education, aims to assist medal-winning sportspersons pursuing higher education and motivate them to achieve excellence in sports and academics. Applicable to national medalists and international participants, it ensures their holistic development.</t>
        </is>
      </c>
      <c r="K1994" s="4" t="inlineStr">
        <is>
          <t>MS-C32</t>
        </is>
      </c>
      <c r="L1994" s="6" t="n">
        <v>46323</v>
      </c>
      <c r="M1994" s="4" t="inlineStr">
        <is>
          <t>Approved</t>
        </is>
      </c>
      <c r="N1994" s="4" t="inlineStr">
        <is>
          <t>paragraph</t>
        </is>
      </c>
    </row>
    <row r="1995" ht="54" customHeight="1">
      <c r="A1995" s="8" t="inlineStr">
        <is>
          <t>C32-P0002</t>
        </is>
      </c>
      <c r="B1995" s="8" t="inlineStr">
        <is>
          <t>C32</t>
        </is>
      </c>
      <c r="C1995" s="8" t="inlineStr">
        <is>
          <t>Free Education For Sports Medal Winners / Participants Of National/ International Events</t>
        </is>
      </c>
      <c r="D1995" s="8" t="inlineStr">
        <is>
          <t>Benefits</t>
        </is>
      </c>
      <c r="E1995" s="8" t="inlineStr">
        <is>
          <t>Medals at Olympics, World Championship (more than 20 countries)</t>
        </is>
      </c>
      <c r="F1995" s="8" t="inlineStr">
        <is>
          <t>en.schemeContent.benefits[0]</t>
        </is>
      </c>
      <c r="G1995" s="8" t="inlineStr">
        <is>
          <t>C32@20261028-67ab4e80</t>
        </is>
      </c>
      <c r="H1995" s="8" t="n">
        <v>1</v>
      </c>
      <c r="I1995" s="8" t="n">
        <v>1</v>
      </c>
      <c r="J1995" s="8" t="inlineStr">
        <is>
          <t>Medals at Olympics, World Championship (more than 20 countries)</t>
        </is>
      </c>
      <c r="K1995" s="8" t="inlineStr">
        <is>
          <t>MS-C32</t>
        </is>
      </c>
      <c r="L1995" s="9" t="n">
        <v>46323</v>
      </c>
      <c r="M1995" s="8" t="inlineStr">
        <is>
          <t>Approved</t>
        </is>
      </c>
      <c r="N1995" s="8" t="inlineStr">
        <is>
          <t>paragraph</t>
        </is>
      </c>
    </row>
    <row r="1996" ht="54" customHeight="1">
      <c r="A1996" s="4" t="inlineStr">
        <is>
          <t>C32-P0003</t>
        </is>
      </c>
      <c r="B1996" s="4" t="inlineStr">
        <is>
          <t>C32</t>
        </is>
      </c>
      <c r="C1996" s="4" t="inlineStr">
        <is>
          <t>Free Education For Sports Medal Winners / Participants Of National/ International Events</t>
        </is>
      </c>
      <c r="D1996" s="4" t="inlineStr">
        <is>
          <t>Benefits</t>
        </is>
      </c>
      <c r="E1996" s="4" t="inlineStr">
        <is>
          <t>Medals at Olympics, World Championship (more than 20 countries)</t>
        </is>
      </c>
      <c r="F1996" s="4" t="inlineStr">
        <is>
          <t>en.schemeContent.benefits[1]</t>
        </is>
      </c>
      <c r="G1996" s="4" t="inlineStr">
        <is>
          <t>C32@20261028-67ab4e80</t>
        </is>
      </c>
      <c r="H1996" s="4" t="n">
        <v>1</v>
      </c>
      <c r="I1996" s="4" t="n">
        <v>1</v>
      </c>
      <c r="J1996" s="4" t="inlineStr">
        <is>
          <t>Tuition Fee and Other Funds: Bachelor's degree: Actual; PG: Actual; Diploma: Actual; PG Degree: Actual; M. Phil: ₹ 7500/- per month + Actual; Ph.D.: As per with JRF scale (UGC); MBA or</t>
        </is>
      </c>
      <c r="K1996" s="4" t="inlineStr">
        <is>
          <t>MS-C32</t>
        </is>
      </c>
      <c r="L1996" s="6" t="n">
        <v>46323</v>
      </c>
      <c r="M1996" s="4" t="inlineStr">
        <is>
          <t>Approved</t>
        </is>
      </c>
      <c r="N1996" s="4" t="inlineStr">
        <is>
          <t>paragraph</t>
        </is>
      </c>
    </row>
    <row r="1997" ht="54" customHeight="1">
      <c r="A1997" s="8" t="inlineStr">
        <is>
          <t>C32-P0004</t>
        </is>
      </c>
      <c r="B1997" s="8" t="inlineStr">
        <is>
          <t>C32</t>
        </is>
      </c>
      <c r="C1997" s="8" t="inlineStr">
        <is>
          <t>Free Education For Sports Medal Winners / Participants Of National/ International Events</t>
        </is>
      </c>
      <c r="D1997" s="8" t="inlineStr">
        <is>
          <t>Benefits</t>
        </is>
      </c>
      <c r="E1997" s="8" t="inlineStr">
        <is>
          <t>Medals at Olympics, World Championship (more than 20 countries)</t>
        </is>
      </c>
      <c r="F1997" s="8" t="inlineStr">
        <is>
          <t>en.schemeContent.benefits[2]</t>
        </is>
      </c>
      <c r="G1997" s="8" t="inlineStr">
        <is>
          <t>C32@20261028-67ab4e80</t>
        </is>
      </c>
      <c r="H1997" s="8" t="n">
        <v>1</v>
      </c>
      <c r="I1997" s="8" t="n">
        <v>1</v>
      </c>
      <c r="J1997" s="8" t="inlineStr">
        <is>
          <t>other professional courses (*): ₹ 7500/- per month + Actual.</t>
        </is>
      </c>
      <c r="K1997" s="8" t="inlineStr">
        <is>
          <t>MS-C32</t>
        </is>
      </c>
      <c r="L1997" s="9" t="n">
        <v>46323</v>
      </c>
      <c r="M1997" s="8" t="inlineStr">
        <is>
          <t>Approved</t>
        </is>
      </c>
      <c r="N1997" s="8" t="inlineStr">
        <is>
          <t>paragraph</t>
        </is>
      </c>
    </row>
    <row r="1998" ht="54" customHeight="1">
      <c r="A1998" s="4" t="inlineStr">
        <is>
          <t>C32-P0005</t>
        </is>
      </c>
      <c r="B1998" s="4" t="inlineStr">
        <is>
          <t>C32</t>
        </is>
      </c>
      <c r="C1998" s="4" t="inlineStr">
        <is>
          <t>Free Education For Sports Medal Winners / Participants Of National/ International Events</t>
        </is>
      </c>
      <c r="D1998" s="4" t="inlineStr">
        <is>
          <t>Benefits</t>
        </is>
      </c>
      <c r="E1998" s="4" t="inlineStr">
        <is>
          <t>Medals at Olympics, World Championship (more than 20 countries)</t>
        </is>
      </c>
      <c r="F1998" s="4" t="inlineStr">
        <is>
          <t>en.schemeContent.benefits[3]</t>
        </is>
      </c>
      <c r="G1998" s="4" t="inlineStr">
        <is>
          <t>C32@20261028-67ab4e80</t>
        </is>
      </c>
      <c r="H1998" s="4" t="n">
        <v>1</v>
      </c>
      <c r="I1998" s="4" t="n">
        <v>1</v>
      </c>
      <c r="J1998" s="4" t="inlineStr">
        <is>
          <t>Hostel Facilities (Boarding and Lodging): Actual</t>
        </is>
      </c>
      <c r="K1998" s="4" t="inlineStr">
        <is>
          <t>MS-C32</t>
        </is>
      </c>
      <c r="L1998" s="6" t="n">
        <v>46323</v>
      </c>
      <c r="M1998" s="4" t="inlineStr">
        <is>
          <t>Approved</t>
        </is>
      </c>
      <c r="N1998" s="4" t="inlineStr">
        <is>
          <t>paragraph</t>
        </is>
      </c>
    </row>
    <row r="1999" ht="54" customHeight="1">
      <c r="A1999" s="8" t="inlineStr">
        <is>
          <t>C32-P0006</t>
        </is>
      </c>
      <c r="B1999" s="8" t="inlineStr">
        <is>
          <t>C32</t>
        </is>
      </c>
      <c r="C1999" s="8" t="inlineStr">
        <is>
          <t>Free Education For Sports Medal Winners / Participants Of National/ International Events</t>
        </is>
      </c>
      <c r="D1999" s="8" t="inlineStr">
        <is>
          <t>Benefits</t>
        </is>
      </c>
      <c r="E1999" s="8" t="inlineStr">
        <is>
          <t>Medals at Olympics, World Championship (more than 20 countries)</t>
        </is>
      </c>
      <c r="F1999" s="8" t="inlineStr">
        <is>
          <t>en.schemeContent.benefits[4]</t>
        </is>
      </c>
      <c r="G1999" s="8" t="inlineStr">
        <is>
          <t>C32@20261028-67ab4e80</t>
        </is>
      </c>
      <c r="H1999" s="8" t="n">
        <v>1</v>
      </c>
      <c r="I1999" s="8" t="n">
        <v>1</v>
      </c>
      <c r="J1999" s="8" t="inlineStr">
        <is>
          <t>Allowances for special courses abroad: As per Govt of India’s norms</t>
        </is>
      </c>
      <c r="K1999" s="8" t="inlineStr">
        <is>
          <t>MS-C32</t>
        </is>
      </c>
      <c r="L1999" s="9" t="n">
        <v>46323</v>
      </c>
      <c r="M1999" s="8" t="inlineStr">
        <is>
          <t>Approved</t>
        </is>
      </c>
      <c r="N1999" s="8" t="inlineStr">
        <is>
          <t>paragraph</t>
        </is>
      </c>
    </row>
    <row r="2000" ht="54" customHeight="1">
      <c r="A2000" s="4" t="inlineStr">
        <is>
          <t>C32-P0007</t>
        </is>
      </c>
      <c r="B2000" s="4" t="inlineStr">
        <is>
          <t>C32</t>
        </is>
      </c>
      <c r="C2000" s="4" t="inlineStr">
        <is>
          <t>Free Education For Sports Medal Winners / Participants Of National/ International Events</t>
        </is>
      </c>
      <c r="D2000" s="4" t="inlineStr">
        <is>
          <t>Benefits</t>
        </is>
      </c>
      <c r="E2000" s="4" t="inlineStr">
        <is>
          <t>Medals at Olympics, World Championship (more than 20 countries)</t>
        </is>
      </c>
      <c r="F2000" s="4" t="inlineStr">
        <is>
          <t>en.schemeContent.benefits[5]</t>
        </is>
      </c>
      <c r="G2000" s="4" t="inlineStr">
        <is>
          <t>C32@20261028-67ab4e80</t>
        </is>
      </c>
      <c r="H2000" s="4" t="n">
        <v>1</v>
      </c>
      <c r="I2000" s="4" t="n">
        <v>1</v>
      </c>
      <c r="J2000" s="4" t="inlineStr">
        <is>
          <t>Kit: ₹ 15000 per annum</t>
        </is>
      </c>
      <c r="K2000" s="4" t="inlineStr">
        <is>
          <t>MS-C32</t>
        </is>
      </c>
      <c r="L2000" s="6" t="n">
        <v>46323</v>
      </c>
      <c r="M2000" s="4" t="inlineStr">
        <is>
          <t>Approved</t>
        </is>
      </c>
      <c r="N2000" s="4" t="inlineStr">
        <is>
          <t>paragraph</t>
        </is>
      </c>
    </row>
    <row r="2001" ht="54" customHeight="1">
      <c r="A2001" s="8" t="inlineStr">
        <is>
          <t>C32-P0008</t>
        </is>
      </c>
      <c r="B2001" s="8" t="inlineStr">
        <is>
          <t>C32</t>
        </is>
      </c>
      <c r="C2001" s="8" t="inlineStr">
        <is>
          <t>Free Education For Sports Medal Winners / Participants Of National/ International Events</t>
        </is>
      </c>
      <c r="D2001" s="8" t="inlineStr">
        <is>
          <t>Benefits</t>
        </is>
      </c>
      <c r="E2001" s="8" t="inlineStr">
        <is>
          <t>Participations at Olympics, World Championship (more than 20 countries); Medal at Common Wealth, Asian, Afro-Asian Games</t>
        </is>
      </c>
      <c r="F2001" s="8" t="inlineStr">
        <is>
          <t>en.schemeContent.benefits[7]</t>
        </is>
      </c>
      <c r="G2001" s="8" t="inlineStr">
        <is>
          <t>C32@20261028-67ab4e80</t>
        </is>
      </c>
      <c r="H2001" s="8" t="n">
        <v>1</v>
      </c>
      <c r="I2001" s="8" t="n">
        <v>1</v>
      </c>
      <c r="J2001" s="8" t="inlineStr">
        <is>
          <t>Participations at Olympics, World Championship (more than 20 countries); Medal at Common Wealth, Asian, Afro-Asian Games</t>
        </is>
      </c>
      <c r="K2001" s="8" t="inlineStr">
        <is>
          <t>MS-C32</t>
        </is>
      </c>
      <c r="L2001" s="9" t="n">
        <v>46323</v>
      </c>
      <c r="M2001" s="8" t="inlineStr">
        <is>
          <t>Approved</t>
        </is>
      </c>
      <c r="N2001" s="8" t="inlineStr">
        <is>
          <t>paragraph</t>
        </is>
      </c>
    </row>
    <row r="2002" ht="54" customHeight="1">
      <c r="A2002" s="4" t="inlineStr">
        <is>
          <t>C32-P0009</t>
        </is>
      </c>
      <c r="B2002" s="4" t="inlineStr">
        <is>
          <t>C32</t>
        </is>
      </c>
      <c r="C2002" s="4" t="inlineStr">
        <is>
          <t>Free Education For Sports Medal Winners / Participants Of National/ International Events</t>
        </is>
      </c>
      <c r="D2002" s="4" t="inlineStr">
        <is>
          <t>Benefits</t>
        </is>
      </c>
      <c r="E2002" s="4" t="inlineStr">
        <is>
          <t>Participations at Olympics, World Championship (more than 20 countries); Medal at Common Wealth, Asian, Afro-Asian Games</t>
        </is>
      </c>
      <c r="F2002" s="4" t="inlineStr">
        <is>
          <t>en.schemeContent.benefits[8]</t>
        </is>
      </c>
      <c r="G2002" s="4" t="inlineStr">
        <is>
          <t>C32@20261028-67ab4e80</t>
        </is>
      </c>
      <c r="H2002" s="4" t="n">
        <v>1</v>
      </c>
      <c r="I2002" s="4" t="n">
        <v>1</v>
      </c>
      <c r="J2002" s="4" t="inlineStr">
        <is>
          <t>Tuition Fee and Other Funds: Bachelor's degree: Actual; PG: Actual; Diploma: Actual; PG Degree: Actual; M. Phil: ₹ 7500/- per month + Actual; Ph.D.: As per with JRF scale (UGC); MBA or</t>
        </is>
      </c>
      <c r="K2002" s="4" t="inlineStr">
        <is>
          <t>MS-C32</t>
        </is>
      </c>
      <c r="L2002" s="6" t="n">
        <v>46323</v>
      </c>
      <c r="M2002" s="4" t="inlineStr">
        <is>
          <t>Approved</t>
        </is>
      </c>
      <c r="N2002" s="4" t="inlineStr">
        <is>
          <t>paragraph</t>
        </is>
      </c>
    </row>
    <row r="2003" ht="54" customHeight="1">
      <c r="A2003" s="8" t="inlineStr">
        <is>
          <t>C32-P0010</t>
        </is>
      </c>
      <c r="B2003" s="8" t="inlineStr">
        <is>
          <t>C32</t>
        </is>
      </c>
      <c r="C2003" s="8" t="inlineStr">
        <is>
          <t>Free Education For Sports Medal Winners / Participants Of National/ International Events</t>
        </is>
      </c>
      <c r="D2003" s="8" t="inlineStr">
        <is>
          <t>Benefits</t>
        </is>
      </c>
      <c r="E2003" s="8" t="inlineStr">
        <is>
          <t>Participations at Olympics, World Championship (more than 20 countries); Medal at Common Wealth, Asian, Afro-Asian Games</t>
        </is>
      </c>
      <c r="F2003" s="8" t="inlineStr">
        <is>
          <t>en.schemeContent.benefits[9]</t>
        </is>
      </c>
      <c r="G2003" s="8" t="inlineStr">
        <is>
          <t>C32@20261028-67ab4e80</t>
        </is>
      </c>
      <c r="H2003" s="8" t="n">
        <v>1</v>
      </c>
      <c r="I2003" s="8" t="n">
        <v>1</v>
      </c>
      <c r="J2003" s="8" t="inlineStr">
        <is>
          <t>other professional courses (*): ₹ 7500/- per month + Actual.</t>
        </is>
      </c>
      <c r="K2003" s="8" t="inlineStr">
        <is>
          <t>MS-C32</t>
        </is>
      </c>
      <c r="L2003" s="9" t="n">
        <v>46323</v>
      </c>
      <c r="M2003" s="8" t="inlineStr">
        <is>
          <t>Approved</t>
        </is>
      </c>
      <c r="N2003" s="8" t="inlineStr">
        <is>
          <t>paragraph</t>
        </is>
      </c>
    </row>
    <row r="2004" ht="54" customHeight="1">
      <c r="A2004" s="4" t="inlineStr">
        <is>
          <t>C32-P0011</t>
        </is>
      </c>
      <c r="B2004" s="4" t="inlineStr">
        <is>
          <t>C32</t>
        </is>
      </c>
      <c r="C2004" s="4" t="inlineStr">
        <is>
          <t>Free Education For Sports Medal Winners / Participants Of National/ International Events</t>
        </is>
      </c>
      <c r="D2004" s="4" t="inlineStr">
        <is>
          <t>Benefits</t>
        </is>
      </c>
      <c r="E2004" s="4" t="inlineStr">
        <is>
          <t>Participations at Olympics, World Championship (more than 20 countries); Medal at Common Wealth, Asian, Afro-Asian Games</t>
        </is>
      </c>
      <c r="F2004" s="4" t="inlineStr">
        <is>
          <t>en.schemeContent.benefits[10]</t>
        </is>
      </c>
      <c r="G2004" s="4" t="inlineStr">
        <is>
          <t>C32@20261028-67ab4e80</t>
        </is>
      </c>
      <c r="H2004" s="4" t="n">
        <v>1</v>
      </c>
      <c r="I2004" s="4" t="n">
        <v>1</v>
      </c>
      <c r="J2004" s="4" t="inlineStr">
        <is>
          <t>Hostel Facilities (Boarding and Lodging): Actual</t>
        </is>
      </c>
      <c r="K2004" s="4" t="inlineStr">
        <is>
          <t>MS-C32</t>
        </is>
      </c>
      <c r="L2004" s="6" t="n">
        <v>46323</v>
      </c>
      <c r="M2004" s="4" t="inlineStr">
        <is>
          <t>Approved</t>
        </is>
      </c>
      <c r="N2004" s="4" t="inlineStr">
        <is>
          <t>paragraph</t>
        </is>
      </c>
    </row>
    <row r="2005" ht="54" customHeight="1">
      <c r="A2005" s="8" t="inlineStr">
        <is>
          <t>C32-P0012</t>
        </is>
      </c>
      <c r="B2005" s="8" t="inlineStr">
        <is>
          <t>C32</t>
        </is>
      </c>
      <c r="C2005" s="8" t="inlineStr">
        <is>
          <t>Free Education For Sports Medal Winners / Participants Of National/ International Events</t>
        </is>
      </c>
      <c r="D2005" s="8" t="inlineStr">
        <is>
          <t>Benefits</t>
        </is>
      </c>
      <c r="E2005" s="8" t="inlineStr">
        <is>
          <t>Participations at Olympics, World Championship (more than 20 countries); Medal at Common Wealth, Asian, Afro-Asian Games</t>
        </is>
      </c>
      <c r="F2005" s="8" t="inlineStr">
        <is>
          <t>en.schemeContent.benefits[11]</t>
        </is>
      </c>
      <c r="G2005" s="8" t="inlineStr">
        <is>
          <t>C32@20261028-67ab4e80</t>
        </is>
      </c>
      <c r="H2005" s="8" t="n">
        <v>1</v>
      </c>
      <c r="I2005" s="8" t="n">
        <v>1</v>
      </c>
      <c r="J2005" s="8" t="inlineStr">
        <is>
          <t>Allowances for special courses abroad: As per Govt of India’s norms</t>
        </is>
      </c>
      <c r="K2005" s="8" t="inlineStr">
        <is>
          <t>MS-C32</t>
        </is>
      </c>
      <c r="L2005" s="9" t="n">
        <v>46323</v>
      </c>
      <c r="M2005" s="8" t="inlineStr">
        <is>
          <t>Approved</t>
        </is>
      </c>
      <c r="N2005" s="8" t="inlineStr">
        <is>
          <t>paragraph</t>
        </is>
      </c>
    </row>
    <row r="2006" ht="54" customHeight="1">
      <c r="A2006" s="4" t="inlineStr">
        <is>
          <t>C32-P0013</t>
        </is>
      </c>
      <c r="B2006" s="4" t="inlineStr">
        <is>
          <t>C32</t>
        </is>
      </c>
      <c r="C2006" s="4" t="inlineStr">
        <is>
          <t>Free Education For Sports Medal Winners / Participants Of National/ International Events</t>
        </is>
      </c>
      <c r="D2006" s="4" t="inlineStr">
        <is>
          <t>Benefits</t>
        </is>
      </c>
      <c r="E2006" s="4" t="inlineStr">
        <is>
          <t>Participations at Olympics, World Championship (more than 20 countries); Medal at Common Wealth, Asian, Afro-Asian Games</t>
        </is>
      </c>
      <c r="F2006" s="4" t="inlineStr">
        <is>
          <t>en.schemeContent.benefits[12]</t>
        </is>
      </c>
      <c r="G2006" s="4" t="inlineStr">
        <is>
          <t>C32@20261028-67ab4e80</t>
        </is>
      </c>
      <c r="H2006" s="4" t="n">
        <v>1</v>
      </c>
      <c r="I2006" s="4" t="n">
        <v>1</v>
      </c>
      <c r="J2006" s="4" t="inlineStr">
        <is>
          <t>Kit: ₹15000 per annum</t>
        </is>
      </c>
      <c r="K2006" s="4" t="inlineStr">
        <is>
          <t>MS-C32</t>
        </is>
      </c>
      <c r="L2006" s="6" t="n">
        <v>46323</v>
      </c>
      <c r="M2006" s="4" t="inlineStr">
        <is>
          <t>Approved</t>
        </is>
      </c>
      <c r="N2006" s="4" t="inlineStr">
        <is>
          <t>paragraph</t>
        </is>
      </c>
    </row>
    <row r="2007" ht="54" customHeight="1">
      <c r="A2007" s="8" t="inlineStr">
        <is>
          <t>C32-P0014</t>
        </is>
      </c>
      <c r="B2007" s="8" t="inlineStr">
        <is>
          <t>C32</t>
        </is>
      </c>
      <c r="C2007" s="8" t="inlineStr">
        <is>
          <t>Free Education For Sports Medal Winners / Participants Of National/ International Events</t>
        </is>
      </c>
      <c r="D2007" s="8" t="inlineStr">
        <is>
          <t>Benefits</t>
        </is>
      </c>
      <c r="E2007" s="8" t="inlineStr">
        <is>
          <t>Participation at World Championship (less than 20 countries), CommonWealth, Asian, and Afro-Asian, Games; Medal at Asian Championship (excluding Asian games)</t>
        </is>
      </c>
      <c r="F2007" s="8" t="inlineStr">
        <is>
          <t>en.schemeContent.benefits[14]</t>
        </is>
      </c>
      <c r="G2007" s="8" t="inlineStr">
        <is>
          <t>C32@20261028-67ab4e80</t>
        </is>
      </c>
      <c r="H2007" s="8" t="n">
        <v>1</v>
      </c>
      <c r="I2007" s="8" t="n">
        <v>1</v>
      </c>
      <c r="J2007" s="8" t="inlineStr">
        <is>
          <t>Participation at World Championship (less than 20 countries), CommonWealth, Asian, and Afro-Asian, Games; Medal at Asian Championship (excluding Asian games)</t>
        </is>
      </c>
      <c r="K2007" s="8" t="inlineStr">
        <is>
          <t>MS-C32</t>
        </is>
      </c>
      <c r="L2007" s="9" t="n">
        <v>46323</v>
      </c>
      <c r="M2007" s="8" t="inlineStr">
        <is>
          <t>Approved</t>
        </is>
      </c>
      <c r="N2007" s="8" t="inlineStr">
        <is>
          <t>paragraph</t>
        </is>
      </c>
    </row>
    <row r="2008" ht="54" customHeight="1">
      <c r="A2008" s="4" t="inlineStr">
        <is>
          <t>C32-P0015</t>
        </is>
      </c>
      <c r="B2008" s="4" t="inlineStr">
        <is>
          <t>C32</t>
        </is>
      </c>
      <c r="C2008" s="4" t="inlineStr">
        <is>
          <t>Free Education For Sports Medal Winners / Participants Of National/ International Events</t>
        </is>
      </c>
      <c r="D2008" s="4" t="inlineStr">
        <is>
          <t>Benefits</t>
        </is>
      </c>
      <c r="E2008" s="4" t="inlineStr">
        <is>
          <t>Participation at World Championship (less than 20 countries), CommonWealth, Asian, and Afro-Asian, Games; Medal at Asian Championship (excluding Asian games)</t>
        </is>
      </c>
      <c r="F2008" s="4" t="inlineStr">
        <is>
          <t>en.schemeContent.benefits[15]</t>
        </is>
      </c>
      <c r="G2008" s="4" t="inlineStr">
        <is>
          <t>C32@20261028-67ab4e80</t>
        </is>
      </c>
      <c r="H2008" s="4" t="n">
        <v>1</v>
      </c>
      <c r="I2008" s="4" t="n">
        <v>1</v>
      </c>
      <c r="J2008" s="4" t="inlineStr">
        <is>
          <t>Tuition Fee and Other Funds: Bachelor's degree: Actual; PG: Actual; Diploma: Actual; PG Degree: Actual; M. Phil: ₹7500/- per month + Actual; Ph.D.: As per with JRF scale (UGC); MBA or</t>
        </is>
      </c>
      <c r="K2008" s="4" t="inlineStr">
        <is>
          <t>MS-C32</t>
        </is>
      </c>
      <c r="L2008" s="6" t="n">
        <v>46323</v>
      </c>
      <c r="M2008" s="4" t="inlineStr">
        <is>
          <t>Approved</t>
        </is>
      </c>
      <c r="N2008" s="4" t="inlineStr">
        <is>
          <t>paragraph</t>
        </is>
      </c>
    </row>
    <row r="2009" ht="54" customHeight="1">
      <c r="A2009" s="8" t="inlineStr">
        <is>
          <t>C32-P0016</t>
        </is>
      </c>
      <c r="B2009" s="8" t="inlineStr">
        <is>
          <t>C32</t>
        </is>
      </c>
      <c r="C2009" s="8" t="inlineStr">
        <is>
          <t>Free Education For Sports Medal Winners / Participants Of National/ International Events</t>
        </is>
      </c>
      <c r="D2009" s="8" t="inlineStr">
        <is>
          <t>Benefits</t>
        </is>
      </c>
      <c r="E2009" s="8" t="inlineStr">
        <is>
          <t>Participation at World Championship (less than 20 countries), CommonWealth, Asian, and Afro-Asian, Games; Medal at Asian Championship (excluding Asian games)</t>
        </is>
      </c>
      <c r="F2009" s="8" t="inlineStr">
        <is>
          <t>en.schemeContent.benefits[16]</t>
        </is>
      </c>
      <c r="G2009" s="8" t="inlineStr">
        <is>
          <t>C32@20261028-67ab4e80</t>
        </is>
      </c>
      <c r="H2009" s="8" t="n">
        <v>1</v>
      </c>
      <c r="I2009" s="8" t="n">
        <v>1</v>
      </c>
      <c r="J2009" s="8" t="inlineStr">
        <is>
          <t>other professional courses (*): ₹ 7500/- per month + Actual.</t>
        </is>
      </c>
      <c r="K2009" s="8" t="inlineStr">
        <is>
          <t>MS-C32</t>
        </is>
      </c>
      <c r="L2009" s="9" t="n">
        <v>46323</v>
      </c>
      <c r="M2009" s="8" t="inlineStr">
        <is>
          <t>Approved</t>
        </is>
      </c>
      <c r="N2009" s="8" t="inlineStr">
        <is>
          <t>paragraph</t>
        </is>
      </c>
    </row>
    <row r="2010" ht="54" customHeight="1">
      <c r="A2010" s="4" t="inlineStr">
        <is>
          <t>C32-P0017</t>
        </is>
      </c>
      <c r="B2010" s="4" t="inlineStr">
        <is>
          <t>C32</t>
        </is>
      </c>
      <c r="C2010" s="4" t="inlineStr">
        <is>
          <t>Free Education For Sports Medal Winners / Participants Of National/ International Events</t>
        </is>
      </c>
      <c r="D2010" s="4" t="inlineStr">
        <is>
          <t>Benefits</t>
        </is>
      </c>
      <c r="E2010" s="4" t="inlineStr">
        <is>
          <t>Participation at World Championship (less than 20 countries), CommonWealth, Asian, and Afro-Asian, Games; Medal at Asian Championship (excluding Asian games)</t>
        </is>
      </c>
      <c r="F2010" s="4" t="inlineStr">
        <is>
          <t>en.schemeContent.benefits[17]</t>
        </is>
      </c>
      <c r="G2010" s="4" t="inlineStr">
        <is>
          <t>C32@20261028-67ab4e80</t>
        </is>
      </c>
      <c r="H2010" s="4" t="n">
        <v>1</v>
      </c>
      <c r="I2010" s="4" t="n">
        <v>1</v>
      </c>
      <c r="J2010" s="4" t="inlineStr">
        <is>
          <t>Hostel Facilities (Boarding and Lodging): Actual</t>
        </is>
      </c>
      <c r="K2010" s="4" t="inlineStr">
        <is>
          <t>MS-C32</t>
        </is>
      </c>
      <c r="L2010" s="6" t="n">
        <v>46323</v>
      </c>
      <c r="M2010" s="4" t="inlineStr">
        <is>
          <t>Approved</t>
        </is>
      </c>
      <c r="N2010" s="4" t="inlineStr">
        <is>
          <t>paragraph</t>
        </is>
      </c>
    </row>
    <row r="2011" ht="54" customHeight="1">
      <c r="A2011" s="8" t="inlineStr">
        <is>
          <t>C32-P0018</t>
        </is>
      </c>
      <c r="B2011" s="8" t="inlineStr">
        <is>
          <t>C32</t>
        </is>
      </c>
      <c r="C2011" s="8" t="inlineStr">
        <is>
          <t>Free Education For Sports Medal Winners / Participants Of National/ International Events</t>
        </is>
      </c>
      <c r="D2011" s="8" t="inlineStr">
        <is>
          <t>Benefits</t>
        </is>
      </c>
      <c r="E2011" s="8" t="inlineStr">
        <is>
          <t>Participation at World Championship (less than 20 countries), CommonWealth, Asian, and Afro-Asian, Games; Medal at Asian Championship (excluding Asian games)</t>
        </is>
      </c>
      <c r="F2011" s="8" t="inlineStr">
        <is>
          <t>en.schemeContent.benefits[18]</t>
        </is>
      </c>
      <c r="G2011" s="8" t="inlineStr">
        <is>
          <t>C32@20261028-67ab4e80</t>
        </is>
      </c>
      <c r="H2011" s="8" t="n">
        <v>1</v>
      </c>
      <c r="I2011" s="8" t="n">
        <v>1</v>
      </c>
      <c r="J2011" s="8" t="inlineStr">
        <is>
          <t>Allowances for special courses abroad: As per Govt of India’s norms</t>
        </is>
      </c>
      <c r="K2011" s="8" t="inlineStr">
        <is>
          <t>MS-C32</t>
        </is>
      </c>
      <c r="L2011" s="9" t="n">
        <v>46323</v>
      </c>
      <c r="M2011" s="8" t="inlineStr">
        <is>
          <t>Approved</t>
        </is>
      </c>
      <c r="N2011" s="8" t="inlineStr">
        <is>
          <t>paragraph</t>
        </is>
      </c>
    </row>
    <row r="2012" ht="54" customHeight="1">
      <c r="A2012" s="4" t="inlineStr">
        <is>
          <t>C32-P0019</t>
        </is>
      </c>
      <c r="B2012" s="4" t="inlineStr">
        <is>
          <t>C32</t>
        </is>
      </c>
      <c r="C2012" s="4" t="inlineStr">
        <is>
          <t>Free Education For Sports Medal Winners / Participants Of National/ International Events</t>
        </is>
      </c>
      <c r="D2012" s="4" t="inlineStr">
        <is>
          <t>Benefits</t>
        </is>
      </c>
      <c r="E2012" s="4" t="inlineStr">
        <is>
          <t>Participation at World Championship (less than 20 countries), CommonWealth, Asian, and Afro-Asian, Games; Medal at Asian Championship (excluding Asian games)</t>
        </is>
      </c>
      <c r="F2012" s="4" t="inlineStr">
        <is>
          <t>en.schemeContent.benefits[19]</t>
        </is>
      </c>
      <c r="G2012" s="4" t="inlineStr">
        <is>
          <t>C32@20261028-67ab4e80</t>
        </is>
      </c>
      <c r="H2012" s="4" t="n">
        <v>1</v>
      </c>
      <c r="I2012" s="4" t="n">
        <v>1</v>
      </c>
      <c r="J2012" s="4" t="inlineStr">
        <is>
          <t>Kit: ₹ 10000 per annum</t>
        </is>
      </c>
      <c r="K2012" s="4" t="inlineStr">
        <is>
          <t>MS-C32</t>
        </is>
      </c>
      <c r="L2012" s="6" t="n">
        <v>46323</v>
      </c>
      <c r="M2012" s="4" t="inlineStr">
        <is>
          <t>Approved</t>
        </is>
      </c>
      <c r="N2012" s="4" t="inlineStr">
        <is>
          <t>paragraph</t>
        </is>
      </c>
    </row>
    <row r="2013" ht="54" customHeight="1">
      <c r="A2013" s="8" t="inlineStr">
        <is>
          <t>C32-P0020</t>
        </is>
      </c>
      <c r="B2013" s="8" t="inlineStr">
        <is>
          <t>C32</t>
        </is>
      </c>
      <c r="C2013" s="8" t="inlineStr">
        <is>
          <t>Free Education For Sports Medal Winners / Participants Of National/ International Events</t>
        </is>
      </c>
      <c r="D2013" s="8" t="inlineStr">
        <is>
          <t>Benefits</t>
        </is>
      </c>
      <c r="E2013" s="8" t="inlineStr">
        <is>
          <t>Participation at Asian Championship, World university games; Medal at SAF Games</t>
        </is>
      </c>
      <c r="F2013" s="8" t="inlineStr">
        <is>
          <t>en.schemeContent.benefits[21]</t>
        </is>
      </c>
      <c r="G2013" s="8" t="inlineStr">
        <is>
          <t>C32@20261028-67ab4e80</t>
        </is>
      </c>
      <c r="H2013" s="8" t="n">
        <v>1</v>
      </c>
      <c r="I2013" s="8" t="n">
        <v>1</v>
      </c>
      <c r="J2013" s="8" t="inlineStr">
        <is>
          <t>Participation at Asian Championship, World university games; Medal at SAF Games</t>
        </is>
      </c>
      <c r="K2013" s="8" t="inlineStr">
        <is>
          <t>MS-C32</t>
        </is>
      </c>
      <c r="L2013" s="9" t="n">
        <v>46323</v>
      </c>
      <c r="M2013" s="8" t="inlineStr">
        <is>
          <t>Approved</t>
        </is>
      </c>
      <c r="N2013" s="8" t="inlineStr">
        <is>
          <t>paragraph</t>
        </is>
      </c>
    </row>
    <row r="2014" ht="54" customHeight="1">
      <c r="A2014" s="4" t="inlineStr">
        <is>
          <t>C32-P0021</t>
        </is>
      </c>
      <c r="B2014" s="4" t="inlineStr">
        <is>
          <t>C32</t>
        </is>
      </c>
      <c r="C2014" s="4" t="inlineStr">
        <is>
          <t>Free Education For Sports Medal Winners / Participants Of National/ International Events</t>
        </is>
      </c>
      <c r="D2014" s="4" t="inlineStr">
        <is>
          <t>Benefits</t>
        </is>
      </c>
      <c r="E2014" s="4" t="inlineStr">
        <is>
          <t>Participation at Asian Championship, World university games; Medal at SAF Games</t>
        </is>
      </c>
      <c r="F2014" s="4" t="inlineStr">
        <is>
          <t>en.schemeContent.benefits[22]</t>
        </is>
      </c>
      <c r="G2014" s="4" t="inlineStr">
        <is>
          <t>C32@20261028-67ab4e80</t>
        </is>
      </c>
      <c r="H2014" s="4" t="n">
        <v>1</v>
      </c>
      <c r="I2014" s="4" t="n">
        <v>1</v>
      </c>
      <c r="J2014" s="4" t="inlineStr">
        <is>
          <t>Tuition Fee and Other Funds: Bachelor's degree: Actual; PG: Actual; Diploma: Actual; PG Degree: Actual; M. Phil:₹7500/- per month + Actual; Ph.D.: As per with JRF scale (UGC); MBA or</t>
        </is>
      </c>
      <c r="K2014" s="4" t="inlineStr">
        <is>
          <t>MS-C32</t>
        </is>
      </c>
      <c r="L2014" s="6" t="n">
        <v>46323</v>
      </c>
      <c r="M2014" s="4" t="inlineStr">
        <is>
          <t>Approved</t>
        </is>
      </c>
      <c r="N2014" s="4" t="inlineStr">
        <is>
          <t>paragraph</t>
        </is>
      </c>
    </row>
    <row r="2015" ht="54" customHeight="1">
      <c r="A2015" s="8" t="inlineStr">
        <is>
          <t>C32-P0022</t>
        </is>
      </c>
      <c r="B2015" s="8" t="inlineStr">
        <is>
          <t>C32</t>
        </is>
      </c>
      <c r="C2015" s="8" t="inlineStr">
        <is>
          <t>Free Education For Sports Medal Winners / Participants Of National/ International Events</t>
        </is>
      </c>
      <c r="D2015" s="8" t="inlineStr">
        <is>
          <t>Benefits</t>
        </is>
      </c>
      <c r="E2015" s="8" t="inlineStr">
        <is>
          <t>Participation at Asian Championship, World university games; Medal at SAF Games</t>
        </is>
      </c>
      <c r="F2015" s="8" t="inlineStr">
        <is>
          <t>en.schemeContent.benefits[23]</t>
        </is>
      </c>
      <c r="G2015" s="8" t="inlineStr">
        <is>
          <t>C32@20261028-67ab4e80</t>
        </is>
      </c>
      <c r="H2015" s="8" t="n">
        <v>1</v>
      </c>
      <c r="I2015" s="8" t="n">
        <v>1</v>
      </c>
      <c r="J2015" s="8" t="inlineStr">
        <is>
          <t>other professional courses (*): ₹ 7500/- per month + Actual.</t>
        </is>
      </c>
      <c r="K2015" s="8" t="inlineStr">
        <is>
          <t>MS-C32</t>
        </is>
      </c>
      <c r="L2015" s="9" t="n">
        <v>46323</v>
      </c>
      <c r="M2015" s="8" t="inlineStr">
        <is>
          <t>Approved</t>
        </is>
      </c>
      <c r="N2015" s="8" t="inlineStr">
        <is>
          <t>paragraph</t>
        </is>
      </c>
    </row>
    <row r="2016" ht="54" customHeight="1">
      <c r="A2016" s="4" t="inlineStr">
        <is>
          <t>C32-P0023</t>
        </is>
      </c>
      <c r="B2016" s="4" t="inlineStr">
        <is>
          <t>C32</t>
        </is>
      </c>
      <c r="C2016" s="4" t="inlineStr">
        <is>
          <t>Free Education For Sports Medal Winners / Participants Of National/ International Events</t>
        </is>
      </c>
      <c r="D2016" s="4" t="inlineStr">
        <is>
          <t>Benefits</t>
        </is>
      </c>
      <c r="E2016" s="4" t="inlineStr">
        <is>
          <t>Participation at Asian Championship, World university games; Medal at SAF Games</t>
        </is>
      </c>
      <c r="F2016" s="4" t="inlineStr">
        <is>
          <t>en.schemeContent.benefits[24]</t>
        </is>
      </c>
      <c r="G2016" s="4" t="inlineStr">
        <is>
          <t>C32@20261028-67ab4e80</t>
        </is>
      </c>
      <c r="H2016" s="4" t="n">
        <v>1</v>
      </c>
      <c r="I2016" s="4" t="n">
        <v>1</v>
      </c>
      <c r="J2016" s="4" t="inlineStr">
        <is>
          <t>Hostel Facilities (Boarding and Lodging): Actual</t>
        </is>
      </c>
      <c r="K2016" s="4" t="inlineStr">
        <is>
          <t>MS-C32</t>
        </is>
      </c>
      <c r="L2016" s="6" t="n">
        <v>46323</v>
      </c>
      <c r="M2016" s="4" t="inlineStr">
        <is>
          <t>Approved</t>
        </is>
      </c>
      <c r="N2016" s="4" t="inlineStr">
        <is>
          <t>paragraph</t>
        </is>
      </c>
    </row>
    <row r="2017" ht="54" customHeight="1">
      <c r="A2017" s="8" t="inlineStr">
        <is>
          <t>C32-P0024</t>
        </is>
      </c>
      <c r="B2017" s="8" t="inlineStr">
        <is>
          <t>C32</t>
        </is>
      </c>
      <c r="C2017" s="8" t="inlineStr">
        <is>
          <t>Free Education For Sports Medal Winners / Participants Of National/ International Events</t>
        </is>
      </c>
      <c r="D2017" s="8" t="inlineStr">
        <is>
          <t>Benefits</t>
        </is>
      </c>
      <c r="E2017" s="8" t="inlineStr">
        <is>
          <t>Participation at Asian Championship, World university games; Medal at SAF Games</t>
        </is>
      </c>
      <c r="F2017" s="8" t="inlineStr">
        <is>
          <t>en.schemeContent.benefits[25]</t>
        </is>
      </c>
      <c r="G2017" s="8" t="inlineStr">
        <is>
          <t>C32@20261028-67ab4e80</t>
        </is>
      </c>
      <c r="H2017" s="8" t="n">
        <v>1</v>
      </c>
      <c r="I2017" s="8" t="n">
        <v>1</v>
      </c>
      <c r="J2017" s="8" t="inlineStr">
        <is>
          <t>Allowances for special courses abroad: As per Govt of India’s norms</t>
        </is>
      </c>
      <c r="K2017" s="8" t="inlineStr">
        <is>
          <t>MS-C32</t>
        </is>
      </c>
      <c r="L2017" s="9" t="n">
        <v>46323</v>
      </c>
      <c r="M2017" s="8" t="inlineStr">
        <is>
          <t>Approved</t>
        </is>
      </c>
      <c r="N2017" s="8" t="inlineStr">
        <is>
          <t>paragraph</t>
        </is>
      </c>
    </row>
    <row r="2018" ht="54" customHeight="1">
      <c r="A2018" s="4" t="inlineStr">
        <is>
          <t>C32-P0025</t>
        </is>
      </c>
      <c r="B2018" s="4" t="inlineStr">
        <is>
          <t>C32</t>
        </is>
      </c>
      <c r="C2018" s="4" t="inlineStr">
        <is>
          <t>Free Education For Sports Medal Winners / Participants Of National/ International Events</t>
        </is>
      </c>
      <c r="D2018" s="4" t="inlineStr">
        <is>
          <t>Benefits</t>
        </is>
      </c>
      <c r="E2018" s="4" t="inlineStr">
        <is>
          <t>Participation at Asian Championship, World university games; Medal at SAF Games</t>
        </is>
      </c>
      <c r="F2018" s="4" t="inlineStr">
        <is>
          <t>en.schemeContent.benefits[26]</t>
        </is>
      </c>
      <c r="G2018" s="4" t="inlineStr">
        <is>
          <t>C32@20261028-67ab4e80</t>
        </is>
      </c>
      <c r="H2018" s="4" t="n">
        <v>1</v>
      </c>
      <c r="I2018" s="4" t="n">
        <v>1</v>
      </c>
      <c r="J2018" s="4" t="inlineStr">
        <is>
          <t>Kit: ₹7500 per annum</t>
        </is>
      </c>
      <c r="K2018" s="4" t="inlineStr">
        <is>
          <t>MS-C32</t>
        </is>
      </c>
      <c r="L2018" s="6" t="n">
        <v>46323</v>
      </c>
      <c r="M2018" s="4" t="inlineStr">
        <is>
          <t>Approved</t>
        </is>
      </c>
      <c r="N2018" s="4" t="inlineStr">
        <is>
          <t>paragraph</t>
        </is>
      </c>
    </row>
    <row r="2019" ht="54" customHeight="1">
      <c r="A2019" s="8" t="inlineStr">
        <is>
          <t>C32-P0026</t>
        </is>
      </c>
      <c r="B2019" s="8" t="inlineStr">
        <is>
          <t>C32</t>
        </is>
      </c>
      <c r="C2019" s="8" t="inlineStr">
        <is>
          <t>Free Education For Sports Medal Winners / Participants Of National/ International Events</t>
        </is>
      </c>
      <c r="D2019" s="8" t="inlineStr">
        <is>
          <t>Benefits</t>
        </is>
      </c>
      <c r="E2019" s="8" t="inlineStr">
        <is>
          <t>Participation at SAF Games; Medal at National level Competitions</t>
        </is>
      </c>
      <c r="F2019" s="8" t="inlineStr">
        <is>
          <t>en.schemeContent.benefits[28]</t>
        </is>
      </c>
      <c r="G2019" s="8" t="inlineStr">
        <is>
          <t>C32@20261028-67ab4e80</t>
        </is>
      </c>
      <c r="H2019" s="8" t="n">
        <v>1</v>
      </c>
      <c r="I2019" s="8" t="n">
        <v>1</v>
      </c>
      <c r="J2019" s="8" t="inlineStr">
        <is>
          <t>Participation at SAF Games; Medal at National level Competitions</t>
        </is>
      </c>
      <c r="K2019" s="8" t="inlineStr">
        <is>
          <t>MS-C32</t>
        </is>
      </c>
      <c r="L2019" s="9" t="n">
        <v>46323</v>
      </c>
      <c r="M2019" s="8" t="inlineStr">
        <is>
          <t>Approved</t>
        </is>
      </c>
      <c r="N2019" s="8" t="inlineStr">
        <is>
          <t>paragraph</t>
        </is>
      </c>
    </row>
    <row r="2020" ht="54" customHeight="1">
      <c r="A2020" s="4" t="inlineStr">
        <is>
          <t>C32-P0027</t>
        </is>
      </c>
      <c r="B2020" s="4" t="inlineStr">
        <is>
          <t>C32</t>
        </is>
      </c>
      <c r="C2020" s="4" t="inlineStr">
        <is>
          <t>Free Education For Sports Medal Winners / Participants Of National/ International Events</t>
        </is>
      </c>
      <c r="D2020" s="4" t="inlineStr">
        <is>
          <t>Benefits</t>
        </is>
      </c>
      <c r="E2020" s="4" t="inlineStr">
        <is>
          <t>Participation at SAF Games; Medal at National level Competitions</t>
        </is>
      </c>
      <c r="F2020" s="4" t="inlineStr">
        <is>
          <t>en.schemeContent.benefits[29]</t>
        </is>
      </c>
      <c r="G2020" s="4" t="inlineStr">
        <is>
          <t>C32@20261028-67ab4e80</t>
        </is>
      </c>
      <c r="H2020" s="4" t="n">
        <v>1</v>
      </c>
      <c r="I2020" s="4" t="n">
        <v>1</v>
      </c>
      <c r="J2020" s="4" t="inlineStr">
        <is>
          <t>Tuition Fee and Other Funds: Bachelor's degree: 75% of Actual; PG: 75% of Actual; Diploma: 75% of Actual; PG Degree: 75% of Actual; M. Phil: ₹ 5000/- per month + Actual; Ph.D.: Rs. 7500/- per month + Actual; MBA or other professional courses (*): ₹. 5000/- per month + Actual.</t>
        </is>
      </c>
      <c r="K2020" s="4" t="inlineStr">
        <is>
          <t>MS-C32</t>
        </is>
      </c>
      <c r="L2020" s="6" t="n">
        <v>46323</v>
      </c>
      <c r="M2020" s="4" t="inlineStr">
        <is>
          <t>Approved</t>
        </is>
      </c>
      <c r="N2020" s="4" t="inlineStr">
        <is>
          <t>paragraph</t>
        </is>
      </c>
    </row>
    <row r="2021" ht="54" customHeight="1">
      <c r="A2021" s="8" t="inlineStr">
        <is>
          <t>C32-P0028</t>
        </is>
      </c>
      <c r="B2021" s="8" t="inlineStr">
        <is>
          <t>C32</t>
        </is>
      </c>
      <c r="C2021" s="8" t="inlineStr">
        <is>
          <t>Free Education For Sports Medal Winners / Participants Of National/ International Events</t>
        </is>
      </c>
      <c r="D2021" s="8" t="inlineStr">
        <is>
          <t>Benefits</t>
        </is>
      </c>
      <c r="E2021" s="8" t="inlineStr">
        <is>
          <t>Participation at SAF Games; Medal at National level Competitions</t>
        </is>
      </c>
      <c r="F2021" s="8" t="inlineStr">
        <is>
          <t>en.schemeContent.benefits[30]</t>
        </is>
      </c>
      <c r="G2021" s="8" t="inlineStr">
        <is>
          <t>C32@20261028-67ab4e80</t>
        </is>
      </c>
      <c r="H2021" s="8" t="n">
        <v>1</v>
      </c>
      <c r="I2021" s="8" t="n">
        <v>1</v>
      </c>
      <c r="J2021" s="8" t="inlineStr">
        <is>
          <t>Hostel Facilities (Boarding and Lodging): Actual</t>
        </is>
      </c>
      <c r="K2021" s="8" t="inlineStr">
        <is>
          <t>MS-C32</t>
        </is>
      </c>
      <c r="L2021" s="9" t="n">
        <v>46323</v>
      </c>
      <c r="M2021" s="8" t="inlineStr">
        <is>
          <t>Approved</t>
        </is>
      </c>
      <c r="N2021" s="8" t="inlineStr">
        <is>
          <t>paragraph</t>
        </is>
      </c>
    </row>
    <row r="2022" ht="54" customHeight="1">
      <c r="A2022" s="4" t="inlineStr">
        <is>
          <t>C32-P0029</t>
        </is>
      </c>
      <c r="B2022" s="4" t="inlineStr">
        <is>
          <t>C32</t>
        </is>
      </c>
      <c r="C2022" s="4" t="inlineStr">
        <is>
          <t>Free Education For Sports Medal Winners / Participants Of National/ International Events</t>
        </is>
      </c>
      <c r="D2022" s="4" t="inlineStr">
        <is>
          <t>Benefits</t>
        </is>
      </c>
      <c r="E2022" s="4" t="inlineStr">
        <is>
          <t>Participation at SAF Games; Medal at National level Competitions</t>
        </is>
      </c>
      <c r="F2022" s="4" t="inlineStr">
        <is>
          <t>en.schemeContent.benefits[31]</t>
        </is>
      </c>
      <c r="G2022" s="4" t="inlineStr">
        <is>
          <t>C32@20261028-67ab4e80</t>
        </is>
      </c>
      <c r="H2022" s="4" t="n">
        <v>1</v>
      </c>
      <c r="I2022" s="4" t="n">
        <v>1</v>
      </c>
      <c r="J2022" s="4" t="inlineStr">
        <is>
          <t>Allowances for special courses abroad: As per Govt of India’s norms</t>
        </is>
      </c>
      <c r="K2022" s="4" t="inlineStr">
        <is>
          <t>MS-C32</t>
        </is>
      </c>
      <c r="L2022" s="6" t="n">
        <v>46323</v>
      </c>
      <c r="M2022" s="4" t="inlineStr">
        <is>
          <t>Approved</t>
        </is>
      </c>
      <c r="N2022" s="4" t="inlineStr">
        <is>
          <t>paragraph</t>
        </is>
      </c>
    </row>
    <row r="2023" ht="54" customHeight="1">
      <c r="A2023" s="8" t="inlineStr">
        <is>
          <t>C32-P0030</t>
        </is>
      </c>
      <c r="B2023" s="8" t="inlineStr">
        <is>
          <t>C32</t>
        </is>
      </c>
      <c r="C2023" s="8" t="inlineStr">
        <is>
          <t>Free Education For Sports Medal Winners / Participants Of National/ International Events</t>
        </is>
      </c>
      <c r="D2023" s="8" t="inlineStr">
        <is>
          <t>Benefits</t>
        </is>
      </c>
      <c r="E2023" s="8" t="inlineStr">
        <is>
          <t>Participation at SAF Games; Medal at National level Competitions</t>
        </is>
      </c>
      <c r="F2023" s="8" t="inlineStr">
        <is>
          <t>en.schemeContent.benefits[32]</t>
        </is>
      </c>
      <c r="G2023" s="8" t="inlineStr">
        <is>
          <t>C32@20261028-67ab4e80</t>
        </is>
      </c>
      <c r="H2023" s="8" t="n">
        <v>1</v>
      </c>
      <c r="I2023" s="8" t="n">
        <v>1</v>
      </c>
      <c r="J2023" s="8" t="inlineStr">
        <is>
          <t>Kit: ₹ 6000 per annum</t>
        </is>
      </c>
      <c r="K2023" s="8" t="inlineStr">
        <is>
          <t>MS-C32</t>
        </is>
      </c>
      <c r="L2023" s="9" t="n">
        <v>46323</v>
      </c>
      <c r="M2023" s="8" t="inlineStr">
        <is>
          <t>Approved</t>
        </is>
      </c>
      <c r="N2023" s="8" t="inlineStr">
        <is>
          <t>paragraph</t>
        </is>
      </c>
    </row>
    <row r="2024" ht="54" customHeight="1">
      <c r="A2024" s="4" t="inlineStr">
        <is>
          <t>C32-P0031</t>
        </is>
      </c>
      <c r="B2024" s="4" t="inlineStr">
        <is>
          <t>C32</t>
        </is>
      </c>
      <c r="C2024" s="4" t="inlineStr">
        <is>
          <t>Free Education For Sports Medal Winners / Participants Of National/ International Events</t>
        </is>
      </c>
      <c r="D2024" s="4" t="inlineStr">
        <is>
          <t>Benefits</t>
        </is>
      </c>
      <c r="E2024" s="4" t="inlineStr">
        <is>
          <t>Participation at SAF Games; Medal at National level Competitions</t>
        </is>
      </c>
      <c r="F2024" s="4" t="inlineStr">
        <is>
          <t>en.schemeContent.benefits[34]</t>
        </is>
      </c>
      <c r="G2024" s="4" t="inlineStr">
        <is>
          <t>C32@20261028-67ab4e80</t>
        </is>
      </c>
      <c r="H2024" s="4" t="n">
        <v>1</v>
      </c>
      <c r="I2024" s="4" t="n">
        <v>1</v>
      </c>
      <c r="J2024" s="4" t="inlineStr">
        <is>
          <t>(i) The pattern of assistance will be as per the chart mentioned above depending upon the level of performance of the concerned sportsperson.</t>
        </is>
      </c>
      <c r="K2024" s="4" t="inlineStr">
        <is>
          <t>MS-C32</t>
        </is>
      </c>
      <c r="L2024" s="6" t="n">
        <v>46323</v>
      </c>
      <c r="M2024" s="4" t="inlineStr">
        <is>
          <t>Approved</t>
        </is>
      </c>
      <c r="N2024" s="4" t="inlineStr">
        <is>
          <t>paragraph</t>
        </is>
      </c>
    </row>
    <row r="2025" ht="54" customHeight="1">
      <c r="A2025" s="8" t="inlineStr">
        <is>
          <t>C32-P0032</t>
        </is>
      </c>
      <c r="B2025" s="8" t="inlineStr">
        <is>
          <t>C32</t>
        </is>
      </c>
      <c r="C2025" s="8" t="inlineStr">
        <is>
          <t>Free Education For Sports Medal Winners / Participants Of National/ International Events</t>
        </is>
      </c>
      <c r="D2025" s="8" t="inlineStr">
        <is>
          <t>Benefits</t>
        </is>
      </c>
      <c r="E2025" s="8" t="inlineStr">
        <is>
          <t>Participation at SAF Games; Medal at National level Competitions</t>
        </is>
      </c>
      <c r="F2025" s="8" t="inlineStr">
        <is>
          <t>en.schemeContent.benefits[35]</t>
        </is>
      </c>
      <c r="G2025" s="8" t="inlineStr">
        <is>
          <t>C32@20261028-67ab4e80</t>
        </is>
      </c>
      <c r="H2025" s="8" t="n">
        <v>1</v>
      </c>
      <c r="I2025" s="8" t="n">
        <v>1</v>
      </c>
      <c r="J2025" s="8" t="inlineStr">
        <is>
          <t>(ii) The financial assistance depending upon the eligibility will be reimbursed by the UGC to the university concerned. The university will be responsible for submitting all relevant documents as per the guidelines and the proformas of the scheme.</t>
        </is>
      </c>
      <c r="K2025" s="8" t="inlineStr">
        <is>
          <t>MS-C32</t>
        </is>
      </c>
      <c r="L2025" s="9" t="n">
        <v>46323</v>
      </c>
      <c r="M2025" s="8" t="inlineStr">
        <is>
          <t>Approved</t>
        </is>
      </c>
      <c r="N2025" s="8" t="inlineStr">
        <is>
          <t>paragraph</t>
        </is>
      </c>
    </row>
    <row r="2026" ht="54" customHeight="1">
      <c r="A2026" s="4" t="inlineStr">
        <is>
          <t>C32-P0033</t>
        </is>
      </c>
      <c r="B2026" s="4" t="inlineStr">
        <is>
          <t>C32</t>
        </is>
      </c>
      <c r="C2026" s="4" t="inlineStr">
        <is>
          <t>Free Education For Sports Medal Winners / Participants Of National/ International Events</t>
        </is>
      </c>
      <c r="D2026" s="4" t="inlineStr">
        <is>
          <t>Benefits</t>
        </is>
      </c>
      <c r="E2026" s="4" t="inlineStr">
        <is>
          <t>Participation at SAF Games; Medal at National level Competitions</t>
        </is>
      </c>
      <c r="F2026" s="4" t="inlineStr">
        <is>
          <t>en.schemeContent.benefits[36]</t>
        </is>
      </c>
      <c r="G2026" s="4" t="inlineStr">
        <is>
          <t>C32@20261028-67ab4e80</t>
        </is>
      </c>
      <c r="H2026" s="4" t="n">
        <v>1</v>
      </c>
      <c r="I2026" s="4" t="n">
        <v>1</v>
      </c>
      <c r="J2026" s="4" t="inlineStr">
        <is>
          <t>(iii) For the loss of the classes of the concerned sports persons because of their engagement in sporting activity, the university concerned will make special efforts in terms of completion of syllabus and attendance.</t>
        </is>
      </c>
      <c r="K2026" s="4" t="inlineStr">
        <is>
          <t>MS-C32</t>
        </is>
      </c>
      <c r="L2026" s="6" t="n">
        <v>46323</v>
      </c>
      <c r="M2026" s="4" t="inlineStr">
        <is>
          <t>Approved</t>
        </is>
      </c>
      <c r="N2026" s="4" t="inlineStr">
        <is>
          <t>paragraph</t>
        </is>
      </c>
    </row>
    <row r="2027" ht="68" customHeight="1">
      <c r="A2027" s="8" t="inlineStr">
        <is>
          <t>C32-P0034</t>
        </is>
      </c>
      <c r="B2027" s="8" t="inlineStr">
        <is>
          <t>C32</t>
        </is>
      </c>
      <c r="C2027" s="8" t="inlineStr">
        <is>
          <t>Free Education For Sports Medal Winners / Participants Of National/ International Events</t>
        </is>
      </c>
      <c r="D2027" s="8" t="inlineStr">
        <is>
          <t>Eligibility</t>
        </is>
      </c>
      <c r="E2027" s="8" t="inlineStr"/>
      <c r="F2027" s="8" t="inlineStr">
        <is>
          <t>en.eligibilityCriteria.eligibilityDescription[0]</t>
        </is>
      </c>
      <c r="G2027" s="8" t="inlineStr">
        <is>
          <t>C32@20261028-67ab4e80</t>
        </is>
      </c>
      <c r="H2027" s="8" t="n">
        <v>1</v>
      </c>
      <c r="I2027" s="8" t="n">
        <v>1</v>
      </c>
      <c r="J2027" s="8" t="inlineStr">
        <is>
          <t>(i)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t>
        </is>
      </c>
      <c r="K2027" s="8" t="inlineStr">
        <is>
          <t>MS-C32</t>
        </is>
      </c>
      <c r="L2027" s="9" t="n">
        <v>46323</v>
      </c>
      <c r="M2027" s="8" t="inlineStr">
        <is>
          <t>Approved</t>
        </is>
      </c>
      <c r="N2027" s="8" t="inlineStr">
        <is>
          <t>paragraph</t>
        </is>
      </c>
    </row>
    <row r="2028" ht="54" customHeight="1">
      <c r="A2028" s="4" t="inlineStr">
        <is>
          <t>C32-P0035</t>
        </is>
      </c>
      <c r="B2028" s="4" t="inlineStr">
        <is>
          <t>C32</t>
        </is>
      </c>
      <c r="C2028" s="4" t="inlineStr">
        <is>
          <t>Free Education For Sports Medal Winners / Participants Of National/ International Events</t>
        </is>
      </c>
      <c r="D2028" s="4" t="inlineStr">
        <is>
          <t>Eligibility</t>
        </is>
      </c>
      <c r="E2028" s="4" t="inlineStr"/>
      <c r="F2028" s="4" t="inlineStr">
        <is>
          <t>en.eligibilityCriteria.eligibilityDescription[1].children[0]</t>
        </is>
      </c>
      <c r="G2028" s="4" t="inlineStr">
        <is>
          <t>C32@20261028-67ab4e80</t>
        </is>
      </c>
      <c r="H2028" s="4" t="n">
        <v>1</v>
      </c>
      <c r="I2028" s="4" t="n">
        <v>1</v>
      </c>
      <c r="J2028" s="4" t="inlineStr">
        <is>
          <t>Universities/Institutions/Colleges included under sections 2(f) and 12(b) of the UGC Act, 1956.</t>
        </is>
      </c>
      <c r="K2028" s="4" t="inlineStr">
        <is>
          <t>MS-C32</t>
        </is>
      </c>
      <c r="L2028" s="6" t="n">
        <v>46323</v>
      </c>
      <c r="M2028" s="4" t="inlineStr">
        <is>
          <t>Approved</t>
        </is>
      </c>
      <c r="N2028" s="4" t="inlineStr">
        <is>
          <t>list_item</t>
        </is>
      </c>
    </row>
    <row r="2029" ht="54" customHeight="1">
      <c r="A2029" s="8" t="inlineStr">
        <is>
          <t>C32-P0036</t>
        </is>
      </c>
      <c r="B2029" s="8" t="inlineStr">
        <is>
          <t>C32</t>
        </is>
      </c>
      <c r="C2029" s="8" t="inlineStr">
        <is>
          <t>Free Education For Sports Medal Winners / Participants Of National/ International Events</t>
        </is>
      </c>
      <c r="D2029" s="8" t="inlineStr">
        <is>
          <t>Eligibility</t>
        </is>
      </c>
      <c r="E2029" s="8" t="inlineStr"/>
      <c r="F2029" s="8" t="inlineStr">
        <is>
          <t>en.eligibilityCriteria.eligibilityDescription[1].children[1]</t>
        </is>
      </c>
      <c r="G2029" s="8" t="inlineStr">
        <is>
          <t>C32@20261028-67ab4e80</t>
        </is>
      </c>
      <c r="H2029" s="8" t="n">
        <v>1</v>
      </c>
      <c r="I2029" s="8" t="n">
        <v>1</v>
      </c>
      <c r="J2029" s="8" t="inlineStr">
        <is>
          <t>Deemed to be Universities under section 3 of the UGC Act, 1956 which are eligible to receive grants</t>
        </is>
      </c>
      <c r="K2029" s="8" t="inlineStr">
        <is>
          <t>MS-C32</t>
        </is>
      </c>
      <c r="L2029" s="9" t="n">
        <v>46323</v>
      </c>
      <c r="M2029" s="8" t="inlineStr">
        <is>
          <t>Approved</t>
        </is>
      </c>
      <c r="N2029" s="8" t="inlineStr">
        <is>
          <t>list_item</t>
        </is>
      </c>
    </row>
    <row r="2030" ht="54" customHeight="1">
      <c r="A2030" s="4" t="inlineStr">
        <is>
          <t>C32-P0037</t>
        </is>
      </c>
      <c r="B2030" s="4" t="inlineStr">
        <is>
          <t>C32</t>
        </is>
      </c>
      <c r="C2030" s="4" t="inlineStr">
        <is>
          <t>Free Education For Sports Medal Winners / Participants Of National/ International Events</t>
        </is>
      </c>
      <c r="D2030" s="4" t="inlineStr">
        <is>
          <t>Eligibility</t>
        </is>
      </c>
      <c r="E2030" s="4" t="inlineStr"/>
      <c r="F2030" s="4" t="inlineStr">
        <is>
          <t>en.eligibilityCriteria.eligibilityDescription[1].children[2]</t>
        </is>
      </c>
      <c r="G2030" s="4" t="inlineStr">
        <is>
          <t>C32@20261028-67ab4e80</t>
        </is>
      </c>
      <c r="H2030" s="4" t="n">
        <v>1</v>
      </c>
      <c r="I2030" s="4" t="n">
        <v>1</v>
      </c>
      <c r="J2030" s="4" t="inlineStr">
        <is>
          <t>in aid from UGC.</t>
        </is>
      </c>
      <c r="K2030" s="4" t="inlineStr">
        <is>
          <t>MS-C32</t>
        </is>
      </c>
      <c r="L2030" s="6" t="n">
        <v>46323</v>
      </c>
      <c r="M2030" s="4" t="inlineStr">
        <is>
          <t>Approved</t>
        </is>
      </c>
      <c r="N2030" s="4" t="inlineStr">
        <is>
          <t>list_item</t>
        </is>
      </c>
    </row>
    <row r="2031" ht="54" customHeight="1">
      <c r="A2031" s="8" t="inlineStr">
        <is>
          <t>C32-P0038</t>
        </is>
      </c>
      <c r="B2031" s="8" t="inlineStr">
        <is>
          <t>C32</t>
        </is>
      </c>
      <c r="C2031" s="8" t="inlineStr">
        <is>
          <t>Free Education For Sports Medal Winners / Participants Of National/ International Events</t>
        </is>
      </c>
      <c r="D2031" s="8" t="inlineStr">
        <is>
          <t>Eligibility</t>
        </is>
      </c>
      <c r="E2031" s="8" t="inlineStr"/>
      <c r="F2031" s="8" t="inlineStr">
        <is>
          <t>en.eligibilityCriteria.eligibilityDescription[1].children[3]</t>
        </is>
      </c>
      <c r="G2031" s="8" t="inlineStr">
        <is>
          <t>C32@20261028-67ab4e80</t>
        </is>
      </c>
      <c r="H2031" s="8" t="n">
        <v>1</v>
      </c>
      <c r="I2031" s="8" t="n">
        <v>1</v>
      </c>
      <c r="J2031" s="8" t="inlineStr">
        <is>
          <t>Universities/Institutions/Colleges funded by Central/ State Govt.</t>
        </is>
      </c>
      <c r="K2031" s="8" t="inlineStr">
        <is>
          <t>MS-C32</t>
        </is>
      </c>
      <c r="L2031" s="9" t="n">
        <v>46323</v>
      </c>
      <c r="M2031" s="8" t="inlineStr">
        <is>
          <t>Approved</t>
        </is>
      </c>
      <c r="N2031" s="8" t="inlineStr">
        <is>
          <t>list_item</t>
        </is>
      </c>
    </row>
    <row r="2032" ht="54" customHeight="1">
      <c r="A2032" s="4" t="inlineStr">
        <is>
          <t>C32-P0039</t>
        </is>
      </c>
      <c r="B2032" s="4" t="inlineStr">
        <is>
          <t>C32</t>
        </is>
      </c>
      <c r="C2032" s="4" t="inlineStr">
        <is>
          <t>Free Education For Sports Medal Winners / Participants Of National/ International Events</t>
        </is>
      </c>
      <c r="D2032" s="4" t="inlineStr">
        <is>
          <t>Eligibility</t>
        </is>
      </c>
      <c r="E2032" s="4" t="inlineStr"/>
      <c r="F2032" s="4" t="inlineStr">
        <is>
          <t>en.eligibilityCriteria.eligibilityDescription[1].children[4]</t>
        </is>
      </c>
      <c r="G2032" s="4" t="inlineStr">
        <is>
          <t>C32@20261028-67ab4e80</t>
        </is>
      </c>
      <c r="H2032" s="4" t="n">
        <v>1</v>
      </c>
      <c r="I2032" s="4" t="n">
        <v>1</v>
      </c>
      <c r="J2032" s="4" t="inlineStr">
        <is>
          <t>Institutes of National Importance.</t>
        </is>
      </c>
      <c r="K2032" s="4" t="inlineStr">
        <is>
          <t>MS-C32</t>
        </is>
      </c>
      <c r="L2032" s="6" t="n">
        <v>46323</v>
      </c>
      <c r="M2032" s="4" t="inlineStr">
        <is>
          <t>Approved</t>
        </is>
      </c>
      <c r="N2032" s="4" t="inlineStr">
        <is>
          <t>list_item</t>
        </is>
      </c>
    </row>
    <row r="2033" ht="54" customHeight="1">
      <c r="A2033" s="8" t="inlineStr">
        <is>
          <t>C32-P0040</t>
        </is>
      </c>
      <c r="B2033" s="8" t="inlineStr">
        <is>
          <t>C32</t>
        </is>
      </c>
      <c r="C2033" s="8" t="inlineStr">
        <is>
          <t>Free Education For Sports Medal Winners / Participants Of National/ International Events</t>
        </is>
      </c>
      <c r="D2033" s="8" t="inlineStr">
        <is>
          <t>Eligibility</t>
        </is>
      </c>
      <c r="E2033" s="8" t="inlineStr"/>
      <c r="F2033" s="8" t="inlineStr">
        <is>
          <t>en.eligibilityCriteria.eligibilityDescription[2]</t>
        </is>
      </c>
      <c r="G2033" s="8" t="inlineStr">
        <is>
          <t>C32@20261028-67ab4e80</t>
        </is>
      </c>
      <c r="H2033" s="8" t="n">
        <v>1</v>
      </c>
      <c r="I2033" s="8" t="n">
        <v>1</v>
      </c>
      <c r="J2033" s="8" t="inlineStr">
        <is>
          <t>(ii) In the subsequent years this scholarship shall depend on their subsequent sports performance.</t>
        </is>
      </c>
      <c r="K2033" s="8" t="inlineStr">
        <is>
          <t>MS-C32</t>
        </is>
      </c>
      <c r="L2033" s="9" t="n">
        <v>46323</v>
      </c>
      <c r="M2033" s="8" t="inlineStr">
        <is>
          <t>Approved</t>
        </is>
      </c>
      <c r="N2033" s="8" t="inlineStr">
        <is>
          <t>paragraph</t>
        </is>
      </c>
    </row>
    <row r="2034" ht="54" customHeight="1">
      <c r="A2034" s="4" t="inlineStr">
        <is>
          <t>C32-P0041</t>
        </is>
      </c>
      <c r="B2034" s="4" t="inlineStr">
        <is>
          <t>C32</t>
        </is>
      </c>
      <c r="C2034" s="4" t="inlineStr">
        <is>
          <t>Free Education For Sports Medal Winners / Participants Of National/ International Events</t>
        </is>
      </c>
      <c r="D2034" s="4" t="inlineStr">
        <is>
          <t>Exclusions</t>
        </is>
      </c>
      <c r="E2034" s="4" t="inlineStr">
        <is>
          <t>CANCELLATION OF SCHOLARSHIP</t>
        </is>
      </c>
      <c r="F2034" s="4" t="inlineStr">
        <is>
          <t>en.schemeContent.exclusions[0]</t>
        </is>
      </c>
      <c r="G2034" s="4" t="inlineStr">
        <is>
          <t>C32@20261028-67ab4e80</t>
        </is>
      </c>
      <c r="H2034" s="4" t="n">
        <v>1</v>
      </c>
      <c r="I2034" s="4" t="n">
        <v>1</v>
      </c>
      <c r="J2034" s="4" t="inlineStr">
        <is>
          <t>CANCELLATION OF SCHOLARSHIP</t>
        </is>
      </c>
      <c r="K2034" s="4" t="inlineStr">
        <is>
          <t>MS-C32</t>
        </is>
      </c>
      <c r="L2034" s="6" t="n">
        <v>46323</v>
      </c>
      <c r="M2034" s="4" t="inlineStr">
        <is>
          <t>Approved</t>
        </is>
      </c>
      <c r="N2034" s="4" t="inlineStr">
        <is>
          <t>paragraph</t>
        </is>
      </c>
    </row>
    <row r="2035" ht="54" customHeight="1">
      <c r="A2035" s="8" t="inlineStr">
        <is>
          <t>C32-P0042</t>
        </is>
      </c>
      <c r="B2035" s="8" t="inlineStr">
        <is>
          <t>C32</t>
        </is>
      </c>
      <c r="C2035" s="8" t="inlineStr">
        <is>
          <t>Free Education For Sports Medal Winners / Participants Of National/ International Events</t>
        </is>
      </c>
      <c r="D2035" s="8" t="inlineStr">
        <is>
          <t>Exclusions</t>
        </is>
      </c>
      <c r="E2035" s="8" t="inlineStr">
        <is>
          <t>CANCELLATION OF SCHOLARSHIP</t>
        </is>
      </c>
      <c r="F2035" s="8" t="inlineStr">
        <is>
          <t>en.schemeContent.exclusions[1]</t>
        </is>
      </c>
      <c r="G2035" s="8" t="inlineStr">
        <is>
          <t>C32@20261028-67ab4e80</t>
        </is>
      </c>
      <c r="H2035" s="8" t="n">
        <v>1</v>
      </c>
      <c r="I2035" s="8" t="n">
        <v>1</v>
      </c>
      <c r="J2035" s="8" t="inlineStr">
        <is>
          <t>UGC may terminate the scholarship of any student in the case of the:</t>
        </is>
      </c>
      <c r="K2035" s="8" t="inlineStr">
        <is>
          <t>MS-C32</t>
        </is>
      </c>
      <c r="L2035" s="9" t="n">
        <v>46323</v>
      </c>
      <c r="M2035" s="8" t="inlineStr">
        <is>
          <t>Approved</t>
        </is>
      </c>
      <c r="N2035" s="8" t="inlineStr">
        <is>
          <t>paragraph</t>
        </is>
      </c>
    </row>
    <row r="2036" ht="54" customHeight="1">
      <c r="A2036" s="4" t="inlineStr">
        <is>
          <t>C32-P0043</t>
        </is>
      </c>
      <c r="B2036" s="4" t="inlineStr">
        <is>
          <t>C32</t>
        </is>
      </c>
      <c r="C2036" s="4" t="inlineStr">
        <is>
          <t>Free Education For Sports Medal Winners / Participants Of National/ International Events</t>
        </is>
      </c>
      <c r="D2036" s="4" t="inlineStr">
        <is>
          <t>Exclusions</t>
        </is>
      </c>
      <c r="E2036" s="4" t="inlineStr">
        <is>
          <t>CANCELLATION OF SCHOLARSHIP</t>
        </is>
      </c>
      <c r="F2036" s="4" t="inlineStr">
        <is>
          <t>en.schemeContent.exclusions[2]</t>
        </is>
      </c>
      <c r="G2036" s="4" t="inlineStr">
        <is>
          <t>C32@20261028-67ab4e80</t>
        </is>
      </c>
      <c r="H2036" s="4" t="n">
        <v>1</v>
      </c>
      <c r="I2036" s="4" t="n">
        <v>1</v>
      </c>
      <c r="J2036" s="4" t="inlineStr">
        <is>
          <t>(i) Misconduct of the candidate, if any, reported by the University/College/Institution.</t>
        </is>
      </c>
      <c r="K2036" s="4" t="inlineStr">
        <is>
          <t>MS-C32</t>
        </is>
      </c>
      <c r="L2036" s="6" t="n">
        <v>46323</v>
      </c>
      <c r="M2036" s="4" t="inlineStr">
        <is>
          <t>Approved</t>
        </is>
      </c>
      <c r="N2036" s="4" t="inlineStr">
        <is>
          <t>paragraph</t>
        </is>
      </c>
    </row>
    <row r="2037" ht="54" customHeight="1">
      <c r="A2037" s="8" t="inlineStr">
        <is>
          <t>C32-P0044</t>
        </is>
      </c>
      <c r="B2037" s="8" t="inlineStr">
        <is>
          <t>C32</t>
        </is>
      </c>
      <c r="C2037" s="8" t="inlineStr">
        <is>
          <t>Free Education For Sports Medal Winners / Participants Of National/ International Events</t>
        </is>
      </c>
      <c r="D2037" s="8" t="inlineStr">
        <is>
          <t>Exclusions</t>
        </is>
      </c>
      <c r="E2037" s="8" t="inlineStr">
        <is>
          <t>CANCELLATION OF SCHOLARSHIP</t>
        </is>
      </c>
      <c r="F2037" s="8" t="inlineStr">
        <is>
          <t>en.schemeContent.exclusions[3]</t>
        </is>
      </c>
      <c r="G2037" s="8" t="inlineStr">
        <is>
          <t>C32@20261028-67ab4e80</t>
        </is>
      </c>
      <c r="H2037" s="8" t="n">
        <v>1</v>
      </c>
      <c r="I2037" s="8" t="n">
        <v>1</v>
      </c>
      <c r="J2037" s="8" t="inlineStr">
        <is>
          <t>(ii) Unsatisfactory progress report i.e. if the candidate frequently fails in his/her examination will not be given further assistance.</t>
        </is>
      </c>
      <c r="K2037" s="8" t="inlineStr">
        <is>
          <t>MS-C32</t>
        </is>
      </c>
      <c r="L2037" s="9" t="n">
        <v>46323</v>
      </c>
      <c r="M2037" s="8" t="inlineStr">
        <is>
          <t>Approved</t>
        </is>
      </c>
      <c r="N2037" s="8" t="inlineStr">
        <is>
          <t>paragraph</t>
        </is>
      </c>
    </row>
    <row r="2038" ht="54" customHeight="1">
      <c r="A2038" s="4" t="inlineStr">
        <is>
          <t>C32-P0045</t>
        </is>
      </c>
      <c r="B2038" s="4" t="inlineStr">
        <is>
          <t>C32</t>
        </is>
      </c>
      <c r="C2038" s="4" t="inlineStr">
        <is>
          <t>Free Education For Sports Medal Winners / Participants Of National/ International Events</t>
        </is>
      </c>
      <c r="D2038" s="4" t="inlineStr">
        <is>
          <t>Exclusions</t>
        </is>
      </c>
      <c r="E2038" s="4" t="inlineStr">
        <is>
          <t>CANCELLATION OF SCHOLARSHIP</t>
        </is>
      </c>
      <c r="F2038" s="4" t="inlineStr">
        <is>
          <t>en.schemeContent.exclusions[4]</t>
        </is>
      </c>
      <c r="G2038" s="4" t="inlineStr">
        <is>
          <t>C32@20261028-67ab4e80</t>
        </is>
      </c>
      <c r="H2038" s="4" t="n">
        <v>1</v>
      </c>
      <c r="I2038" s="4" t="n">
        <v>1</v>
      </c>
      <c r="J2038" s="4" t="inlineStr">
        <is>
          <t>(iii) The scholarship may be terminated by the Commission, on the recommendation of the University at</t>
        </is>
      </c>
      <c r="K2038" s="4" t="inlineStr">
        <is>
          <t>MS-C32</t>
        </is>
      </c>
      <c r="L2038" s="6" t="n">
        <v>46323</v>
      </c>
      <c r="M2038" s="4" t="inlineStr">
        <is>
          <t>Approved</t>
        </is>
      </c>
      <c r="N2038" s="4" t="inlineStr">
        <is>
          <t>paragraph</t>
        </is>
      </c>
    </row>
    <row r="2039" ht="54" customHeight="1">
      <c r="A2039" s="8" t="inlineStr">
        <is>
          <t>C32-P0046</t>
        </is>
      </c>
      <c r="B2039" s="8" t="inlineStr">
        <is>
          <t>C32</t>
        </is>
      </c>
      <c r="C2039" s="8" t="inlineStr">
        <is>
          <t>Free Education For Sports Medal Winners / Participants Of National/ International Events</t>
        </is>
      </c>
      <c r="D2039" s="8" t="inlineStr">
        <is>
          <t>Exclusions</t>
        </is>
      </c>
      <c r="E2039" s="8" t="inlineStr">
        <is>
          <t>CANCELLATION OF SCHOLARSHIP</t>
        </is>
      </c>
      <c r="F2039" s="8" t="inlineStr">
        <is>
          <t>en.schemeContent.exclusions[5]</t>
        </is>
      </c>
      <c r="G2039" s="8" t="inlineStr">
        <is>
          <t>C32@20261028-67ab4e80</t>
        </is>
      </c>
      <c r="H2039" s="8" t="n">
        <v>1</v>
      </c>
      <c r="I2039" s="8" t="n">
        <v>1</v>
      </c>
      <c r="J2039" s="8" t="inlineStr">
        <is>
          <t>anytime during the tenure and the decision of the Commission will be final and binding.</t>
        </is>
      </c>
      <c r="K2039" s="8" t="inlineStr">
        <is>
          <t>MS-C32</t>
        </is>
      </c>
      <c r="L2039" s="9" t="n">
        <v>46323</v>
      </c>
      <c r="M2039" s="8" t="inlineStr">
        <is>
          <t>Approved</t>
        </is>
      </c>
      <c r="N2039" s="8" t="inlineStr">
        <is>
          <t>paragraph</t>
        </is>
      </c>
    </row>
    <row r="2040" ht="54" customHeight="1">
      <c r="A2040" s="4" t="inlineStr">
        <is>
          <t>C32-P0047</t>
        </is>
      </c>
      <c r="B2040" s="4" t="inlineStr">
        <is>
          <t>C32</t>
        </is>
      </c>
      <c r="C2040" s="4" t="inlineStr">
        <is>
          <t>Free Education For Sports Medal Winners / Participants Of National/ International Events</t>
        </is>
      </c>
      <c r="D2040" s="4" t="inlineStr">
        <is>
          <t>Applicant documents</t>
        </is>
      </c>
      <c r="E2040" s="4" t="inlineStr">
        <is>
          <t>To Be Submitted by the Candidate through University/College -</t>
        </is>
      </c>
      <c r="F2040" s="4" t="inlineStr">
        <is>
          <t>documents.en.documents_required[0]</t>
        </is>
      </c>
      <c r="G2040" s="4" t="inlineStr">
        <is>
          <t>C32@20261028-67ab4e80</t>
        </is>
      </c>
      <c r="H2040" s="4" t="n">
        <v>1</v>
      </c>
      <c r="I2040" s="4" t="n">
        <v>1</v>
      </c>
      <c r="J2040" s="4" t="inlineStr">
        <is>
          <t>To Be Submitted by the Candidate through University/College -</t>
        </is>
      </c>
      <c r="K2040" s="4" t="inlineStr">
        <is>
          <t>MS-C32</t>
        </is>
      </c>
      <c r="L2040" s="6" t="n">
        <v>46323</v>
      </c>
      <c r="M2040" s="4" t="inlineStr">
        <is>
          <t>Approved</t>
        </is>
      </c>
      <c r="N2040" s="4" t="inlineStr">
        <is>
          <t>paragraph</t>
        </is>
      </c>
    </row>
    <row r="2041" ht="54" customHeight="1">
      <c r="A2041" s="8" t="inlineStr">
        <is>
          <t>C32-P0048</t>
        </is>
      </c>
      <c r="B2041" s="8" t="inlineStr">
        <is>
          <t>C32</t>
        </is>
      </c>
      <c r="C2041" s="8" t="inlineStr">
        <is>
          <t>Free Education For Sports Medal Winners / Participants Of National/ International Events</t>
        </is>
      </c>
      <c r="D2041" s="8" t="inlineStr">
        <is>
          <t>Applicant documents</t>
        </is>
      </c>
      <c r="E2041" s="8" t="inlineStr">
        <is>
          <t>To Be Submitted by the Candidate through University/College -</t>
        </is>
      </c>
      <c r="F2041" s="8" t="inlineStr">
        <is>
          <t>documents.en.documents_required[1]</t>
        </is>
      </c>
      <c r="G2041" s="8" t="inlineStr">
        <is>
          <t>C32@20261028-67ab4e80</t>
        </is>
      </c>
      <c r="H2041" s="8" t="n">
        <v>1</v>
      </c>
      <c r="I2041" s="8" t="n">
        <v>1</v>
      </c>
      <c r="J2041" s="8" t="inlineStr">
        <is>
          <t>1. The candidate is required to submit an application in the prescribed format for availing of the scholarship.</t>
        </is>
      </c>
      <c r="K2041" s="8" t="inlineStr">
        <is>
          <t>MS-C32</t>
        </is>
      </c>
      <c r="L2041" s="9" t="n">
        <v>46323</v>
      </c>
      <c r="M2041" s="8" t="inlineStr">
        <is>
          <t>Approved</t>
        </is>
      </c>
      <c r="N2041" s="8" t="inlineStr">
        <is>
          <t>paragraph</t>
        </is>
      </c>
    </row>
    <row r="2042" ht="54" customHeight="1">
      <c r="A2042" s="4" t="inlineStr">
        <is>
          <t>C32-P0049</t>
        </is>
      </c>
      <c r="B2042" s="4" t="inlineStr">
        <is>
          <t>C32</t>
        </is>
      </c>
      <c r="C2042" s="4" t="inlineStr">
        <is>
          <t>Free Education For Sports Medal Winners / Participants Of National/ International Events</t>
        </is>
      </c>
      <c r="D2042" s="4" t="inlineStr">
        <is>
          <t>Applicant documents</t>
        </is>
      </c>
      <c r="E2042" s="4" t="inlineStr">
        <is>
          <t>To Be Submitted by the Candidate through University/College -</t>
        </is>
      </c>
      <c r="F2042" s="4" t="inlineStr">
        <is>
          <t>documents.en.documents_required[2]</t>
        </is>
      </c>
      <c r="G2042" s="4" t="inlineStr">
        <is>
          <t>C32@20261028-67ab4e80</t>
        </is>
      </c>
      <c r="H2042" s="4" t="n">
        <v>1</v>
      </c>
      <c r="I2042" s="4" t="n">
        <v>1</v>
      </c>
      <c r="J2042" s="4" t="inlineStr">
        <is>
          <t>2. A Certificate of the participation/medal winner as per the eligibility mentioned above as proof (Attested By Registrar/Principal).</t>
        </is>
      </c>
      <c r="K2042" s="4" t="inlineStr">
        <is>
          <t>MS-C32</t>
        </is>
      </c>
      <c r="L2042" s="6" t="n">
        <v>46323</v>
      </c>
      <c r="M2042" s="4" t="inlineStr">
        <is>
          <t>Approved</t>
        </is>
      </c>
      <c r="N2042" s="4" t="inlineStr">
        <is>
          <t>paragraph</t>
        </is>
      </c>
    </row>
    <row r="2043" ht="54" customHeight="1">
      <c r="A2043" s="8" t="inlineStr">
        <is>
          <t>C32-P0050</t>
        </is>
      </c>
      <c r="B2043" s="8" t="inlineStr">
        <is>
          <t>C32</t>
        </is>
      </c>
      <c r="C2043" s="8" t="inlineStr">
        <is>
          <t>Free Education For Sports Medal Winners / Participants Of National/ International Events</t>
        </is>
      </c>
      <c r="D2043" s="8" t="inlineStr">
        <is>
          <t>Applicant documents</t>
        </is>
      </c>
      <c r="E2043" s="8" t="inlineStr">
        <is>
          <t>To Be Submitted by the concerned University/College/Institution to the UGC -</t>
        </is>
      </c>
      <c r="F2043" s="8" t="inlineStr">
        <is>
          <t>documents.en.documents_required[4]</t>
        </is>
      </c>
      <c r="G2043" s="8" t="inlineStr">
        <is>
          <t>C32@20261028-67ab4e80</t>
        </is>
      </c>
      <c r="H2043" s="8" t="n">
        <v>1</v>
      </c>
      <c r="I2043" s="8" t="n">
        <v>1</v>
      </c>
      <c r="J2043" s="8" t="inlineStr">
        <is>
          <t>To Be Submitted by the concerned University/College/Institution to the UGC -</t>
        </is>
      </c>
      <c r="K2043" s="8" t="inlineStr">
        <is>
          <t>MS-C32</t>
        </is>
      </c>
      <c r="L2043" s="9" t="n">
        <v>46323</v>
      </c>
      <c r="M2043" s="8" t="inlineStr">
        <is>
          <t>Approved</t>
        </is>
      </c>
      <c r="N2043" s="8" t="inlineStr">
        <is>
          <t>paragraph</t>
        </is>
      </c>
    </row>
    <row r="2044" ht="54" customHeight="1">
      <c r="A2044" s="4" t="inlineStr">
        <is>
          <t>C32-P0051</t>
        </is>
      </c>
      <c r="B2044" s="4" t="inlineStr">
        <is>
          <t>C32</t>
        </is>
      </c>
      <c r="C2044" s="4" t="inlineStr">
        <is>
          <t>Free Education For Sports Medal Winners / Participants Of National/ International Events</t>
        </is>
      </c>
      <c r="D2044" s="4" t="inlineStr">
        <is>
          <t>Applicant documents</t>
        </is>
      </c>
      <c r="E2044" s="4" t="inlineStr">
        <is>
          <t>To Be Submitted by the concerned University/College/Institution to the UGC -</t>
        </is>
      </c>
      <c r="F2044" s="4" t="inlineStr">
        <is>
          <t>documents.en.documents_required[5]</t>
        </is>
      </c>
      <c r="G2044" s="4" t="inlineStr">
        <is>
          <t>C32@20261028-67ab4e80</t>
        </is>
      </c>
      <c r="H2044" s="4" t="n">
        <v>1</v>
      </c>
      <c r="I2044" s="4" t="n">
        <v>1</v>
      </c>
      <c r="J2044" s="4" t="inlineStr">
        <is>
          <t>Every year University/Institution will submit a complete statement of the following:</t>
        </is>
      </c>
      <c r="K2044" s="4" t="inlineStr">
        <is>
          <t>MS-C32</t>
        </is>
      </c>
      <c r="L2044" s="6" t="n">
        <v>46323</v>
      </c>
      <c r="M2044" s="4" t="inlineStr">
        <is>
          <t>Approved</t>
        </is>
      </c>
      <c r="N2044" s="4" t="inlineStr">
        <is>
          <t>paragraph</t>
        </is>
      </c>
    </row>
    <row r="2045" ht="54" customHeight="1">
      <c r="A2045" s="8" t="inlineStr">
        <is>
          <t>C32-P0052</t>
        </is>
      </c>
      <c r="B2045" s="8" t="inlineStr">
        <is>
          <t>C32</t>
        </is>
      </c>
      <c r="C2045" s="8" t="inlineStr">
        <is>
          <t>Free Education For Sports Medal Winners / Participants Of National/ International Events</t>
        </is>
      </c>
      <c r="D2045" s="8" t="inlineStr">
        <is>
          <t>Applicant documents</t>
        </is>
      </c>
      <c r="E2045" s="8" t="inlineStr">
        <is>
          <t>To Be Submitted by the concerned University/College/Institution to the UGC -</t>
        </is>
      </c>
      <c r="F2045" s="8" t="inlineStr">
        <is>
          <t>documents.en.documents_required[6]</t>
        </is>
      </c>
      <c r="G2045" s="8" t="inlineStr">
        <is>
          <t>C32@20261028-67ab4e80</t>
        </is>
      </c>
      <c r="H2045" s="8" t="n">
        <v>1</v>
      </c>
      <c r="I2045" s="8" t="n">
        <v>1</v>
      </c>
      <c r="J2045" s="8" t="inlineStr">
        <is>
          <t>1. Statement giving the names of the students selected for the scholarship along with their receipt of the scholarship amount.</t>
        </is>
      </c>
      <c r="K2045" s="8" t="inlineStr">
        <is>
          <t>MS-C32</t>
        </is>
      </c>
      <c r="L2045" s="9" t="n">
        <v>46323</v>
      </c>
      <c r="M2045" s="8" t="inlineStr">
        <is>
          <t>Approved</t>
        </is>
      </c>
      <c r="N2045" s="8" t="inlineStr">
        <is>
          <t>paragraph</t>
        </is>
      </c>
    </row>
    <row r="2046" ht="54" customHeight="1">
      <c r="A2046" s="4" t="inlineStr">
        <is>
          <t>C32-P0053</t>
        </is>
      </c>
      <c r="B2046" s="4" t="inlineStr">
        <is>
          <t>C32</t>
        </is>
      </c>
      <c r="C2046" s="4" t="inlineStr">
        <is>
          <t>Free Education For Sports Medal Winners / Participants Of National/ International Events</t>
        </is>
      </c>
      <c r="D2046" s="4" t="inlineStr">
        <is>
          <t>Applicant documents</t>
        </is>
      </c>
      <c r="E2046" s="4" t="inlineStr">
        <is>
          <t>To Be Submitted by the concerned University/College/Institution to the UGC -</t>
        </is>
      </c>
      <c r="F2046" s="4" t="inlineStr">
        <is>
          <t>documents.en.documents_required[7]</t>
        </is>
      </c>
      <c r="G2046" s="4" t="inlineStr">
        <is>
          <t>C32@20261028-67ab4e80</t>
        </is>
      </c>
      <c r="H2046" s="4" t="n">
        <v>1</v>
      </c>
      <c r="I2046" s="4" t="n">
        <v>1</v>
      </c>
      <c r="J2046" s="4" t="inlineStr">
        <is>
          <t>2. Progress Report to be submitted after the completion of the first year in terms of sports performance and academics.</t>
        </is>
      </c>
      <c r="K2046" s="4" t="inlineStr">
        <is>
          <t>MS-C32</t>
        </is>
      </c>
      <c r="L2046" s="6" t="n">
        <v>46323</v>
      </c>
      <c r="M2046" s="4" t="inlineStr">
        <is>
          <t>Approved</t>
        </is>
      </c>
      <c r="N2046" s="4" t="inlineStr">
        <is>
          <t>paragraph</t>
        </is>
      </c>
    </row>
    <row r="2047" ht="54" customHeight="1">
      <c r="A2047" s="8" t="inlineStr">
        <is>
          <t>C32-P0054</t>
        </is>
      </c>
      <c r="B2047" s="8" t="inlineStr">
        <is>
          <t>C32</t>
        </is>
      </c>
      <c r="C2047" s="8" t="inlineStr">
        <is>
          <t>Free Education For Sports Medal Winners / Participants Of National/ International Events</t>
        </is>
      </c>
      <c r="D2047" s="8" t="inlineStr">
        <is>
          <t>Applicant documents</t>
        </is>
      </c>
      <c r="E2047" s="8" t="inlineStr">
        <is>
          <t>To Be Submitted by the concerned University/College/Institution to the UGC -</t>
        </is>
      </c>
      <c r="F2047" s="8" t="inlineStr">
        <is>
          <t>documents.en.documents_required[8]</t>
        </is>
      </c>
      <c r="G2047" s="8" t="inlineStr">
        <is>
          <t>C32@20261028-67ab4e80</t>
        </is>
      </c>
      <c r="H2047" s="8" t="n">
        <v>1</v>
      </c>
      <c r="I2047" s="8" t="n">
        <v>1</v>
      </c>
      <c r="J2047" s="8" t="inlineStr">
        <is>
          <t>3. Utilization certificate for the previous grant released.</t>
        </is>
      </c>
      <c r="K2047" s="8" t="inlineStr">
        <is>
          <t>MS-C32</t>
        </is>
      </c>
      <c r="L2047" s="9" t="n">
        <v>46323</v>
      </c>
      <c r="M2047" s="8" t="inlineStr">
        <is>
          <t>Approved</t>
        </is>
      </c>
      <c r="N2047" s="8" t="inlineStr">
        <is>
          <t>paragraph</t>
        </is>
      </c>
    </row>
    <row r="2048" ht="54" customHeight="1">
      <c r="A2048" s="4" t="inlineStr">
        <is>
          <t>C32-P0055</t>
        </is>
      </c>
      <c r="B2048" s="4" t="inlineStr">
        <is>
          <t>C32</t>
        </is>
      </c>
      <c r="C2048" s="4" t="inlineStr">
        <is>
          <t>Free Education For Sports Medal Winners / Participants Of National/ International Events</t>
        </is>
      </c>
      <c r="D2048" s="4" t="inlineStr">
        <is>
          <t>Applicant documents</t>
        </is>
      </c>
      <c r="E2048" s="4" t="inlineStr">
        <is>
          <t>To Be Submitted by the concerned University/College/Institution to the UGC -</t>
        </is>
      </c>
      <c r="F2048" s="4" t="inlineStr">
        <is>
          <t>documents.en.documents_required[9]</t>
        </is>
      </c>
      <c r="G2048" s="4" t="inlineStr">
        <is>
          <t>C32@20261028-67ab4e80</t>
        </is>
      </c>
      <c r="H2048" s="4" t="n">
        <v>1</v>
      </c>
      <c r="I2048" s="4" t="n">
        <v>1</v>
      </c>
      <c r="J2048" s="4" t="inlineStr">
        <is>
          <t>4. A certificate giving justification for the continuance of the scholarship issued by the Director/Head of the Department duly forwarded by the Registrar/Principal.</t>
        </is>
      </c>
      <c r="K2048" s="4" t="inlineStr">
        <is>
          <t>MS-C32</t>
        </is>
      </c>
      <c r="L2048" s="6" t="n">
        <v>46323</v>
      </c>
      <c r="M2048" s="4" t="inlineStr">
        <is>
          <t>Approved</t>
        </is>
      </c>
      <c r="N2048" s="4" t="inlineStr">
        <is>
          <t>paragraph</t>
        </is>
      </c>
    </row>
    <row r="2049" ht="54" customHeight="1">
      <c r="A2049" s="8" t="inlineStr">
        <is>
          <t>C32-P0056</t>
        </is>
      </c>
      <c r="B2049" s="8" t="inlineStr">
        <is>
          <t>C32</t>
        </is>
      </c>
      <c r="C2049" s="8" t="inlineStr">
        <is>
          <t>Free Education For Sports Medal Winners / Participants Of National/ International Events</t>
        </is>
      </c>
      <c r="D2049" s="8" t="inlineStr">
        <is>
          <t>Application process</t>
        </is>
      </c>
      <c r="E2049" s="8" t="inlineStr"/>
      <c r="F2049" s="8" t="inlineStr">
        <is>
          <t>en.applicationProcess[0].process[0]</t>
        </is>
      </c>
      <c r="G2049" s="8" t="inlineStr">
        <is>
          <t>C32@20261028-67ab4e80</t>
        </is>
      </c>
      <c r="H2049" s="8" t="n">
        <v>1</v>
      </c>
      <c r="I2049" s="8" t="n">
        <v>1</v>
      </c>
      <c r="J2049" s="8" t="inlineStr">
        <is>
          <t>Step 1: Download the prescribed application form (Refer Page No. 5 ).</t>
        </is>
      </c>
      <c r="K2049" s="8" t="inlineStr">
        <is>
          <t>MS-C32</t>
        </is>
      </c>
      <c r="L2049" s="9" t="n">
        <v>46323</v>
      </c>
      <c r="M2049" s="8" t="inlineStr">
        <is>
          <t>Approved</t>
        </is>
      </c>
      <c r="N2049" s="8" t="inlineStr">
        <is>
          <t>paragraph</t>
        </is>
      </c>
    </row>
    <row r="2050" ht="54" customHeight="1">
      <c r="A2050" s="4" t="inlineStr">
        <is>
          <t>C32-P0057</t>
        </is>
      </c>
      <c r="B2050" s="4" t="inlineStr">
        <is>
          <t>C32</t>
        </is>
      </c>
      <c r="C2050" s="4" t="inlineStr">
        <is>
          <t>Free Education For Sports Medal Winners / Participants Of National/ International Events</t>
        </is>
      </c>
      <c r="D2050" s="4" t="inlineStr">
        <is>
          <t>Application process</t>
        </is>
      </c>
      <c r="E2050" s="4" t="inlineStr"/>
      <c r="F2050" s="4" t="inlineStr">
        <is>
          <t>en.applicationProcess[0].process[1]</t>
        </is>
      </c>
      <c r="G2050" s="4" t="inlineStr">
        <is>
          <t>C32@20261028-67ab4e80</t>
        </is>
      </c>
      <c r="H2050" s="4" t="n">
        <v>1</v>
      </c>
      <c r="I2050" s="4" t="n">
        <v>1</v>
      </c>
      <c r="J2050" s="4" t="inlineStr">
        <is>
          <t>Step 2: Fill in the application form with accurate details.</t>
        </is>
      </c>
      <c r="K2050" s="4" t="inlineStr">
        <is>
          <t>MS-C32</t>
        </is>
      </c>
      <c r="L2050" s="6" t="n">
        <v>46323</v>
      </c>
      <c r="M2050" s="4" t="inlineStr">
        <is>
          <t>Approved</t>
        </is>
      </c>
      <c r="N2050" s="4" t="inlineStr">
        <is>
          <t>paragraph</t>
        </is>
      </c>
    </row>
    <row r="2051" ht="54" customHeight="1">
      <c r="A2051" s="8" t="inlineStr">
        <is>
          <t>C32-P0058</t>
        </is>
      </c>
      <c r="B2051" s="8" t="inlineStr">
        <is>
          <t>C32</t>
        </is>
      </c>
      <c r="C2051" s="8" t="inlineStr">
        <is>
          <t>Free Education For Sports Medal Winners / Participants Of National/ International Events</t>
        </is>
      </c>
      <c r="D2051" s="8" t="inlineStr">
        <is>
          <t>Application process</t>
        </is>
      </c>
      <c r="E2051" s="8" t="inlineStr"/>
      <c r="F2051" s="8" t="inlineStr">
        <is>
          <t>en.applicationProcess[0].process[2]</t>
        </is>
      </c>
      <c r="G2051" s="8" t="inlineStr">
        <is>
          <t>C32@20261028-67ab4e80</t>
        </is>
      </c>
      <c r="H2051" s="8" t="n">
        <v>1</v>
      </c>
      <c r="I2051" s="8" t="n">
        <v>1</v>
      </c>
      <c r="J2051" s="8" t="inlineStr">
        <is>
          <t>Step 3: Attach a certificate of participation or medal-winning as proof of eligibility, attested by the Registrar or Principal of your institution.</t>
        </is>
      </c>
      <c r="K2051" s="8" t="inlineStr">
        <is>
          <t>MS-C32</t>
        </is>
      </c>
      <c r="L2051" s="9" t="n">
        <v>46323</v>
      </c>
      <c r="M2051" s="8" t="inlineStr">
        <is>
          <t>Approved</t>
        </is>
      </c>
      <c r="N2051" s="8" t="inlineStr">
        <is>
          <t>paragraph</t>
        </is>
      </c>
    </row>
    <row r="2052" ht="54" customHeight="1">
      <c r="A2052" s="4" t="inlineStr">
        <is>
          <t>C32-P0059</t>
        </is>
      </c>
      <c r="B2052" s="4" t="inlineStr">
        <is>
          <t>C32</t>
        </is>
      </c>
      <c r="C2052" s="4" t="inlineStr">
        <is>
          <t>Free Education For Sports Medal Winners / Participants Of National/ International Events</t>
        </is>
      </c>
      <c r="D2052" s="4" t="inlineStr">
        <is>
          <t>Application process</t>
        </is>
      </c>
      <c r="E2052" s="4" t="inlineStr"/>
      <c r="F2052" s="4" t="inlineStr">
        <is>
          <t>en.applicationProcess[0].process[3]</t>
        </is>
      </c>
      <c r="G2052" s="4" t="inlineStr">
        <is>
          <t>C32@20261028-67ab4e80</t>
        </is>
      </c>
      <c r="H2052" s="4" t="n">
        <v>1</v>
      </c>
      <c r="I2052" s="4" t="n">
        <v>1</v>
      </c>
      <c r="J2052" s="4" t="inlineStr">
        <is>
          <t>Step 4: Verify the form and attached documents for completeness and accuracy.</t>
        </is>
      </c>
      <c r="K2052" s="4" t="inlineStr">
        <is>
          <t>MS-C32</t>
        </is>
      </c>
      <c r="L2052" s="6" t="n">
        <v>46323</v>
      </c>
      <c r="M2052" s="4" t="inlineStr">
        <is>
          <t>Approved</t>
        </is>
      </c>
      <c r="N2052" s="4" t="inlineStr">
        <is>
          <t>paragraph</t>
        </is>
      </c>
    </row>
    <row r="2053" ht="54" customHeight="1">
      <c r="A2053" s="8" t="inlineStr">
        <is>
          <t>C32-P0060</t>
        </is>
      </c>
      <c r="B2053" s="8" t="inlineStr">
        <is>
          <t>C32</t>
        </is>
      </c>
      <c r="C2053" s="8" t="inlineStr">
        <is>
          <t>Free Education For Sports Medal Winners / Participants Of National/ International Events</t>
        </is>
      </c>
      <c r="D2053" s="8" t="inlineStr">
        <is>
          <t>Application process</t>
        </is>
      </c>
      <c r="E2053" s="8" t="inlineStr"/>
      <c r="F2053" s="8" t="inlineStr">
        <is>
          <t>en.applicationProcess[0].process[4]</t>
        </is>
      </c>
      <c r="G2053" s="8" t="inlineStr">
        <is>
          <t>C32@20261028-67ab4e80</t>
        </is>
      </c>
      <c r="H2053" s="8" t="n">
        <v>1</v>
      </c>
      <c r="I2053" s="8" t="n">
        <v>1</v>
      </c>
      <c r="J2053" s="8" t="inlineStr">
        <is>
          <t>Step 5: Submit the completed application form and required documents to the designated authority.</t>
        </is>
      </c>
      <c r="K2053" s="8" t="inlineStr">
        <is>
          <t>MS-C32</t>
        </is>
      </c>
      <c r="L2053" s="9" t="n">
        <v>46323</v>
      </c>
      <c r="M2053" s="8" t="inlineStr">
        <is>
          <t>Approved</t>
        </is>
      </c>
      <c r="N2053" s="8" t="inlineStr">
        <is>
          <t>paragraph</t>
        </is>
      </c>
    </row>
    <row r="2054" ht="110" customHeight="1">
      <c r="A2054" s="4" t="inlineStr">
        <is>
          <t>C32-P0061</t>
        </is>
      </c>
      <c r="B2054" s="4" t="inlineStr">
        <is>
          <t>C32</t>
        </is>
      </c>
      <c r="C2054" s="4" t="inlineStr">
        <is>
          <t>Free Education For Sports Medal Winners / Participants Of National/ International Events</t>
        </is>
      </c>
      <c r="D2054" s="4" t="inlineStr">
        <is>
          <t>FAQ</t>
        </is>
      </c>
      <c r="E2054" s="4" t="inlineStr"/>
      <c r="F2054" s="4" t="inlineStr">
        <is>
          <t>faqs.en.faqs[0]</t>
        </is>
      </c>
      <c r="G2054" s="4" t="inlineStr">
        <is>
          <t>C32@20261028-67ab4e80</t>
        </is>
      </c>
      <c r="H2054" s="4" t="n">
        <v>1</v>
      </c>
      <c r="I2054" s="4" t="n">
        <v>1</v>
      </c>
      <c r="J2054" s="4" t="inlineStr">
        <is>
          <t>Is There A List Of Documents That Are To Be Submitted By The Candidate Through The University/College?
Yes, the list of documents is given below - 
1. The candidate is required to submit an application in the prescribed format for availing of the scholarship.
2. A Certificate of the participation/medal winner as per the eligibility mentioned above as proof (Attested By Registrar/Principal).</t>
        </is>
      </c>
      <c r="K2054" s="4" t="inlineStr">
        <is>
          <t>MS-C32</t>
        </is>
      </c>
      <c r="L2054" s="6" t="n">
        <v>46323</v>
      </c>
      <c r="M2054" s="4" t="inlineStr">
        <is>
          <t>Approved</t>
        </is>
      </c>
      <c r="N2054" s="4" t="inlineStr">
        <is>
          <t>faq</t>
        </is>
      </c>
    </row>
    <row r="2055" ht="152" customHeight="1">
      <c r="A2055" s="8" t="inlineStr">
        <is>
          <t>C32-P0062</t>
        </is>
      </c>
      <c r="B2055" s="8" t="inlineStr">
        <is>
          <t>C32</t>
        </is>
      </c>
      <c r="C2055" s="8" t="inlineStr">
        <is>
          <t>Free Education For Sports Medal Winners / Participants Of National/ International Events</t>
        </is>
      </c>
      <c r="D2055" s="8" t="inlineStr">
        <is>
          <t>FAQ</t>
        </is>
      </c>
      <c r="E2055" s="8" t="inlineStr"/>
      <c r="F2055" s="8" t="inlineStr">
        <is>
          <t>faqs.en.faqs[1]</t>
        </is>
      </c>
      <c r="G2055" s="8" t="inlineStr">
        <is>
          <t>C32@20261028-67ab4e80</t>
        </is>
      </c>
      <c r="H2055" s="8" t="n">
        <v>1</v>
      </c>
      <c r="I2055" s="8" t="n">
        <v>1</v>
      </c>
      <c r="J2055" s="8" t="inlineStr">
        <is>
          <t>Is There A List Of Documents That Are To Be Submitted By The Concerned University/College/Institution To The UGC?
Yes, every year University/Institution will submit a complete statement of the following:
1. Statement giving the names of the students selected for the scholarship along with their receipt of the scholarship amount.
2. Progress Report to be submitted after the completion of the first year in terms of sports performance and academics. 
3. Utilization certificate for the previous grant released.
4. A certificate giving justification for the continuance of the scholarship issued by the Director/Head of the Department duly forwarded by the Registrar/Principal.</t>
        </is>
      </c>
      <c r="K2055" s="8" t="inlineStr">
        <is>
          <t>MS-C32</t>
        </is>
      </c>
      <c r="L2055" s="9" t="n">
        <v>46323</v>
      </c>
      <c r="M2055" s="8" t="inlineStr">
        <is>
          <t>Approved</t>
        </is>
      </c>
      <c r="N2055" s="8" t="inlineStr">
        <is>
          <t>faq</t>
        </is>
      </c>
    </row>
    <row r="2056" ht="54" customHeight="1">
      <c r="A2056" s="4" t="inlineStr">
        <is>
          <t>C32-P0063</t>
        </is>
      </c>
      <c r="B2056" s="4" t="inlineStr">
        <is>
          <t>C32</t>
        </is>
      </c>
      <c r="C2056" s="4" t="inlineStr">
        <is>
          <t>Free Education For Sports Medal Winners / Participants Of National/ International Events</t>
        </is>
      </c>
      <c r="D2056" s="4" t="inlineStr">
        <is>
          <t>FAQ</t>
        </is>
      </c>
      <c r="E2056" s="4" t="inlineStr"/>
      <c r="F2056" s="4" t="inlineStr">
        <is>
          <t>faqs.en.faqs[2]</t>
        </is>
      </c>
      <c r="G2056" s="4" t="inlineStr">
        <is>
          <t>C32@20261028-67ab4e80</t>
        </is>
      </c>
      <c r="H2056" s="4" t="n">
        <v>1</v>
      </c>
      <c r="I2056" s="4" t="n">
        <v>1</v>
      </c>
      <c r="J2056" s="4" t="inlineStr">
        <is>
          <t>Can The Applications Also Be Submitted Offline?
No, the candidate is required to submit an application through an online portal i.e. http://www.ugc.ac.in/page/XII-Plan_x0002_Guidelines.aspx for availing of the scholarship.</t>
        </is>
      </c>
      <c r="K2056" s="4" t="inlineStr">
        <is>
          <t>MS-C32</t>
        </is>
      </c>
      <c r="L2056" s="6" t="n">
        <v>46323</v>
      </c>
      <c r="M2056" s="4" t="inlineStr">
        <is>
          <t>Approved</t>
        </is>
      </c>
      <c r="N2056" s="4" t="inlineStr">
        <is>
          <t>faq</t>
        </is>
      </c>
    </row>
    <row r="2057" ht="54" customHeight="1">
      <c r="A2057" s="8" t="inlineStr">
        <is>
          <t>C32-P0064</t>
        </is>
      </c>
      <c r="B2057" s="8" t="inlineStr">
        <is>
          <t>C32</t>
        </is>
      </c>
      <c r="C2057" s="8" t="inlineStr">
        <is>
          <t>Free Education For Sports Medal Winners / Participants Of National/ International Events</t>
        </is>
      </c>
      <c r="D2057" s="8" t="inlineStr">
        <is>
          <t>FAQ</t>
        </is>
      </c>
      <c r="E2057" s="8" t="inlineStr"/>
      <c r="F2057" s="8" t="inlineStr">
        <is>
          <t>faqs.en.faqs[3]</t>
        </is>
      </c>
      <c r="G2057" s="8" t="inlineStr">
        <is>
          <t>C32@20261028-67ab4e80</t>
        </is>
      </c>
      <c r="H2057" s="8" t="n">
        <v>1</v>
      </c>
      <c r="I2057" s="8" t="n">
        <v>1</v>
      </c>
      <c r="J2057" s="8" t="inlineStr">
        <is>
          <t>How Will The Amount Of Financial Assistance Be Disbursed?
The amount will be reimbursed by UGC through DBT mode.</t>
        </is>
      </c>
      <c r="K2057" s="8" t="inlineStr">
        <is>
          <t>MS-C32</t>
        </is>
      </c>
      <c r="L2057" s="9" t="n">
        <v>46323</v>
      </c>
      <c r="M2057" s="8" t="inlineStr">
        <is>
          <t>Approved</t>
        </is>
      </c>
      <c r="N2057" s="8" t="inlineStr">
        <is>
          <t>faq</t>
        </is>
      </c>
    </row>
    <row r="2058" ht="54" customHeight="1">
      <c r="A2058" s="4" t="inlineStr">
        <is>
          <t>C32-P0065</t>
        </is>
      </c>
      <c r="B2058" s="4" t="inlineStr">
        <is>
          <t>C32</t>
        </is>
      </c>
      <c r="C2058" s="4" t="inlineStr">
        <is>
          <t>Free Education For Sports Medal Winners / Participants Of National/ International Events</t>
        </is>
      </c>
      <c r="D2058" s="4" t="inlineStr">
        <is>
          <t>FAQ</t>
        </is>
      </c>
      <c r="E2058" s="4" t="inlineStr"/>
      <c r="F2058" s="4" t="inlineStr">
        <is>
          <t>faqs.en.faqs[4]</t>
        </is>
      </c>
      <c r="G2058" s="4" t="inlineStr">
        <is>
          <t>C32@20261028-67ab4e80</t>
        </is>
      </c>
      <c r="H2058" s="4" t="n">
        <v>1</v>
      </c>
      <c r="I2058" s="4" t="n">
        <v>1</v>
      </c>
      <c r="J2058" s="4" t="inlineStr">
        <is>
          <t>Can Incomplete Applications Be Considered?
No, incomplete applications will not be considered.</t>
        </is>
      </c>
      <c r="K2058" s="4" t="inlineStr">
        <is>
          <t>MS-C32</t>
        </is>
      </c>
      <c r="L2058" s="6" t="n">
        <v>46323</v>
      </c>
      <c r="M2058" s="4" t="inlineStr">
        <is>
          <t>Approved</t>
        </is>
      </c>
      <c r="N2058" s="4" t="inlineStr">
        <is>
          <t>faq</t>
        </is>
      </c>
    </row>
    <row r="2059" ht="166" customHeight="1">
      <c r="A2059" s="8" t="inlineStr">
        <is>
          <t>C32-P0066</t>
        </is>
      </c>
      <c r="B2059" s="8" t="inlineStr">
        <is>
          <t>C32</t>
        </is>
      </c>
      <c r="C2059" s="8" t="inlineStr">
        <is>
          <t>Free Education For Sports Medal Winners / Participants Of National/ International Events</t>
        </is>
      </c>
      <c r="D2059" s="8" t="inlineStr">
        <is>
          <t>FAQ</t>
        </is>
      </c>
      <c r="E2059" s="8" t="inlineStr"/>
      <c r="F2059" s="8" t="inlineStr">
        <is>
          <t>faqs.en.faqs[5]</t>
        </is>
      </c>
      <c r="G2059" s="8" t="inlineStr">
        <is>
          <t>C32@20261028-67ab4e80</t>
        </is>
      </c>
      <c r="H2059" s="8" t="n">
        <v>1</v>
      </c>
      <c r="I2059" s="8" t="n">
        <v>1</v>
      </c>
      <c r="J2059" s="8" t="inlineStr">
        <is>
          <t>What Is The Eligibility Criteria For This Scheme?
(i) The Scholarship will be provided to the Medal winners of National games and participants in recognized international sporting events recognized by the World University Service, International Olympic Committee, and Olympic Committee of Asia (OCA) who have taken admitted to the Universities/Colleges/Institutions as indicated below: 
Universities/Institutions/Colleges included under sections 2(f) and 12(b) of the UGC Act, 1956. Deemed to be Universities under section 3 of the UGC Act, 1956 which are eligible to receive grants in aid from UGC. Universities/Institutions/Colleges funded by Central/ State Govt. Institutes of National Importance. 
(ii) In the subsequent years this scholarship shall depend on their subsequent sports performance.</t>
        </is>
      </c>
      <c r="K2059" s="8" t="inlineStr">
        <is>
          <t>MS-C32</t>
        </is>
      </c>
      <c r="L2059" s="9" t="n">
        <v>46323</v>
      </c>
      <c r="M2059" s="8" t="inlineStr">
        <is>
          <t>Approved</t>
        </is>
      </c>
      <c r="N2059" s="8" t="inlineStr">
        <is>
          <t>faq</t>
        </is>
      </c>
    </row>
    <row r="2060" ht="54" customHeight="1">
      <c r="A2060" s="4" t="inlineStr">
        <is>
          <t>C32-P0067</t>
        </is>
      </c>
      <c r="B2060" s="4" t="inlineStr">
        <is>
          <t>C32</t>
        </is>
      </c>
      <c r="C2060" s="4" t="inlineStr">
        <is>
          <t>Free Education For Sports Medal Winners / Participants Of National/ International Events</t>
        </is>
      </c>
      <c r="D2060" s="4" t="inlineStr">
        <is>
          <t>FAQ</t>
        </is>
      </c>
      <c r="E2060" s="4" t="inlineStr"/>
      <c r="F2060" s="4" t="inlineStr">
        <is>
          <t>faqs.en.faqs[6]</t>
        </is>
      </c>
      <c r="G2060" s="4" t="inlineStr">
        <is>
          <t>C32@20261028-67ab4e80</t>
        </is>
      </c>
      <c r="H2060" s="4" t="n">
        <v>1</v>
      </c>
      <c r="I2060" s="4" t="n">
        <v>1</v>
      </c>
      <c r="J2060" s="4" t="inlineStr">
        <is>
          <t>Is There An Age Criterion For This Scheme?
No, There is no Age Criterion For This Scheme.</t>
        </is>
      </c>
      <c r="K2060" s="4" t="inlineStr">
        <is>
          <t>MS-C32</t>
        </is>
      </c>
      <c r="L2060" s="6" t="n">
        <v>46323</v>
      </c>
      <c r="M2060" s="4" t="inlineStr">
        <is>
          <t>Approved</t>
        </is>
      </c>
      <c r="N2060" s="4" t="inlineStr">
        <is>
          <t>faq</t>
        </is>
      </c>
    </row>
    <row r="2061" ht="124" customHeight="1">
      <c r="A2061" s="8" t="inlineStr">
        <is>
          <t>C32-P0068</t>
        </is>
      </c>
      <c r="B2061" s="8" t="inlineStr">
        <is>
          <t>C32</t>
        </is>
      </c>
      <c r="C2061" s="8" t="inlineStr">
        <is>
          <t>Free Education For Sports Medal Winners / Participants Of National/ International Events</t>
        </is>
      </c>
      <c r="D2061" s="8" t="inlineStr">
        <is>
          <t>FAQ</t>
        </is>
      </c>
      <c r="E2061" s="8" t="inlineStr"/>
      <c r="F2061" s="8" t="inlineStr">
        <is>
          <t>faqs.en.faqs[7]</t>
        </is>
      </c>
      <c r="G2061" s="8" t="inlineStr">
        <is>
          <t>C32@20261028-67ab4e80</t>
        </is>
      </c>
      <c r="H2061" s="8" t="n">
        <v>1</v>
      </c>
      <c r="I2061" s="8" t="n">
        <v>1</v>
      </c>
      <c r="J2061" s="8" t="inlineStr">
        <is>
          <t>What Are The Objectives Of This Scheme?
1.   The objective of the scheme is to provide financial assistance to the medal winners\ elite sports persons who are studying in Universities/Colleges leading to all the full-time regular courses including PG Diploma and other professional courses. 
2.   To motivate the sports persons to achieve higher levels of performance by assisting them financially in relation to education and sports development. 
The scheme would be applicable to sportspersons who are medal winners in national games or participants in recognized international sporting events.</t>
        </is>
      </c>
      <c r="K2061" s="8" t="inlineStr">
        <is>
          <t>MS-C32</t>
        </is>
      </c>
      <c r="L2061" s="9" t="n">
        <v>46323</v>
      </c>
      <c r="M2061" s="8" t="inlineStr">
        <is>
          <t>Approved</t>
        </is>
      </c>
      <c r="N2061" s="8" t="inlineStr">
        <is>
          <t>faq</t>
        </is>
      </c>
    </row>
    <row r="2062" ht="68" customHeight="1">
      <c r="A2062" s="4" t="inlineStr">
        <is>
          <t>C32-P0069</t>
        </is>
      </c>
      <c r="B2062" s="4" t="inlineStr">
        <is>
          <t>C32</t>
        </is>
      </c>
      <c r="C2062" s="4" t="inlineStr">
        <is>
          <t>Free Education For Sports Medal Winners / Participants Of National/ International Events</t>
        </is>
      </c>
      <c r="D2062" s="4" t="inlineStr">
        <is>
          <t>FAQ</t>
        </is>
      </c>
      <c r="E2062" s="4" t="inlineStr"/>
      <c r="F2062" s="4" t="inlineStr">
        <is>
          <t>faqs.en.faqs[8]</t>
        </is>
      </c>
      <c r="G2062" s="4" t="inlineStr">
        <is>
          <t>C32@20261028-67ab4e80</t>
        </is>
      </c>
      <c r="H2062" s="4" t="n">
        <v>1</v>
      </c>
      <c r="I2062" s="4" t="n">
        <v>1</v>
      </c>
      <c r="J2062" s="4" t="inlineStr">
        <is>
          <t>Can The Student Who Is Awarded The Above Scheme Be Debarred From Accepting Any Other Scholarships?
No, the student who is awarded the above scheme will not be debarred from accepting any other scholarships from any other source/funding agency.</t>
        </is>
      </c>
      <c r="K2062" s="4" t="inlineStr">
        <is>
          <t>MS-C32</t>
        </is>
      </c>
      <c r="L2062" s="6" t="n">
        <v>46323</v>
      </c>
      <c r="M2062" s="4" t="inlineStr">
        <is>
          <t>Approved</t>
        </is>
      </c>
      <c r="N2062" s="4" t="inlineStr">
        <is>
          <t>faq</t>
        </is>
      </c>
    </row>
    <row r="2063" ht="68" customHeight="1">
      <c r="A2063" s="8" t="inlineStr">
        <is>
          <t>C32-P0070</t>
        </is>
      </c>
      <c r="B2063" s="8" t="inlineStr">
        <is>
          <t>C32</t>
        </is>
      </c>
      <c r="C2063" s="8" t="inlineStr">
        <is>
          <t>Free Education For Sports Medal Winners / Participants Of National/ International Events</t>
        </is>
      </c>
      <c r="D2063" s="8" t="inlineStr">
        <is>
          <t>FAQ</t>
        </is>
      </c>
      <c r="E2063" s="8" t="inlineStr"/>
      <c r="F2063" s="8" t="inlineStr">
        <is>
          <t>faqs.en.faqs[9]</t>
        </is>
      </c>
      <c r="G2063" s="8" t="inlineStr">
        <is>
          <t>C32@20261028-67ab4e80</t>
        </is>
      </c>
      <c r="H2063" s="8" t="n">
        <v>1</v>
      </c>
      <c r="I2063" s="8" t="n">
        <v>1</v>
      </c>
      <c r="J2063" s="8" t="inlineStr">
        <is>
          <t>What Are The Consequences If The Student Decides To Discontinue The Studies Without Prior Approval Of The UGC?
Any student who discontinues the studies without prior approval of the UGC will be asked to refund the amount disbursed as a fellowship.</t>
        </is>
      </c>
      <c r="K2063" s="8" t="inlineStr">
        <is>
          <t>MS-C32</t>
        </is>
      </c>
      <c r="L2063" s="9" t="n">
        <v>46323</v>
      </c>
      <c r="M2063" s="8" t="inlineStr">
        <is>
          <t>Approved</t>
        </is>
      </c>
      <c r="N2063" s="8" t="inlineStr">
        <is>
          <t>faq</t>
        </is>
      </c>
    </row>
    <row r="2064" ht="110" customHeight="1">
      <c r="A2064" s="4" t="inlineStr">
        <is>
          <t>C32-P0071</t>
        </is>
      </c>
      <c r="B2064" s="4" t="inlineStr">
        <is>
          <t>C32</t>
        </is>
      </c>
      <c r="C2064" s="4" t="inlineStr">
        <is>
          <t>Free Education For Sports Medal Winners / Participants Of National/ International Events</t>
        </is>
      </c>
      <c r="D2064" s="4" t="inlineStr">
        <is>
          <t>FAQ</t>
        </is>
      </c>
      <c r="E2064" s="4" t="inlineStr"/>
      <c r="F2064" s="4" t="inlineStr">
        <is>
          <t>faqs.en.faqs[10]</t>
        </is>
      </c>
      <c r="G2064" s="4" t="inlineStr">
        <is>
          <t>C32@20261028-67ab4e80</t>
        </is>
      </c>
      <c r="H2064" s="4" t="n">
        <v>1</v>
      </c>
      <c r="I2064" s="4" t="n">
        <v>1</v>
      </c>
      <c r="J2064" s="4" t="inlineStr">
        <is>
          <t>In What Case Can The UGC Terminate The Scholarship?
UGC may terminate the scholarship of any student in the case of - 
a) Misconduct of the awardees, if any, reported by the University/College/Institution.
b) Unsatisfactory progress report i.e. if the candidate frequently fails in his/her examination will not be given further assistance as mentioned above.
c) The scholarship may be terminated by the Commission, on the recommendation of the university at any time during the tenure and the decision of the commission will be final and binding.</t>
        </is>
      </c>
      <c r="K2064" s="4" t="inlineStr">
        <is>
          <t>MS-C32</t>
        </is>
      </c>
      <c r="L2064" s="6" t="n">
        <v>46323</v>
      </c>
      <c r="M2064" s="4" t="inlineStr">
        <is>
          <t>Approved</t>
        </is>
      </c>
      <c r="N2064" s="4" t="inlineStr">
        <is>
          <t>faq</t>
        </is>
      </c>
    </row>
    <row r="2065" ht="68" customHeight="1">
      <c r="A2065" s="8" t="inlineStr">
        <is>
          <t>C33-P0001</t>
        </is>
      </c>
      <c r="B2065" s="8" t="inlineStr">
        <is>
          <t>C33</t>
        </is>
      </c>
      <c r="C2065" s="8" t="inlineStr">
        <is>
          <t>GST Exemption Certificate Scheme</t>
        </is>
      </c>
      <c r="D2065" s="8" t="inlineStr">
        <is>
          <t>Details</t>
        </is>
      </c>
      <c r="E2065" s="8" t="inlineStr"/>
      <c r="F2065" s="8" t="inlineStr">
        <is>
          <t>en.schemeContent.detailedDescription[0]</t>
        </is>
      </c>
      <c r="G2065" s="8" t="inlineStr">
        <is>
          <t>C33@20261028-8bc30e69</t>
        </is>
      </c>
      <c r="H2065" s="8" t="n">
        <v>1</v>
      </c>
      <c r="I2065" s="8" t="n">
        <v>1</v>
      </c>
      <c r="J2065" s="8" t="inlineStr">
        <is>
          <t>The "GST Exemption Certificate Scheme"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is>
      </c>
      <c r="K2065" s="8" t="inlineStr">
        <is>
          <t>MS-C33</t>
        </is>
      </c>
      <c r="L2065" s="9" t="n">
        <v>46323</v>
      </c>
      <c r="M2065" s="8" t="inlineStr">
        <is>
          <t>Approved</t>
        </is>
      </c>
      <c r="N2065" s="8" t="inlineStr">
        <is>
          <t>paragraph</t>
        </is>
      </c>
    </row>
    <row r="2066" ht="54" customHeight="1">
      <c r="A2066" s="4" t="inlineStr">
        <is>
          <t>C33-P0002</t>
        </is>
      </c>
      <c r="B2066" s="4" t="inlineStr">
        <is>
          <t>C33</t>
        </is>
      </c>
      <c r="C2066" s="4" t="inlineStr">
        <is>
          <t>GST Exemption Certificate Scheme</t>
        </is>
      </c>
      <c r="D2066" s="4" t="inlineStr">
        <is>
          <t>Benefits</t>
        </is>
      </c>
      <c r="E2066" s="4" t="inlineStr"/>
      <c r="F2066" s="4" t="inlineStr">
        <is>
          <t>en.schemeContent.benefits[0].children[0]</t>
        </is>
      </c>
      <c r="G2066" s="4" t="inlineStr">
        <is>
          <t>C33@20261028-8bc30e69</t>
        </is>
      </c>
      <c r="H2066" s="4" t="n">
        <v>1</v>
      </c>
      <c r="I2066" s="4" t="n">
        <v>1</v>
      </c>
      <c r="J2066" s="4" t="inlineStr">
        <is>
          <t>A concession of 10% on GST can be availed through this certificate and zero cess would be applicable. A person availing of this certificate will have to pay 18% GST &amp; no cess instead of 28% GST &amp; applicable cess on the purchase of a car.</t>
        </is>
      </c>
      <c r="K2066" s="4" t="inlineStr">
        <is>
          <t>MS-C33</t>
        </is>
      </c>
      <c r="L2066" s="6" t="n">
        <v>46323</v>
      </c>
      <c r="M2066" s="4" t="inlineStr">
        <is>
          <t>Approved</t>
        </is>
      </c>
      <c r="N2066" s="4" t="inlineStr">
        <is>
          <t>list_item</t>
        </is>
      </c>
    </row>
    <row r="2067" ht="40" customHeight="1">
      <c r="A2067" s="8" t="inlineStr">
        <is>
          <t>C33-P0003</t>
        </is>
      </c>
      <c r="B2067" s="8" t="inlineStr">
        <is>
          <t>C33</t>
        </is>
      </c>
      <c r="C2067" s="8" t="inlineStr">
        <is>
          <t>GST Exemption Certificate Scheme</t>
        </is>
      </c>
      <c r="D2067" s="8" t="inlineStr">
        <is>
          <t>Benefits</t>
        </is>
      </c>
      <c r="E2067" s="8" t="inlineStr"/>
      <c r="F2067" s="8" t="inlineStr">
        <is>
          <t>en.schemeContent.benefits[0].children[1]</t>
        </is>
      </c>
      <c r="G2067" s="8" t="inlineStr">
        <is>
          <t>C33@20261028-8bc30e69</t>
        </is>
      </c>
      <c r="H2067" s="8" t="n">
        <v>1</v>
      </c>
      <c r="I2067" s="8" t="n">
        <v>1</v>
      </c>
      <c r="J2067" s="8" t="inlineStr">
        <is>
          <t>The certificate is issued within a month of receipt of the application complete in all respects.</t>
        </is>
      </c>
      <c r="K2067" s="8" t="inlineStr">
        <is>
          <t>MS-C33</t>
        </is>
      </c>
      <c r="L2067" s="9" t="n">
        <v>46323</v>
      </c>
      <c r="M2067" s="8" t="inlineStr">
        <is>
          <t>Approved</t>
        </is>
      </c>
      <c r="N2067" s="8" t="inlineStr">
        <is>
          <t>list_item</t>
        </is>
      </c>
    </row>
    <row r="2068" ht="40" customHeight="1">
      <c r="A2068" s="4" t="inlineStr">
        <is>
          <t>C33-P0004</t>
        </is>
      </c>
      <c r="B2068" s="4" t="inlineStr">
        <is>
          <t>C33</t>
        </is>
      </c>
      <c r="C2068" s="4" t="inlineStr">
        <is>
          <t>GST Exemption Certificate Scheme</t>
        </is>
      </c>
      <c r="D2068" s="4" t="inlineStr">
        <is>
          <t>Benefits</t>
        </is>
      </c>
      <c r="E2068" s="4" t="inlineStr"/>
      <c r="F2068" s="4" t="inlineStr">
        <is>
          <t>en.schemeContent.benefits[0].children[2]</t>
        </is>
      </c>
      <c r="G2068" s="4" t="inlineStr">
        <is>
          <t>C33@20261028-8bc30e69</t>
        </is>
      </c>
      <c r="H2068" s="4" t="n">
        <v>1</v>
      </c>
      <c r="I2068" s="4" t="n">
        <v>1</v>
      </c>
      <c r="J2068" s="4" t="inlineStr">
        <is>
          <t>The certificate is valid for a period of 6 months from the date of issuance.</t>
        </is>
      </c>
      <c r="K2068" s="4" t="inlineStr">
        <is>
          <t>MS-C33</t>
        </is>
      </c>
      <c r="L2068" s="6" t="n">
        <v>46323</v>
      </c>
      <c r="M2068" s="4" t="inlineStr">
        <is>
          <t>Approved</t>
        </is>
      </c>
      <c r="N2068" s="4" t="inlineStr">
        <is>
          <t>list_item</t>
        </is>
      </c>
    </row>
    <row r="2069" ht="54" customHeight="1">
      <c r="A2069" s="8" t="inlineStr">
        <is>
          <t>C33-P0005</t>
        </is>
      </c>
      <c r="B2069" s="8" t="inlineStr">
        <is>
          <t>C33</t>
        </is>
      </c>
      <c r="C2069" s="8" t="inlineStr">
        <is>
          <t>GST Exemption Certificate Scheme</t>
        </is>
      </c>
      <c r="D2069" s="8" t="inlineStr">
        <is>
          <t>Eligibility</t>
        </is>
      </c>
      <c r="E2069" s="8" t="inlineStr"/>
      <c r="F2069" s="8" t="inlineStr">
        <is>
          <t>en.eligibilityCriteria.eligibilityDescription[0].children[0]</t>
        </is>
      </c>
      <c r="G2069" s="8" t="inlineStr">
        <is>
          <t>C33@20261028-8bc30e69</t>
        </is>
      </c>
      <c r="H2069" s="8" t="n">
        <v>1</v>
      </c>
      <c r="I2069" s="8" t="n">
        <v>1</v>
      </c>
      <c r="J2069" s="8" t="inlineStr">
        <is>
          <t>Any Orthopedic Physically handicapped person having a permanent disability of 40% &amp; above can apply for the benefit under the scheme, irrespective of whether the applicant drives the vehicle himself or otherwise.</t>
        </is>
      </c>
      <c r="K2069" s="8" t="inlineStr">
        <is>
          <t>MS-C33</t>
        </is>
      </c>
      <c r="L2069" s="9" t="n">
        <v>46323</v>
      </c>
      <c r="M2069" s="8" t="inlineStr">
        <is>
          <t>Approved</t>
        </is>
      </c>
      <c r="N2069" s="8" t="inlineStr">
        <is>
          <t>list_item</t>
        </is>
      </c>
    </row>
    <row r="2070" ht="54" customHeight="1">
      <c r="A2070" s="4" t="inlineStr">
        <is>
          <t>C33-P0006</t>
        </is>
      </c>
      <c r="B2070" s="4" t="inlineStr">
        <is>
          <t>C33</t>
        </is>
      </c>
      <c r="C2070" s="4" t="inlineStr">
        <is>
          <t>GST Exemption Certificate Scheme</t>
        </is>
      </c>
      <c r="D2070" s="4" t="inlineStr">
        <is>
          <t>Eligibility</t>
        </is>
      </c>
      <c r="E2070" s="4" t="inlineStr"/>
      <c r="F2070" s="4" t="inlineStr">
        <is>
          <t>en.eligibilityCriteria.eligibilityDescription[0].children[1]</t>
        </is>
      </c>
      <c r="G2070" s="4" t="inlineStr">
        <is>
          <t>C33@20261028-8bc30e69</t>
        </is>
      </c>
      <c r="H2070" s="4" t="n">
        <v>1</v>
      </c>
      <c r="I2070" s="4" t="n">
        <v>1</v>
      </c>
      <c r="J2070" s="4" t="inlineStr">
        <is>
          <t>Cars (automatic or manual) having a length less than or equal to 4m and engine capacity of not more than 1200 cc (petrol, Liquefied Petroleum Gases (LPG) or compressed natural gas (CNG) or 1500 cc (diesel) qualify for purchase under this scheme.</t>
        </is>
      </c>
      <c r="K2070" s="4" t="inlineStr">
        <is>
          <t>MS-C33</t>
        </is>
      </c>
      <c r="L2070" s="6" t="n">
        <v>46323</v>
      </c>
      <c r="M2070" s="4" t="inlineStr">
        <is>
          <t>Approved</t>
        </is>
      </c>
      <c r="N2070" s="4" t="inlineStr">
        <is>
          <t>list_item</t>
        </is>
      </c>
    </row>
    <row r="2071" ht="54" customHeight="1">
      <c r="A2071" s="8" t="inlineStr">
        <is>
          <t>C33-P0007</t>
        </is>
      </c>
      <c r="B2071" s="8" t="inlineStr">
        <is>
          <t>C33</t>
        </is>
      </c>
      <c r="C2071" s="8" t="inlineStr">
        <is>
          <t>GST Exemption Certificate Scheme</t>
        </is>
      </c>
      <c r="D2071" s="8" t="inlineStr">
        <is>
          <t>Eligibility</t>
        </is>
      </c>
      <c r="E2071" s="8" t="inlineStr"/>
      <c r="F2071" s="8" t="inlineStr">
        <is>
          <t>en.eligibilityCriteria.eligibilityDescription[0].children[2]</t>
        </is>
      </c>
      <c r="G2071" s="8" t="inlineStr">
        <is>
          <t>C33@20261028-8bc30e69</t>
        </is>
      </c>
      <c r="H2071" s="8" t="n">
        <v>1</v>
      </c>
      <c r="I2071" s="8" t="n">
        <v>1</v>
      </c>
      <c r="J2071" s="8" t="inlineStr">
        <is>
          <t>The said Certificate for availing the GST concession would be valid for a period of three months from the date of issue of the certificate and the vehicle would have to be purchased by the applicant within this three-month period to avail the concession.</t>
        </is>
      </c>
      <c r="K2071" s="8" t="inlineStr">
        <is>
          <t>MS-C33</t>
        </is>
      </c>
      <c r="L2071" s="9" t="n">
        <v>46323</v>
      </c>
      <c r="M2071" s="8" t="inlineStr">
        <is>
          <t>Approved</t>
        </is>
      </c>
      <c r="N2071" s="8" t="inlineStr">
        <is>
          <t>list_item</t>
        </is>
      </c>
    </row>
    <row r="2072" ht="40" customHeight="1">
      <c r="A2072" s="4" t="inlineStr">
        <is>
          <t>C33-P0008</t>
        </is>
      </c>
      <c r="B2072" s="4" t="inlineStr">
        <is>
          <t>C33</t>
        </is>
      </c>
      <c r="C2072" s="4" t="inlineStr">
        <is>
          <t>GST Exemption Certificate Scheme</t>
        </is>
      </c>
      <c r="D2072" s="4" t="inlineStr">
        <is>
          <t>Applicant documents</t>
        </is>
      </c>
      <c r="E2072" s="4" t="inlineStr"/>
      <c r="F2072" s="4" t="inlineStr">
        <is>
          <t>documents.en.documents_required[0].children[0]</t>
        </is>
      </c>
      <c r="G2072" s="4" t="inlineStr">
        <is>
          <t>C33@20261028-8bc30e69</t>
        </is>
      </c>
      <c r="H2072" s="4" t="n">
        <v>1</v>
      </c>
      <c r="I2072" s="4" t="n">
        <v>1</v>
      </c>
      <c r="J2072" s="4" t="inlineStr">
        <is>
          <t>Aadhar Card</t>
        </is>
      </c>
      <c r="K2072" s="4" t="inlineStr">
        <is>
          <t>MS-C33</t>
        </is>
      </c>
      <c r="L2072" s="6" t="n">
        <v>46323</v>
      </c>
      <c r="M2072" s="4" t="inlineStr">
        <is>
          <t>Approved</t>
        </is>
      </c>
      <c r="N2072" s="4" t="inlineStr">
        <is>
          <t>list_item</t>
        </is>
      </c>
    </row>
    <row r="2073" ht="40" customHeight="1">
      <c r="A2073" s="8" t="inlineStr">
        <is>
          <t>C33-P0009</t>
        </is>
      </c>
      <c r="B2073" s="8" t="inlineStr">
        <is>
          <t>C33</t>
        </is>
      </c>
      <c r="C2073" s="8" t="inlineStr">
        <is>
          <t>GST Exemption Certificate Scheme</t>
        </is>
      </c>
      <c r="D2073" s="8" t="inlineStr">
        <is>
          <t>Applicant documents</t>
        </is>
      </c>
      <c r="E2073" s="8" t="inlineStr"/>
      <c r="F2073" s="8" t="inlineStr">
        <is>
          <t>documents.en.documents_required[0].children[1]</t>
        </is>
      </c>
      <c r="G2073" s="8" t="inlineStr">
        <is>
          <t>C33@20261028-8bc30e69</t>
        </is>
      </c>
      <c r="H2073" s="8" t="n">
        <v>1</v>
      </c>
      <c r="I2073" s="8" t="n">
        <v>1</v>
      </c>
      <c r="J2073" s="8" t="inlineStr">
        <is>
          <t>PAN Card</t>
        </is>
      </c>
      <c r="K2073" s="8" t="inlineStr">
        <is>
          <t>MS-C33</t>
        </is>
      </c>
      <c r="L2073" s="9" t="n">
        <v>46323</v>
      </c>
      <c r="M2073" s="8" t="inlineStr">
        <is>
          <t>Approved</t>
        </is>
      </c>
      <c r="N2073" s="8" t="inlineStr">
        <is>
          <t>list_item</t>
        </is>
      </c>
    </row>
    <row r="2074" ht="68" customHeight="1">
      <c r="A2074" s="4" t="inlineStr">
        <is>
          <t>C33-P0010</t>
        </is>
      </c>
      <c r="B2074" s="4" t="inlineStr">
        <is>
          <t>C33</t>
        </is>
      </c>
      <c r="C2074" s="4" t="inlineStr">
        <is>
          <t>GST Exemption Certificate Scheme</t>
        </is>
      </c>
      <c r="D2074" s="4" t="inlineStr">
        <is>
          <t>Applicant documents</t>
        </is>
      </c>
      <c r="E2074" s="4" t="inlineStr"/>
      <c r="F2074" s="4" t="inlineStr">
        <is>
          <t>documents.en.documents_required[0].children[2]</t>
        </is>
      </c>
      <c r="G2074" s="4" t="inlineStr">
        <is>
          <t>C33@20261028-8bc30e69</t>
        </is>
      </c>
      <c r="H2074" s="4" t="n">
        <v>1</v>
      </c>
      <c r="I2074" s="4" t="n">
        <v>1</v>
      </c>
      <c r="J2074" s="4" t="inlineStr">
        <is>
          <t>Unique Disability ID card (UDID) (issued by the Ministry of Social Justice and Empowerment, Govt. of India) or Disability certificate (issued by Central Govt./State Govt./District Govt. bearing the proper signature and seal of the issuing authority wherein their name and registration no. should be mentioned)</t>
        </is>
      </c>
      <c r="K2074" s="4" t="inlineStr">
        <is>
          <t>MS-C33</t>
        </is>
      </c>
      <c r="L2074" s="6" t="n">
        <v>46323</v>
      </c>
      <c r="M2074" s="4" t="inlineStr">
        <is>
          <t>Approved</t>
        </is>
      </c>
      <c r="N2074" s="4" t="inlineStr">
        <is>
          <t>list_item</t>
        </is>
      </c>
    </row>
    <row r="2075" ht="40" customHeight="1">
      <c r="A2075" s="8" t="inlineStr">
        <is>
          <t>C33-P0011</t>
        </is>
      </c>
      <c r="B2075" s="8" t="inlineStr">
        <is>
          <t>C33</t>
        </is>
      </c>
      <c r="C2075" s="8" t="inlineStr">
        <is>
          <t>GST Exemption Certificate Scheme</t>
        </is>
      </c>
      <c r="D2075" s="8" t="inlineStr">
        <is>
          <t>Applicant documents</t>
        </is>
      </c>
      <c r="E2075" s="8" t="inlineStr"/>
      <c r="F2075" s="8" t="inlineStr">
        <is>
          <t>documents.en.documents_required[0].children[3]</t>
        </is>
      </c>
      <c r="G2075" s="8" t="inlineStr">
        <is>
          <t>C33@20261028-8bc30e69</t>
        </is>
      </c>
      <c r="H2075" s="8" t="n">
        <v>1</v>
      </c>
      <c r="I2075" s="8" t="n">
        <v>1</v>
      </c>
      <c r="J2075" s="8" t="inlineStr">
        <is>
          <t>Income Tax Return filed for the last three years.</t>
        </is>
      </c>
      <c r="K2075" s="8" t="inlineStr">
        <is>
          <t>MS-C33</t>
        </is>
      </c>
      <c r="L2075" s="9" t="n">
        <v>46323</v>
      </c>
      <c r="M2075" s="8" t="inlineStr">
        <is>
          <t>Approved</t>
        </is>
      </c>
      <c r="N2075" s="8" t="inlineStr">
        <is>
          <t>list_item</t>
        </is>
      </c>
    </row>
    <row r="2076" ht="54" customHeight="1">
      <c r="A2076" s="4" t="inlineStr">
        <is>
          <t>C33-P0012</t>
        </is>
      </c>
      <c r="B2076" s="4" t="inlineStr">
        <is>
          <t>C33</t>
        </is>
      </c>
      <c r="C2076" s="4" t="inlineStr">
        <is>
          <t>GST Exemption Certificate Scheme</t>
        </is>
      </c>
      <c r="D2076" s="4" t="inlineStr">
        <is>
          <t>Applicant documents</t>
        </is>
      </c>
      <c r="E2076" s="4" t="inlineStr"/>
      <c r="F2076" s="4" t="inlineStr">
        <is>
          <t>documents.en.documents_required[0].children[4]</t>
        </is>
      </c>
      <c r="G2076" s="4" t="inlineStr">
        <is>
          <t>C33@20261028-8bc30e69</t>
        </is>
      </c>
      <c r="H2076" s="4" t="n">
        <v>1</v>
      </c>
      <c r="I2076" s="4" t="n">
        <v>1</v>
      </c>
      <c r="J2076" s="4" t="inlineStr">
        <is>
          <t>Self-Declaration stating that he has not availed this concession in the last five years and he will not dispose of the vehicle after availing the GST concession for a period of 5 years from the date of purchase in the prescribed format placed in Annexure C.</t>
        </is>
      </c>
      <c r="K2076" s="4" t="inlineStr">
        <is>
          <t>MS-C33</t>
        </is>
      </c>
      <c r="L2076" s="6" t="n">
        <v>46323</v>
      </c>
      <c r="M2076" s="4" t="inlineStr">
        <is>
          <t>Approved</t>
        </is>
      </c>
      <c r="N2076" s="4" t="inlineStr">
        <is>
          <t>list_item</t>
        </is>
      </c>
    </row>
    <row r="2077" ht="40" customHeight="1">
      <c r="A2077" s="8" t="inlineStr">
        <is>
          <t>C33-P0013</t>
        </is>
      </c>
      <c r="B2077" s="8" t="inlineStr">
        <is>
          <t>C33</t>
        </is>
      </c>
      <c r="C2077" s="8" t="inlineStr">
        <is>
          <t>GST Exemption Certificate Scheme</t>
        </is>
      </c>
      <c r="D2077" s="8" t="inlineStr">
        <is>
          <t>Applicant documents</t>
        </is>
      </c>
      <c r="E2077" s="8" t="inlineStr"/>
      <c r="F2077" s="8" t="inlineStr">
        <is>
          <t>documents.en.documents_required[0].children[5]</t>
        </is>
      </c>
      <c r="G2077" s="8" t="inlineStr">
        <is>
          <t>C33@20261028-8bc30e69</t>
        </is>
      </c>
      <c r="H2077" s="8" t="n">
        <v>1</v>
      </c>
      <c r="I2077" s="8" t="n">
        <v>1</v>
      </c>
      <c r="J2077" s="8" t="inlineStr">
        <is>
          <t>Details of the Vehicle Model they intend to purchase along with the name of the dealer from whom the vehicle will be purchased and the name of RTO, where the vehicle will be registered.</t>
        </is>
      </c>
      <c r="K2077" s="8" t="inlineStr">
        <is>
          <t>MS-C33</t>
        </is>
      </c>
      <c r="L2077" s="9" t="n">
        <v>46323</v>
      </c>
      <c r="M2077" s="8" t="inlineStr">
        <is>
          <t>Approved</t>
        </is>
      </c>
      <c r="N2077" s="8" t="inlineStr">
        <is>
          <t>list_item</t>
        </is>
      </c>
    </row>
    <row r="2078" ht="68" customHeight="1">
      <c r="A2078" s="4" t="inlineStr">
        <is>
          <t>C33-P0014</t>
        </is>
      </c>
      <c r="B2078" s="4" t="inlineStr">
        <is>
          <t>C33</t>
        </is>
      </c>
      <c r="C2078" s="4" t="inlineStr">
        <is>
          <t>GST Exemption Certificate Scheme</t>
        </is>
      </c>
      <c r="D2078" s="4" t="inlineStr">
        <is>
          <t>Applicant documents</t>
        </is>
      </c>
      <c r="E2078" s="4" t="inlineStr"/>
      <c r="F2078" s="4" t="inlineStr">
        <is>
          <t>documents.en.documents_required[1]</t>
        </is>
      </c>
      <c r="G2078" s="4" t="inlineStr">
        <is>
          <t>C33@20261028-8bc30e69</t>
        </is>
      </c>
      <c r="H2078" s="4" t="n">
        <v>1</v>
      </c>
      <c r="I2078" s="4" t="n">
        <v>1</v>
      </c>
      <c r="J2078" s="4" t="inlineStr">
        <is>
          <t>NOTE: If a person does not have either of the medical certificates as referred above, then duly-filled annexure B is required with the signature and countersignature of orthopaedic doctor and civil surgeon rank officers respectively with their seal indicating their name and registration number.</t>
        </is>
      </c>
      <c r="K2078" s="4" t="inlineStr">
        <is>
          <t>MS-C33</t>
        </is>
      </c>
      <c r="L2078" s="6" t="n">
        <v>46323</v>
      </c>
      <c r="M2078" s="4" t="inlineStr">
        <is>
          <t>Approved</t>
        </is>
      </c>
      <c r="N2078" s="4" t="inlineStr">
        <is>
          <t>paragraph</t>
        </is>
      </c>
    </row>
    <row r="2079" ht="54" customHeight="1">
      <c r="A2079" s="8" t="inlineStr">
        <is>
          <t>C33-P0015</t>
        </is>
      </c>
      <c r="B2079" s="8" t="inlineStr">
        <is>
          <t>C33</t>
        </is>
      </c>
      <c r="C2079" s="8" t="inlineStr">
        <is>
          <t>GST Exemption Certificate Scheme</t>
        </is>
      </c>
      <c r="D2079" s="8" t="inlineStr">
        <is>
          <t>Application process</t>
        </is>
      </c>
      <c r="E2079" s="8" t="inlineStr"/>
      <c r="F2079" s="8" t="inlineStr">
        <is>
          <t>en.applicationProcess[0].process[0].children[0]</t>
        </is>
      </c>
      <c r="G2079" s="8" t="inlineStr">
        <is>
          <t>C33@20261028-8bc30e69</t>
        </is>
      </c>
      <c r="H2079" s="8" t="n">
        <v>1</v>
      </c>
      <c r="I2079" s="8" t="n">
        <v>1</v>
      </c>
      <c r="J2079" s="8" t="inlineStr">
        <is>
          <t>Interested and eligible applicants may send their applications in the prescribed format along with all required documents to the following address: The Under Secretary (AEI Section), Department of Heavy Industry, Udyog Bhavan, Room No 428, New Delhi 110011, Tel: 011-23061490</t>
        </is>
      </c>
      <c r="K2079" s="8" t="inlineStr">
        <is>
          <t>MS-C33</t>
        </is>
      </c>
      <c r="L2079" s="9" t="n">
        <v>46323</v>
      </c>
      <c r="M2079" s="8" t="inlineStr">
        <is>
          <t>Approved</t>
        </is>
      </c>
      <c r="N2079" s="8" t="inlineStr">
        <is>
          <t>list_item</t>
        </is>
      </c>
    </row>
    <row r="2080" ht="54" customHeight="1">
      <c r="A2080" s="4" t="inlineStr">
        <is>
          <t>C33-P0016</t>
        </is>
      </c>
      <c r="B2080" s="4" t="inlineStr">
        <is>
          <t>C33</t>
        </is>
      </c>
      <c r="C2080" s="4" t="inlineStr">
        <is>
          <t>GST Exemption Certificate Scheme</t>
        </is>
      </c>
      <c r="D2080" s="4" t="inlineStr">
        <is>
          <t>Application process</t>
        </is>
      </c>
      <c r="E2080" s="4" t="inlineStr"/>
      <c r="F2080" s="4" t="inlineStr">
        <is>
          <t>en.applicationProcess[0].process[0].children[1]</t>
        </is>
      </c>
      <c r="G2080" s="4" t="inlineStr">
        <is>
          <t>C33@20261028-8bc30e69</t>
        </is>
      </c>
      <c r="H2080" s="4" t="n">
        <v>1</v>
      </c>
      <c r="I2080" s="4" t="n">
        <v>1</v>
      </c>
      <c r="J2080" s="4" t="inlineStr">
        <is>
          <t>The applicant would inform DHI about the purchase of the vehicle and the Registration number of the vehicle to the Department of Heavy Industry within a period of 30 days from the date of registration of the vehicle.</t>
        </is>
      </c>
      <c r="K2080" s="4" t="inlineStr">
        <is>
          <t>MS-C33</t>
        </is>
      </c>
      <c r="L2080" s="6" t="n">
        <v>46323</v>
      </c>
      <c r="M2080" s="4" t="inlineStr">
        <is>
          <t>Approved</t>
        </is>
      </c>
      <c r="N2080" s="4" t="inlineStr">
        <is>
          <t>list_item</t>
        </is>
      </c>
    </row>
    <row r="2081" ht="40" customHeight="1">
      <c r="A2081" s="8" t="inlineStr">
        <is>
          <t>C33-P0017</t>
        </is>
      </c>
      <c r="B2081" s="8" t="inlineStr">
        <is>
          <t>C33</t>
        </is>
      </c>
      <c r="C2081" s="8" t="inlineStr">
        <is>
          <t>GST Exemption Certificate Scheme</t>
        </is>
      </c>
      <c r="D2081" s="8" t="inlineStr">
        <is>
          <t>Application process</t>
        </is>
      </c>
      <c r="E2081" s="8" t="inlineStr"/>
      <c r="F2081" s="8" t="inlineStr">
        <is>
          <t>en.applicationProcess[1].process[0].children[0]</t>
        </is>
      </c>
      <c r="G2081" s="8" t="inlineStr">
        <is>
          <t>C33@20261028-8bc30e69</t>
        </is>
      </c>
      <c r="H2081" s="8" t="n">
        <v>1</v>
      </c>
      <c r="I2081" s="8" t="n">
        <v>1</v>
      </c>
      <c r="J2081" s="8" t="inlineStr">
        <is>
          <t>Step 1: Home Page</t>
        </is>
      </c>
      <c r="K2081" s="8" t="inlineStr">
        <is>
          <t>MS-C33</t>
        </is>
      </c>
      <c r="L2081" s="9" t="n">
        <v>46323</v>
      </c>
      <c r="M2081" s="8" t="inlineStr">
        <is>
          <t>Approved</t>
        </is>
      </c>
      <c r="N2081" s="8" t="inlineStr">
        <is>
          <t>text</t>
        </is>
      </c>
    </row>
    <row r="2082" ht="40" customHeight="1">
      <c r="A2082" s="4" t="inlineStr">
        <is>
          <t>C33-P0018</t>
        </is>
      </c>
      <c r="B2082" s="4" t="inlineStr">
        <is>
          <t>C33</t>
        </is>
      </c>
      <c r="C2082" s="4" t="inlineStr">
        <is>
          <t>GST Exemption Certificate Scheme</t>
        </is>
      </c>
      <c r="D2082" s="4" t="inlineStr">
        <is>
          <t>Application process</t>
        </is>
      </c>
      <c r="E2082" s="4" t="inlineStr"/>
      <c r="F2082" s="4" t="inlineStr">
        <is>
          <t>en.applicationProcess[1].process[1]</t>
        </is>
      </c>
      <c r="G2082" s="4" t="inlineStr">
        <is>
          <t>C33@20261028-8bc30e69</t>
        </is>
      </c>
      <c r="H2082" s="4" t="n">
        <v>1</v>
      </c>
      <c r="I2082" s="4" t="n">
        <v>1</v>
      </c>
      <c r="J2082" s="4" t="inlineStr">
        <is>
          <t>Visit the official website at https://dhigecs.heavyindustry.gov.in/ using any web browser or device.</t>
        </is>
      </c>
      <c r="K2082" s="4" t="inlineStr">
        <is>
          <t>MS-C33</t>
        </is>
      </c>
      <c r="L2082" s="6" t="n">
        <v>46323</v>
      </c>
      <c r="M2082" s="4" t="inlineStr">
        <is>
          <t>Approved</t>
        </is>
      </c>
      <c r="N2082" s="4" t="inlineStr">
        <is>
          <t>paragraph</t>
        </is>
      </c>
    </row>
    <row r="2083" ht="40" customHeight="1">
      <c r="A2083" s="8" t="inlineStr">
        <is>
          <t>C33-P0019</t>
        </is>
      </c>
      <c r="B2083" s="8" t="inlineStr">
        <is>
          <t>C33</t>
        </is>
      </c>
      <c r="C2083" s="8" t="inlineStr">
        <is>
          <t>GST Exemption Certificate Scheme</t>
        </is>
      </c>
      <c r="D2083" s="8" t="inlineStr">
        <is>
          <t>Application process</t>
        </is>
      </c>
      <c r="E2083" s="8" t="inlineStr"/>
      <c r="F2083" s="8" t="inlineStr">
        <is>
          <t>en.applicationProcess[1].process[2].children[0]</t>
        </is>
      </c>
      <c r="G2083" s="8" t="inlineStr">
        <is>
          <t>C33@20261028-8bc30e69</t>
        </is>
      </c>
      <c r="H2083" s="8" t="n">
        <v>1</v>
      </c>
      <c r="I2083" s="8" t="n">
        <v>1</v>
      </c>
      <c r="J2083" s="8" t="inlineStr">
        <is>
          <t>Step 2: Login and Registration</t>
        </is>
      </c>
      <c r="K2083" s="8" t="inlineStr">
        <is>
          <t>MS-C33</t>
        </is>
      </c>
      <c r="L2083" s="9" t="n">
        <v>46323</v>
      </c>
      <c r="M2083" s="8" t="inlineStr">
        <is>
          <t>Approved</t>
        </is>
      </c>
      <c r="N2083" s="8" t="inlineStr">
        <is>
          <t>text</t>
        </is>
      </c>
    </row>
    <row r="2084" ht="68" customHeight="1">
      <c r="A2084" s="4" t="inlineStr">
        <is>
          <t>C33-P0020</t>
        </is>
      </c>
      <c r="B2084" s="4" t="inlineStr">
        <is>
          <t>C33</t>
        </is>
      </c>
      <c r="C2084" s="4" t="inlineStr">
        <is>
          <t>GST Exemption Certificate Scheme</t>
        </is>
      </c>
      <c r="D2084" s="4" t="inlineStr">
        <is>
          <t>Application process</t>
        </is>
      </c>
      <c r="E2084" s="4" t="inlineStr"/>
      <c r="F2084" s="4" t="inlineStr">
        <is>
          <t>en.applicationProcess[1].process[3]</t>
        </is>
      </c>
      <c r="G2084" s="4" t="inlineStr">
        <is>
          <t>C33@20261028-8bc30e69</t>
        </is>
      </c>
      <c r="H2084" s="4" t="n">
        <v>1</v>
      </c>
      <c r="I2084" s="4" t="n">
        <v>1</v>
      </c>
      <c r="J2084" s="4" t="inlineStr">
        <is>
          <t>If you are not registered, click the "REGISTER" button on the home page. Follow the registration process, which includes providing your full name, valid email ID, mobile number, and Aadhar number. An OTP will be sent to your registered mobile number for verification. You will also need to specify if you have a UDID number. If you do, provide the UDID number and validate it.</t>
        </is>
      </c>
      <c r="K2084" s="4" t="inlineStr">
        <is>
          <t>MS-C33</t>
        </is>
      </c>
      <c r="L2084" s="6" t="n">
        <v>46323</v>
      </c>
      <c r="M2084" s="4" t="inlineStr">
        <is>
          <t>Approved</t>
        </is>
      </c>
      <c r="N2084" s="4" t="inlineStr">
        <is>
          <t>paragraph</t>
        </is>
      </c>
    </row>
    <row r="2085" ht="40" customHeight="1">
      <c r="A2085" s="8" t="inlineStr">
        <is>
          <t>C33-P0021</t>
        </is>
      </c>
      <c r="B2085" s="8" t="inlineStr">
        <is>
          <t>C33</t>
        </is>
      </c>
      <c r="C2085" s="8" t="inlineStr">
        <is>
          <t>GST Exemption Certificate Scheme</t>
        </is>
      </c>
      <c r="D2085" s="8" t="inlineStr">
        <is>
          <t>Application process</t>
        </is>
      </c>
      <c r="E2085" s="8" t="inlineStr"/>
      <c r="F2085" s="8" t="inlineStr">
        <is>
          <t>en.applicationProcess[1].process[4].children[0]</t>
        </is>
      </c>
      <c r="G2085" s="8" t="inlineStr">
        <is>
          <t>C33@20261028-8bc30e69</t>
        </is>
      </c>
      <c r="H2085" s="8" t="n">
        <v>1</v>
      </c>
      <c r="I2085" s="8" t="n">
        <v>1</v>
      </c>
      <c r="J2085" s="8" t="inlineStr">
        <is>
          <t>Step 3: Create Password</t>
        </is>
      </c>
      <c r="K2085" s="8" t="inlineStr">
        <is>
          <t>MS-C33</t>
        </is>
      </c>
      <c r="L2085" s="9" t="n">
        <v>46323</v>
      </c>
      <c r="M2085" s="8" t="inlineStr">
        <is>
          <t>Approved</t>
        </is>
      </c>
      <c r="N2085" s="8" t="inlineStr">
        <is>
          <t>text</t>
        </is>
      </c>
    </row>
    <row r="2086" ht="68" customHeight="1">
      <c r="A2086" s="4" t="inlineStr">
        <is>
          <t>C33-P0022</t>
        </is>
      </c>
      <c r="B2086" s="4" t="inlineStr">
        <is>
          <t>C33</t>
        </is>
      </c>
      <c r="C2086" s="4" t="inlineStr">
        <is>
          <t>GST Exemption Certificate Scheme</t>
        </is>
      </c>
      <c r="D2086" s="4" t="inlineStr">
        <is>
          <t>Application process</t>
        </is>
      </c>
      <c r="E2086" s="4" t="inlineStr"/>
      <c r="F2086" s="4" t="inlineStr">
        <is>
          <t>en.applicationProcess[1].process[5]</t>
        </is>
      </c>
      <c r="G2086" s="4" t="inlineStr">
        <is>
          <t>C33@20261028-8bc30e69</t>
        </is>
      </c>
      <c r="H2086" s="4" t="n">
        <v>1</v>
      </c>
      <c r="I2086" s="4" t="n">
        <v>1</v>
      </c>
      <c r="J2086" s="4" t="inlineStr">
        <is>
          <t>Create a password that meets the specified criteria (at least one lowercase letter, one uppercase letter, one number, one special character, and a minimum length of 8 characters). Confirm your password and enter the captcha code. Agree to the terms and conditions, and click "REGISTER."</t>
        </is>
      </c>
      <c r="K2086" s="4" t="inlineStr">
        <is>
          <t>MS-C33</t>
        </is>
      </c>
      <c r="L2086" s="6" t="n">
        <v>46323</v>
      </c>
      <c r="M2086" s="4" t="inlineStr">
        <is>
          <t>Approved</t>
        </is>
      </c>
      <c r="N2086" s="4" t="inlineStr">
        <is>
          <t>paragraph</t>
        </is>
      </c>
    </row>
    <row r="2087" ht="40" customHeight="1">
      <c r="A2087" s="8" t="inlineStr">
        <is>
          <t>C33-P0023</t>
        </is>
      </c>
      <c r="B2087" s="8" t="inlineStr">
        <is>
          <t>C33</t>
        </is>
      </c>
      <c r="C2087" s="8" t="inlineStr">
        <is>
          <t>GST Exemption Certificate Scheme</t>
        </is>
      </c>
      <c r="D2087" s="8" t="inlineStr">
        <is>
          <t>Application process</t>
        </is>
      </c>
      <c r="E2087" s="8" t="inlineStr"/>
      <c r="F2087" s="8" t="inlineStr">
        <is>
          <t>en.applicationProcess[1].process[6].children[0]</t>
        </is>
      </c>
      <c r="G2087" s="8" t="inlineStr">
        <is>
          <t>C33@20261028-8bc30e69</t>
        </is>
      </c>
      <c r="H2087" s="8" t="n">
        <v>1</v>
      </c>
      <c r="I2087" s="8" t="n">
        <v>1</v>
      </c>
      <c r="J2087" s="8" t="inlineStr">
        <is>
          <t>Step 4: Activate Your Account</t>
        </is>
      </c>
      <c r="K2087" s="8" t="inlineStr">
        <is>
          <t>MS-C33</t>
        </is>
      </c>
      <c r="L2087" s="9" t="n">
        <v>46323</v>
      </c>
      <c r="M2087" s="8" t="inlineStr">
        <is>
          <t>Approved</t>
        </is>
      </c>
      <c r="N2087" s="8" t="inlineStr">
        <is>
          <t>text</t>
        </is>
      </c>
    </row>
    <row r="2088" ht="40" customHeight="1">
      <c r="A2088" s="4" t="inlineStr">
        <is>
          <t>C33-P0024</t>
        </is>
      </c>
      <c r="B2088" s="4" t="inlineStr">
        <is>
          <t>C33</t>
        </is>
      </c>
      <c r="C2088" s="4" t="inlineStr">
        <is>
          <t>GST Exemption Certificate Scheme</t>
        </is>
      </c>
      <c r="D2088" s="4" t="inlineStr">
        <is>
          <t>Application process</t>
        </is>
      </c>
      <c r="E2088" s="4" t="inlineStr"/>
      <c r="F2088" s="4" t="inlineStr">
        <is>
          <t>en.applicationProcess[1].process[7]</t>
        </is>
      </c>
      <c r="G2088" s="4" t="inlineStr">
        <is>
          <t>C33@20261028-8bc30e69</t>
        </is>
      </c>
      <c r="H2088" s="4" t="n">
        <v>1</v>
      </c>
      <c r="I2088" s="4" t="n">
        <v>1</v>
      </c>
      <c r="J2088" s="4" t="inlineStr">
        <is>
          <t>Check your registered email for a 4-digit OTP and click the provided activation link. Enter the OTP to activate your account.</t>
        </is>
      </c>
      <c r="K2088" s="4" t="inlineStr">
        <is>
          <t>MS-C33</t>
        </is>
      </c>
      <c r="L2088" s="6" t="n">
        <v>46323</v>
      </c>
      <c r="M2088" s="4" t="inlineStr">
        <is>
          <t>Approved</t>
        </is>
      </c>
      <c r="N2088" s="4" t="inlineStr">
        <is>
          <t>paragraph</t>
        </is>
      </c>
    </row>
    <row r="2089" ht="40" customHeight="1">
      <c r="A2089" s="8" t="inlineStr">
        <is>
          <t>C33-P0025</t>
        </is>
      </c>
      <c r="B2089" s="8" t="inlineStr">
        <is>
          <t>C33</t>
        </is>
      </c>
      <c r="C2089" s="8" t="inlineStr">
        <is>
          <t>GST Exemption Certificate Scheme</t>
        </is>
      </c>
      <c r="D2089" s="8" t="inlineStr">
        <is>
          <t>Application process</t>
        </is>
      </c>
      <c r="E2089" s="8" t="inlineStr"/>
      <c r="F2089" s="8" t="inlineStr">
        <is>
          <t>en.applicationProcess[1].process[8].children[0]</t>
        </is>
      </c>
      <c r="G2089" s="8" t="inlineStr">
        <is>
          <t>C33@20261028-8bc30e69</t>
        </is>
      </c>
      <c r="H2089" s="8" t="n">
        <v>1</v>
      </c>
      <c r="I2089" s="8" t="n">
        <v>1</v>
      </c>
      <c r="J2089" s="8" t="inlineStr">
        <is>
          <t>Step 5: User Dashboard</t>
        </is>
      </c>
      <c r="K2089" s="8" t="inlineStr">
        <is>
          <t>MS-C33</t>
        </is>
      </c>
      <c r="L2089" s="9" t="n">
        <v>46323</v>
      </c>
      <c r="M2089" s="8" t="inlineStr">
        <is>
          <t>Approved</t>
        </is>
      </c>
      <c r="N2089" s="8" t="inlineStr">
        <is>
          <t>text</t>
        </is>
      </c>
    </row>
    <row r="2090" ht="68" customHeight="1">
      <c r="A2090" s="4" t="inlineStr">
        <is>
          <t>C33-P0026</t>
        </is>
      </c>
      <c r="B2090" s="4" t="inlineStr">
        <is>
          <t>C33</t>
        </is>
      </c>
      <c r="C2090" s="4" t="inlineStr">
        <is>
          <t>GST Exemption Certificate Scheme</t>
        </is>
      </c>
      <c r="D2090" s="4" t="inlineStr">
        <is>
          <t>Application process</t>
        </is>
      </c>
      <c r="E2090" s="4" t="inlineStr"/>
      <c r="F2090" s="4" t="inlineStr">
        <is>
          <t>en.applicationProcess[1].process[9]</t>
        </is>
      </c>
      <c r="G2090" s="4" t="inlineStr">
        <is>
          <t>C33@20261028-8bc30e69</t>
        </is>
      </c>
      <c r="H2090" s="4" t="n">
        <v>1</v>
      </c>
      <c r="I2090" s="4" t="n">
        <v>1</v>
      </c>
      <c r="J2090" s="4" t="inlineStr">
        <is>
          <t>After successful registration and activation, log in to the site using your email ID and the password you created. You'll be directed to the User Dashboard, where you can fill in your information. Save your filled information by clicking the "Draft" button and proceed to the next steps.</t>
        </is>
      </c>
      <c r="K2090" s="4" t="inlineStr">
        <is>
          <t>MS-C33</t>
        </is>
      </c>
      <c r="L2090" s="6" t="n">
        <v>46323</v>
      </c>
      <c r="M2090" s="4" t="inlineStr">
        <is>
          <t>Approved</t>
        </is>
      </c>
      <c r="N2090" s="4" t="inlineStr">
        <is>
          <t>paragraph</t>
        </is>
      </c>
    </row>
    <row r="2091" ht="40" customHeight="1">
      <c r="A2091" s="8" t="inlineStr">
        <is>
          <t>C33-P0027</t>
        </is>
      </c>
      <c r="B2091" s="8" t="inlineStr">
        <is>
          <t>C33</t>
        </is>
      </c>
      <c r="C2091" s="8" t="inlineStr">
        <is>
          <t>GST Exemption Certificate Scheme</t>
        </is>
      </c>
      <c r="D2091" s="8" t="inlineStr">
        <is>
          <t>Application process</t>
        </is>
      </c>
      <c r="E2091" s="8" t="inlineStr"/>
      <c r="F2091" s="8" t="inlineStr">
        <is>
          <t>en.applicationProcess[1].process[10].children[0]</t>
        </is>
      </c>
      <c r="G2091" s="8" t="inlineStr">
        <is>
          <t>C33@20261028-8bc30e69</t>
        </is>
      </c>
      <c r="H2091" s="8" t="n">
        <v>1</v>
      </c>
      <c r="I2091" s="8" t="n">
        <v>1</v>
      </c>
      <c r="J2091" s="8" t="inlineStr">
        <is>
          <t>Step 6: Application Submission</t>
        </is>
      </c>
      <c r="K2091" s="8" t="inlineStr">
        <is>
          <t>MS-C33</t>
        </is>
      </c>
      <c r="L2091" s="9" t="n">
        <v>46323</v>
      </c>
      <c r="M2091" s="8" t="inlineStr">
        <is>
          <t>Approved</t>
        </is>
      </c>
      <c r="N2091" s="8" t="inlineStr">
        <is>
          <t>text</t>
        </is>
      </c>
    </row>
    <row r="2092" ht="54" customHeight="1">
      <c r="A2092" s="4" t="inlineStr">
        <is>
          <t>C33-P0028</t>
        </is>
      </c>
      <c r="B2092" s="4" t="inlineStr">
        <is>
          <t>C33</t>
        </is>
      </c>
      <c r="C2092" s="4" t="inlineStr">
        <is>
          <t>GST Exemption Certificate Scheme</t>
        </is>
      </c>
      <c r="D2092" s="4" t="inlineStr">
        <is>
          <t>Application process</t>
        </is>
      </c>
      <c r="E2092" s="4" t="inlineStr"/>
      <c r="F2092" s="4" t="inlineStr">
        <is>
          <t>en.applicationProcess[1].process[11]</t>
        </is>
      </c>
      <c r="G2092" s="4" t="inlineStr">
        <is>
          <t>C33@20261028-8bc30e69</t>
        </is>
      </c>
      <c r="H2092" s="4" t="n">
        <v>1</v>
      </c>
      <c r="I2092" s="4" t="n">
        <v>1</v>
      </c>
      <c r="J2092" s="4" t="inlineStr">
        <is>
          <t>Complete all mandatory fields marked with an asterisk (*) in the User Dashboard. Click "Next" to proceed and continue to fill in additional mandatory fields on the subsequent page (SCR-11). Once all information is filled, click "Final Submit."</t>
        </is>
      </c>
      <c r="K2092" s="4" t="inlineStr">
        <is>
          <t>MS-C33</t>
        </is>
      </c>
      <c r="L2092" s="6" t="n">
        <v>46323</v>
      </c>
      <c r="M2092" s="4" t="inlineStr">
        <is>
          <t>Approved</t>
        </is>
      </c>
      <c r="N2092" s="4" t="inlineStr">
        <is>
          <t>paragraph</t>
        </is>
      </c>
    </row>
    <row r="2093" ht="40" customHeight="1">
      <c r="A2093" s="8" t="inlineStr">
        <is>
          <t>C33-P0029</t>
        </is>
      </c>
      <c r="B2093" s="8" t="inlineStr">
        <is>
          <t>C33</t>
        </is>
      </c>
      <c r="C2093" s="8" t="inlineStr">
        <is>
          <t>GST Exemption Certificate Scheme</t>
        </is>
      </c>
      <c r="D2093" s="8" t="inlineStr">
        <is>
          <t>Application process</t>
        </is>
      </c>
      <c r="E2093" s="8" t="inlineStr"/>
      <c r="F2093" s="8" t="inlineStr">
        <is>
          <t>en.applicationProcess[1].process[12].children[0]</t>
        </is>
      </c>
      <c r="G2093" s="8" t="inlineStr">
        <is>
          <t>C33@20261028-8bc30e69</t>
        </is>
      </c>
      <c r="H2093" s="8" t="n">
        <v>1</v>
      </c>
      <c r="I2093" s="8" t="n">
        <v>1</v>
      </c>
      <c r="J2093" s="8" t="inlineStr">
        <is>
          <t>Step 7: Check Application Status</t>
        </is>
      </c>
      <c r="K2093" s="8" t="inlineStr">
        <is>
          <t>MS-C33</t>
        </is>
      </c>
      <c r="L2093" s="9" t="n">
        <v>46323</v>
      </c>
      <c r="M2093" s="8" t="inlineStr">
        <is>
          <t>Approved</t>
        </is>
      </c>
      <c r="N2093" s="8" t="inlineStr">
        <is>
          <t>text</t>
        </is>
      </c>
    </row>
    <row r="2094" ht="54" customHeight="1">
      <c r="A2094" s="4" t="inlineStr">
        <is>
          <t>C33-P0030</t>
        </is>
      </c>
      <c r="B2094" s="4" t="inlineStr">
        <is>
          <t>C33</t>
        </is>
      </c>
      <c r="C2094" s="4" t="inlineStr">
        <is>
          <t>GST Exemption Certificate Scheme</t>
        </is>
      </c>
      <c r="D2094" s="4" t="inlineStr">
        <is>
          <t>Application process</t>
        </is>
      </c>
      <c r="E2094" s="4" t="inlineStr"/>
      <c r="F2094" s="4" t="inlineStr">
        <is>
          <t>en.applicationProcess[1].process[13]</t>
        </is>
      </c>
      <c r="G2094" s="4" t="inlineStr">
        <is>
          <t>C33@20261028-8bc30e69</t>
        </is>
      </c>
      <c r="H2094" s="4" t="n">
        <v>1</v>
      </c>
      <c r="I2094" s="4" t="n">
        <v>1</v>
      </c>
      <c r="J2094" s="4" t="inlineStr">
        <is>
          <t>Visit the Application Status page (SCR-12) to track the progress of your GST Exemption Certificate application. When your status shows "Approved," you can click "Download Certificate" to access your certificate.</t>
        </is>
      </c>
      <c r="K2094" s="4" t="inlineStr">
        <is>
          <t>MS-C33</t>
        </is>
      </c>
      <c r="L2094" s="6" t="n">
        <v>46323</v>
      </c>
      <c r="M2094" s="4" t="inlineStr">
        <is>
          <t>Approved</t>
        </is>
      </c>
      <c r="N2094" s="4" t="inlineStr">
        <is>
          <t>paragraph</t>
        </is>
      </c>
    </row>
    <row r="2095" ht="40" customHeight="1">
      <c r="A2095" s="8" t="inlineStr">
        <is>
          <t>C33-P0031</t>
        </is>
      </c>
      <c r="B2095" s="8" t="inlineStr">
        <is>
          <t>C33</t>
        </is>
      </c>
      <c r="C2095" s="8" t="inlineStr">
        <is>
          <t>GST Exemption Certificate Scheme</t>
        </is>
      </c>
      <c r="D2095" s="8" t="inlineStr">
        <is>
          <t>Application process</t>
        </is>
      </c>
      <c r="E2095" s="8" t="inlineStr"/>
      <c r="F2095" s="8" t="inlineStr">
        <is>
          <t>en.applicationProcess[1].process[14].children[0]</t>
        </is>
      </c>
      <c r="G2095" s="8" t="inlineStr">
        <is>
          <t>C33@20261028-8bc30e69</t>
        </is>
      </c>
      <c r="H2095" s="8" t="n">
        <v>1</v>
      </c>
      <c r="I2095" s="8" t="n">
        <v>1</v>
      </c>
      <c r="J2095" s="8" t="inlineStr">
        <is>
          <t>Step 8: Update Vehicle Details</t>
        </is>
      </c>
      <c r="K2095" s="8" t="inlineStr">
        <is>
          <t>MS-C33</t>
        </is>
      </c>
      <c r="L2095" s="9" t="n">
        <v>46323</v>
      </c>
      <c r="M2095" s="8" t="inlineStr">
        <is>
          <t>Approved</t>
        </is>
      </c>
      <c r="N2095" s="8" t="inlineStr">
        <is>
          <t>text</t>
        </is>
      </c>
    </row>
    <row r="2096" ht="40" customHeight="1">
      <c r="A2096" s="4" t="inlineStr">
        <is>
          <t>C33-P0032</t>
        </is>
      </c>
      <c r="B2096" s="4" t="inlineStr">
        <is>
          <t>C33</t>
        </is>
      </c>
      <c r="C2096" s="4" t="inlineStr">
        <is>
          <t>GST Exemption Certificate Scheme</t>
        </is>
      </c>
      <c r="D2096" s="4" t="inlineStr">
        <is>
          <t>Application process</t>
        </is>
      </c>
      <c r="E2096" s="4" t="inlineStr"/>
      <c r="F2096" s="4" t="inlineStr">
        <is>
          <t>en.applicationProcess[1].process[15]</t>
        </is>
      </c>
      <c r="G2096" s="4" t="inlineStr">
        <is>
          <t>C33@20261028-8bc30e69</t>
        </is>
      </c>
      <c r="H2096" s="4" t="n">
        <v>1</v>
      </c>
      <c r="I2096" s="4" t="n">
        <v>1</v>
      </c>
      <c r="J2096" s="4" t="inlineStr">
        <is>
          <t>After purchasing a vehicle, it's mandatory to update your vehicle details. Click on "Update Vehicle Details" as displayed in SCR-14. Provide your vehicle number and the date of purchase.</t>
        </is>
      </c>
      <c r="K2096" s="4" t="inlineStr">
        <is>
          <t>MS-C33</t>
        </is>
      </c>
      <c r="L2096" s="6" t="n">
        <v>46323</v>
      </c>
      <c r="M2096" s="4" t="inlineStr">
        <is>
          <t>Approved</t>
        </is>
      </c>
      <c r="N2096" s="4" t="inlineStr">
        <is>
          <t>paragraph</t>
        </is>
      </c>
    </row>
    <row r="2097" ht="40" customHeight="1">
      <c r="A2097" s="8" t="inlineStr">
        <is>
          <t>C33-P0033</t>
        </is>
      </c>
      <c r="B2097" s="8" t="inlineStr">
        <is>
          <t>C33</t>
        </is>
      </c>
      <c r="C2097" s="8" t="inlineStr">
        <is>
          <t>GST Exemption Certificate Scheme</t>
        </is>
      </c>
      <c r="D2097" s="8" t="inlineStr">
        <is>
          <t>Application process</t>
        </is>
      </c>
      <c r="E2097" s="8" t="inlineStr"/>
      <c r="F2097" s="8" t="inlineStr">
        <is>
          <t>en.applicationProcess[1].process[16].children[0]</t>
        </is>
      </c>
      <c r="G2097" s="8" t="inlineStr">
        <is>
          <t>C33@20261028-8bc30e69</t>
        </is>
      </c>
      <c r="H2097" s="8" t="n">
        <v>1</v>
      </c>
      <c r="I2097" s="8" t="n">
        <v>1</v>
      </c>
      <c r="J2097" s="8" t="inlineStr">
        <is>
          <t>Step 9: Request Form for OEM/Company</t>
        </is>
      </c>
      <c r="K2097" s="8" t="inlineStr">
        <is>
          <t>MS-C33</t>
        </is>
      </c>
      <c r="L2097" s="9" t="n">
        <v>46323</v>
      </c>
      <c r="M2097" s="8" t="inlineStr">
        <is>
          <t>Approved</t>
        </is>
      </c>
      <c r="N2097" s="8" t="inlineStr">
        <is>
          <t>text</t>
        </is>
      </c>
    </row>
    <row r="2098" ht="40" customHeight="1">
      <c r="A2098" s="4" t="inlineStr">
        <is>
          <t>C33-P0034</t>
        </is>
      </c>
      <c r="B2098" s="4" t="inlineStr">
        <is>
          <t>C33</t>
        </is>
      </c>
      <c r="C2098" s="4" t="inlineStr">
        <is>
          <t>GST Exemption Certificate Scheme</t>
        </is>
      </c>
      <c r="D2098" s="4" t="inlineStr">
        <is>
          <t>Application process</t>
        </is>
      </c>
      <c r="E2098" s="4" t="inlineStr"/>
      <c r="F2098" s="4" t="inlineStr">
        <is>
          <t>en.applicationProcess[1].process[17]</t>
        </is>
      </c>
      <c r="G2098" s="4" t="inlineStr">
        <is>
          <t>C33@20261028-8bc30e69</t>
        </is>
      </c>
      <c r="H2098" s="4" t="n">
        <v>1</v>
      </c>
      <c r="I2098" s="4" t="n">
        <v>1</v>
      </c>
      <c r="J2098" s="4" t="inlineStr">
        <is>
          <t>If the OEM/Company or model of your vehicle is not listed, you can request to add new entries. Click "Add New OEM/Company Request" and provide the relevant information as shown in SCR-15.</t>
        </is>
      </c>
      <c r="K2098" s="4" t="inlineStr">
        <is>
          <t>MS-C33</t>
        </is>
      </c>
      <c r="L2098" s="6" t="n">
        <v>46323</v>
      </c>
      <c r="M2098" s="4" t="inlineStr">
        <is>
          <t>Approved</t>
        </is>
      </c>
      <c r="N2098" s="4" t="inlineStr">
        <is>
          <t>paragraph</t>
        </is>
      </c>
    </row>
    <row r="2099" ht="54" customHeight="1">
      <c r="A2099" s="8" t="inlineStr">
        <is>
          <t>C33-P0035</t>
        </is>
      </c>
      <c r="B2099" s="8" t="inlineStr">
        <is>
          <t>C33</t>
        </is>
      </c>
      <c r="C2099" s="8" t="inlineStr">
        <is>
          <t>GST Exemption Certificate Scheme</t>
        </is>
      </c>
      <c r="D2099" s="8" t="inlineStr">
        <is>
          <t>FAQ</t>
        </is>
      </c>
      <c r="E2099" s="8" t="inlineStr"/>
      <c r="F2099" s="8" t="inlineStr">
        <is>
          <t>faqs.en.faqs[0]</t>
        </is>
      </c>
      <c r="G2099" s="8" t="inlineStr">
        <is>
          <t>C33@20261028-8bc30e69</t>
        </is>
      </c>
      <c r="H2099" s="8" t="n">
        <v>1</v>
      </c>
      <c r="I2099" s="8" t="n">
        <v>1</v>
      </c>
      <c r="J2099" s="8" t="inlineStr">
        <is>
          <t>What is the process for updating vehicle details after purchase?
After purchasing a vehicle, applicants can update their vehicle details on the portal by providing the vehicle number and date of purchase.</t>
        </is>
      </c>
      <c r="K2099" s="8" t="inlineStr">
        <is>
          <t>MS-C33</t>
        </is>
      </c>
      <c r="L2099" s="9" t="n">
        <v>46323</v>
      </c>
      <c r="M2099" s="8" t="inlineStr">
        <is>
          <t>Approved</t>
        </is>
      </c>
      <c r="N2099" s="8" t="inlineStr">
        <is>
          <t>faq</t>
        </is>
      </c>
    </row>
    <row r="2100" ht="54" customHeight="1">
      <c r="A2100" s="4" t="inlineStr">
        <is>
          <t>C33-P0036</t>
        </is>
      </c>
      <c r="B2100" s="4" t="inlineStr">
        <is>
          <t>C33</t>
        </is>
      </c>
      <c r="C2100" s="4" t="inlineStr">
        <is>
          <t>GST Exemption Certificate Scheme</t>
        </is>
      </c>
      <c r="D2100" s="4" t="inlineStr">
        <is>
          <t>FAQ</t>
        </is>
      </c>
      <c r="E2100" s="4" t="inlineStr"/>
      <c r="F2100" s="4" t="inlineStr">
        <is>
          <t>faqs.en.faqs[1]</t>
        </is>
      </c>
      <c r="G2100" s="4" t="inlineStr">
        <is>
          <t>C33@20261028-8bc30e69</t>
        </is>
      </c>
      <c r="H2100" s="4" t="n">
        <v>1</v>
      </c>
      <c r="I2100" s="4" t="n">
        <v>1</v>
      </c>
      <c r="J2100" s="4" t="inlineStr">
        <is>
          <t>Is the scheme available for both new and used vehicles?
The guidelines specify the criteria for the eligible vehicles but do not distinguish between new or used cars.</t>
        </is>
      </c>
      <c r="K2100" s="4" t="inlineStr">
        <is>
          <t>MS-C33</t>
        </is>
      </c>
      <c r="L2100" s="6" t="n">
        <v>46323</v>
      </c>
      <c r="M2100" s="4" t="inlineStr">
        <is>
          <t>Approved</t>
        </is>
      </c>
      <c r="N2100" s="4" t="inlineStr">
        <is>
          <t>faq</t>
        </is>
      </c>
    </row>
    <row r="2101" ht="54" customHeight="1">
      <c r="A2101" s="8" t="inlineStr">
        <is>
          <t>C33-P0037</t>
        </is>
      </c>
      <c r="B2101" s="8" t="inlineStr">
        <is>
          <t>C33</t>
        </is>
      </c>
      <c r="C2101" s="8" t="inlineStr">
        <is>
          <t>GST Exemption Certificate Scheme</t>
        </is>
      </c>
      <c r="D2101" s="8" t="inlineStr">
        <is>
          <t>FAQ</t>
        </is>
      </c>
      <c r="E2101" s="8" t="inlineStr"/>
      <c r="F2101" s="8" t="inlineStr">
        <is>
          <t>faqs.en.faqs[2]</t>
        </is>
      </c>
      <c r="G2101" s="8" t="inlineStr">
        <is>
          <t>C33@20261028-8bc30e69</t>
        </is>
      </c>
      <c r="H2101" s="8" t="n">
        <v>1</v>
      </c>
      <c r="I2101" s="8" t="n">
        <v>1</v>
      </c>
      <c r="J2101" s="8" t="inlineStr">
        <is>
          <t>Can the online application be saved as a draft and completed later?
Yes, the online application can be saved as a draft in the User Dashboard and completed at a later time.</t>
        </is>
      </c>
      <c r="K2101" s="8" t="inlineStr">
        <is>
          <t>MS-C33</t>
        </is>
      </c>
      <c r="L2101" s="9" t="n">
        <v>46323</v>
      </c>
      <c r="M2101" s="8" t="inlineStr">
        <is>
          <t>Approved</t>
        </is>
      </c>
      <c r="N2101" s="8" t="inlineStr">
        <is>
          <t>faq</t>
        </is>
      </c>
    </row>
    <row r="2102" ht="54" customHeight="1">
      <c r="A2102" s="4" t="inlineStr">
        <is>
          <t>C33-P0038</t>
        </is>
      </c>
      <c r="B2102" s="4" t="inlineStr">
        <is>
          <t>C33</t>
        </is>
      </c>
      <c r="C2102" s="4" t="inlineStr">
        <is>
          <t>GST Exemption Certificate Scheme</t>
        </is>
      </c>
      <c r="D2102" s="4" t="inlineStr">
        <is>
          <t>FAQ</t>
        </is>
      </c>
      <c r="E2102" s="4" t="inlineStr"/>
      <c r="F2102" s="4" t="inlineStr">
        <is>
          <t>faqs.en.faqs[3]</t>
        </is>
      </c>
      <c r="G2102" s="4" t="inlineStr">
        <is>
          <t>C33@20261028-8bc30e69</t>
        </is>
      </c>
      <c r="H2102" s="4" t="n">
        <v>1</v>
      </c>
      <c r="I2102" s="4" t="n">
        <v>1</v>
      </c>
      <c r="J2102" s="4" t="inlineStr">
        <is>
          <t>What happens if an applicant misses the three-month window for purchasing the vehicle?
Missing the three-month window for purchasing the vehicle means the applicant won't be able to avail the concession, and they may need to reapply.</t>
        </is>
      </c>
      <c r="K2102" s="4" t="inlineStr">
        <is>
          <t>MS-C33</t>
        </is>
      </c>
      <c r="L2102" s="6" t="n">
        <v>46323</v>
      </c>
      <c r="M2102" s="4" t="inlineStr">
        <is>
          <t>Approved</t>
        </is>
      </c>
      <c r="N2102" s="4" t="inlineStr">
        <is>
          <t>faq</t>
        </is>
      </c>
    </row>
    <row r="2103" ht="54" customHeight="1">
      <c r="A2103" s="8" t="inlineStr">
        <is>
          <t>C33-P0039</t>
        </is>
      </c>
      <c r="B2103" s="8" t="inlineStr">
        <is>
          <t>C33</t>
        </is>
      </c>
      <c r="C2103" s="8" t="inlineStr">
        <is>
          <t>GST Exemption Certificate Scheme</t>
        </is>
      </c>
      <c r="D2103" s="8" t="inlineStr">
        <is>
          <t>FAQ</t>
        </is>
      </c>
      <c r="E2103" s="8" t="inlineStr"/>
      <c r="F2103" s="8" t="inlineStr">
        <is>
          <t>faqs.en.faqs[4]</t>
        </is>
      </c>
      <c r="G2103" s="8" t="inlineStr">
        <is>
          <t>C33@20261028-8bc30e69</t>
        </is>
      </c>
      <c r="H2103" s="8" t="n">
        <v>1</v>
      </c>
      <c r="I2103" s="8" t="n">
        <v>1</v>
      </c>
      <c r="J2103" s="8" t="inlineStr">
        <is>
          <t>Can a person apply for this scheme if they don't drive the vehicle themselves?
Yes, the scheme is open to both individuals who drive the vehicle themselves and those who don't.</t>
        </is>
      </c>
      <c r="K2103" s="8" t="inlineStr">
        <is>
          <t>MS-C33</t>
        </is>
      </c>
      <c r="L2103" s="9" t="n">
        <v>46323</v>
      </c>
      <c r="M2103" s="8" t="inlineStr">
        <is>
          <t>Approved</t>
        </is>
      </c>
      <c r="N2103" s="8" t="inlineStr">
        <is>
          <t>faq</t>
        </is>
      </c>
    </row>
    <row r="2104" ht="54" customHeight="1">
      <c r="A2104" s="4" t="inlineStr">
        <is>
          <t>C33-P0040</t>
        </is>
      </c>
      <c r="B2104" s="4" t="inlineStr">
        <is>
          <t>C33</t>
        </is>
      </c>
      <c r="C2104" s="4" t="inlineStr">
        <is>
          <t>GST Exemption Certificate Scheme</t>
        </is>
      </c>
      <c r="D2104" s="4" t="inlineStr">
        <is>
          <t>FAQ</t>
        </is>
      </c>
      <c r="E2104" s="4" t="inlineStr"/>
      <c r="F2104" s="4" t="inlineStr">
        <is>
          <t>faqs.en.faqs[5]</t>
        </is>
      </c>
      <c r="G2104" s="4" t="inlineStr">
        <is>
          <t>C33@20261028-8bc30e69</t>
        </is>
      </c>
      <c r="H2104" s="4" t="n">
        <v>1</v>
      </c>
      <c r="I2104" s="4" t="n">
        <v>1</v>
      </c>
      <c r="J2104" s="4" t="inlineStr">
        <is>
          <t>How is the 10% GST concession calculated for vehicle purchases?
The 10% GST concession is calculated as a reduction of the standard GST rate, which is 28%, to 18% for eligible applicants.</t>
        </is>
      </c>
      <c r="K2104" s="4" t="inlineStr">
        <is>
          <t>MS-C33</t>
        </is>
      </c>
      <c r="L2104" s="6" t="n">
        <v>46323</v>
      </c>
      <c r="M2104" s="4" t="inlineStr">
        <is>
          <t>Approved</t>
        </is>
      </c>
      <c r="N2104" s="4" t="inlineStr">
        <is>
          <t>faq</t>
        </is>
      </c>
    </row>
    <row r="2105" ht="54" customHeight="1">
      <c r="A2105" s="8" t="inlineStr">
        <is>
          <t>C33-P0041</t>
        </is>
      </c>
      <c r="B2105" s="8" t="inlineStr">
        <is>
          <t>C33</t>
        </is>
      </c>
      <c r="C2105" s="8" t="inlineStr">
        <is>
          <t>GST Exemption Certificate Scheme</t>
        </is>
      </c>
      <c r="D2105" s="8" t="inlineStr">
        <is>
          <t>FAQ</t>
        </is>
      </c>
      <c r="E2105" s="8" t="inlineStr"/>
      <c r="F2105" s="8" t="inlineStr">
        <is>
          <t>faqs.en.faqs[6]</t>
        </is>
      </c>
      <c r="G2105" s="8" t="inlineStr">
        <is>
          <t>C33@20261028-8bc30e69</t>
        </is>
      </c>
      <c r="H2105" s="8" t="n">
        <v>1</v>
      </c>
      <c r="I2105" s="8" t="n">
        <v>1</v>
      </c>
      <c r="J2105" s="8" t="inlineStr">
        <is>
          <t>What should applicants do if they face technical issues during the online application process?
If technical issues occur during the online application, it's recommended to contact the provided support or helpdesk for assistance.</t>
        </is>
      </c>
      <c r="K2105" s="8" t="inlineStr">
        <is>
          <t>MS-C33</t>
        </is>
      </c>
      <c r="L2105" s="9" t="n">
        <v>46323</v>
      </c>
      <c r="M2105" s="8" t="inlineStr">
        <is>
          <t>Approved</t>
        </is>
      </c>
      <c r="N2105" s="8" t="inlineStr">
        <is>
          <t>faq</t>
        </is>
      </c>
    </row>
    <row r="2106" ht="68" customHeight="1">
      <c r="A2106" s="4" t="inlineStr">
        <is>
          <t>C33-P0042</t>
        </is>
      </c>
      <c r="B2106" s="4" t="inlineStr">
        <is>
          <t>C33</t>
        </is>
      </c>
      <c r="C2106" s="4" t="inlineStr">
        <is>
          <t>GST Exemption Certificate Scheme</t>
        </is>
      </c>
      <c r="D2106" s="4" t="inlineStr">
        <is>
          <t>FAQ</t>
        </is>
      </c>
      <c r="E2106" s="4" t="inlineStr"/>
      <c r="F2106" s="4" t="inlineStr">
        <is>
          <t>faqs.en.faqs[7]</t>
        </is>
      </c>
      <c r="G2106" s="4" t="inlineStr">
        <is>
          <t>C33@20261028-8bc30e69</t>
        </is>
      </c>
      <c r="H2106" s="4" t="n">
        <v>1</v>
      </c>
      <c r="I2106" s="4" t="n">
        <v>1</v>
      </c>
      <c r="J2106" s="4" t="inlineStr">
        <is>
          <t>Is there any specific format or template for the self-declaration statement, or can applicants draft it themselves?
It's advisable to use the prescribed format for the self-declaration statement to ensure it meets the scheme's requirements.</t>
        </is>
      </c>
      <c r="K2106" s="4" t="inlineStr">
        <is>
          <t>MS-C33</t>
        </is>
      </c>
      <c r="L2106" s="6" t="n">
        <v>46323</v>
      </c>
      <c r="M2106" s="4" t="inlineStr">
        <is>
          <t>Approved</t>
        </is>
      </c>
      <c r="N2106" s="4" t="inlineStr">
        <is>
          <t>faq</t>
        </is>
      </c>
    </row>
    <row r="2107" ht="54" customHeight="1">
      <c r="A2107" s="8" t="inlineStr">
        <is>
          <t>C33-P0043</t>
        </is>
      </c>
      <c r="B2107" s="8" t="inlineStr">
        <is>
          <t>C33</t>
        </is>
      </c>
      <c r="C2107" s="8" t="inlineStr">
        <is>
          <t>GST Exemption Certificate Scheme</t>
        </is>
      </c>
      <c r="D2107" s="8" t="inlineStr">
        <is>
          <t>FAQ</t>
        </is>
      </c>
      <c r="E2107" s="8" t="inlineStr"/>
      <c r="F2107" s="8" t="inlineStr">
        <is>
          <t>faqs.en.faqs[8]</t>
        </is>
      </c>
      <c r="G2107" s="8" t="inlineStr">
        <is>
          <t>C33@20261028-8bc30e69</t>
        </is>
      </c>
      <c r="H2107" s="8" t="n">
        <v>1</v>
      </c>
      <c r="I2107" s="8" t="n">
        <v>1</v>
      </c>
      <c r="J2107" s="8" t="inlineStr">
        <is>
          <t>What is the significance of the OTP in the registration process?
The OTP (One-Time Password) is used for verification and ensures that the applicant's contact information is valid.</t>
        </is>
      </c>
      <c r="K2107" s="8" t="inlineStr">
        <is>
          <t>MS-C33</t>
        </is>
      </c>
      <c r="L2107" s="9" t="n">
        <v>46323</v>
      </c>
      <c r="M2107" s="8" t="inlineStr">
        <is>
          <t>Approved</t>
        </is>
      </c>
      <c r="N2107" s="8" t="inlineStr">
        <is>
          <t>faq</t>
        </is>
      </c>
    </row>
    <row r="2108" ht="54" customHeight="1">
      <c r="A2108" s="4" t="inlineStr">
        <is>
          <t>C33-P0044</t>
        </is>
      </c>
      <c r="B2108" s="4" t="inlineStr">
        <is>
          <t>C33</t>
        </is>
      </c>
      <c r="C2108" s="4" t="inlineStr">
        <is>
          <t>GST Exemption Certificate Scheme</t>
        </is>
      </c>
      <c r="D2108" s="4" t="inlineStr">
        <is>
          <t>FAQ</t>
        </is>
      </c>
      <c r="E2108" s="4" t="inlineStr"/>
      <c r="F2108" s="4" t="inlineStr">
        <is>
          <t>faqs.en.faqs[9]</t>
        </is>
      </c>
      <c r="G2108" s="4" t="inlineStr">
        <is>
          <t>C33@20261028-8bc30e69</t>
        </is>
      </c>
      <c r="H2108" s="4" t="n">
        <v>1</v>
      </c>
      <c r="I2108" s="4" t="n">
        <v>1</v>
      </c>
      <c r="J2108" s="4" t="inlineStr">
        <is>
          <t>What is the process if an applicant's disability certificate is from a district government?
If the disability certificate is from a district government, it should bear the proper signature and seal of the issuing authority, and the name and registration number should be mentioned.</t>
        </is>
      </c>
      <c r="K2108" s="4" t="inlineStr">
        <is>
          <t>MS-C33</t>
        </is>
      </c>
      <c r="L2108" s="6" t="n">
        <v>46323</v>
      </c>
      <c r="M2108" s="4" t="inlineStr">
        <is>
          <t>Approved</t>
        </is>
      </c>
      <c r="N2108" s="4" t="inlineStr">
        <is>
          <t>faq</t>
        </is>
      </c>
    </row>
    <row r="2109" ht="68" customHeight="1">
      <c r="A2109" s="8" t="inlineStr">
        <is>
          <t>C33-P0045</t>
        </is>
      </c>
      <c r="B2109" s="8" t="inlineStr">
        <is>
          <t>C33</t>
        </is>
      </c>
      <c r="C2109" s="8" t="inlineStr">
        <is>
          <t>GST Exemption Certificate Scheme</t>
        </is>
      </c>
      <c r="D2109" s="8" t="inlineStr">
        <is>
          <t>FAQ</t>
        </is>
      </c>
      <c r="E2109" s="8" t="inlineStr"/>
      <c r="F2109" s="8" t="inlineStr">
        <is>
          <t>faqs.en.faqs[10]</t>
        </is>
      </c>
      <c r="G2109" s="8" t="inlineStr">
        <is>
          <t>C33@20261028-8bc30e69</t>
        </is>
      </c>
      <c r="H2109" s="8" t="n">
        <v>1</v>
      </c>
      <c r="I2109" s="8" t="n">
        <v>1</v>
      </c>
      <c r="J2109" s="8" t="inlineStr">
        <is>
          <t>How long does it usually take for the certificate to be issued after submitting an application?
The certificate is typically issued within a month from the date of receiving a complete application.</t>
        </is>
      </c>
      <c r="K2109" s="8" t="inlineStr">
        <is>
          <t>MS-C33</t>
        </is>
      </c>
      <c r="L2109" s="9" t="n">
        <v>46323</v>
      </c>
      <c r="M2109" s="8" t="inlineStr">
        <is>
          <t>Approved</t>
        </is>
      </c>
      <c r="N2109" s="8" t="inlineStr">
        <is>
          <t>faq</t>
        </is>
      </c>
    </row>
    <row r="2110" ht="68" customHeight="1">
      <c r="A2110" s="4" t="inlineStr">
        <is>
          <t>C33-P0046</t>
        </is>
      </c>
      <c r="B2110" s="4" t="inlineStr">
        <is>
          <t>C33</t>
        </is>
      </c>
      <c r="C2110" s="4" t="inlineStr">
        <is>
          <t>GST Exemption Certificate Scheme</t>
        </is>
      </c>
      <c r="D2110" s="4" t="inlineStr">
        <is>
          <t>FAQ</t>
        </is>
      </c>
      <c r="E2110" s="4" t="inlineStr"/>
      <c r="F2110" s="4" t="inlineStr">
        <is>
          <t>faqs.en.faqs[11]</t>
        </is>
      </c>
      <c r="G2110" s="4" t="inlineStr">
        <is>
          <t>C33@20261028-8bc30e69</t>
        </is>
      </c>
      <c r="H2110" s="4" t="n">
        <v>1</v>
      </c>
      <c r="I2110" s="4" t="n">
        <v>1</v>
      </c>
      <c r="J2110" s="4" t="inlineStr">
        <is>
          <t>Can you provide more details about the required specifications for creating a password during online registration?
The password must include at least one lowercase letter, one uppercase letter, one number, one special character, and be a minimum of 8 characters in length.</t>
        </is>
      </c>
      <c r="K2110" s="4" t="inlineStr">
        <is>
          <t>MS-C33</t>
        </is>
      </c>
      <c r="L2110" s="6" t="n">
        <v>46323</v>
      </c>
      <c r="M2110" s="4" t="inlineStr">
        <is>
          <t>Approved</t>
        </is>
      </c>
      <c r="N2110" s="4" t="inlineStr">
        <is>
          <t>faq</t>
        </is>
      </c>
    </row>
    <row r="2111" ht="54" customHeight="1">
      <c r="A2111" s="8" t="inlineStr">
        <is>
          <t>C33-P0047</t>
        </is>
      </c>
      <c r="B2111" s="8" t="inlineStr">
        <is>
          <t>C33</t>
        </is>
      </c>
      <c r="C2111" s="8" t="inlineStr">
        <is>
          <t>GST Exemption Certificate Scheme</t>
        </is>
      </c>
      <c r="D2111" s="8" t="inlineStr">
        <is>
          <t>FAQ</t>
        </is>
      </c>
      <c r="E2111" s="8" t="inlineStr"/>
      <c r="F2111" s="8" t="inlineStr">
        <is>
          <t>faqs.en.faqs[12]</t>
        </is>
      </c>
      <c r="G2111" s="8" t="inlineStr">
        <is>
          <t>C33@20261028-8bc30e69</t>
        </is>
      </c>
      <c r="H2111" s="8" t="n">
        <v>1</v>
      </c>
      <c r="I2111" s="8" t="n">
        <v>1</v>
      </c>
      <c r="J2111" s="8" t="inlineStr">
        <is>
          <t>How is the engine capacity of a vehicle determined for this scheme?
Engine capacity is based on the type of fuel (petrol, LPG, CNG, or diesel) and must meet the specified limits to qualify for the concession.</t>
        </is>
      </c>
      <c r="K2111" s="8" t="inlineStr">
        <is>
          <t>MS-C33</t>
        </is>
      </c>
      <c r="L2111" s="9" t="n">
        <v>46323</v>
      </c>
      <c r="M2111" s="8" t="inlineStr">
        <is>
          <t>Approved</t>
        </is>
      </c>
      <c r="N2111" s="8" t="inlineStr">
        <is>
          <t>faq</t>
        </is>
      </c>
    </row>
    <row r="2112" ht="68" customHeight="1">
      <c r="A2112" s="4" t="inlineStr">
        <is>
          <t>C33-P0048</t>
        </is>
      </c>
      <c r="B2112" s="4" t="inlineStr">
        <is>
          <t>C33</t>
        </is>
      </c>
      <c r="C2112" s="4" t="inlineStr">
        <is>
          <t>GST Exemption Certificate Scheme</t>
        </is>
      </c>
      <c r="D2112" s="4" t="inlineStr">
        <is>
          <t>FAQ</t>
        </is>
      </c>
      <c r="E2112" s="4" t="inlineStr"/>
      <c r="F2112" s="4" t="inlineStr">
        <is>
          <t>faqs.en.faqs[13]</t>
        </is>
      </c>
      <c r="G2112" s="4" t="inlineStr">
        <is>
          <t>C33@20261028-8bc30e69</t>
        </is>
      </c>
      <c r="H2112" s="4" t="n">
        <v>1</v>
      </c>
      <c r="I2112" s="4" t="n">
        <v>1</v>
      </c>
      <c r="J2112" s="4" t="inlineStr">
        <is>
          <t>What are the consequences if someone disposes of the vehicle within five years after availing the GST concession?
If the vehicle is disposed of within five years, the applicant may be subject to penalties or other legal consequences.</t>
        </is>
      </c>
      <c r="K2112" s="4" t="inlineStr">
        <is>
          <t>MS-C33</t>
        </is>
      </c>
      <c r="L2112" s="6" t="n">
        <v>46323</v>
      </c>
      <c r="M2112" s="4" t="inlineStr">
        <is>
          <t>Approved</t>
        </is>
      </c>
      <c r="N2112" s="4" t="inlineStr">
        <is>
          <t>faq</t>
        </is>
      </c>
    </row>
    <row r="2113" ht="82" customHeight="1">
      <c r="A2113" s="8" t="inlineStr">
        <is>
          <t>C34-P0001</t>
        </is>
      </c>
      <c r="B2113" s="8" t="inlineStr">
        <is>
          <t>C34</t>
        </is>
      </c>
      <c r="C2113" s="8" t="inlineStr">
        <is>
          <t>National Energy Conservation Award</t>
        </is>
      </c>
      <c r="D2113" s="8" t="inlineStr">
        <is>
          <t>Details</t>
        </is>
      </c>
      <c r="E2113" s="8" t="inlineStr"/>
      <c r="F2113" s="8" t="inlineStr">
        <is>
          <t>en.schemeContent.detailedDescription[0]</t>
        </is>
      </c>
      <c r="G2113" s="8" t="inlineStr">
        <is>
          <t>C34@20261028-aa340d6f</t>
        </is>
      </c>
      <c r="H2113" s="8" t="n">
        <v>1</v>
      </c>
      <c r="I2113" s="8" t="n">
        <v>1</v>
      </c>
      <c r="J2113" s="8" t="inlineStr">
        <is>
          <t>The National Energy Conservation Award under the Ministry of Power, Government of India, recognizes organizations for their outstanding efforts in energy conservation and energy efficiency.A total of 65 awards are given under different categories, including Tier-I and Tier-II. The award ceremony is held every year on 14th December on the occasion of National Energy Conservation Day.</t>
        </is>
      </c>
      <c r="K2113" s="8" t="inlineStr">
        <is>
          <t>MS-C34</t>
        </is>
      </c>
      <c r="L2113" s="9" t="n">
        <v>46323</v>
      </c>
      <c r="M2113" s="8" t="inlineStr">
        <is>
          <t>Approved</t>
        </is>
      </c>
      <c r="N2113" s="8" t="inlineStr">
        <is>
          <t>paragraph</t>
        </is>
      </c>
    </row>
    <row r="2114" ht="40" customHeight="1">
      <c r="A2114" s="4" t="inlineStr">
        <is>
          <t>C34-P0002</t>
        </is>
      </c>
      <c r="B2114" s="4" t="inlineStr">
        <is>
          <t>C34</t>
        </is>
      </c>
      <c r="C2114" s="4" t="inlineStr">
        <is>
          <t>National Energy Conservation Award</t>
        </is>
      </c>
      <c r="D2114" s="4" t="inlineStr">
        <is>
          <t>Details</t>
        </is>
      </c>
      <c r="E2114" s="4" t="inlineStr">
        <is>
          <t>Objective</t>
        </is>
      </c>
      <c r="F2114" s="4" t="inlineStr">
        <is>
          <t>en.schemeContent.detailedDescription[1]</t>
        </is>
      </c>
      <c r="G2114" s="4" t="inlineStr">
        <is>
          <t>C34@20261028-aa340d6f</t>
        </is>
      </c>
      <c r="H2114" s="4" t="n">
        <v>1</v>
      </c>
      <c r="I2114" s="4" t="n">
        <v>1</v>
      </c>
      <c r="J2114" s="4" t="inlineStr">
        <is>
          <t>Objective</t>
        </is>
      </c>
      <c r="K2114" s="4" t="inlineStr">
        <is>
          <t>MS-C34</t>
        </is>
      </c>
      <c r="L2114" s="6" t="n">
        <v>46323</v>
      </c>
      <c r="M2114" s="4" t="inlineStr">
        <is>
          <t>Approved</t>
        </is>
      </c>
      <c r="N2114" s="4" t="inlineStr">
        <is>
          <t>paragraph</t>
        </is>
      </c>
    </row>
    <row r="2115" ht="54" customHeight="1">
      <c r="A2115" s="8" t="inlineStr">
        <is>
          <t>C34-P0003</t>
        </is>
      </c>
      <c r="B2115" s="8" t="inlineStr">
        <is>
          <t>C34</t>
        </is>
      </c>
      <c r="C2115" s="8" t="inlineStr">
        <is>
          <t>National Energy Conservation Award</t>
        </is>
      </c>
      <c r="D2115" s="8" t="inlineStr">
        <is>
          <t>Details</t>
        </is>
      </c>
      <c r="E2115" s="8" t="inlineStr">
        <is>
          <t>Objective</t>
        </is>
      </c>
      <c r="F2115" s="8" t="inlineStr">
        <is>
          <t>en.schemeContent.detailedDescription[2]</t>
        </is>
      </c>
      <c r="G2115" s="8" t="inlineStr">
        <is>
          <t>C34@20261028-aa340d6f</t>
        </is>
      </c>
      <c r="H2115" s="8" t="n">
        <v>1</v>
      </c>
      <c r="I2115" s="8" t="n">
        <v>1</v>
      </c>
      <c r="J2115" s="8" t="inlineStr">
        <is>
          <t>a) Scope: The scope of the Awards is to cover sectors(Industries, Building, Transport, Institutions, Equipments) which have a share of around 56% of India’s total Electricity consumption(Energy Statistics 2022, MOSPI).</t>
        </is>
      </c>
      <c r="K2115" s="8" t="inlineStr">
        <is>
          <t>MS-C34</t>
        </is>
      </c>
      <c r="L2115" s="9" t="n">
        <v>46323</v>
      </c>
      <c r="M2115" s="8" t="inlineStr">
        <is>
          <t>Approved</t>
        </is>
      </c>
      <c r="N2115" s="8" t="inlineStr">
        <is>
          <t>paragraph</t>
        </is>
      </c>
    </row>
    <row r="2116" ht="54" customHeight="1">
      <c r="A2116" s="4" t="inlineStr">
        <is>
          <t>C34-P0004</t>
        </is>
      </c>
      <c r="B2116" s="4" t="inlineStr">
        <is>
          <t>C34</t>
        </is>
      </c>
      <c r="C2116" s="4" t="inlineStr">
        <is>
          <t>National Energy Conservation Award</t>
        </is>
      </c>
      <c r="D2116" s="4" t="inlineStr">
        <is>
          <t>Details</t>
        </is>
      </c>
      <c r="E2116" s="4" t="inlineStr">
        <is>
          <t>Objective</t>
        </is>
      </c>
      <c r="F2116" s="4" t="inlineStr">
        <is>
          <t>en.schemeContent.detailedDescription[3]</t>
        </is>
      </c>
      <c r="G2116" s="4" t="inlineStr">
        <is>
          <t>C34@20261028-aa340d6f</t>
        </is>
      </c>
      <c r="H2116" s="4" t="n">
        <v>1</v>
      </c>
      <c r="I2116" s="4" t="n">
        <v>1</v>
      </c>
      <c r="J2116" s="4" t="inlineStr">
        <is>
          <t>b) Purpose: The purpose of the awardis to recognize/reward organizations for the exemplary efforts on Energy Conservation and Energy Efficiency. It can be categorized into National Award(Tier-I/Tier-II) category.</t>
        </is>
      </c>
      <c r="K2116" s="4" t="inlineStr">
        <is>
          <t>MS-C34</t>
        </is>
      </c>
      <c r="L2116" s="6" t="n">
        <v>46323</v>
      </c>
      <c r="M2116" s="4" t="inlineStr">
        <is>
          <t>Approved</t>
        </is>
      </c>
      <c r="N2116" s="4" t="inlineStr">
        <is>
          <t>paragraph</t>
        </is>
      </c>
    </row>
    <row r="2117" ht="40" customHeight="1">
      <c r="A2117" s="8" t="inlineStr">
        <is>
          <t>C34-P0005</t>
        </is>
      </c>
      <c r="B2117" s="8" t="inlineStr">
        <is>
          <t>C34</t>
        </is>
      </c>
      <c r="C2117" s="8" t="inlineStr">
        <is>
          <t>National Energy Conservation Award</t>
        </is>
      </c>
      <c r="D2117" s="8" t="inlineStr">
        <is>
          <t>Benefits</t>
        </is>
      </c>
      <c r="E2117" s="8" t="inlineStr"/>
      <c r="F2117" s="8" t="inlineStr">
        <is>
          <t>en.schemeContent.benefits[0].children[0]</t>
        </is>
      </c>
      <c r="G2117" s="8" t="inlineStr">
        <is>
          <t>C34@20261028-aa340d6f</t>
        </is>
      </c>
      <c r="H2117" s="8" t="n">
        <v>1</v>
      </c>
      <c r="I2117" s="8" t="n">
        <v>1</v>
      </c>
      <c r="J2117" s="8" t="inlineStr">
        <is>
          <t>Certificate &amp; Trophy</t>
        </is>
      </c>
      <c r="K2117" s="8" t="inlineStr">
        <is>
          <t>MS-C34</t>
        </is>
      </c>
      <c r="L2117" s="9" t="n">
        <v>46323</v>
      </c>
      <c r="M2117" s="8" t="inlineStr">
        <is>
          <t>Approved</t>
        </is>
      </c>
      <c r="N2117" s="8" t="inlineStr">
        <is>
          <t>text</t>
        </is>
      </c>
    </row>
    <row r="2118" ht="54" customHeight="1">
      <c r="A2118" s="4" t="inlineStr">
        <is>
          <t>C34-P0006</t>
        </is>
      </c>
      <c r="B2118" s="4" t="inlineStr">
        <is>
          <t>C34</t>
        </is>
      </c>
      <c r="C2118" s="4" t="inlineStr">
        <is>
          <t>National Energy Conservation Award</t>
        </is>
      </c>
      <c r="D2118" s="4" t="inlineStr">
        <is>
          <t>Eligibility</t>
        </is>
      </c>
      <c r="E2118" s="4" t="inlineStr"/>
      <c r="F2118" s="4" t="inlineStr">
        <is>
          <t>en.eligibilityCriteria.eligibilityDescription[0]</t>
        </is>
      </c>
      <c r="G2118" s="4" t="inlineStr">
        <is>
          <t>C34@20261028-aa340d6f</t>
        </is>
      </c>
      <c r="H2118" s="4" t="n">
        <v>1</v>
      </c>
      <c r="I2118" s="4" t="n">
        <v>1</v>
      </c>
      <c r="J2118" s="4" t="inlineStr">
        <is>
          <t>All organizations are eligible to apply free of cost for the National Energy Conservation Award subject to the condition that their sector should be eligible for Award for a particular year.</t>
        </is>
      </c>
      <c r="K2118" s="4" t="inlineStr">
        <is>
          <t>MS-C34</t>
        </is>
      </c>
      <c r="L2118" s="6" t="n">
        <v>46323</v>
      </c>
      <c r="M2118" s="4" t="inlineStr">
        <is>
          <t>Approved</t>
        </is>
      </c>
      <c r="N2118" s="4" t="inlineStr">
        <is>
          <t>paragraph</t>
        </is>
      </c>
    </row>
    <row r="2119" ht="40" customHeight="1">
      <c r="A2119" s="8" t="inlineStr">
        <is>
          <t>C34-P0007</t>
        </is>
      </c>
      <c r="B2119" s="8" t="inlineStr">
        <is>
          <t>C34</t>
        </is>
      </c>
      <c r="C2119" s="8" t="inlineStr">
        <is>
          <t>National Energy Conservation Award</t>
        </is>
      </c>
      <c r="D2119" s="8" t="inlineStr">
        <is>
          <t>Exclusions</t>
        </is>
      </c>
      <c r="E2119" s="8" t="inlineStr">
        <is>
          <t>However, the following organizations cannot apply for the Award:</t>
        </is>
      </c>
      <c r="F2119" s="8" t="inlineStr">
        <is>
          <t>en.schemeContent.exclusions[0]</t>
        </is>
      </c>
      <c r="G2119" s="8" t="inlineStr">
        <is>
          <t>C34@20261028-aa340d6f</t>
        </is>
      </c>
      <c r="H2119" s="8" t="n">
        <v>1</v>
      </c>
      <c r="I2119" s="8" t="n">
        <v>1</v>
      </c>
      <c r="J2119" s="8" t="inlineStr">
        <is>
          <t>However, the following organizations cannot apply for the Award:</t>
        </is>
      </c>
      <c r="K2119" s="8" t="inlineStr">
        <is>
          <t>MS-C34</t>
        </is>
      </c>
      <c r="L2119" s="9" t="n">
        <v>46323</v>
      </c>
      <c r="M2119" s="8" t="inlineStr">
        <is>
          <t>Approved</t>
        </is>
      </c>
      <c r="N2119" s="8" t="inlineStr">
        <is>
          <t>paragraph</t>
        </is>
      </c>
    </row>
    <row r="2120" ht="40" customHeight="1">
      <c r="A2120" s="4" t="inlineStr">
        <is>
          <t>C34-P0008</t>
        </is>
      </c>
      <c r="B2120" s="4" t="inlineStr">
        <is>
          <t>C34</t>
        </is>
      </c>
      <c r="C2120" s="4" t="inlineStr">
        <is>
          <t>National Energy Conservation Award</t>
        </is>
      </c>
      <c r="D2120" s="4" t="inlineStr">
        <is>
          <t>Exclusions</t>
        </is>
      </c>
      <c r="E2120" s="4" t="inlineStr">
        <is>
          <t>However, the following organizations cannot apply for the Award:</t>
        </is>
      </c>
      <c r="F2120" s="4" t="inlineStr">
        <is>
          <t>en.schemeContent.exclusions[1]</t>
        </is>
      </c>
      <c r="G2120" s="4" t="inlineStr">
        <is>
          <t>C34@20261028-aa340d6f</t>
        </is>
      </c>
      <c r="H2120" s="4" t="n">
        <v>1</v>
      </c>
      <c r="I2120" s="4" t="n">
        <v>1</v>
      </c>
      <c r="J2120" s="4" t="inlineStr">
        <is>
          <t>a. Organizations having legal issues, blacklisted, or defaulters in any of the government schemes.</t>
        </is>
      </c>
      <c r="K2120" s="4" t="inlineStr">
        <is>
          <t>MS-C34</t>
        </is>
      </c>
      <c r="L2120" s="6" t="n">
        <v>46323</v>
      </c>
      <c r="M2120" s="4" t="inlineStr">
        <is>
          <t>Approved</t>
        </is>
      </c>
      <c r="N2120" s="4" t="inlineStr">
        <is>
          <t>paragraph</t>
        </is>
      </c>
    </row>
    <row r="2121" ht="40" customHeight="1">
      <c r="A2121" s="8" t="inlineStr">
        <is>
          <t>C34-P0009</t>
        </is>
      </c>
      <c r="B2121" s="8" t="inlineStr">
        <is>
          <t>C34</t>
        </is>
      </c>
      <c r="C2121" s="8" t="inlineStr">
        <is>
          <t>National Energy Conservation Award</t>
        </is>
      </c>
      <c r="D2121" s="8" t="inlineStr">
        <is>
          <t>Exclusions</t>
        </is>
      </c>
      <c r="E2121" s="8" t="inlineStr">
        <is>
          <t>However, the following organizations cannot apply for the Award:</t>
        </is>
      </c>
      <c r="F2121" s="8" t="inlineStr">
        <is>
          <t>en.schemeContent.exclusions[2]</t>
        </is>
      </c>
      <c r="G2121" s="8" t="inlineStr">
        <is>
          <t>C34@20261028-aa340d6f</t>
        </is>
      </c>
      <c r="H2121" s="8" t="n">
        <v>1</v>
      </c>
      <c r="I2121" s="8" t="n">
        <v>1</v>
      </c>
      <c r="J2121" s="8" t="inlineStr">
        <is>
          <t>b. Defaulters/repeated defaulters under the Perform Achieve and Trade scheme of the Bureau of Energy Efficiency, Ministry of Power.</t>
        </is>
      </c>
      <c r="K2121" s="8" t="inlineStr">
        <is>
          <t>MS-C34</t>
        </is>
      </c>
      <c r="L2121" s="9" t="n">
        <v>46323</v>
      </c>
      <c r="M2121" s="8" t="inlineStr">
        <is>
          <t>Approved</t>
        </is>
      </c>
      <c r="N2121" s="8" t="inlineStr">
        <is>
          <t>paragraph</t>
        </is>
      </c>
    </row>
    <row r="2122" ht="40" customHeight="1">
      <c r="A2122" s="4" t="inlineStr">
        <is>
          <t>C34-P0010</t>
        </is>
      </c>
      <c r="B2122" s="4" t="inlineStr">
        <is>
          <t>C34</t>
        </is>
      </c>
      <c r="C2122" s="4" t="inlineStr">
        <is>
          <t>National Energy Conservation Award</t>
        </is>
      </c>
      <c r="D2122" s="4" t="inlineStr">
        <is>
          <t>Applicant documents</t>
        </is>
      </c>
      <c r="E2122" s="4" t="inlineStr"/>
      <c r="F2122" s="4" t="inlineStr">
        <is>
          <t>documents.en.documents_required[0].children[0]</t>
        </is>
      </c>
      <c r="G2122" s="4" t="inlineStr">
        <is>
          <t>C34@20261028-aa340d6f</t>
        </is>
      </c>
      <c r="H2122" s="4" t="n">
        <v>1</v>
      </c>
      <c r="I2122" s="4" t="n">
        <v>1</v>
      </c>
      <c r="J2122" s="4" t="inlineStr">
        <is>
          <t>Organization registration certificate</t>
        </is>
      </c>
      <c r="K2122" s="4" t="inlineStr">
        <is>
          <t>MS-C34</t>
        </is>
      </c>
      <c r="L2122" s="6" t="n">
        <v>46323</v>
      </c>
      <c r="M2122" s="4" t="inlineStr">
        <is>
          <t>Approved</t>
        </is>
      </c>
      <c r="N2122" s="4" t="inlineStr">
        <is>
          <t>list_item</t>
        </is>
      </c>
    </row>
    <row r="2123" ht="40" customHeight="1">
      <c r="A2123" s="8" t="inlineStr">
        <is>
          <t>C34-P0011</t>
        </is>
      </c>
      <c r="B2123" s="8" t="inlineStr">
        <is>
          <t>C34</t>
        </is>
      </c>
      <c r="C2123" s="8" t="inlineStr">
        <is>
          <t>National Energy Conservation Award</t>
        </is>
      </c>
      <c r="D2123" s="8" t="inlineStr">
        <is>
          <t>Applicant documents</t>
        </is>
      </c>
      <c r="E2123" s="8" t="inlineStr"/>
      <c r="F2123" s="8" t="inlineStr">
        <is>
          <t>documents.en.documents_required[0].children[1]</t>
        </is>
      </c>
      <c r="G2123" s="8" t="inlineStr">
        <is>
          <t>C34@20261028-aa340d6f</t>
        </is>
      </c>
      <c r="H2123" s="8" t="n">
        <v>1</v>
      </c>
      <c r="I2123" s="8" t="n">
        <v>1</v>
      </c>
      <c r="J2123" s="8" t="inlineStr">
        <is>
          <t>Energy consumption data/report</t>
        </is>
      </c>
      <c r="K2123" s="8" t="inlineStr">
        <is>
          <t>MS-C34</t>
        </is>
      </c>
      <c r="L2123" s="9" t="n">
        <v>46323</v>
      </c>
      <c r="M2123" s="8" t="inlineStr">
        <is>
          <t>Approved</t>
        </is>
      </c>
      <c r="N2123" s="8" t="inlineStr">
        <is>
          <t>list_item</t>
        </is>
      </c>
    </row>
    <row r="2124" ht="40" customHeight="1">
      <c r="A2124" s="4" t="inlineStr">
        <is>
          <t>C34-P0012</t>
        </is>
      </c>
      <c r="B2124" s="4" t="inlineStr">
        <is>
          <t>C34</t>
        </is>
      </c>
      <c r="C2124" s="4" t="inlineStr">
        <is>
          <t>National Energy Conservation Award</t>
        </is>
      </c>
      <c r="D2124" s="4" t="inlineStr">
        <is>
          <t>Applicant documents</t>
        </is>
      </c>
      <c r="E2124" s="4" t="inlineStr"/>
      <c r="F2124" s="4" t="inlineStr">
        <is>
          <t>documents.en.documents_required[0].children[2]</t>
        </is>
      </c>
      <c r="G2124" s="4" t="inlineStr">
        <is>
          <t>C34@20261028-aa340d6f</t>
        </is>
      </c>
      <c r="H2124" s="4" t="n">
        <v>1</v>
      </c>
      <c r="I2124" s="4" t="n">
        <v>1</v>
      </c>
      <c r="J2124" s="4" t="inlineStr">
        <is>
          <t>Proof of energy-saving initiatives</t>
        </is>
      </c>
      <c r="K2124" s="4" t="inlineStr">
        <is>
          <t>MS-C34</t>
        </is>
      </c>
      <c r="L2124" s="6" t="n">
        <v>46323</v>
      </c>
      <c r="M2124" s="4" t="inlineStr">
        <is>
          <t>Approved</t>
        </is>
      </c>
      <c r="N2124" s="4" t="inlineStr">
        <is>
          <t>list_item</t>
        </is>
      </c>
    </row>
    <row r="2125" ht="40" customHeight="1">
      <c r="A2125" s="8" t="inlineStr">
        <is>
          <t>C34-P0013</t>
        </is>
      </c>
      <c r="B2125" s="8" t="inlineStr">
        <is>
          <t>C34</t>
        </is>
      </c>
      <c r="C2125" s="8" t="inlineStr">
        <is>
          <t>National Energy Conservation Award</t>
        </is>
      </c>
      <c r="D2125" s="8" t="inlineStr">
        <is>
          <t>Applicant documents</t>
        </is>
      </c>
      <c r="E2125" s="8" t="inlineStr"/>
      <c r="F2125" s="8" t="inlineStr">
        <is>
          <t>documents.en.documents_required[0].children[3]</t>
        </is>
      </c>
      <c r="G2125" s="8" t="inlineStr">
        <is>
          <t>C34@20261028-aa340d6f</t>
        </is>
      </c>
      <c r="H2125" s="8" t="n">
        <v>1</v>
      </c>
      <c r="I2125" s="8" t="n">
        <v>1</v>
      </c>
      <c r="J2125" s="8" t="inlineStr">
        <is>
          <t>Supporting documents or reports</t>
        </is>
      </c>
      <c r="K2125" s="8" t="inlineStr">
        <is>
          <t>MS-C34</t>
        </is>
      </c>
      <c r="L2125" s="9" t="n">
        <v>46323</v>
      </c>
      <c r="M2125" s="8" t="inlineStr">
        <is>
          <t>Approved</t>
        </is>
      </c>
      <c r="N2125" s="8" t="inlineStr">
        <is>
          <t>list_item</t>
        </is>
      </c>
    </row>
    <row r="2126" ht="40" customHeight="1">
      <c r="A2126" s="4" t="inlineStr">
        <is>
          <t>C34-P0014</t>
        </is>
      </c>
      <c r="B2126" s="4" t="inlineStr">
        <is>
          <t>C34</t>
        </is>
      </c>
      <c r="C2126" s="4" t="inlineStr">
        <is>
          <t>National Energy Conservation Award</t>
        </is>
      </c>
      <c r="D2126" s="4" t="inlineStr">
        <is>
          <t>Applicant documents</t>
        </is>
      </c>
      <c r="E2126" s="4" t="inlineStr"/>
      <c r="F2126" s="4" t="inlineStr">
        <is>
          <t>documents.en.documents_required[0].children[4]</t>
        </is>
      </c>
      <c r="G2126" s="4" t="inlineStr">
        <is>
          <t>C34@20261028-aa340d6f</t>
        </is>
      </c>
      <c r="H2126" s="4" t="n">
        <v>1</v>
      </c>
      <c r="I2126" s="4" t="n">
        <v>1</v>
      </c>
      <c r="J2126" s="4" t="inlineStr">
        <is>
          <t>Any other papers asked by the Awards team.</t>
        </is>
      </c>
      <c r="K2126" s="4" t="inlineStr">
        <is>
          <t>MS-C34</t>
        </is>
      </c>
      <c r="L2126" s="6" t="n">
        <v>46323</v>
      </c>
      <c r="M2126" s="4" t="inlineStr">
        <is>
          <t>Approved</t>
        </is>
      </c>
      <c r="N2126" s="4" t="inlineStr">
        <is>
          <t>list_item</t>
        </is>
      </c>
    </row>
    <row r="2127" ht="40" customHeight="1">
      <c r="A2127" s="8" t="inlineStr">
        <is>
          <t>C34-P0015</t>
        </is>
      </c>
      <c r="B2127" s="8" t="inlineStr">
        <is>
          <t>C34</t>
        </is>
      </c>
      <c r="C2127" s="8" t="inlineStr">
        <is>
          <t>National Energy Conservation Award</t>
        </is>
      </c>
      <c r="D2127" s="8" t="inlineStr">
        <is>
          <t>Application process</t>
        </is>
      </c>
      <c r="E2127" s="8" t="inlineStr">
        <is>
          <t>Registration:</t>
        </is>
      </c>
      <c r="F2127" s="8" t="inlineStr">
        <is>
          <t>en.applicationProcess[0].process[0]</t>
        </is>
      </c>
      <c r="G2127" s="8" t="inlineStr">
        <is>
          <t>C34@20261028-aa340d6f</t>
        </is>
      </c>
      <c r="H2127" s="8" t="n">
        <v>1</v>
      </c>
      <c r="I2127" s="8" t="n">
        <v>1</v>
      </c>
      <c r="J2127" s="8" t="inlineStr">
        <is>
          <t>Registration:</t>
        </is>
      </c>
      <c r="K2127" s="8" t="inlineStr">
        <is>
          <t>MS-C34</t>
        </is>
      </c>
      <c r="L2127" s="9" t="n">
        <v>46323</v>
      </c>
      <c r="M2127" s="8" t="inlineStr">
        <is>
          <t>Approved</t>
        </is>
      </c>
      <c r="N2127" s="8" t="inlineStr">
        <is>
          <t>paragraph</t>
        </is>
      </c>
    </row>
    <row r="2128" ht="40" customHeight="1">
      <c r="A2128" s="4" t="inlineStr">
        <is>
          <t>C34-P0016</t>
        </is>
      </c>
      <c r="B2128" s="4" t="inlineStr">
        <is>
          <t>C34</t>
        </is>
      </c>
      <c r="C2128" s="4" t="inlineStr">
        <is>
          <t>National Energy Conservation Award</t>
        </is>
      </c>
      <c r="D2128" s="4" t="inlineStr">
        <is>
          <t>Application process</t>
        </is>
      </c>
      <c r="E2128" s="4" t="inlineStr">
        <is>
          <t>Registration:</t>
        </is>
      </c>
      <c r="F2128" s="4" t="inlineStr">
        <is>
          <t>en.applicationProcess[0].process[1]</t>
        </is>
      </c>
      <c r="G2128" s="4" t="inlineStr">
        <is>
          <t>C34@20261028-aa340d6f</t>
        </is>
      </c>
      <c r="H2128" s="4" t="n">
        <v>1</v>
      </c>
      <c r="I2128" s="4" t="n">
        <v>1</v>
      </c>
      <c r="J2128" s="4" t="inlineStr">
        <is>
          <t>Step 1: Visit the official website and click on the Registration button.</t>
        </is>
      </c>
      <c r="K2128" s="4" t="inlineStr">
        <is>
          <t>MS-C34</t>
        </is>
      </c>
      <c r="L2128" s="6" t="n">
        <v>46323</v>
      </c>
      <c r="M2128" s="4" t="inlineStr">
        <is>
          <t>Approved</t>
        </is>
      </c>
      <c r="N2128" s="4" t="inlineStr">
        <is>
          <t>paragraph</t>
        </is>
      </c>
    </row>
    <row r="2129" ht="40" customHeight="1">
      <c r="A2129" s="8" t="inlineStr">
        <is>
          <t>C34-P0017</t>
        </is>
      </c>
      <c r="B2129" s="8" t="inlineStr">
        <is>
          <t>C34</t>
        </is>
      </c>
      <c r="C2129" s="8" t="inlineStr">
        <is>
          <t>National Energy Conservation Award</t>
        </is>
      </c>
      <c r="D2129" s="8" t="inlineStr">
        <is>
          <t>Application process</t>
        </is>
      </c>
      <c r="E2129" s="8" t="inlineStr">
        <is>
          <t>Registration:</t>
        </is>
      </c>
      <c r="F2129" s="8" t="inlineStr">
        <is>
          <t>en.applicationProcess[0].process[2]</t>
        </is>
      </c>
      <c r="G2129" s="8" t="inlineStr">
        <is>
          <t>C34@20261028-aa340d6f</t>
        </is>
      </c>
      <c r="H2129" s="8" t="n">
        <v>1</v>
      </c>
      <c r="I2129" s="8" t="n">
        <v>1</v>
      </c>
      <c r="J2129" s="8" t="inlineStr">
        <is>
          <t>Step 2: Select your category: Individual or Organization.</t>
        </is>
      </c>
      <c r="K2129" s="8" t="inlineStr">
        <is>
          <t>MS-C34</t>
        </is>
      </c>
      <c r="L2129" s="9" t="n">
        <v>46323</v>
      </c>
      <c r="M2129" s="8" t="inlineStr">
        <is>
          <t>Approved</t>
        </is>
      </c>
      <c r="N2129" s="8" t="inlineStr">
        <is>
          <t>paragraph</t>
        </is>
      </c>
    </row>
    <row r="2130" ht="40" customHeight="1">
      <c r="A2130" s="4" t="inlineStr">
        <is>
          <t>C34-P0018</t>
        </is>
      </c>
      <c r="B2130" s="4" t="inlineStr">
        <is>
          <t>C34</t>
        </is>
      </c>
      <c r="C2130" s="4" t="inlineStr">
        <is>
          <t>National Energy Conservation Award</t>
        </is>
      </c>
      <c r="D2130" s="4" t="inlineStr">
        <is>
          <t>Application process</t>
        </is>
      </c>
      <c r="E2130" s="4" t="inlineStr">
        <is>
          <t>Registration:</t>
        </is>
      </c>
      <c r="F2130" s="4" t="inlineStr">
        <is>
          <t>en.applicationProcess[0].process[3]</t>
        </is>
      </c>
      <c r="G2130" s="4" t="inlineStr">
        <is>
          <t>C34@20261028-aa340d6f</t>
        </is>
      </c>
      <c r="H2130" s="4" t="n">
        <v>1</v>
      </c>
      <c r="I2130" s="4" t="n">
        <v>1</v>
      </c>
      <c r="J2130" s="4" t="inlineStr">
        <is>
          <t>Step 3: Fill in the required details:</t>
        </is>
      </c>
      <c r="K2130" s="4" t="inlineStr">
        <is>
          <t>MS-C34</t>
        </is>
      </c>
      <c r="L2130" s="6" t="n">
        <v>46323</v>
      </c>
      <c r="M2130" s="4" t="inlineStr">
        <is>
          <t>Approved</t>
        </is>
      </c>
      <c r="N2130" s="4" t="inlineStr">
        <is>
          <t>paragraph</t>
        </is>
      </c>
    </row>
    <row r="2131" ht="40" customHeight="1">
      <c r="A2131" s="8" t="inlineStr">
        <is>
          <t>C34-P0019</t>
        </is>
      </c>
      <c r="B2131" s="8" t="inlineStr">
        <is>
          <t>C34</t>
        </is>
      </c>
      <c r="C2131" s="8" t="inlineStr">
        <is>
          <t>National Energy Conservation Award</t>
        </is>
      </c>
      <c r="D2131" s="8" t="inlineStr">
        <is>
          <t>Application process</t>
        </is>
      </c>
      <c r="E2131" s="8" t="inlineStr">
        <is>
          <t>Registration:</t>
        </is>
      </c>
      <c r="F2131" s="8" t="inlineStr">
        <is>
          <t>en.applicationProcess[0].process[4]</t>
        </is>
      </c>
      <c r="G2131" s="8" t="inlineStr">
        <is>
          <t>C34@20261028-aa340d6f</t>
        </is>
      </c>
      <c r="H2131" s="8" t="n">
        <v>1</v>
      </c>
      <c r="I2131" s="8" t="n">
        <v>1</v>
      </c>
      <c r="J2131" s="8" t="inlineStr">
        <is>
          <t>Individual: Name, Date of Birth, Nominator Type, Mobile, Email, Aadhaar Number.</t>
        </is>
      </c>
      <c r="K2131" s="8" t="inlineStr">
        <is>
          <t>MS-C34</t>
        </is>
      </c>
      <c r="L2131" s="9" t="n">
        <v>46323</v>
      </c>
      <c r="M2131" s="8" t="inlineStr">
        <is>
          <t>Approved</t>
        </is>
      </c>
      <c r="N2131" s="8" t="inlineStr">
        <is>
          <t>paragraph</t>
        </is>
      </c>
    </row>
    <row r="2132" ht="40" customHeight="1">
      <c r="A2132" s="4" t="inlineStr">
        <is>
          <t>C34-P0020</t>
        </is>
      </c>
      <c r="B2132" s="4" t="inlineStr">
        <is>
          <t>C34</t>
        </is>
      </c>
      <c r="C2132" s="4" t="inlineStr">
        <is>
          <t>National Energy Conservation Award</t>
        </is>
      </c>
      <c r="D2132" s="4" t="inlineStr">
        <is>
          <t>Application process</t>
        </is>
      </c>
      <c r="E2132" s="4" t="inlineStr">
        <is>
          <t>Registration:</t>
        </is>
      </c>
      <c r="F2132" s="4" t="inlineStr">
        <is>
          <t>en.applicationProcess[0].process[5]</t>
        </is>
      </c>
      <c r="G2132" s="4" t="inlineStr">
        <is>
          <t>C34@20261028-aa340d6f</t>
        </is>
      </c>
      <c r="H2132" s="4" t="n">
        <v>1</v>
      </c>
      <c r="I2132" s="4" t="n">
        <v>1</v>
      </c>
      <c r="J2132" s="4" t="inlineStr">
        <is>
          <t>Organization: Type, Authorized Person Name, Date of Birth, Organization Description, Designation, Mobile, Email, Aadhaar Number.</t>
        </is>
      </c>
      <c r="K2132" s="4" t="inlineStr">
        <is>
          <t>MS-C34</t>
        </is>
      </c>
      <c r="L2132" s="6" t="n">
        <v>46323</v>
      </c>
      <c r="M2132" s="4" t="inlineStr">
        <is>
          <t>Approved</t>
        </is>
      </c>
      <c r="N2132" s="4" t="inlineStr">
        <is>
          <t>paragraph</t>
        </is>
      </c>
    </row>
    <row r="2133" ht="40" customHeight="1">
      <c r="A2133" s="8" t="inlineStr">
        <is>
          <t>C34-P0021</t>
        </is>
      </c>
      <c r="B2133" s="8" t="inlineStr">
        <is>
          <t>C34</t>
        </is>
      </c>
      <c r="C2133" s="8" t="inlineStr">
        <is>
          <t>National Energy Conservation Award</t>
        </is>
      </c>
      <c r="D2133" s="8" t="inlineStr">
        <is>
          <t>Application process</t>
        </is>
      </c>
      <c r="E2133" s="8" t="inlineStr">
        <is>
          <t>Registration:</t>
        </is>
      </c>
      <c r="F2133" s="8" t="inlineStr">
        <is>
          <t>en.applicationProcess[0].process[6]</t>
        </is>
      </c>
      <c r="G2133" s="8" t="inlineStr">
        <is>
          <t>C34@20261028-aa340d6f</t>
        </is>
      </c>
      <c r="H2133" s="8" t="n">
        <v>1</v>
      </c>
      <c r="I2133" s="8" t="n">
        <v>1</v>
      </c>
      <c r="J2133" s="8" t="inlineStr">
        <is>
          <t>Step 4: Click Submit to complete registration.</t>
        </is>
      </c>
      <c r="K2133" s="8" t="inlineStr">
        <is>
          <t>MS-C34</t>
        </is>
      </c>
      <c r="L2133" s="9" t="n">
        <v>46323</v>
      </c>
      <c r="M2133" s="8" t="inlineStr">
        <is>
          <t>Approved</t>
        </is>
      </c>
      <c r="N2133" s="8" t="inlineStr">
        <is>
          <t>paragraph</t>
        </is>
      </c>
    </row>
    <row r="2134" ht="40" customHeight="1">
      <c r="A2134" s="4" t="inlineStr">
        <is>
          <t>C34-P0022</t>
        </is>
      </c>
      <c r="B2134" s="4" t="inlineStr">
        <is>
          <t>C34</t>
        </is>
      </c>
      <c r="C2134" s="4" t="inlineStr">
        <is>
          <t>National Energy Conservation Award</t>
        </is>
      </c>
      <c r="D2134" s="4" t="inlineStr">
        <is>
          <t>Application process</t>
        </is>
      </c>
      <c r="E2134" s="4" t="inlineStr">
        <is>
          <t>Apply:</t>
        </is>
      </c>
      <c r="F2134" s="4" t="inlineStr">
        <is>
          <t>en.applicationProcess[0].process[7]</t>
        </is>
      </c>
      <c r="G2134" s="4" t="inlineStr">
        <is>
          <t>C34@20261028-aa340d6f</t>
        </is>
      </c>
      <c r="H2134" s="4" t="n">
        <v>1</v>
      </c>
      <c r="I2134" s="4" t="n">
        <v>1</v>
      </c>
      <c r="J2134" s="4" t="inlineStr">
        <is>
          <t>Apply:</t>
        </is>
      </c>
      <c r="K2134" s="4" t="inlineStr">
        <is>
          <t>MS-C34</t>
        </is>
      </c>
      <c r="L2134" s="6" t="n">
        <v>46323</v>
      </c>
      <c r="M2134" s="4" t="inlineStr">
        <is>
          <t>Approved</t>
        </is>
      </c>
      <c r="N2134" s="4" t="inlineStr">
        <is>
          <t>paragraph</t>
        </is>
      </c>
    </row>
    <row r="2135" ht="40" customHeight="1">
      <c r="A2135" s="8" t="inlineStr">
        <is>
          <t>C34-P0023</t>
        </is>
      </c>
      <c r="B2135" s="8" t="inlineStr">
        <is>
          <t>C34</t>
        </is>
      </c>
      <c r="C2135" s="8" t="inlineStr">
        <is>
          <t>National Energy Conservation Award</t>
        </is>
      </c>
      <c r="D2135" s="8" t="inlineStr">
        <is>
          <t>Application process</t>
        </is>
      </c>
      <c r="E2135" s="8" t="inlineStr">
        <is>
          <t>Apply:</t>
        </is>
      </c>
      <c r="F2135" s="8" t="inlineStr">
        <is>
          <t>en.applicationProcess[0].process[8]</t>
        </is>
      </c>
      <c r="G2135" s="8" t="inlineStr">
        <is>
          <t>C34@20261028-aa340d6f</t>
        </is>
      </c>
      <c r="H2135" s="8" t="n">
        <v>1</v>
      </c>
      <c r="I2135" s="8" t="n">
        <v>1</v>
      </c>
      <c r="J2135" s="8" t="inlineStr">
        <is>
          <t>Step 1: Log in to the portal using your registered credentials.</t>
        </is>
      </c>
      <c r="K2135" s="8" t="inlineStr">
        <is>
          <t>MS-C34</t>
        </is>
      </c>
      <c r="L2135" s="9" t="n">
        <v>46323</v>
      </c>
      <c r="M2135" s="8" t="inlineStr">
        <is>
          <t>Approved</t>
        </is>
      </c>
      <c r="N2135" s="8" t="inlineStr">
        <is>
          <t>paragraph</t>
        </is>
      </c>
    </row>
    <row r="2136" ht="40" customHeight="1">
      <c r="A2136" s="4" t="inlineStr">
        <is>
          <t>C34-P0024</t>
        </is>
      </c>
      <c r="B2136" s="4" t="inlineStr">
        <is>
          <t>C34</t>
        </is>
      </c>
      <c r="C2136" s="4" t="inlineStr">
        <is>
          <t>National Energy Conservation Award</t>
        </is>
      </c>
      <c r="D2136" s="4" t="inlineStr">
        <is>
          <t>Application process</t>
        </is>
      </c>
      <c r="E2136" s="4" t="inlineStr">
        <is>
          <t>Apply:</t>
        </is>
      </c>
      <c r="F2136" s="4" t="inlineStr">
        <is>
          <t>en.applicationProcess[0].process[9]</t>
        </is>
      </c>
      <c r="G2136" s="4" t="inlineStr">
        <is>
          <t>C34@20261028-aa340d6f</t>
        </is>
      </c>
      <c r="H2136" s="4" t="n">
        <v>1</v>
      </c>
      <c r="I2136" s="4" t="n">
        <v>1</v>
      </c>
      <c r="J2136" s="4" t="inlineStr">
        <is>
          <t>Step 2: Select the scheme from the list of awards and click "Nominate / Apply Now".</t>
        </is>
      </c>
      <c r="K2136" s="4" t="inlineStr">
        <is>
          <t>MS-C34</t>
        </is>
      </c>
      <c r="L2136" s="6" t="n">
        <v>46323</v>
      </c>
      <c r="M2136" s="4" t="inlineStr">
        <is>
          <t>Approved</t>
        </is>
      </c>
      <c r="N2136" s="4" t="inlineStr">
        <is>
          <t>paragraph</t>
        </is>
      </c>
    </row>
    <row r="2137" ht="40" customHeight="1">
      <c r="A2137" s="8" t="inlineStr">
        <is>
          <t>C34-P0025</t>
        </is>
      </c>
      <c r="B2137" s="8" t="inlineStr">
        <is>
          <t>C34</t>
        </is>
      </c>
      <c r="C2137" s="8" t="inlineStr">
        <is>
          <t>National Energy Conservation Award</t>
        </is>
      </c>
      <c r="D2137" s="8" t="inlineStr">
        <is>
          <t>Application process</t>
        </is>
      </c>
      <c r="E2137" s="8" t="inlineStr">
        <is>
          <t>Apply:</t>
        </is>
      </c>
      <c r="F2137" s="8" t="inlineStr">
        <is>
          <t>en.applicationProcess[0].process[10]</t>
        </is>
      </c>
      <c r="G2137" s="8" t="inlineStr">
        <is>
          <t>C34@20261028-aa340d6f</t>
        </is>
      </c>
      <c r="H2137" s="8" t="n">
        <v>1</v>
      </c>
      <c r="I2137" s="8" t="n">
        <v>1</v>
      </c>
      <c r="J2137" s="8" t="inlineStr">
        <is>
          <t>Step 3: Fill in all mandatory fields in the online application form.</t>
        </is>
      </c>
      <c r="K2137" s="8" t="inlineStr">
        <is>
          <t>MS-C34</t>
        </is>
      </c>
      <c r="L2137" s="9" t="n">
        <v>46323</v>
      </c>
      <c r="M2137" s="8" t="inlineStr">
        <is>
          <t>Approved</t>
        </is>
      </c>
      <c r="N2137" s="8" t="inlineStr">
        <is>
          <t>paragraph</t>
        </is>
      </c>
    </row>
    <row r="2138" ht="40" customHeight="1">
      <c r="A2138" s="4" t="inlineStr">
        <is>
          <t>C34-P0026</t>
        </is>
      </c>
      <c r="B2138" s="4" t="inlineStr">
        <is>
          <t>C34</t>
        </is>
      </c>
      <c r="C2138" s="4" t="inlineStr">
        <is>
          <t>National Energy Conservation Award</t>
        </is>
      </c>
      <c r="D2138" s="4" t="inlineStr">
        <is>
          <t>Application process</t>
        </is>
      </c>
      <c r="E2138" s="4" t="inlineStr">
        <is>
          <t>Apply:</t>
        </is>
      </c>
      <c r="F2138" s="4" t="inlineStr">
        <is>
          <t>en.applicationProcess[0].process[11]</t>
        </is>
      </c>
      <c r="G2138" s="4" t="inlineStr">
        <is>
          <t>C34@20261028-aa340d6f</t>
        </is>
      </c>
      <c r="H2138" s="4" t="n">
        <v>1</v>
      </c>
      <c r="I2138" s="4" t="n">
        <v>1</v>
      </c>
      <c r="J2138" s="4" t="inlineStr">
        <is>
          <t>Step 4: Click Submit to complete your application.</t>
        </is>
      </c>
      <c r="K2138" s="4" t="inlineStr">
        <is>
          <t>MS-C34</t>
        </is>
      </c>
      <c r="L2138" s="6" t="n">
        <v>46323</v>
      </c>
      <c r="M2138" s="4" t="inlineStr">
        <is>
          <t>Approved</t>
        </is>
      </c>
      <c r="N2138" s="4" t="inlineStr">
        <is>
          <t>paragraph</t>
        </is>
      </c>
    </row>
    <row r="2139" ht="54" customHeight="1">
      <c r="A2139" s="8" t="inlineStr">
        <is>
          <t>C34-P0027</t>
        </is>
      </c>
      <c r="B2139" s="8" t="inlineStr">
        <is>
          <t>C34</t>
        </is>
      </c>
      <c r="C2139" s="8" t="inlineStr">
        <is>
          <t>National Energy Conservation Award</t>
        </is>
      </c>
      <c r="D2139" s="8" t="inlineStr">
        <is>
          <t>FAQ</t>
        </is>
      </c>
      <c r="E2139" s="8" t="inlineStr"/>
      <c r="F2139" s="8" t="inlineStr">
        <is>
          <t>faqs.en.faqs[0]</t>
        </is>
      </c>
      <c r="G2139" s="8" t="inlineStr">
        <is>
          <t>C34@20261028-aa340d6f</t>
        </is>
      </c>
      <c r="H2139" s="8" t="n">
        <v>1</v>
      </c>
      <c r="I2139" s="8" t="n">
        <v>1</v>
      </c>
      <c r="J2139" s="8" t="inlineStr">
        <is>
          <t>What is the National Energy Conservation Award?
The National Energy Conservation Award recognizes organizations for their outstanding efforts in energy conservation and energy efficiency.</t>
        </is>
      </c>
      <c r="K2139" s="8" t="inlineStr">
        <is>
          <t>MS-C34</t>
        </is>
      </c>
      <c r="L2139" s="9" t="n">
        <v>46323</v>
      </c>
      <c r="M2139" s="8" t="inlineStr">
        <is>
          <t>Approved</t>
        </is>
      </c>
      <c r="N2139" s="8" t="inlineStr">
        <is>
          <t>faq</t>
        </is>
      </c>
    </row>
    <row r="2140" ht="54" customHeight="1">
      <c r="A2140" s="4" t="inlineStr">
        <is>
          <t>C34-P0028</t>
        </is>
      </c>
      <c r="B2140" s="4" t="inlineStr">
        <is>
          <t>C34</t>
        </is>
      </c>
      <c r="C2140" s="4" t="inlineStr">
        <is>
          <t>National Energy Conservation Award</t>
        </is>
      </c>
      <c r="D2140" s="4" t="inlineStr">
        <is>
          <t>FAQ</t>
        </is>
      </c>
      <c r="E2140" s="4" t="inlineStr"/>
      <c r="F2140" s="4" t="inlineStr">
        <is>
          <t>faqs.en.faqs[1]</t>
        </is>
      </c>
      <c r="G2140" s="4" t="inlineStr">
        <is>
          <t>C34@20261028-aa340d6f</t>
        </is>
      </c>
      <c r="H2140" s="4" t="n">
        <v>1</v>
      </c>
      <c r="I2140" s="4" t="n">
        <v>1</v>
      </c>
      <c r="J2140" s="4" t="inlineStr">
        <is>
          <t>Which ministry is responsible for this award?
The award is administered by the Ministry of Power, Government of India through the Bureau of Energy Efficiency (BEE).</t>
        </is>
      </c>
      <c r="K2140" s="4" t="inlineStr">
        <is>
          <t>MS-C34</t>
        </is>
      </c>
      <c r="L2140" s="6" t="n">
        <v>46323</v>
      </c>
      <c r="M2140" s="4" t="inlineStr">
        <is>
          <t>Approved</t>
        </is>
      </c>
      <c r="N2140" s="4" t="inlineStr">
        <is>
          <t>faq</t>
        </is>
      </c>
    </row>
    <row r="2141" ht="54" customHeight="1">
      <c r="A2141" s="8" t="inlineStr">
        <is>
          <t>C34-P0029</t>
        </is>
      </c>
      <c r="B2141" s="8" t="inlineStr">
        <is>
          <t>C34</t>
        </is>
      </c>
      <c r="C2141" s="8" t="inlineStr">
        <is>
          <t>National Energy Conservation Award</t>
        </is>
      </c>
      <c r="D2141" s="8" t="inlineStr">
        <is>
          <t>FAQ</t>
        </is>
      </c>
      <c r="E2141" s="8" t="inlineStr"/>
      <c r="F2141" s="8" t="inlineStr">
        <is>
          <t>faqs.en.faqs[2]</t>
        </is>
      </c>
      <c r="G2141" s="8" t="inlineStr">
        <is>
          <t>C34@20261028-aa340d6f</t>
        </is>
      </c>
      <c r="H2141" s="8" t="n">
        <v>1</v>
      </c>
      <c r="I2141" s="8" t="n">
        <v>1</v>
      </c>
      <c r="J2141" s="8" t="inlineStr">
        <is>
          <t>Which sectors are covered under this award?
The award covers industries, buildings, transport, institutions, and equipment sectors contributing significantly to electricity consumption.</t>
        </is>
      </c>
      <c r="K2141" s="8" t="inlineStr">
        <is>
          <t>MS-C34</t>
        </is>
      </c>
      <c r="L2141" s="9" t="n">
        <v>46323</v>
      </c>
      <c r="M2141" s="8" t="inlineStr">
        <is>
          <t>Approved</t>
        </is>
      </c>
      <c r="N2141" s="8" t="inlineStr">
        <is>
          <t>faq</t>
        </is>
      </c>
    </row>
    <row r="2142" ht="54" customHeight="1">
      <c r="A2142" s="4" t="inlineStr">
        <is>
          <t>C34-P0030</t>
        </is>
      </c>
      <c r="B2142" s="4" t="inlineStr">
        <is>
          <t>C34</t>
        </is>
      </c>
      <c r="C2142" s="4" t="inlineStr">
        <is>
          <t>National Energy Conservation Award</t>
        </is>
      </c>
      <c r="D2142" s="4" t="inlineStr">
        <is>
          <t>FAQ</t>
        </is>
      </c>
      <c r="E2142" s="4" t="inlineStr"/>
      <c r="F2142" s="4" t="inlineStr">
        <is>
          <t>faqs.en.faqs[3]</t>
        </is>
      </c>
      <c r="G2142" s="4" t="inlineStr">
        <is>
          <t>C34@20261028-aa340d6f</t>
        </is>
      </c>
      <c r="H2142" s="4" t="n">
        <v>1</v>
      </c>
      <c r="I2142" s="4" t="n">
        <v>1</v>
      </c>
      <c r="J2142" s="4" t="inlineStr">
        <is>
          <t>Who is eligible to apply for the award?
All organizations can apply free of cost, provided their sector is eligible for the award in that particular year.</t>
        </is>
      </c>
      <c r="K2142" s="4" t="inlineStr">
        <is>
          <t>MS-C34</t>
        </is>
      </c>
      <c r="L2142" s="6" t="n">
        <v>46323</v>
      </c>
      <c r="M2142" s="4" t="inlineStr">
        <is>
          <t>Approved</t>
        </is>
      </c>
      <c r="N2142" s="4" t="inlineStr">
        <is>
          <t>faq</t>
        </is>
      </c>
    </row>
    <row r="2143" ht="54" customHeight="1">
      <c r="A2143" s="8" t="inlineStr">
        <is>
          <t>C34-P0031</t>
        </is>
      </c>
      <c r="B2143" s="8" t="inlineStr">
        <is>
          <t>C34</t>
        </is>
      </c>
      <c r="C2143" s="8" t="inlineStr">
        <is>
          <t>National Energy Conservation Award</t>
        </is>
      </c>
      <c r="D2143" s="8" t="inlineStr">
        <is>
          <t>FAQ</t>
        </is>
      </c>
      <c r="E2143" s="8" t="inlineStr"/>
      <c r="F2143" s="8" t="inlineStr">
        <is>
          <t>faqs.en.faqs[4]</t>
        </is>
      </c>
      <c r="G2143" s="8" t="inlineStr">
        <is>
          <t>C34@20261028-aa340d6f</t>
        </is>
      </c>
      <c r="H2143" s="8" t="n">
        <v>1</v>
      </c>
      <c r="I2143" s="8" t="n">
        <v>1</v>
      </c>
      <c r="J2143" s="8" t="inlineStr">
        <is>
          <t>Are there any organizations that are not eligible to apply?
Yes, organizations with legal issues, blacklisted entities, or defaulters under government schemes are not eligible.</t>
        </is>
      </c>
      <c r="K2143" s="8" t="inlineStr">
        <is>
          <t>MS-C34</t>
        </is>
      </c>
      <c r="L2143" s="9" t="n">
        <v>46323</v>
      </c>
      <c r="M2143" s="8" t="inlineStr">
        <is>
          <t>Approved</t>
        </is>
      </c>
      <c r="N2143" s="8" t="inlineStr">
        <is>
          <t>faq</t>
        </is>
      </c>
    </row>
    <row r="2144" ht="54" customHeight="1">
      <c r="A2144" s="4" t="inlineStr">
        <is>
          <t>C34-P0032</t>
        </is>
      </c>
      <c r="B2144" s="4" t="inlineStr">
        <is>
          <t>C34</t>
        </is>
      </c>
      <c r="C2144" s="4" t="inlineStr">
        <is>
          <t>National Energy Conservation Award</t>
        </is>
      </c>
      <c r="D2144" s="4" t="inlineStr">
        <is>
          <t>FAQ</t>
        </is>
      </c>
      <c r="E2144" s="4" t="inlineStr"/>
      <c r="F2144" s="4" t="inlineStr">
        <is>
          <t>faqs.en.faqs[5]</t>
        </is>
      </c>
      <c r="G2144" s="4" t="inlineStr">
        <is>
          <t>C34@20261028-aa340d6f</t>
        </is>
      </c>
      <c r="H2144" s="4" t="n">
        <v>1</v>
      </c>
      <c r="I2144" s="4" t="n">
        <v>1</v>
      </c>
      <c r="J2144" s="4" t="inlineStr">
        <is>
          <t>Can defaulters under the PAT scheme apply?
No, repeated defaulters under the Perform Achieve and Trade (PAT) scheme are not allowed to apply.</t>
        </is>
      </c>
      <c r="K2144" s="4" t="inlineStr">
        <is>
          <t>MS-C34</t>
        </is>
      </c>
      <c r="L2144" s="6" t="n">
        <v>46323</v>
      </c>
      <c r="M2144" s="4" t="inlineStr">
        <is>
          <t>Approved</t>
        </is>
      </c>
      <c r="N2144" s="4" t="inlineStr">
        <is>
          <t>faq</t>
        </is>
      </c>
    </row>
    <row r="2145" ht="40" customHeight="1">
      <c r="A2145" s="8" t="inlineStr">
        <is>
          <t>C34-P0033</t>
        </is>
      </c>
      <c r="B2145" s="8" t="inlineStr">
        <is>
          <t>C34</t>
        </is>
      </c>
      <c r="C2145" s="8" t="inlineStr">
        <is>
          <t>National Energy Conservation Award</t>
        </is>
      </c>
      <c r="D2145" s="8" t="inlineStr">
        <is>
          <t>FAQ</t>
        </is>
      </c>
      <c r="E2145" s="8" t="inlineStr"/>
      <c r="F2145" s="8" t="inlineStr">
        <is>
          <t>faqs.en.faqs[6]</t>
        </is>
      </c>
      <c r="G2145" s="8" t="inlineStr">
        <is>
          <t>C34@20261028-aa340d6f</t>
        </is>
      </c>
      <c r="H2145" s="8" t="n">
        <v>1</v>
      </c>
      <c r="I2145" s="8" t="n">
        <v>1</v>
      </c>
      <c r="J2145" s="8" t="inlineStr">
        <is>
          <t>How many awards are given under this scheme?
A total of 65 awards are given across various sectors and categories.</t>
        </is>
      </c>
      <c r="K2145" s="8" t="inlineStr">
        <is>
          <t>MS-C34</t>
        </is>
      </c>
      <c r="L2145" s="9" t="n">
        <v>46323</v>
      </c>
      <c r="M2145" s="8" t="inlineStr">
        <is>
          <t>Approved</t>
        </is>
      </c>
      <c r="N2145" s="8" t="inlineStr">
        <is>
          <t>faq</t>
        </is>
      </c>
    </row>
    <row r="2146" ht="40" customHeight="1">
      <c r="A2146" s="4" t="inlineStr">
        <is>
          <t>C34-P0034</t>
        </is>
      </c>
      <c r="B2146" s="4" t="inlineStr">
        <is>
          <t>C34</t>
        </is>
      </c>
      <c r="C2146" s="4" t="inlineStr">
        <is>
          <t>National Energy Conservation Award</t>
        </is>
      </c>
      <c r="D2146" s="4" t="inlineStr">
        <is>
          <t>FAQ</t>
        </is>
      </c>
      <c r="E2146" s="4" t="inlineStr"/>
      <c r="F2146" s="4" t="inlineStr">
        <is>
          <t>faqs.en.faqs[7]</t>
        </is>
      </c>
      <c r="G2146" s="4" t="inlineStr">
        <is>
          <t>C34@20261028-aa340d6f</t>
        </is>
      </c>
      <c r="H2146" s="4" t="n">
        <v>1</v>
      </c>
      <c r="I2146" s="4" t="n">
        <v>1</v>
      </c>
      <c r="J2146" s="4" t="inlineStr">
        <is>
          <t>Who can nominate for the award?
Any eligible organization can nominate itself for the award.</t>
        </is>
      </c>
      <c r="K2146" s="4" t="inlineStr">
        <is>
          <t>MS-C34</t>
        </is>
      </c>
      <c r="L2146" s="6" t="n">
        <v>46323</v>
      </c>
      <c r="M2146" s="4" t="inlineStr">
        <is>
          <t>Approved</t>
        </is>
      </c>
      <c r="N2146" s="4" t="inlineStr">
        <is>
          <t>faq</t>
        </is>
      </c>
    </row>
    <row r="2147" ht="54" customHeight="1">
      <c r="A2147" s="8" t="inlineStr">
        <is>
          <t>C34-P0035</t>
        </is>
      </c>
      <c r="B2147" s="8" t="inlineStr">
        <is>
          <t>C34</t>
        </is>
      </c>
      <c r="C2147" s="8" t="inlineStr">
        <is>
          <t>National Energy Conservation Award</t>
        </is>
      </c>
      <c r="D2147" s="8" t="inlineStr">
        <is>
          <t>FAQ</t>
        </is>
      </c>
      <c r="E2147" s="8" t="inlineStr"/>
      <c r="F2147" s="8" t="inlineStr">
        <is>
          <t>faqs.en.faqs[8]</t>
        </is>
      </c>
      <c r="G2147" s="8" t="inlineStr">
        <is>
          <t>C34@20261028-aa340d6f</t>
        </is>
      </c>
      <c r="H2147" s="8" t="n">
        <v>1</v>
      </c>
      <c r="I2147" s="8" t="n">
        <v>1</v>
      </c>
      <c r="J2147" s="8" t="inlineStr">
        <is>
          <t>How is the final selection made?
The Selection Committee evaluates the data and recommends candidates to the Award Committee for final approval.</t>
        </is>
      </c>
      <c r="K2147" s="8" t="inlineStr">
        <is>
          <t>MS-C34</t>
        </is>
      </c>
      <c r="L2147" s="9" t="n">
        <v>46323</v>
      </c>
      <c r="M2147" s="8" t="inlineStr">
        <is>
          <t>Approved</t>
        </is>
      </c>
      <c r="N2147" s="8" t="inlineStr">
        <is>
          <t>faq</t>
        </is>
      </c>
    </row>
    <row r="2148" ht="54" customHeight="1">
      <c r="A2148" s="4" t="inlineStr">
        <is>
          <t>C34-P0036</t>
        </is>
      </c>
      <c r="B2148" s="4" t="inlineStr">
        <is>
          <t>C34</t>
        </is>
      </c>
      <c r="C2148" s="4" t="inlineStr">
        <is>
          <t>National Energy Conservation Award</t>
        </is>
      </c>
      <c r="D2148" s="4" t="inlineStr">
        <is>
          <t>FAQ</t>
        </is>
      </c>
      <c r="E2148" s="4" t="inlineStr"/>
      <c r="F2148" s="4" t="inlineStr">
        <is>
          <t>faqs.en.faqs[9]</t>
        </is>
      </c>
      <c r="G2148" s="4" t="inlineStr">
        <is>
          <t>C34@20261028-aa340d6f</t>
        </is>
      </c>
      <c r="H2148" s="4" t="n">
        <v>1</v>
      </c>
      <c r="I2148" s="4" t="n">
        <v>1</v>
      </c>
      <c r="J2148" s="4" t="inlineStr">
        <is>
          <t>Who approves the final list of awardees?
The Competent Authority/Award Committee chaired by the Secretary, Power, approves the final list.</t>
        </is>
      </c>
      <c r="K2148" s="4" t="inlineStr">
        <is>
          <t>MS-C34</t>
        </is>
      </c>
      <c r="L2148" s="6" t="n">
        <v>46323</v>
      </c>
      <c r="M2148" s="4" t="inlineStr">
        <is>
          <t>Approved</t>
        </is>
      </c>
      <c r="N2148" s="4" t="inlineStr">
        <is>
          <t>faq</t>
        </is>
      </c>
    </row>
    <row r="2149" ht="54" customHeight="1">
      <c r="A2149" s="8" t="inlineStr">
        <is>
          <t>C34-P0037</t>
        </is>
      </c>
      <c r="B2149" s="8" t="inlineStr">
        <is>
          <t>C34</t>
        </is>
      </c>
      <c r="C2149" s="8" t="inlineStr">
        <is>
          <t>National Energy Conservation Award</t>
        </is>
      </c>
      <c r="D2149" s="8" t="inlineStr">
        <is>
          <t>FAQ</t>
        </is>
      </c>
      <c r="E2149" s="8" t="inlineStr"/>
      <c r="F2149" s="8" t="inlineStr">
        <is>
          <t>faqs.en.faqs[10]</t>
        </is>
      </c>
      <c r="G2149" s="8" t="inlineStr">
        <is>
          <t>C34@20261028-aa340d6f</t>
        </is>
      </c>
      <c r="H2149" s="8" t="n">
        <v>1</v>
      </c>
      <c r="I2149" s="8" t="n">
        <v>1</v>
      </c>
      <c r="J2149" s="8" t="inlineStr">
        <is>
          <t>Why is this award important for organizations?
It encourages organizations to adopt energy-efficient practices and contributes to reducing overall energy consumption in India.</t>
        </is>
      </c>
      <c r="K2149" s="8" t="inlineStr">
        <is>
          <t>MS-C34</t>
        </is>
      </c>
      <c r="L2149" s="9" t="n">
        <v>46323</v>
      </c>
      <c r="M2149" s="8" t="inlineStr">
        <is>
          <t>Approved</t>
        </is>
      </c>
      <c r="N2149" s="8" t="inlineStr">
        <is>
          <t>faq</t>
        </is>
      </c>
    </row>
    <row r="2150" ht="82" customHeight="1">
      <c r="A2150" s="4" t="inlineStr">
        <is>
          <t>C35-P0001</t>
        </is>
      </c>
      <c r="B2150" s="4" t="inlineStr">
        <is>
          <t>C35</t>
        </is>
      </c>
      <c r="C2150" s="4" t="inlineStr">
        <is>
          <t>Marketing Development Assistance Scheme</t>
        </is>
      </c>
      <c r="D2150" s="4" t="inlineStr">
        <is>
          <t>Details</t>
        </is>
      </c>
      <c r="E2150" s="4" t="inlineStr"/>
      <c r="F2150" s="4" t="inlineStr">
        <is>
          <t>en.schemeContent.detailedDescription[0]</t>
        </is>
      </c>
      <c r="G2150" s="4" t="inlineStr">
        <is>
          <t>C35@20261028-c67e587f</t>
        </is>
      </c>
      <c r="H2150" s="4" t="n">
        <v>1</v>
      </c>
      <c r="I2150" s="4" t="n">
        <v>1</v>
      </c>
      <c r="J2150" s="4" t="inlineStr">
        <is>
          <t>The Ministry of Tourism launched the Marketing Development Assistance (MDA) Scheme under the Overseas Promotion &amp; Publicity (OPP) Scheme. The scheme aims to provide financial support to tourism service providers approved by the Ministry of Tourism, Govt. of India or the respective State Government / Union Territory (UT) Administration for undertaking promotion and marketing of India in the overseas markets.</t>
        </is>
      </c>
      <c r="K2150" s="4" t="inlineStr">
        <is>
          <t>MS-C35</t>
        </is>
      </c>
      <c r="L2150" s="6" t="n">
        <v>46323</v>
      </c>
      <c r="M2150" s="4" t="inlineStr">
        <is>
          <t>Approved</t>
        </is>
      </c>
      <c r="N2150" s="4" t="inlineStr">
        <is>
          <t>paragraph</t>
        </is>
      </c>
    </row>
    <row r="2151" ht="40" customHeight="1">
      <c r="A2151" s="8" t="inlineStr">
        <is>
          <t>C35-P0002</t>
        </is>
      </c>
      <c r="B2151" s="8" t="inlineStr">
        <is>
          <t>C35</t>
        </is>
      </c>
      <c r="C2151" s="8" t="inlineStr">
        <is>
          <t>Marketing Development Assistance Scheme</t>
        </is>
      </c>
      <c r="D2151" s="8" t="inlineStr">
        <is>
          <t>Details</t>
        </is>
      </c>
      <c r="E2151" s="8" t="inlineStr"/>
      <c r="F2151" s="8" t="inlineStr">
        <is>
          <t>en.schemeContent.detailedDescription[2].children[0]</t>
        </is>
      </c>
      <c r="G2151" s="8" t="inlineStr">
        <is>
          <t>C35@20261028-c67e587f</t>
        </is>
      </c>
      <c r="H2151" s="8" t="n">
        <v>1</v>
      </c>
      <c r="I2151" s="8" t="n">
        <v>1</v>
      </c>
      <c r="J2151" s="8" t="inlineStr">
        <is>
          <t>Objectives</t>
        </is>
      </c>
      <c r="K2151" s="8" t="inlineStr">
        <is>
          <t>MS-C35</t>
        </is>
      </c>
      <c r="L2151" s="9" t="n">
        <v>46323</v>
      </c>
      <c r="M2151" s="8" t="inlineStr">
        <is>
          <t>Approved</t>
        </is>
      </c>
      <c r="N2151" s="8" t="inlineStr">
        <is>
          <t>text</t>
        </is>
      </c>
    </row>
    <row r="2152" ht="40" customHeight="1">
      <c r="A2152" s="4" t="inlineStr">
        <is>
          <t>C35-P0003</t>
        </is>
      </c>
      <c r="B2152" s="4" t="inlineStr">
        <is>
          <t>C35</t>
        </is>
      </c>
      <c r="C2152" s="4" t="inlineStr">
        <is>
          <t>Marketing Development Assistance Scheme</t>
        </is>
      </c>
      <c r="D2152" s="4" t="inlineStr">
        <is>
          <t>Details</t>
        </is>
      </c>
      <c r="E2152" s="4" t="inlineStr"/>
      <c r="F2152" s="4" t="inlineStr">
        <is>
          <t>en.schemeContent.detailedDescription[2].children[1]</t>
        </is>
      </c>
      <c r="G2152" s="4" t="inlineStr">
        <is>
          <t>C35@20261028-c67e587f</t>
        </is>
      </c>
      <c r="H2152" s="4" t="n">
        <v>1</v>
      </c>
      <c r="I2152" s="4" t="n">
        <v>1</v>
      </c>
      <c r="J2152" s="4" t="inlineStr">
        <is>
          <t xml:space="preserve">: </t>
        </is>
      </c>
      <c r="K2152" s="4" t="inlineStr">
        <is>
          <t>MS-C35</t>
        </is>
      </c>
      <c r="L2152" s="6" t="n">
        <v>46323</v>
      </c>
      <c r="M2152" s="4" t="inlineStr">
        <is>
          <t>Approved</t>
        </is>
      </c>
      <c r="N2152" s="4" t="inlineStr">
        <is>
          <t>text</t>
        </is>
      </c>
    </row>
    <row r="2153" ht="40" customHeight="1">
      <c r="A2153" s="8" t="inlineStr">
        <is>
          <t>C35-P0004</t>
        </is>
      </c>
      <c r="B2153" s="8" t="inlineStr">
        <is>
          <t>C35</t>
        </is>
      </c>
      <c r="C2153" s="8" t="inlineStr">
        <is>
          <t>Marketing Development Assistance Scheme</t>
        </is>
      </c>
      <c r="D2153" s="8" t="inlineStr">
        <is>
          <t>Details</t>
        </is>
      </c>
      <c r="E2153" s="8" t="inlineStr"/>
      <c r="F2153" s="8" t="inlineStr">
        <is>
          <t>en.schemeContent.detailedDescription[3].children[0]</t>
        </is>
      </c>
      <c r="G2153" s="8" t="inlineStr">
        <is>
          <t>C35@20261028-c67e587f</t>
        </is>
      </c>
      <c r="H2153" s="8" t="n">
        <v>1</v>
      </c>
      <c r="I2153" s="8" t="n">
        <v>1</v>
      </c>
      <c r="J2153" s="8" t="inlineStr">
        <is>
          <t>To motivate stakeholders to promote tourism to the country from the overseas markets.</t>
        </is>
      </c>
      <c r="K2153" s="8" t="inlineStr">
        <is>
          <t>MS-C35</t>
        </is>
      </c>
      <c r="L2153" s="9" t="n">
        <v>46323</v>
      </c>
      <c r="M2153" s="8" t="inlineStr">
        <is>
          <t>Approved</t>
        </is>
      </c>
      <c r="N2153" s="8" t="inlineStr">
        <is>
          <t>list_item</t>
        </is>
      </c>
    </row>
    <row r="2154" ht="40" customHeight="1">
      <c r="A2154" s="4" t="inlineStr">
        <is>
          <t>C35-P0005</t>
        </is>
      </c>
      <c r="B2154" s="4" t="inlineStr">
        <is>
          <t>C35</t>
        </is>
      </c>
      <c r="C2154" s="4" t="inlineStr">
        <is>
          <t>Marketing Development Assistance Scheme</t>
        </is>
      </c>
      <c r="D2154" s="4" t="inlineStr">
        <is>
          <t>Details</t>
        </is>
      </c>
      <c r="E2154" s="4" t="inlineStr"/>
      <c r="F2154" s="4" t="inlineStr">
        <is>
          <t>en.schemeContent.detailedDescription[3].children[1]</t>
        </is>
      </c>
      <c r="G2154" s="4" t="inlineStr">
        <is>
          <t>C35@20261028-c67e587f</t>
        </is>
      </c>
      <c r="H2154" s="4" t="n">
        <v>1</v>
      </c>
      <c r="I2154" s="4" t="n">
        <v>1</v>
      </c>
      <c r="J2154" s="4" t="inlineStr">
        <is>
          <t>To enhance the visibility of the brand Incredible India in the overseas markets.</t>
        </is>
      </c>
      <c r="K2154" s="4" t="inlineStr">
        <is>
          <t>MS-C35</t>
        </is>
      </c>
      <c r="L2154" s="6" t="n">
        <v>46323</v>
      </c>
      <c r="M2154" s="4" t="inlineStr">
        <is>
          <t>Approved</t>
        </is>
      </c>
      <c r="N2154" s="4" t="inlineStr">
        <is>
          <t>list_item</t>
        </is>
      </c>
    </row>
    <row r="2155" ht="40" customHeight="1">
      <c r="A2155" s="8" t="inlineStr">
        <is>
          <t>C35-P0006</t>
        </is>
      </c>
      <c r="B2155" s="8" t="inlineStr">
        <is>
          <t>C35</t>
        </is>
      </c>
      <c r="C2155" s="8" t="inlineStr">
        <is>
          <t>Marketing Development Assistance Scheme</t>
        </is>
      </c>
      <c r="D2155" s="8" t="inlineStr">
        <is>
          <t>Details</t>
        </is>
      </c>
      <c r="E2155" s="8" t="inlineStr"/>
      <c r="F2155" s="8" t="inlineStr">
        <is>
          <t>en.schemeContent.detailedDescription[3].children[2]</t>
        </is>
      </c>
      <c r="G2155" s="8" t="inlineStr">
        <is>
          <t>C35@20261028-c67e587f</t>
        </is>
      </c>
      <c r="H2155" s="8" t="n">
        <v>1</v>
      </c>
      <c r="I2155" s="8" t="n">
        <v>1</v>
      </c>
      <c r="J2155" s="8" t="inlineStr">
        <is>
          <t>To augment foreign tourist arrivals to the country.</t>
        </is>
      </c>
      <c r="K2155" s="8" t="inlineStr">
        <is>
          <t>MS-C35</t>
        </is>
      </c>
      <c r="L2155" s="9" t="n">
        <v>46323</v>
      </c>
      <c r="M2155" s="8" t="inlineStr">
        <is>
          <t>Approved</t>
        </is>
      </c>
      <c r="N2155" s="8" t="inlineStr">
        <is>
          <t>list_item</t>
        </is>
      </c>
    </row>
    <row r="2156" ht="40" customHeight="1">
      <c r="A2156" s="4" t="inlineStr">
        <is>
          <t>C35-P0007</t>
        </is>
      </c>
      <c r="B2156" s="4" t="inlineStr">
        <is>
          <t>C35</t>
        </is>
      </c>
      <c r="C2156" s="4" t="inlineStr">
        <is>
          <t>Marketing Development Assistance Scheme</t>
        </is>
      </c>
      <c r="D2156" s="4" t="inlineStr">
        <is>
          <t>Benefits</t>
        </is>
      </c>
      <c r="E2156" s="4" t="inlineStr">
        <is>
          <t>For Tourism Service Providers</t>
        </is>
      </c>
      <c r="F2156" s="4" t="inlineStr">
        <is>
          <t>en.schemeContent.benefits[0]</t>
        </is>
      </c>
      <c r="G2156" s="4" t="inlineStr">
        <is>
          <t>C35@20261028-c67e587f</t>
        </is>
      </c>
      <c r="H2156" s="4" t="n">
        <v>1</v>
      </c>
      <c r="I2156" s="4" t="n">
        <v>1</v>
      </c>
      <c r="J2156" s="4" t="inlineStr">
        <is>
          <t>For Tourism Service Providers</t>
        </is>
      </c>
      <c r="K2156" s="4" t="inlineStr">
        <is>
          <t>MS-C35</t>
        </is>
      </c>
      <c r="L2156" s="6" t="n">
        <v>46323</v>
      </c>
      <c r="M2156" s="4" t="inlineStr">
        <is>
          <t>Approved</t>
        </is>
      </c>
      <c r="N2156" s="4" t="inlineStr">
        <is>
          <t>paragraph</t>
        </is>
      </c>
    </row>
    <row r="2157" ht="54" customHeight="1">
      <c r="A2157" s="8" t="inlineStr">
        <is>
          <t>C35-P0008</t>
        </is>
      </c>
      <c r="B2157" s="8" t="inlineStr">
        <is>
          <t>C35</t>
        </is>
      </c>
      <c r="C2157" s="8" t="inlineStr">
        <is>
          <t>Marketing Development Assistance Scheme</t>
        </is>
      </c>
      <c r="D2157" s="8" t="inlineStr">
        <is>
          <t>Benefits</t>
        </is>
      </c>
      <c r="E2157" s="8" t="inlineStr">
        <is>
          <t>For Tourism Service Providers</t>
        </is>
      </c>
      <c r="F2157" s="8" t="inlineStr">
        <is>
          <t>en.schemeContent.benefits[1]</t>
        </is>
      </c>
      <c r="G2157" s="8" t="inlineStr">
        <is>
          <t>C35@20261028-c67e587f</t>
        </is>
      </c>
      <c r="H2157" s="8" t="n">
        <v>1</v>
      </c>
      <c r="I2157" s="8" t="n">
        <v>1</v>
      </c>
      <c r="J2157" s="8" t="inlineStr">
        <is>
          <t>Financial support for study tours, and participation in travel shows/exhibitions/road shows in overseas markets (organized by the Ministry of Tourism) will be provided up to a maximum of ₹3,50,000/- per case/tour.</t>
        </is>
      </c>
      <c r="K2157" s="8" t="inlineStr">
        <is>
          <t>MS-C35</t>
        </is>
      </c>
      <c r="L2157" s="9" t="n">
        <v>46323</v>
      </c>
      <c r="M2157" s="8" t="inlineStr">
        <is>
          <t>Approved</t>
        </is>
      </c>
      <c r="N2157" s="8" t="inlineStr">
        <is>
          <t>paragraph</t>
        </is>
      </c>
    </row>
    <row r="2158" ht="40" customHeight="1">
      <c r="A2158" s="4" t="inlineStr">
        <is>
          <t>C35-P0010</t>
        </is>
      </c>
      <c r="B2158" s="4" t="inlineStr">
        <is>
          <t>C35</t>
        </is>
      </c>
      <c r="C2158" s="4" t="inlineStr">
        <is>
          <t>Marketing Development Assistance Scheme</t>
        </is>
      </c>
      <c r="D2158" s="4" t="inlineStr">
        <is>
          <t>Benefits</t>
        </is>
      </c>
      <c r="E2158" s="4" t="inlineStr">
        <is>
          <t>For Tourism Service Providers</t>
        </is>
      </c>
      <c r="F2158" s="4" t="inlineStr">
        <is>
          <t>en.schemeContent.benefits[2].children[0].children[0].children[1]</t>
        </is>
      </c>
      <c r="G2158" s="4" t="inlineStr">
        <is>
          <t>C35@20261028-c67e587f</t>
        </is>
      </c>
      <c r="H2158" s="4" t="n">
        <v>1</v>
      </c>
      <c r="I2158" s="4" t="n">
        <v>1</v>
      </c>
      <c r="J2158" s="4" t="inlineStr">
        <is>
          <t xml:space="preserve">     Sr. No.</t>
        </is>
      </c>
      <c r="K2158" s="4" t="inlineStr">
        <is>
          <t>MS-C35</t>
        </is>
      </c>
      <c r="L2158" s="6" t="n">
        <v>46323</v>
      </c>
      <c r="M2158" s="4" t="inlineStr">
        <is>
          <t>Approved</t>
        </is>
      </c>
      <c r="N2158" s="4" t="inlineStr">
        <is>
          <t>text</t>
        </is>
      </c>
    </row>
    <row r="2159" ht="40" customHeight="1">
      <c r="A2159" s="8" t="inlineStr">
        <is>
          <t>C35-P0012</t>
        </is>
      </c>
      <c r="B2159" s="8" t="inlineStr">
        <is>
          <t>C35</t>
        </is>
      </c>
      <c r="C2159" s="8" t="inlineStr">
        <is>
          <t>Marketing Development Assistance Scheme</t>
        </is>
      </c>
      <c r="D2159" s="8" t="inlineStr">
        <is>
          <t>Benefits</t>
        </is>
      </c>
      <c r="E2159" s="8" t="inlineStr">
        <is>
          <t>For Tourism Service Providers</t>
        </is>
      </c>
      <c r="F2159" s="8" t="inlineStr">
        <is>
          <t>en.schemeContent.benefits[2].children[0].children[1].children[1]</t>
        </is>
      </c>
      <c r="G2159" s="8" t="inlineStr">
        <is>
          <t>C35@20261028-c67e587f</t>
        </is>
      </c>
      <c r="H2159" s="8" t="n">
        <v>1</v>
      </c>
      <c r="I2159" s="8" t="n">
        <v>1</v>
      </c>
      <c r="J2159" s="8" t="inlineStr">
        <is>
          <t>Particulars</t>
        </is>
      </c>
      <c r="K2159" s="8" t="inlineStr">
        <is>
          <t>MS-C35</t>
        </is>
      </c>
      <c r="L2159" s="9" t="n">
        <v>46323</v>
      </c>
      <c r="M2159" s="8" t="inlineStr">
        <is>
          <t>Approved</t>
        </is>
      </c>
      <c r="N2159" s="8" t="inlineStr">
        <is>
          <t>text</t>
        </is>
      </c>
    </row>
    <row r="2160" ht="40" customHeight="1">
      <c r="A2160" s="4" t="inlineStr">
        <is>
          <t>C35-P0014</t>
        </is>
      </c>
      <c r="B2160" s="4" t="inlineStr">
        <is>
          <t>C35</t>
        </is>
      </c>
      <c r="C2160" s="4" t="inlineStr">
        <is>
          <t>Marketing Development Assistance Scheme</t>
        </is>
      </c>
      <c r="D2160" s="4" t="inlineStr">
        <is>
          <t>Benefits</t>
        </is>
      </c>
      <c r="E2160" s="4" t="inlineStr">
        <is>
          <t>For Tourism Service Providers</t>
        </is>
      </c>
      <c r="F2160" s="4" t="inlineStr">
        <is>
          <t>en.schemeContent.benefits[2].children[0].children[2].children[1]</t>
        </is>
      </c>
      <c r="G2160" s="4" t="inlineStr">
        <is>
          <t>C35@20261028-c67e587f</t>
        </is>
      </c>
      <c r="H2160" s="4" t="n">
        <v>1</v>
      </c>
      <c r="I2160" s="4" t="n">
        <v>1</v>
      </c>
      <c r="J2160" s="4" t="inlineStr">
        <is>
          <t xml:space="preserve">Extent of Support </t>
        </is>
      </c>
      <c r="K2160" s="4" t="inlineStr">
        <is>
          <t>MS-C35</t>
        </is>
      </c>
      <c r="L2160" s="6" t="n">
        <v>46323</v>
      </c>
      <c r="M2160" s="4" t="inlineStr">
        <is>
          <t>Approved</t>
        </is>
      </c>
      <c r="N2160" s="4" t="inlineStr">
        <is>
          <t>text</t>
        </is>
      </c>
    </row>
    <row r="2161" ht="40" customHeight="1">
      <c r="A2161" s="8" t="inlineStr">
        <is>
          <t>C35-P0015</t>
        </is>
      </c>
      <c r="B2161" s="8" t="inlineStr">
        <is>
          <t>C35</t>
        </is>
      </c>
      <c r="C2161" s="8" t="inlineStr">
        <is>
          <t>Marketing Development Assistance Scheme</t>
        </is>
      </c>
      <c r="D2161" s="8" t="inlineStr">
        <is>
          <t>Benefits</t>
        </is>
      </c>
      <c r="E2161" s="8" t="inlineStr">
        <is>
          <t>For Tourism Service Providers</t>
        </is>
      </c>
      <c r="F2161" s="8" t="inlineStr">
        <is>
          <t>en.schemeContent.benefits[2].children[1].children[0].children[0]</t>
        </is>
      </c>
      <c r="G2161" s="8" t="inlineStr">
        <is>
          <t>C35@20261028-c67e587f</t>
        </is>
      </c>
      <c r="H2161" s="8" t="n">
        <v>1</v>
      </c>
      <c r="I2161" s="8" t="n">
        <v>1</v>
      </c>
      <c r="J2161" s="8" t="inlineStr">
        <is>
          <t>1</t>
        </is>
      </c>
      <c r="K2161" s="8" t="inlineStr">
        <is>
          <t>MS-C35</t>
        </is>
      </c>
      <c r="L2161" s="9" t="n">
        <v>46323</v>
      </c>
      <c r="M2161" s="8" t="inlineStr">
        <is>
          <t>Approved</t>
        </is>
      </c>
      <c r="N2161" s="8" t="inlineStr">
        <is>
          <t>text</t>
        </is>
      </c>
    </row>
    <row r="2162" ht="40" customHeight="1">
      <c r="A2162" s="4" t="inlineStr">
        <is>
          <t>C35-P0016</t>
        </is>
      </c>
      <c r="B2162" s="4" t="inlineStr">
        <is>
          <t>C35</t>
        </is>
      </c>
      <c r="C2162" s="4" t="inlineStr">
        <is>
          <t>Marketing Development Assistance Scheme</t>
        </is>
      </c>
      <c r="D2162" s="4" t="inlineStr">
        <is>
          <t>Benefits</t>
        </is>
      </c>
      <c r="E2162" s="4" t="inlineStr">
        <is>
          <t>For Tourism Service Providers</t>
        </is>
      </c>
      <c r="F2162" s="4" t="inlineStr">
        <is>
          <t>en.schemeContent.benefits[2].children[1].children[1].children[0]</t>
        </is>
      </c>
      <c r="G2162" s="4" t="inlineStr">
        <is>
          <t>C35@20261028-c67e587f</t>
        </is>
      </c>
      <c r="H2162" s="4" t="n">
        <v>1</v>
      </c>
      <c r="I2162" s="4" t="n">
        <v>1</v>
      </c>
      <c r="J2162" s="4" t="inlineStr">
        <is>
          <t>Economy class airfare for travel between India to another country and from there to a group of countries by air/rail.</t>
        </is>
      </c>
      <c r="K2162" s="4" t="inlineStr">
        <is>
          <t>MS-C35</t>
        </is>
      </c>
      <c r="L2162" s="6" t="n">
        <v>46323</v>
      </c>
      <c r="M2162" s="4" t="inlineStr">
        <is>
          <t>Approved</t>
        </is>
      </c>
      <c r="N2162" s="4" t="inlineStr">
        <is>
          <t>text</t>
        </is>
      </c>
    </row>
    <row r="2163" ht="40" customHeight="1">
      <c r="A2163" s="8" t="inlineStr">
        <is>
          <t>C35-P0017</t>
        </is>
      </c>
      <c r="B2163" s="8" t="inlineStr">
        <is>
          <t>C35</t>
        </is>
      </c>
      <c r="C2163" s="8" t="inlineStr">
        <is>
          <t>Marketing Development Assistance Scheme</t>
        </is>
      </c>
      <c r="D2163" s="8" t="inlineStr">
        <is>
          <t>Benefits</t>
        </is>
      </c>
      <c r="E2163" s="8" t="inlineStr">
        <is>
          <t>For Tourism Service Providers</t>
        </is>
      </c>
      <c r="F2163" s="8" t="inlineStr">
        <is>
          <t>en.schemeContent.benefits[2].children[1].children[2].children[0]</t>
        </is>
      </c>
      <c r="G2163" s="8" t="inlineStr">
        <is>
          <t>C35@20261028-c67e587f</t>
        </is>
      </c>
      <c r="H2163" s="8" t="n">
        <v>1</v>
      </c>
      <c r="I2163" s="8" t="n">
        <v>1</v>
      </c>
      <c r="J2163" s="8" t="inlineStr">
        <is>
          <t>90%</t>
        </is>
      </c>
      <c r="K2163" s="8" t="inlineStr">
        <is>
          <t>MS-C35</t>
        </is>
      </c>
      <c r="L2163" s="9" t="n">
        <v>46323</v>
      </c>
      <c r="M2163" s="8" t="inlineStr">
        <is>
          <t>Approved</t>
        </is>
      </c>
      <c r="N2163" s="8" t="inlineStr">
        <is>
          <t>text</t>
        </is>
      </c>
    </row>
    <row r="2164" ht="40" customHeight="1">
      <c r="A2164" s="4" t="inlineStr">
        <is>
          <t>C35-P0018</t>
        </is>
      </c>
      <c r="B2164" s="4" t="inlineStr">
        <is>
          <t>C35</t>
        </is>
      </c>
      <c r="C2164" s="4" t="inlineStr">
        <is>
          <t>Marketing Development Assistance Scheme</t>
        </is>
      </c>
      <c r="D2164" s="4" t="inlineStr">
        <is>
          <t>Benefits</t>
        </is>
      </c>
      <c r="E2164" s="4" t="inlineStr">
        <is>
          <t>For Tourism Service Providers</t>
        </is>
      </c>
      <c r="F2164" s="4" t="inlineStr">
        <is>
          <t>en.schemeContent.benefits[2].children[2].children[0].children[0]</t>
        </is>
      </c>
      <c r="G2164" s="4" t="inlineStr">
        <is>
          <t>C35@20261028-c67e587f</t>
        </is>
      </c>
      <c r="H2164" s="4" t="n">
        <v>1</v>
      </c>
      <c r="I2164" s="4" t="n">
        <v>1</v>
      </c>
      <c r="J2164" s="4" t="inlineStr">
        <is>
          <t>2</t>
        </is>
      </c>
      <c r="K2164" s="4" t="inlineStr">
        <is>
          <t>MS-C35</t>
        </is>
      </c>
      <c r="L2164" s="6" t="n">
        <v>46323</v>
      </c>
      <c r="M2164" s="4" t="inlineStr">
        <is>
          <t>Approved</t>
        </is>
      </c>
      <c r="N2164" s="4" t="inlineStr">
        <is>
          <t>text</t>
        </is>
      </c>
    </row>
    <row r="2165" ht="40" customHeight="1">
      <c r="A2165" s="8" t="inlineStr">
        <is>
          <t>C35-P0019</t>
        </is>
      </c>
      <c r="B2165" s="8" t="inlineStr">
        <is>
          <t>C35</t>
        </is>
      </c>
      <c r="C2165" s="8" t="inlineStr">
        <is>
          <t>Marketing Development Assistance Scheme</t>
        </is>
      </c>
      <c r="D2165" s="8" t="inlineStr">
        <is>
          <t>Benefits</t>
        </is>
      </c>
      <c r="E2165" s="8" t="inlineStr">
        <is>
          <t>For Tourism Service Providers</t>
        </is>
      </c>
      <c r="F2165" s="8" t="inlineStr">
        <is>
          <t>en.schemeContent.benefits[2].children[2].children[1].children[0]</t>
        </is>
      </c>
      <c r="G2165" s="8" t="inlineStr">
        <is>
          <t>C35@20261028-c67e587f</t>
        </is>
      </c>
      <c r="H2165" s="8" t="n">
        <v>1</v>
      </c>
      <c r="I2165" s="8" t="n">
        <v>1</v>
      </c>
      <c r="J2165" s="8" t="inlineStr">
        <is>
          <t>Cost of built-up/furnished stall, electricity and water charges, participation fee, etc., at travel fair/exhibitions held overseas.</t>
        </is>
      </c>
      <c r="K2165" s="8" t="inlineStr">
        <is>
          <t>MS-C35</t>
        </is>
      </c>
      <c r="L2165" s="9" t="n">
        <v>46323</v>
      </c>
      <c r="M2165" s="8" t="inlineStr">
        <is>
          <t>Approved</t>
        </is>
      </c>
      <c r="N2165" s="8" t="inlineStr">
        <is>
          <t>text</t>
        </is>
      </c>
    </row>
    <row r="2166" ht="40" customHeight="1">
      <c r="A2166" s="4" t="inlineStr">
        <is>
          <t>C35-P0020</t>
        </is>
      </c>
      <c r="B2166" s="4" t="inlineStr">
        <is>
          <t>C35</t>
        </is>
      </c>
      <c r="C2166" s="4" t="inlineStr">
        <is>
          <t>Marketing Development Assistance Scheme</t>
        </is>
      </c>
      <c r="D2166" s="4" t="inlineStr">
        <is>
          <t>Benefits</t>
        </is>
      </c>
      <c r="E2166" s="4" t="inlineStr">
        <is>
          <t>For Tourism Service Providers</t>
        </is>
      </c>
      <c r="F2166" s="4" t="inlineStr">
        <is>
          <t>en.schemeContent.benefits[2].children[2].children[2].children[0]</t>
        </is>
      </c>
      <c r="G2166" s="4" t="inlineStr">
        <is>
          <t>C35@20261028-c67e587f</t>
        </is>
      </c>
      <c r="H2166" s="4" t="n">
        <v>1</v>
      </c>
      <c r="I2166" s="4" t="n">
        <v>1</v>
      </c>
      <c r="J2166" s="4" t="inlineStr">
        <is>
          <t>90%</t>
        </is>
      </c>
      <c r="K2166" s="4" t="inlineStr">
        <is>
          <t>MS-C35</t>
        </is>
      </c>
      <c r="L2166" s="6" t="n">
        <v>46323</v>
      </c>
      <c r="M2166" s="4" t="inlineStr">
        <is>
          <t>Approved</t>
        </is>
      </c>
      <c r="N2166" s="4" t="inlineStr">
        <is>
          <t>text</t>
        </is>
      </c>
    </row>
    <row r="2167" ht="40" customHeight="1">
      <c r="A2167" s="8" t="inlineStr">
        <is>
          <t>C35-P0021</t>
        </is>
      </c>
      <c r="B2167" s="8" t="inlineStr">
        <is>
          <t>C35</t>
        </is>
      </c>
      <c r="C2167" s="8" t="inlineStr">
        <is>
          <t>Marketing Development Assistance Scheme</t>
        </is>
      </c>
      <c r="D2167" s="8" t="inlineStr">
        <is>
          <t>Benefits</t>
        </is>
      </c>
      <c r="E2167" s="8" t="inlineStr">
        <is>
          <t>For Tourism Service Providers</t>
        </is>
      </c>
      <c r="F2167" s="8" t="inlineStr">
        <is>
          <t>en.schemeContent.benefits[2].children[3].children[0].children[0]</t>
        </is>
      </c>
      <c r="G2167" s="8" t="inlineStr">
        <is>
          <t>C35@20261028-c67e587f</t>
        </is>
      </c>
      <c r="H2167" s="8" t="n">
        <v>1</v>
      </c>
      <c r="I2167" s="8" t="n">
        <v>1</v>
      </c>
      <c r="J2167" s="8" t="inlineStr">
        <is>
          <t>3</t>
        </is>
      </c>
      <c r="K2167" s="8" t="inlineStr">
        <is>
          <t>MS-C35</t>
        </is>
      </c>
      <c r="L2167" s="9" t="n">
        <v>46323</v>
      </c>
      <c r="M2167" s="8" t="inlineStr">
        <is>
          <t>Approved</t>
        </is>
      </c>
      <c r="N2167" s="8" t="inlineStr">
        <is>
          <t>text</t>
        </is>
      </c>
    </row>
    <row r="2168" ht="40" customHeight="1">
      <c r="A2168" s="4" t="inlineStr">
        <is>
          <t>C35-P0022</t>
        </is>
      </c>
      <c r="B2168" s="4" t="inlineStr">
        <is>
          <t>C35</t>
        </is>
      </c>
      <c r="C2168" s="4" t="inlineStr">
        <is>
          <t>Marketing Development Assistance Scheme</t>
        </is>
      </c>
      <c r="D2168" s="4" t="inlineStr">
        <is>
          <t>Benefits</t>
        </is>
      </c>
      <c r="E2168" s="4" t="inlineStr">
        <is>
          <t>For Tourism Service Providers</t>
        </is>
      </c>
      <c r="F2168" s="4" t="inlineStr">
        <is>
          <t>en.schemeContent.benefits[2].children[3].children[1].children[0]</t>
        </is>
      </c>
      <c r="G2168" s="4" t="inlineStr">
        <is>
          <t>C35@20261028-c67e587f</t>
        </is>
      </c>
      <c r="H2168" s="4" t="n">
        <v>1</v>
      </c>
      <c r="I2168" s="4" t="n">
        <v>1</v>
      </c>
      <c r="J2168" s="4" t="inlineStr">
        <is>
          <t xml:space="preserve">Lodging expenses on overseas tour </t>
        </is>
      </c>
      <c r="K2168" s="4" t="inlineStr">
        <is>
          <t>MS-C35</t>
        </is>
      </c>
      <c r="L2168" s="6" t="n">
        <v>46323</v>
      </c>
      <c r="M2168" s="4" t="inlineStr">
        <is>
          <t>Approved</t>
        </is>
      </c>
      <c r="N2168" s="4" t="inlineStr">
        <is>
          <t>text</t>
        </is>
      </c>
    </row>
    <row r="2169" ht="40" customHeight="1">
      <c r="A2169" s="8" t="inlineStr">
        <is>
          <t>C35-P0023</t>
        </is>
      </c>
      <c r="B2169" s="8" t="inlineStr">
        <is>
          <t>C35</t>
        </is>
      </c>
      <c r="C2169" s="8" t="inlineStr">
        <is>
          <t>Marketing Development Assistance Scheme</t>
        </is>
      </c>
      <c r="D2169" s="8" t="inlineStr">
        <is>
          <t>Benefits</t>
        </is>
      </c>
      <c r="E2169" s="8" t="inlineStr">
        <is>
          <t>For Tourism Service Providers</t>
        </is>
      </c>
      <c r="F2169" s="8" t="inlineStr">
        <is>
          <t>en.schemeContent.benefits[2].children[3].children[2].children[0]</t>
        </is>
      </c>
      <c r="G2169" s="8" t="inlineStr">
        <is>
          <t>C35@20261028-c67e587f</t>
        </is>
      </c>
      <c r="H2169" s="8" t="n">
        <v>1</v>
      </c>
      <c r="I2169" s="8" t="n">
        <v>1</v>
      </c>
      <c r="J2169" s="8" t="inlineStr">
        <is>
          <t>Max. 5 nights with an upper ceiling of room rate at ₹10,000/- per night.</t>
        </is>
      </c>
      <c r="K2169" s="8" t="inlineStr">
        <is>
          <t>MS-C35</t>
        </is>
      </c>
      <c r="L2169" s="9" t="n">
        <v>46323</v>
      </c>
      <c r="M2169" s="8" t="inlineStr">
        <is>
          <t>Approved</t>
        </is>
      </c>
      <c r="N2169" s="8" t="inlineStr">
        <is>
          <t>text</t>
        </is>
      </c>
    </row>
    <row r="2170" ht="40" customHeight="1">
      <c r="A2170" s="4" t="inlineStr">
        <is>
          <t>C35-P0024</t>
        </is>
      </c>
      <c r="B2170" s="4" t="inlineStr">
        <is>
          <t>C35</t>
        </is>
      </c>
      <c r="C2170" s="4" t="inlineStr">
        <is>
          <t>Marketing Development Assistance Scheme</t>
        </is>
      </c>
      <c r="D2170" s="4" t="inlineStr">
        <is>
          <t>Benefits</t>
        </is>
      </c>
      <c r="E2170" s="4" t="inlineStr">
        <is>
          <t>For Tourism Departments of State Governments / UT Administrations</t>
        </is>
      </c>
      <c r="F2170" s="4" t="inlineStr">
        <is>
          <t>en.schemeContent.benefits[4]</t>
        </is>
      </c>
      <c r="G2170" s="4" t="inlineStr">
        <is>
          <t>C35@20261028-c67e587f</t>
        </is>
      </c>
      <c r="H2170" s="4" t="n">
        <v>1</v>
      </c>
      <c r="I2170" s="4" t="n">
        <v>1</v>
      </c>
      <c r="J2170" s="4" t="inlineStr">
        <is>
          <t>For Tourism Departments of State Governments / UT Administrations</t>
        </is>
      </c>
      <c r="K2170" s="4" t="inlineStr">
        <is>
          <t>MS-C35</t>
        </is>
      </c>
      <c r="L2170" s="6" t="n">
        <v>46323</v>
      </c>
      <c r="M2170" s="4" t="inlineStr">
        <is>
          <t>Approved</t>
        </is>
      </c>
      <c r="N2170" s="4" t="inlineStr">
        <is>
          <t>paragraph</t>
        </is>
      </c>
    </row>
    <row r="2171" ht="40" customHeight="1">
      <c r="A2171" s="8" t="inlineStr">
        <is>
          <t>C35-P0025</t>
        </is>
      </c>
      <c r="B2171" s="8" t="inlineStr">
        <is>
          <t>C35</t>
        </is>
      </c>
      <c r="C2171" s="8" t="inlineStr">
        <is>
          <t>Marketing Development Assistance Scheme</t>
        </is>
      </c>
      <c r="D2171" s="8" t="inlineStr">
        <is>
          <t>Benefits</t>
        </is>
      </c>
      <c r="E2171" s="8" t="inlineStr">
        <is>
          <t>For Tourism Departments of State Governments / UT Administrations</t>
        </is>
      </c>
      <c r="F2171" s="8" t="inlineStr">
        <is>
          <t>en.schemeContent.benefits[5]</t>
        </is>
      </c>
      <c r="G2171" s="8" t="inlineStr">
        <is>
          <t>C35@20261028-c67e587f</t>
        </is>
      </c>
      <c r="H2171" s="8" t="n">
        <v>1</v>
      </c>
      <c r="I2171" s="8" t="n">
        <v>1</v>
      </c>
      <c r="J2171" s="8" t="inlineStr">
        <is>
          <t>Financial support for participation in overseas travel shows and exhibitions will be provided as follows:</t>
        </is>
      </c>
      <c r="K2171" s="8" t="inlineStr">
        <is>
          <t>MS-C35</t>
        </is>
      </c>
      <c r="L2171" s="9" t="n">
        <v>46323</v>
      </c>
      <c r="M2171" s="8" t="inlineStr">
        <is>
          <t>Approved</t>
        </is>
      </c>
      <c r="N2171" s="8" t="inlineStr">
        <is>
          <t>paragraph</t>
        </is>
      </c>
    </row>
    <row r="2172" ht="40" customHeight="1">
      <c r="A2172" s="4" t="inlineStr">
        <is>
          <t>C35-P0027</t>
        </is>
      </c>
      <c r="B2172" s="4" t="inlineStr">
        <is>
          <t>C35</t>
        </is>
      </c>
      <c r="C2172" s="4" t="inlineStr">
        <is>
          <t>Marketing Development Assistance Scheme</t>
        </is>
      </c>
      <c r="D2172" s="4" t="inlineStr">
        <is>
          <t>Benefits</t>
        </is>
      </c>
      <c r="E2172" s="4" t="inlineStr">
        <is>
          <t>For Tourism Departments of State Governments / UT Administrations</t>
        </is>
      </c>
      <c r="F2172" s="4" t="inlineStr">
        <is>
          <t>en.schemeContent.benefits[6].children[0].children[0].children[1]</t>
        </is>
      </c>
      <c r="G2172" s="4" t="inlineStr">
        <is>
          <t>C35@20261028-c67e587f</t>
        </is>
      </c>
      <c r="H2172" s="4" t="n">
        <v>1</v>
      </c>
      <c r="I2172" s="4" t="n">
        <v>1</v>
      </c>
      <c r="J2172" s="4" t="inlineStr">
        <is>
          <t>Sr. No.</t>
        </is>
      </c>
      <c r="K2172" s="4" t="inlineStr">
        <is>
          <t>MS-C35</t>
        </is>
      </c>
      <c r="L2172" s="6" t="n">
        <v>46323</v>
      </c>
      <c r="M2172" s="4" t="inlineStr">
        <is>
          <t>Approved</t>
        </is>
      </c>
      <c r="N2172" s="4" t="inlineStr">
        <is>
          <t>text</t>
        </is>
      </c>
    </row>
    <row r="2173" ht="40" customHeight="1">
      <c r="A2173" s="8" t="inlineStr">
        <is>
          <t>C35-P0030</t>
        </is>
      </c>
      <c r="B2173" s="8" t="inlineStr">
        <is>
          <t>C35</t>
        </is>
      </c>
      <c r="C2173" s="8" t="inlineStr">
        <is>
          <t>Marketing Development Assistance Scheme</t>
        </is>
      </c>
      <c r="D2173" s="8" t="inlineStr">
        <is>
          <t>Benefits</t>
        </is>
      </c>
      <c r="E2173" s="8" t="inlineStr">
        <is>
          <t>For Tourism Departments of State Governments / UT Administrations</t>
        </is>
      </c>
      <c r="F2173" s="8" t="inlineStr">
        <is>
          <t>en.schemeContent.benefits[6].children[0].children[1].children[1]</t>
        </is>
      </c>
      <c r="G2173" s="8" t="inlineStr">
        <is>
          <t>C35@20261028-c67e587f</t>
        </is>
      </c>
      <c r="H2173" s="8" t="n">
        <v>1</v>
      </c>
      <c r="I2173" s="8" t="n">
        <v>1</v>
      </c>
      <c r="J2173" s="8" t="inlineStr">
        <is>
          <t>Particulars</t>
        </is>
      </c>
      <c r="K2173" s="8" t="inlineStr">
        <is>
          <t>MS-C35</t>
        </is>
      </c>
      <c r="L2173" s="9" t="n">
        <v>46323</v>
      </c>
      <c r="M2173" s="8" t="inlineStr">
        <is>
          <t>Approved</t>
        </is>
      </c>
      <c r="N2173" s="8" t="inlineStr">
        <is>
          <t>text</t>
        </is>
      </c>
    </row>
    <row r="2174" ht="40" customHeight="1">
      <c r="A2174" s="4" t="inlineStr">
        <is>
          <t>C35-P0031</t>
        </is>
      </c>
      <c r="B2174" s="4" t="inlineStr">
        <is>
          <t>C35</t>
        </is>
      </c>
      <c r="C2174" s="4" t="inlineStr">
        <is>
          <t>Marketing Development Assistance Scheme</t>
        </is>
      </c>
      <c r="D2174" s="4" t="inlineStr">
        <is>
          <t>Benefits</t>
        </is>
      </c>
      <c r="E2174" s="4" t="inlineStr">
        <is>
          <t>For Tourism Departments of State Governments / UT Administrations</t>
        </is>
      </c>
      <c r="F2174" s="4" t="inlineStr">
        <is>
          <t>en.schemeContent.benefits[6].children[0].children[2].children[0]</t>
        </is>
      </c>
      <c r="G2174" s="4" t="inlineStr">
        <is>
          <t>C35@20261028-c67e587f</t>
        </is>
      </c>
      <c r="H2174" s="4" t="n">
        <v>1</v>
      </c>
      <c r="I2174" s="4" t="n">
        <v>1</v>
      </c>
      <c r="J2174" s="4" t="inlineStr">
        <is>
          <t xml:space="preserve">                   Extent of Support</t>
        </is>
      </c>
      <c r="K2174" s="4" t="inlineStr">
        <is>
          <t>MS-C35</t>
        </is>
      </c>
      <c r="L2174" s="6" t="n">
        <v>46323</v>
      </c>
      <c r="M2174" s="4" t="inlineStr">
        <is>
          <t>Approved</t>
        </is>
      </c>
      <c r="N2174" s="4" t="inlineStr">
        <is>
          <t>text</t>
        </is>
      </c>
    </row>
    <row r="2175" ht="40" customHeight="1">
      <c r="A2175" s="8" t="inlineStr">
        <is>
          <t>C35-P0032</t>
        </is>
      </c>
      <c r="B2175" s="8" t="inlineStr">
        <is>
          <t>C35</t>
        </is>
      </c>
      <c r="C2175" s="8" t="inlineStr">
        <is>
          <t>Marketing Development Assistance Scheme</t>
        </is>
      </c>
      <c r="D2175" s="8" t="inlineStr">
        <is>
          <t>Benefits</t>
        </is>
      </c>
      <c r="E2175" s="8" t="inlineStr">
        <is>
          <t>For Tourism Departments of State Governments / UT Administrations</t>
        </is>
      </c>
      <c r="F2175" s="8" t="inlineStr">
        <is>
          <t>en.schemeContent.benefits[6].children[1].children[0].children[0]</t>
        </is>
      </c>
      <c r="G2175" s="8" t="inlineStr">
        <is>
          <t>C35@20261028-c67e587f</t>
        </is>
      </c>
      <c r="H2175" s="8" t="n">
        <v>1</v>
      </c>
      <c r="I2175" s="8" t="n">
        <v>1</v>
      </c>
      <c r="J2175" s="8" t="inlineStr">
        <is>
          <t xml:space="preserve">1. </t>
        </is>
      </c>
      <c r="K2175" s="8" t="inlineStr">
        <is>
          <t>MS-C35</t>
        </is>
      </c>
      <c r="L2175" s="9" t="n">
        <v>46323</v>
      </c>
      <c r="M2175" s="8" t="inlineStr">
        <is>
          <t>Approved</t>
        </is>
      </c>
      <c r="N2175" s="8" t="inlineStr">
        <is>
          <t>text</t>
        </is>
      </c>
    </row>
    <row r="2176" ht="40" customHeight="1">
      <c r="A2176" s="4" t="inlineStr">
        <is>
          <t>C35-P0033</t>
        </is>
      </c>
      <c r="B2176" s="4" t="inlineStr">
        <is>
          <t>C35</t>
        </is>
      </c>
      <c r="C2176" s="4" t="inlineStr">
        <is>
          <t>Marketing Development Assistance Scheme</t>
        </is>
      </c>
      <c r="D2176" s="4" t="inlineStr">
        <is>
          <t>Benefits</t>
        </is>
      </c>
      <c r="E2176" s="4" t="inlineStr">
        <is>
          <t>For Tourism Departments of State Governments / UT Administrations</t>
        </is>
      </c>
      <c r="F2176" s="4" t="inlineStr">
        <is>
          <t>en.schemeContent.benefits[6].children[1].children[1].children[0]</t>
        </is>
      </c>
      <c r="G2176" s="4" t="inlineStr">
        <is>
          <t>C35@20261028-c67e587f</t>
        </is>
      </c>
      <c r="H2176" s="4" t="n">
        <v>1</v>
      </c>
      <c r="I2176" s="4" t="n">
        <v>1</v>
      </c>
      <c r="J2176" s="4" t="inlineStr">
        <is>
          <t>Cost of built-up/furnished stall, electricity and water charges, participation fee, etc., at travel fair/exhibitions held overseas.</t>
        </is>
      </c>
      <c r="K2176" s="4" t="inlineStr">
        <is>
          <t>MS-C35</t>
        </is>
      </c>
      <c r="L2176" s="6" t="n">
        <v>46323</v>
      </c>
      <c r="M2176" s="4" t="inlineStr">
        <is>
          <t>Approved</t>
        </is>
      </c>
      <c r="N2176" s="4" t="inlineStr">
        <is>
          <t>text</t>
        </is>
      </c>
    </row>
    <row r="2177" ht="40" customHeight="1">
      <c r="A2177" s="8" t="inlineStr">
        <is>
          <t>C35-P0034</t>
        </is>
      </c>
      <c r="B2177" s="8" t="inlineStr">
        <is>
          <t>C35</t>
        </is>
      </c>
      <c r="C2177" s="8" t="inlineStr">
        <is>
          <t>Marketing Development Assistance Scheme</t>
        </is>
      </c>
      <c r="D2177" s="8" t="inlineStr">
        <is>
          <t>Benefits</t>
        </is>
      </c>
      <c r="E2177" s="8" t="inlineStr">
        <is>
          <t>For Tourism Departments of State Governments / UT Administrations</t>
        </is>
      </c>
      <c r="F2177" s="8" t="inlineStr">
        <is>
          <t>en.schemeContent.benefits[6].children[1].children[2]</t>
        </is>
      </c>
      <c r="G2177" s="8" t="inlineStr">
        <is>
          <t>C35@20261028-c67e587f</t>
        </is>
      </c>
      <c r="H2177" s="8" t="n">
        <v>1</v>
      </c>
      <c r="I2177" s="8" t="n">
        <v>1</v>
      </c>
      <c r="J2177" s="8" t="inlineStr">
        <is>
          <t>Overall ceiling of ₹3,50,000/-.</t>
        </is>
      </c>
      <c r="K2177" s="8" t="inlineStr">
        <is>
          <t>MS-C35</t>
        </is>
      </c>
      <c r="L2177" s="9" t="n">
        <v>46323</v>
      </c>
      <c r="M2177" s="8" t="inlineStr">
        <is>
          <t>Approved</t>
        </is>
      </c>
      <c r="N2177" s="8" t="inlineStr">
        <is>
          <t>paragraph</t>
        </is>
      </c>
    </row>
    <row r="2178" ht="54" customHeight="1">
      <c r="A2178" s="4" t="inlineStr">
        <is>
          <t>C35-P0035</t>
        </is>
      </c>
      <c r="B2178" s="4" t="inlineStr">
        <is>
          <t>C35</t>
        </is>
      </c>
      <c r="C2178" s="4" t="inlineStr">
        <is>
          <t>Marketing Development Assistance Scheme</t>
        </is>
      </c>
      <c r="D2178" s="4" t="inlineStr">
        <is>
          <t>Benefits</t>
        </is>
      </c>
      <c r="E2178" s="4" t="inlineStr">
        <is>
          <t>For Tourism Departments of State Governments / UT Administrations</t>
        </is>
      </c>
      <c r="F2178" s="4" t="inlineStr">
        <is>
          <t>en.schemeContent.benefits[7].children[0].children[0].children[0]</t>
        </is>
      </c>
      <c r="G2178" s="4" t="inlineStr">
        <is>
          <t>C35@20261028-c67e587f</t>
        </is>
      </c>
      <c r="H2178" s="4" t="n">
        <v>1</v>
      </c>
      <c r="I2178" s="4" t="n">
        <v>1</v>
      </c>
      <c r="J2178" s="4" t="inlineStr">
        <is>
          <t xml:space="preserve">2. Since, the representatives of State Govts and UTs are provided TA/DA by the States/UTs, the provisions of financial assistance towards international air fare and lodging are not applicable to them. </t>
        </is>
      </c>
      <c r="K2178" s="4" t="inlineStr">
        <is>
          <t>MS-C35</t>
        </is>
      </c>
      <c r="L2178" s="6" t="n">
        <v>46323</v>
      </c>
      <c r="M2178" s="4" t="inlineStr">
        <is>
          <t>Approved</t>
        </is>
      </c>
      <c r="N2178" s="4" t="inlineStr">
        <is>
          <t>text</t>
        </is>
      </c>
    </row>
    <row r="2179" ht="40" customHeight="1">
      <c r="A2179" s="8" t="inlineStr">
        <is>
          <t>C35-P0036</t>
        </is>
      </c>
      <c r="B2179" s="8" t="inlineStr">
        <is>
          <t>C35</t>
        </is>
      </c>
      <c r="C2179" s="8" t="inlineStr">
        <is>
          <t>Marketing Development Assistance Scheme</t>
        </is>
      </c>
      <c r="D2179" s="8" t="inlineStr">
        <is>
          <t>Benefits</t>
        </is>
      </c>
      <c r="E2179" s="8" t="inlineStr">
        <is>
          <t>For Tourism Departments of State Governments / UT Administrations</t>
        </is>
      </c>
      <c r="F2179" s="8" t="inlineStr">
        <is>
          <t>en.schemeContent.benefits[9]</t>
        </is>
      </c>
      <c r="G2179" s="8" t="inlineStr">
        <is>
          <t>C35@20261028-c67e587f</t>
        </is>
      </c>
      <c r="H2179" s="8" t="n">
        <v>1</v>
      </c>
      <c r="I2179" s="8" t="n">
        <v>1</v>
      </c>
      <c r="J2179" s="8" t="inlineStr">
        <is>
          <t>For Tourism Service Providers /Tourism Departments of State Governments / UT Administrations</t>
        </is>
      </c>
      <c r="K2179" s="8" t="inlineStr">
        <is>
          <t>MS-C35</t>
        </is>
      </c>
      <c r="L2179" s="9" t="n">
        <v>46323</v>
      </c>
      <c r="M2179" s="8" t="inlineStr">
        <is>
          <t>Approved</t>
        </is>
      </c>
      <c r="N2179" s="8" t="inlineStr">
        <is>
          <t>paragraph</t>
        </is>
      </c>
    </row>
    <row r="2180" ht="54" customHeight="1">
      <c r="A2180" s="4" t="inlineStr">
        <is>
          <t>C35-P0037</t>
        </is>
      </c>
      <c r="B2180" s="4" t="inlineStr">
        <is>
          <t>C35</t>
        </is>
      </c>
      <c r="C2180" s="4" t="inlineStr">
        <is>
          <t>Marketing Development Assistance Scheme</t>
        </is>
      </c>
      <c r="D2180" s="4" t="inlineStr">
        <is>
          <t>Benefits</t>
        </is>
      </c>
      <c r="E2180" s="4" t="inlineStr">
        <is>
          <t>For Tourism Departments of State Governments / UT Administrations</t>
        </is>
      </c>
      <c r="F2180" s="4" t="inlineStr">
        <is>
          <t>en.schemeContent.benefits[10]</t>
        </is>
      </c>
      <c r="G2180" s="4" t="inlineStr">
        <is>
          <t>C35@20261028-c67e587f</t>
        </is>
      </c>
      <c r="H2180" s="4" t="n">
        <v>1</v>
      </c>
      <c r="I2180" s="4" t="n">
        <v>1</v>
      </c>
      <c r="J2180" s="4" t="inlineStr">
        <is>
          <t>Financial support for online promotion of tourism destinations and products in overseas markets, including digital content creation, will cover 50% of the total cost, up to ₹1,00,000/- per financial year, subject to actuals.</t>
        </is>
      </c>
      <c r="K2180" s="4" t="inlineStr">
        <is>
          <t>MS-C35</t>
        </is>
      </c>
      <c r="L2180" s="6" t="n">
        <v>46323</v>
      </c>
      <c r="M2180" s="4" t="inlineStr">
        <is>
          <t>Approved</t>
        </is>
      </c>
      <c r="N2180" s="4" t="inlineStr">
        <is>
          <t>paragraph</t>
        </is>
      </c>
    </row>
    <row r="2181" ht="110" customHeight="1">
      <c r="A2181" s="8" t="inlineStr">
        <is>
          <t>C35-P0038</t>
        </is>
      </c>
      <c r="B2181" s="8" t="inlineStr">
        <is>
          <t>C35</t>
        </is>
      </c>
      <c r="C2181" s="8" t="inlineStr">
        <is>
          <t>Marketing Development Assistance Scheme</t>
        </is>
      </c>
      <c r="D2181" s="8" t="inlineStr">
        <is>
          <t>Eligibility</t>
        </is>
      </c>
      <c r="E2181" s="8" t="inlineStr"/>
      <c r="F2181" s="8" t="inlineStr">
        <is>
          <t>en.eligibilityCriteria.eligibilityDescription[0].children[0]</t>
        </is>
      </c>
      <c r="G2181" s="8" t="inlineStr">
        <is>
          <t>C35@20261028-c67e587f</t>
        </is>
      </c>
      <c r="H2181" s="8" t="n">
        <v>1</v>
      </c>
      <c r="I2181" s="8" t="n">
        <v>1</v>
      </c>
      <c r="J2181" s="8" t="inlineStr">
        <is>
          <t>The tourism service providers should be travel agents, inbound tour operators, tourist transport operators, classified hotels, classified bed &amp; breakfast units, classified home stays, classified motels, guest houses &amp; tented accommodation units, standalone restaurants, convention centers, and online aggregators, sales tours, participation in travel fairs/exhibitions and road shows (organized by Ministry of Tourism), online promotion of tourism destinations and products, tour packages in the overseas markets, including content creation/production of digital promotional brochures/leaflets etc.</t>
        </is>
      </c>
      <c r="K2181" s="8" t="inlineStr">
        <is>
          <t>MS-C35</t>
        </is>
      </c>
      <c r="L2181" s="9" t="n">
        <v>46323</v>
      </c>
      <c r="M2181" s="8" t="inlineStr">
        <is>
          <t>Approved</t>
        </is>
      </c>
      <c r="N2181" s="8" t="inlineStr">
        <is>
          <t>list_item</t>
        </is>
      </c>
    </row>
    <row r="2182" ht="40" customHeight="1">
      <c r="A2182" s="4" t="inlineStr">
        <is>
          <t>C35-P0039</t>
        </is>
      </c>
      <c r="B2182" s="4" t="inlineStr">
        <is>
          <t>C35</t>
        </is>
      </c>
      <c r="C2182" s="4" t="inlineStr">
        <is>
          <t>Marketing Development Assistance Scheme</t>
        </is>
      </c>
      <c r="D2182" s="4" t="inlineStr">
        <is>
          <t>Eligibility</t>
        </is>
      </c>
      <c r="E2182" s="4" t="inlineStr"/>
      <c r="F2182" s="4" t="inlineStr">
        <is>
          <t>en.eligibilityCriteria.eligibilityDescription[0].children[1]</t>
        </is>
      </c>
      <c r="G2182" s="4" t="inlineStr">
        <is>
          <t>C35@20261028-c67e587f</t>
        </is>
      </c>
      <c r="H2182" s="4" t="n">
        <v>1</v>
      </c>
      <c r="I2182" s="4" t="n">
        <v>1</v>
      </c>
      <c r="J2182" s="4" t="inlineStr">
        <is>
          <t>The tourism service providers should be approved by the Ministry of Tourism, Government of India, or the concerned State / Union Territory Tourism Department.</t>
        </is>
      </c>
      <c r="K2182" s="4" t="inlineStr">
        <is>
          <t>MS-C35</t>
        </is>
      </c>
      <c r="L2182" s="6" t="n">
        <v>46323</v>
      </c>
      <c r="M2182" s="4" t="inlineStr">
        <is>
          <t>Approved</t>
        </is>
      </c>
      <c r="N2182" s="4" t="inlineStr">
        <is>
          <t>list_item</t>
        </is>
      </c>
    </row>
    <row r="2183" ht="54" customHeight="1">
      <c r="A2183" s="8" t="inlineStr">
        <is>
          <t>C35-P0040</t>
        </is>
      </c>
      <c r="B2183" s="8" t="inlineStr">
        <is>
          <t>C35</t>
        </is>
      </c>
      <c r="C2183" s="8" t="inlineStr">
        <is>
          <t>Marketing Development Assistance Scheme</t>
        </is>
      </c>
      <c r="D2183" s="8" t="inlineStr">
        <is>
          <t>Eligibility</t>
        </is>
      </c>
      <c r="E2183" s="8" t="inlineStr"/>
      <c r="F2183" s="8" t="inlineStr">
        <is>
          <t>en.eligibilityCriteria.eligibilityDescription[0].children[2]</t>
        </is>
      </c>
      <c r="G2183" s="8" t="inlineStr">
        <is>
          <t>C35@20261028-c67e587f</t>
        </is>
      </c>
      <c r="H2183" s="8" t="n">
        <v>1</v>
      </c>
      <c r="I2183" s="8" t="n">
        <v>1</v>
      </c>
      <c r="J2183" s="8" t="inlineStr">
        <is>
          <t>The approved tourism service providers should show a minimum fee of ₹1.00 crore – ₹2.00 crore in any of the preceding two years i.e. 2018-19 or 2019-20, the number of tours may be limited to a maximum of two in one financial year.</t>
        </is>
      </c>
      <c r="K2183" s="8" t="inlineStr">
        <is>
          <t>MS-C35</t>
        </is>
      </c>
      <c r="L2183" s="9" t="n">
        <v>46323</v>
      </c>
      <c r="M2183" s="8" t="inlineStr">
        <is>
          <t>Approved</t>
        </is>
      </c>
      <c r="N2183" s="8" t="inlineStr">
        <is>
          <t>list_item</t>
        </is>
      </c>
    </row>
    <row r="2184" ht="54" customHeight="1">
      <c r="A2184" s="4" t="inlineStr">
        <is>
          <t>C35-P0041</t>
        </is>
      </c>
      <c r="B2184" s="4" t="inlineStr">
        <is>
          <t>C35</t>
        </is>
      </c>
      <c r="C2184" s="4" t="inlineStr">
        <is>
          <t>Marketing Development Assistance Scheme</t>
        </is>
      </c>
      <c r="D2184" s="4" t="inlineStr">
        <is>
          <t>Eligibility</t>
        </is>
      </c>
      <c r="E2184" s="4" t="inlineStr"/>
      <c r="F2184" s="4" t="inlineStr">
        <is>
          <t>en.eligibilityCriteria.eligibilityDescription[0].children[3]</t>
        </is>
      </c>
      <c r="G2184" s="4" t="inlineStr">
        <is>
          <t>C35@20261028-c67e587f</t>
        </is>
      </c>
      <c r="H2184" s="4" t="n">
        <v>1</v>
      </c>
      <c r="I2184" s="4" t="n">
        <v>1</v>
      </c>
      <c r="J2184" s="4" t="inlineStr">
        <is>
          <t>The approved tourism service providers should show a minimum fee of ₹2.00 crore and above in one of the preceding two years i.e. 2018-19 or 2019-20, the number of tours may be limited to a maximum of three in one financial year.</t>
        </is>
      </c>
      <c r="K2184" s="4" t="inlineStr">
        <is>
          <t>MS-C35</t>
        </is>
      </c>
      <c r="L2184" s="6" t="n">
        <v>46323</v>
      </c>
      <c r="M2184" s="4" t="inlineStr">
        <is>
          <t>Approved</t>
        </is>
      </c>
      <c r="N2184" s="4" t="inlineStr">
        <is>
          <t>list_item</t>
        </is>
      </c>
    </row>
    <row r="2185" ht="40" customHeight="1">
      <c r="A2185" s="8" t="inlineStr">
        <is>
          <t>C35-P0042</t>
        </is>
      </c>
      <c r="B2185" s="8" t="inlineStr">
        <is>
          <t>C35</t>
        </is>
      </c>
      <c r="C2185" s="8" t="inlineStr">
        <is>
          <t>Marketing Development Assistance Scheme</t>
        </is>
      </c>
      <c r="D2185" s="8" t="inlineStr">
        <is>
          <t>Eligibility</t>
        </is>
      </c>
      <c r="E2185" s="8" t="inlineStr"/>
      <c r="F2185" s="8" t="inlineStr">
        <is>
          <t>en.eligibilityCriteria.eligibilityDescription[0].children[4]</t>
        </is>
      </c>
      <c r="G2185" s="8" t="inlineStr">
        <is>
          <t>C35@20261028-c67e587f</t>
        </is>
      </c>
      <c r="H2185" s="8" t="n">
        <v>1</v>
      </c>
      <c r="I2185" s="8" t="n">
        <v>1</v>
      </c>
      <c r="J2185" s="8" t="inlineStr">
        <is>
          <t>Tourism departments of State Governments / UT Administrations are also eligible to avail benefits under the Scheme. However, the above eligibility conditions do not apply to them.</t>
        </is>
      </c>
      <c r="K2185" s="8" t="inlineStr">
        <is>
          <t>MS-C35</t>
        </is>
      </c>
      <c r="L2185" s="9" t="n">
        <v>46323</v>
      </c>
      <c r="M2185" s="8" t="inlineStr">
        <is>
          <t>Approved</t>
        </is>
      </c>
      <c r="N2185" s="8" t="inlineStr">
        <is>
          <t>list_item</t>
        </is>
      </c>
    </row>
    <row r="2186" ht="40" customHeight="1">
      <c r="A2186" s="4" t="inlineStr">
        <is>
          <t>C35-P0043</t>
        </is>
      </c>
      <c r="B2186" s="4" t="inlineStr">
        <is>
          <t>C35</t>
        </is>
      </c>
      <c r="C2186" s="4" t="inlineStr">
        <is>
          <t>Marketing Development Assistance Scheme</t>
        </is>
      </c>
      <c r="D2186" s="4" t="inlineStr">
        <is>
          <t>Applicant documents</t>
        </is>
      </c>
      <c r="E2186" s="4" t="inlineStr"/>
      <c r="F2186" s="4" t="inlineStr">
        <is>
          <t>documents.en.documents_required[0].children[0]</t>
        </is>
      </c>
      <c r="G2186" s="4" t="inlineStr">
        <is>
          <t>C35@20261028-c67e587f</t>
        </is>
      </c>
      <c r="H2186" s="4" t="n">
        <v>1</v>
      </c>
      <c r="I2186" s="4" t="n">
        <v>1</v>
      </c>
      <c r="J2186" s="4" t="inlineStr">
        <is>
          <t>For Prior Approval:</t>
        </is>
      </c>
      <c r="K2186" s="4" t="inlineStr">
        <is>
          <t>MS-C35</t>
        </is>
      </c>
      <c r="L2186" s="6" t="n">
        <v>46323</v>
      </c>
      <c r="M2186" s="4" t="inlineStr">
        <is>
          <t>Approved</t>
        </is>
      </c>
      <c r="N2186" s="4" t="inlineStr">
        <is>
          <t>text</t>
        </is>
      </c>
    </row>
    <row r="2187" ht="40" customHeight="1">
      <c r="A2187" s="8" t="inlineStr">
        <is>
          <t>C35-P0044</t>
        </is>
      </c>
      <c r="B2187" s="8" t="inlineStr">
        <is>
          <t>C35</t>
        </is>
      </c>
      <c r="C2187" s="8" t="inlineStr">
        <is>
          <t>Marketing Development Assistance Scheme</t>
        </is>
      </c>
      <c r="D2187" s="8" t="inlineStr">
        <is>
          <t>Applicant documents</t>
        </is>
      </c>
      <c r="E2187" s="8" t="inlineStr"/>
      <c r="F2187" s="8" t="inlineStr">
        <is>
          <t>documents.en.documents_required[1].children[0]</t>
        </is>
      </c>
      <c r="G2187" s="8" t="inlineStr">
        <is>
          <t>C35@20261028-c67e587f</t>
        </is>
      </c>
      <c r="H2187" s="8" t="n">
        <v>1</v>
      </c>
      <c r="I2187" s="8" t="n">
        <v>1</v>
      </c>
      <c r="J2187" s="8" t="inlineStr">
        <is>
          <t>Proof of TSP approval by Ministry of Tourism or State/UT Tourism Department.</t>
        </is>
      </c>
      <c r="K2187" s="8" t="inlineStr">
        <is>
          <t>MS-C35</t>
        </is>
      </c>
      <c r="L2187" s="9" t="n">
        <v>46323</v>
      </c>
      <c r="M2187" s="8" t="inlineStr">
        <is>
          <t>Approved</t>
        </is>
      </c>
      <c r="N2187" s="8" t="inlineStr">
        <is>
          <t>list_item</t>
        </is>
      </c>
    </row>
    <row r="2188" ht="40" customHeight="1">
      <c r="A2188" s="4" t="inlineStr">
        <is>
          <t>C35-P0045</t>
        </is>
      </c>
      <c r="B2188" s="4" t="inlineStr">
        <is>
          <t>C35</t>
        </is>
      </c>
      <c r="C2188" s="4" t="inlineStr">
        <is>
          <t>Marketing Development Assistance Scheme</t>
        </is>
      </c>
      <c r="D2188" s="4" t="inlineStr">
        <is>
          <t>Applicant documents</t>
        </is>
      </c>
      <c r="E2188" s="4" t="inlineStr"/>
      <c r="F2188" s="4" t="inlineStr">
        <is>
          <t>documents.en.documents_required[1].children[1]</t>
        </is>
      </c>
      <c r="G2188" s="4" t="inlineStr">
        <is>
          <t>C35@20261028-c67e587f</t>
        </is>
      </c>
      <c r="H2188" s="4" t="n">
        <v>1</v>
      </c>
      <c r="I2188" s="4" t="n">
        <v>1</v>
      </c>
      <c r="J2188" s="4" t="inlineStr">
        <is>
          <t>Declaration/Undertaking of no investigation or debarment.</t>
        </is>
      </c>
      <c r="K2188" s="4" t="inlineStr">
        <is>
          <t>MS-C35</t>
        </is>
      </c>
      <c r="L2188" s="6" t="n">
        <v>46323</v>
      </c>
      <c r="M2188" s="4" t="inlineStr">
        <is>
          <t>Approved</t>
        </is>
      </c>
      <c r="N2188" s="4" t="inlineStr">
        <is>
          <t>list_item</t>
        </is>
      </c>
    </row>
    <row r="2189" ht="40" customHeight="1">
      <c r="A2189" s="8" t="inlineStr">
        <is>
          <t>C35-P0046</t>
        </is>
      </c>
      <c r="B2189" s="8" t="inlineStr">
        <is>
          <t>C35</t>
        </is>
      </c>
      <c r="C2189" s="8" t="inlineStr">
        <is>
          <t>Marketing Development Assistance Scheme</t>
        </is>
      </c>
      <c r="D2189" s="8" t="inlineStr">
        <is>
          <t>Applicant documents</t>
        </is>
      </c>
      <c r="E2189" s="8" t="inlineStr"/>
      <c r="F2189" s="8" t="inlineStr">
        <is>
          <t>documents.en.documents_required[1].children[2]</t>
        </is>
      </c>
      <c r="G2189" s="8" t="inlineStr">
        <is>
          <t>C35@20261028-c67e587f</t>
        </is>
      </c>
      <c r="H2189" s="8" t="n">
        <v>1</v>
      </c>
      <c r="I2189" s="8" t="n">
        <v>1</v>
      </c>
      <c r="J2189" s="8" t="inlineStr">
        <is>
          <t>FEE certificate certified by a Chartered Accountant.</t>
        </is>
      </c>
      <c r="K2189" s="8" t="inlineStr">
        <is>
          <t>MS-C35</t>
        </is>
      </c>
      <c r="L2189" s="9" t="n">
        <v>46323</v>
      </c>
      <c r="M2189" s="8" t="inlineStr">
        <is>
          <t>Approved</t>
        </is>
      </c>
      <c r="N2189" s="8" t="inlineStr">
        <is>
          <t>list_item</t>
        </is>
      </c>
    </row>
    <row r="2190" ht="40" customHeight="1">
      <c r="A2190" s="4" t="inlineStr">
        <is>
          <t>C35-P0047</t>
        </is>
      </c>
      <c r="B2190" s="4" t="inlineStr">
        <is>
          <t>C35</t>
        </is>
      </c>
      <c r="C2190" s="4" t="inlineStr">
        <is>
          <t>Marketing Development Assistance Scheme</t>
        </is>
      </c>
      <c r="D2190" s="4" t="inlineStr">
        <is>
          <t>Applicant documents</t>
        </is>
      </c>
      <c r="E2190" s="4" t="inlineStr"/>
      <c r="F2190" s="4" t="inlineStr">
        <is>
          <t>documents.en.documents_required[2].children[0]</t>
        </is>
      </c>
      <c r="G2190" s="4" t="inlineStr">
        <is>
          <t>C35@20261028-c67e587f</t>
        </is>
      </c>
      <c r="H2190" s="4" t="n">
        <v>1</v>
      </c>
      <c r="I2190" s="4" t="n">
        <v>1</v>
      </c>
      <c r="J2190" s="4" t="inlineStr">
        <is>
          <t>For Reimbursement:</t>
        </is>
      </c>
      <c r="K2190" s="4" t="inlineStr">
        <is>
          <t>MS-C35</t>
        </is>
      </c>
      <c r="L2190" s="6" t="n">
        <v>46323</v>
      </c>
      <c r="M2190" s="4" t="inlineStr">
        <is>
          <t>Approved</t>
        </is>
      </c>
      <c r="N2190" s="4" t="inlineStr">
        <is>
          <t>text</t>
        </is>
      </c>
    </row>
    <row r="2191" ht="40" customHeight="1">
      <c r="A2191" s="8" t="inlineStr">
        <is>
          <t>C35-P0048</t>
        </is>
      </c>
      <c r="B2191" s="8" t="inlineStr">
        <is>
          <t>C35</t>
        </is>
      </c>
      <c r="C2191" s="8" t="inlineStr">
        <is>
          <t>Marketing Development Assistance Scheme</t>
        </is>
      </c>
      <c r="D2191" s="8" t="inlineStr">
        <is>
          <t>Applicant documents</t>
        </is>
      </c>
      <c r="E2191" s="8" t="inlineStr"/>
      <c r="F2191" s="8" t="inlineStr">
        <is>
          <t>documents.en.documents_required[3].children[0]</t>
        </is>
      </c>
      <c r="G2191" s="8" t="inlineStr">
        <is>
          <t>C35@20261028-c67e587f</t>
        </is>
      </c>
      <c r="H2191" s="8" t="n">
        <v>1</v>
      </c>
      <c r="I2191" s="8" t="n">
        <v>1</v>
      </c>
      <c r="J2191" s="8" t="inlineStr">
        <is>
          <t>Financial assistance details of the past three years.</t>
        </is>
      </c>
      <c r="K2191" s="8" t="inlineStr">
        <is>
          <t>MS-C35</t>
        </is>
      </c>
      <c r="L2191" s="9" t="n">
        <v>46323</v>
      </c>
      <c r="M2191" s="8" t="inlineStr">
        <is>
          <t>Approved</t>
        </is>
      </c>
      <c r="N2191" s="8" t="inlineStr">
        <is>
          <t>list_item</t>
        </is>
      </c>
    </row>
    <row r="2192" ht="40" customHeight="1">
      <c r="A2192" s="4" t="inlineStr">
        <is>
          <t>C35-P0049</t>
        </is>
      </c>
      <c r="B2192" s="4" t="inlineStr">
        <is>
          <t>C35</t>
        </is>
      </c>
      <c r="C2192" s="4" t="inlineStr">
        <is>
          <t>Marketing Development Assistance Scheme</t>
        </is>
      </c>
      <c r="D2192" s="4" t="inlineStr">
        <is>
          <t>Applicant documents</t>
        </is>
      </c>
      <c r="E2192" s="4" t="inlineStr"/>
      <c r="F2192" s="4" t="inlineStr">
        <is>
          <t>documents.en.documents_required[3].children[1]</t>
        </is>
      </c>
      <c r="G2192" s="4" t="inlineStr">
        <is>
          <t>C35@20261028-c67e587f</t>
        </is>
      </c>
      <c r="H2192" s="4" t="n">
        <v>1</v>
      </c>
      <c r="I2192" s="4" t="n">
        <v>1</v>
      </c>
      <c r="J2192" s="4" t="inlineStr">
        <is>
          <t>Air tickets and boarding passes or passport pages with immigration stamps.</t>
        </is>
      </c>
      <c r="K2192" s="4" t="inlineStr">
        <is>
          <t>MS-C35</t>
        </is>
      </c>
      <c r="L2192" s="6" t="n">
        <v>46323</v>
      </c>
      <c r="M2192" s="4" t="inlineStr">
        <is>
          <t>Approved</t>
        </is>
      </c>
      <c r="N2192" s="4" t="inlineStr">
        <is>
          <t>list_item</t>
        </is>
      </c>
    </row>
    <row r="2193" ht="40" customHeight="1">
      <c r="A2193" s="8" t="inlineStr">
        <is>
          <t>C35-P0050</t>
        </is>
      </c>
      <c r="B2193" s="8" t="inlineStr">
        <is>
          <t>C35</t>
        </is>
      </c>
      <c r="C2193" s="8" t="inlineStr">
        <is>
          <t>Marketing Development Assistance Scheme</t>
        </is>
      </c>
      <c r="D2193" s="8" t="inlineStr">
        <is>
          <t>Applicant documents</t>
        </is>
      </c>
      <c r="E2193" s="8" t="inlineStr"/>
      <c r="F2193" s="8" t="inlineStr">
        <is>
          <t>documents.en.documents_required[3].children[2]</t>
        </is>
      </c>
      <c r="G2193" s="8" t="inlineStr">
        <is>
          <t>C35@20261028-c67e587f</t>
        </is>
      </c>
      <c r="H2193" s="8" t="n">
        <v>1</v>
      </c>
      <c r="I2193" s="8" t="n">
        <v>1</v>
      </c>
      <c r="J2193" s="8" t="inlineStr">
        <is>
          <t>Tour report (maximum 250 words).</t>
        </is>
      </c>
      <c r="K2193" s="8" t="inlineStr">
        <is>
          <t>MS-C35</t>
        </is>
      </c>
      <c r="L2193" s="9" t="n">
        <v>46323</v>
      </c>
      <c r="M2193" s="8" t="inlineStr">
        <is>
          <t>Approved</t>
        </is>
      </c>
      <c r="N2193" s="8" t="inlineStr">
        <is>
          <t>list_item</t>
        </is>
      </c>
    </row>
    <row r="2194" ht="40" customHeight="1">
      <c r="A2194" s="4" t="inlineStr">
        <is>
          <t>C35-P0051</t>
        </is>
      </c>
      <c r="B2194" s="4" t="inlineStr">
        <is>
          <t>C35</t>
        </is>
      </c>
      <c r="C2194" s="4" t="inlineStr">
        <is>
          <t>Marketing Development Assistance Scheme</t>
        </is>
      </c>
      <c r="D2194" s="4" t="inlineStr">
        <is>
          <t>Applicant documents</t>
        </is>
      </c>
      <c r="E2194" s="4" t="inlineStr"/>
      <c r="F2194" s="4" t="inlineStr">
        <is>
          <t>documents.en.documents_required[3].children[3]</t>
        </is>
      </c>
      <c r="G2194" s="4" t="inlineStr">
        <is>
          <t>C35@20261028-c67e587f</t>
        </is>
      </c>
      <c r="H2194" s="4" t="n">
        <v>1</v>
      </c>
      <c r="I2194" s="4" t="n">
        <v>1</v>
      </c>
      <c r="J2194" s="4" t="inlineStr">
        <is>
          <t>Original receipts and proof of payments for air tickets, booth setup, participation fees, and lodging.</t>
        </is>
      </c>
      <c r="K2194" s="4" t="inlineStr">
        <is>
          <t>MS-C35</t>
        </is>
      </c>
      <c r="L2194" s="6" t="n">
        <v>46323</v>
      </c>
      <c r="M2194" s="4" t="inlineStr">
        <is>
          <t>Approved</t>
        </is>
      </c>
      <c r="N2194" s="4" t="inlineStr">
        <is>
          <t>list_item</t>
        </is>
      </c>
    </row>
    <row r="2195" ht="40" customHeight="1">
      <c r="A2195" s="8" t="inlineStr">
        <is>
          <t>C35-P0052</t>
        </is>
      </c>
      <c r="B2195" s="8" t="inlineStr">
        <is>
          <t>C35</t>
        </is>
      </c>
      <c r="C2195" s="8" t="inlineStr">
        <is>
          <t>Marketing Development Assistance Scheme</t>
        </is>
      </c>
      <c r="D2195" s="8" t="inlineStr">
        <is>
          <t>Application process</t>
        </is>
      </c>
      <c r="E2195" s="8" t="inlineStr"/>
      <c r="F2195" s="8" t="inlineStr">
        <is>
          <t>en.applicationProcess[0].process[0].children[0]</t>
        </is>
      </c>
      <c r="G2195" s="8" t="inlineStr">
        <is>
          <t>C35@20261028-c67e587f</t>
        </is>
      </c>
      <c r="H2195" s="8" t="n">
        <v>1</v>
      </c>
      <c r="I2195" s="8" t="n">
        <v>1</v>
      </c>
      <c r="J2195" s="8" t="inlineStr">
        <is>
          <t>Prior Approval:</t>
        </is>
      </c>
      <c r="K2195" s="8" t="inlineStr">
        <is>
          <t>MS-C35</t>
        </is>
      </c>
      <c r="L2195" s="9" t="n">
        <v>46323</v>
      </c>
      <c r="M2195" s="8" t="inlineStr">
        <is>
          <t>Approved</t>
        </is>
      </c>
      <c r="N2195" s="8" t="inlineStr">
        <is>
          <t>text</t>
        </is>
      </c>
    </row>
    <row r="2196" ht="40" customHeight="1">
      <c r="A2196" s="4" t="inlineStr">
        <is>
          <t>C35-P0053</t>
        </is>
      </c>
      <c r="B2196" s="4" t="inlineStr">
        <is>
          <t>C35</t>
        </is>
      </c>
      <c r="C2196" s="4" t="inlineStr">
        <is>
          <t>Marketing Development Assistance Scheme</t>
        </is>
      </c>
      <c r="D2196" s="4" t="inlineStr">
        <is>
          <t>Application process</t>
        </is>
      </c>
      <c r="E2196" s="4" t="inlineStr"/>
      <c r="F2196" s="4" t="inlineStr">
        <is>
          <t>en.applicationProcess[0].process[1]</t>
        </is>
      </c>
      <c r="G2196" s="4" t="inlineStr">
        <is>
          <t>C35@20261028-c67e587f</t>
        </is>
      </c>
      <c r="H2196" s="4" t="n">
        <v>1</v>
      </c>
      <c r="I2196" s="4" t="n">
        <v>1</v>
      </c>
      <c r="J2196" s="4" t="inlineStr">
        <is>
          <t>Step 01: The TSP/SG/UT shall obtain Prior Approval from the Ministry of Tourism, Government of India, before undertaking a tour overseas.</t>
        </is>
      </c>
      <c r="K2196" s="4" t="inlineStr">
        <is>
          <t>MS-C35</t>
        </is>
      </c>
      <c r="L2196" s="6" t="n">
        <v>46323</v>
      </c>
      <c r="M2196" s="4" t="inlineStr">
        <is>
          <t>Approved</t>
        </is>
      </c>
      <c r="N2196" s="4" t="inlineStr">
        <is>
          <t>paragraph</t>
        </is>
      </c>
    </row>
    <row r="2197" ht="40" customHeight="1">
      <c r="A2197" s="8" t="inlineStr">
        <is>
          <t>C35-P0054</t>
        </is>
      </c>
      <c r="B2197" s="8" t="inlineStr">
        <is>
          <t>C35</t>
        </is>
      </c>
      <c r="C2197" s="8" t="inlineStr">
        <is>
          <t>Marketing Development Assistance Scheme</t>
        </is>
      </c>
      <c r="D2197" s="8" t="inlineStr">
        <is>
          <t>Application process</t>
        </is>
      </c>
      <c r="E2197" s="8" t="inlineStr"/>
      <c r="F2197" s="8" t="inlineStr">
        <is>
          <t>en.applicationProcess[0].process[2]</t>
        </is>
      </c>
      <c r="G2197" s="8" t="inlineStr">
        <is>
          <t>C35@20261028-c67e587f</t>
        </is>
      </c>
      <c r="H2197" s="8" t="n">
        <v>1</v>
      </c>
      <c r="I2197" s="8" t="n">
        <v>1</v>
      </c>
      <c r="J2197" s="8" t="inlineStr">
        <is>
          <t>Step 02: The applicants download the prior approval application form Annexure-I.</t>
        </is>
      </c>
      <c r="K2197" s="8" t="inlineStr">
        <is>
          <t>MS-C35</t>
        </is>
      </c>
      <c r="L2197" s="9" t="n">
        <v>46323</v>
      </c>
      <c r="M2197" s="8" t="inlineStr">
        <is>
          <t>Approved</t>
        </is>
      </c>
      <c r="N2197" s="8" t="inlineStr">
        <is>
          <t>paragraph</t>
        </is>
      </c>
    </row>
    <row r="2198" ht="40" customHeight="1">
      <c r="A2198" s="4" t="inlineStr">
        <is>
          <t>C35-P0055</t>
        </is>
      </c>
      <c r="B2198" s="4" t="inlineStr">
        <is>
          <t>C35</t>
        </is>
      </c>
      <c r="C2198" s="4" t="inlineStr">
        <is>
          <t>Marketing Development Assistance Scheme</t>
        </is>
      </c>
      <c r="D2198" s="4" t="inlineStr">
        <is>
          <t>Application process</t>
        </is>
      </c>
      <c r="E2198" s="4" t="inlineStr"/>
      <c r="F2198" s="4" t="inlineStr">
        <is>
          <t>en.applicationProcess[0].process[3]</t>
        </is>
      </c>
      <c r="G2198" s="4" t="inlineStr">
        <is>
          <t>C35@20261028-c67e587f</t>
        </is>
      </c>
      <c r="H2198" s="4" t="n">
        <v>1</v>
      </c>
      <c r="I2198" s="4" t="n">
        <v>1</v>
      </c>
      <c r="J2198" s="4" t="inlineStr">
        <is>
          <t>Step 03: In the application form, fill in all the mandatory fields, and attach copies of all the mandatory documents (self-attest, if required).</t>
        </is>
      </c>
      <c r="K2198" s="4" t="inlineStr">
        <is>
          <t>MS-C35</t>
        </is>
      </c>
      <c r="L2198" s="6" t="n">
        <v>46323</v>
      </c>
      <c r="M2198" s="4" t="inlineStr">
        <is>
          <t>Approved</t>
        </is>
      </c>
      <c r="N2198" s="4" t="inlineStr">
        <is>
          <t>paragraph</t>
        </is>
      </c>
    </row>
    <row r="2199" ht="40" customHeight="1">
      <c r="A2199" s="8" t="inlineStr">
        <is>
          <t>C35-P0056</t>
        </is>
      </c>
      <c r="B2199" s="8" t="inlineStr">
        <is>
          <t>C35</t>
        </is>
      </c>
      <c r="C2199" s="8" t="inlineStr">
        <is>
          <t>Marketing Development Assistance Scheme</t>
        </is>
      </c>
      <c r="D2199" s="8" t="inlineStr">
        <is>
          <t>Application process</t>
        </is>
      </c>
      <c r="E2199" s="8" t="inlineStr"/>
      <c r="F2199" s="8" t="inlineStr">
        <is>
          <t>en.applicationProcess[0].process[4]</t>
        </is>
      </c>
      <c r="G2199" s="8" t="inlineStr">
        <is>
          <t>C35@20261028-c67e587f</t>
        </is>
      </c>
      <c r="H2199" s="8" t="n">
        <v>1</v>
      </c>
      <c r="I2199" s="8" t="n">
        <v>1</v>
      </c>
      <c r="J2199" s="8" t="inlineStr">
        <is>
          <t>Step 04: Submit the duly filled and signed application form at least 21 days before the tour to the Assistant Director General (Overseas Marketing) via email at mda-tourism@gov.in.</t>
        </is>
      </c>
      <c r="K2199" s="8" t="inlineStr">
        <is>
          <t>MS-C35</t>
        </is>
      </c>
      <c r="L2199" s="9" t="n">
        <v>46323</v>
      </c>
      <c r="M2199" s="8" t="inlineStr">
        <is>
          <t>Approved</t>
        </is>
      </c>
      <c r="N2199" s="8" t="inlineStr">
        <is>
          <t>paragraph</t>
        </is>
      </c>
    </row>
    <row r="2200" ht="40" customHeight="1">
      <c r="A2200" s="4" t="inlineStr">
        <is>
          <t>C35-P0057</t>
        </is>
      </c>
      <c r="B2200" s="4" t="inlineStr">
        <is>
          <t>C35</t>
        </is>
      </c>
      <c r="C2200" s="4" t="inlineStr">
        <is>
          <t>Marketing Development Assistance Scheme</t>
        </is>
      </c>
      <c r="D2200" s="4" t="inlineStr">
        <is>
          <t>Application process</t>
        </is>
      </c>
      <c r="E2200" s="4" t="inlineStr"/>
      <c r="F2200" s="4" t="inlineStr">
        <is>
          <t>en.applicationProcess[0].process[6].children[0]</t>
        </is>
      </c>
      <c r="G2200" s="4" t="inlineStr">
        <is>
          <t>C35@20261028-c67e587f</t>
        </is>
      </c>
      <c r="H2200" s="4" t="n">
        <v>1</v>
      </c>
      <c r="I2200" s="4" t="n">
        <v>1</v>
      </c>
      <c r="J2200" s="4" t="inlineStr">
        <is>
          <t>Reimbursement Claims:</t>
        </is>
      </c>
      <c r="K2200" s="4" t="inlineStr">
        <is>
          <t>MS-C35</t>
        </is>
      </c>
      <c r="L2200" s="6" t="n">
        <v>46323</v>
      </c>
      <c r="M2200" s="4" t="inlineStr">
        <is>
          <t>Approved</t>
        </is>
      </c>
      <c r="N2200" s="4" t="inlineStr">
        <is>
          <t>text</t>
        </is>
      </c>
    </row>
    <row r="2201" ht="54" customHeight="1">
      <c r="A2201" s="8" t="inlineStr">
        <is>
          <t>C35-P0058</t>
        </is>
      </c>
      <c r="B2201" s="8" t="inlineStr">
        <is>
          <t>C35</t>
        </is>
      </c>
      <c r="C2201" s="8" t="inlineStr">
        <is>
          <t>Marketing Development Assistance Scheme</t>
        </is>
      </c>
      <c r="D2201" s="8" t="inlineStr">
        <is>
          <t>Application process</t>
        </is>
      </c>
      <c r="E2201" s="8" t="inlineStr"/>
      <c r="F2201" s="8" t="inlineStr">
        <is>
          <t>en.applicationProcess[0].process[7]</t>
        </is>
      </c>
      <c r="G2201" s="8" t="inlineStr">
        <is>
          <t>C35@20261028-c67e587f</t>
        </is>
      </c>
      <c r="H2201" s="8" t="n">
        <v>1</v>
      </c>
      <c r="I2201" s="8" t="n">
        <v>1</v>
      </c>
      <c r="J2201" s="8" t="inlineStr">
        <is>
          <t>After undertaking the tourism promotional activity/tour abroad for which Prior Approval had been accorded by the Ministry of Tourism the Tourism Service Provider / State Govt./ UT Administration will apply to reimbursement/claim.</t>
        </is>
      </c>
      <c r="K2201" s="8" t="inlineStr">
        <is>
          <t>MS-C35</t>
        </is>
      </c>
      <c r="L2201" s="9" t="n">
        <v>46323</v>
      </c>
      <c r="M2201" s="8" t="inlineStr">
        <is>
          <t>Approved</t>
        </is>
      </c>
      <c r="N2201" s="8" t="inlineStr">
        <is>
          <t>paragraph</t>
        </is>
      </c>
    </row>
    <row r="2202" ht="40" customHeight="1">
      <c r="A2202" s="4" t="inlineStr">
        <is>
          <t>C35-P0059</t>
        </is>
      </c>
      <c r="B2202" s="4" t="inlineStr">
        <is>
          <t>C35</t>
        </is>
      </c>
      <c r="C2202" s="4" t="inlineStr">
        <is>
          <t>Marketing Development Assistance Scheme</t>
        </is>
      </c>
      <c r="D2202" s="4" t="inlineStr">
        <is>
          <t>Application process</t>
        </is>
      </c>
      <c r="E2202" s="4" t="inlineStr"/>
      <c r="F2202" s="4" t="inlineStr">
        <is>
          <t>en.applicationProcess[0].process[8]</t>
        </is>
      </c>
      <c r="G2202" s="4" t="inlineStr">
        <is>
          <t>C35@20261028-c67e587f</t>
        </is>
      </c>
      <c r="H2202" s="4" t="n">
        <v>1</v>
      </c>
      <c r="I2202" s="4" t="n">
        <v>1</v>
      </c>
      <c r="J2202" s="4" t="inlineStr">
        <is>
          <t>Step 01: The applicants download the claim application form Annexure-II, III &amp; IV.</t>
        </is>
      </c>
      <c r="K2202" s="4" t="inlineStr">
        <is>
          <t>MS-C35</t>
        </is>
      </c>
      <c r="L2202" s="6" t="n">
        <v>46323</v>
      </c>
      <c r="M2202" s="4" t="inlineStr">
        <is>
          <t>Approved</t>
        </is>
      </c>
      <c r="N2202" s="4" t="inlineStr">
        <is>
          <t>paragraph</t>
        </is>
      </c>
    </row>
    <row r="2203" ht="40" customHeight="1">
      <c r="A2203" s="8" t="inlineStr">
        <is>
          <t>C35-P0060</t>
        </is>
      </c>
      <c r="B2203" s="8" t="inlineStr">
        <is>
          <t>C35</t>
        </is>
      </c>
      <c r="C2203" s="8" t="inlineStr">
        <is>
          <t>Marketing Development Assistance Scheme</t>
        </is>
      </c>
      <c r="D2203" s="8" t="inlineStr">
        <is>
          <t>Application process</t>
        </is>
      </c>
      <c r="E2203" s="8" t="inlineStr"/>
      <c r="F2203" s="8" t="inlineStr">
        <is>
          <t>en.applicationProcess[0].process[9]</t>
        </is>
      </c>
      <c r="G2203" s="8" t="inlineStr">
        <is>
          <t>C35@20261028-c67e587f</t>
        </is>
      </c>
      <c r="H2203" s="8" t="n">
        <v>1</v>
      </c>
      <c r="I2203" s="8" t="n">
        <v>1</v>
      </c>
      <c r="J2203" s="8" t="inlineStr">
        <is>
          <t>Step 02: In the application form, fill in all the mandatory fields, and attach copies of all the mandatory documents (self-attest, if required).</t>
        </is>
      </c>
      <c r="K2203" s="8" t="inlineStr">
        <is>
          <t>MS-C35</t>
        </is>
      </c>
      <c r="L2203" s="9" t="n">
        <v>46323</v>
      </c>
      <c r="M2203" s="8" t="inlineStr">
        <is>
          <t>Approved</t>
        </is>
      </c>
      <c r="N2203" s="8" t="inlineStr">
        <is>
          <t>paragraph</t>
        </is>
      </c>
    </row>
    <row r="2204" ht="54" customHeight="1">
      <c r="A2204" s="4" t="inlineStr">
        <is>
          <t>C35-P0061</t>
        </is>
      </c>
      <c r="B2204" s="4" t="inlineStr">
        <is>
          <t>C35</t>
        </is>
      </c>
      <c r="C2204" s="4" t="inlineStr">
        <is>
          <t>Marketing Development Assistance Scheme</t>
        </is>
      </c>
      <c r="D2204" s="4" t="inlineStr">
        <is>
          <t>Application process</t>
        </is>
      </c>
      <c r="E2204" s="4" t="inlineStr"/>
      <c r="F2204" s="4" t="inlineStr">
        <is>
          <t>en.applicationProcess[0].process[10]</t>
        </is>
      </c>
      <c r="G2204" s="4" t="inlineStr">
        <is>
          <t>C35@20261028-c67e587f</t>
        </is>
      </c>
      <c r="H2204" s="4" t="n">
        <v>1</v>
      </c>
      <c r="I2204" s="4" t="n">
        <v>1</v>
      </c>
      <c r="J2204" s="4" t="inlineStr">
        <is>
          <t>Step 03: Submit the duly filled and signed application form within 45 days of completion of the activity to the Assistant Director General (Overseas Marketing), Ministry of Tourism via email at mda-tourism@gov.in.</t>
        </is>
      </c>
      <c r="K2204" s="4" t="inlineStr">
        <is>
          <t>MS-C35</t>
        </is>
      </c>
      <c r="L2204" s="6" t="n">
        <v>46323</v>
      </c>
      <c r="M2204" s="4" t="inlineStr">
        <is>
          <t>Approved</t>
        </is>
      </c>
      <c r="N2204" s="4" t="inlineStr">
        <is>
          <t>paragraph</t>
        </is>
      </c>
    </row>
    <row r="2205" ht="40" customHeight="1">
      <c r="A2205" s="8" t="inlineStr">
        <is>
          <t>C35-P0062</t>
        </is>
      </c>
      <c r="B2205" s="8" t="inlineStr">
        <is>
          <t>C35</t>
        </is>
      </c>
      <c r="C2205" s="8" t="inlineStr">
        <is>
          <t>Marketing Development Assistance Scheme</t>
        </is>
      </c>
      <c r="D2205" s="8" t="inlineStr">
        <is>
          <t>Application process</t>
        </is>
      </c>
      <c r="E2205" s="8" t="inlineStr"/>
      <c r="F2205" s="8" t="inlineStr">
        <is>
          <t>en.applicationProcess[0].process[12]</t>
        </is>
      </c>
      <c r="G2205" s="8" t="inlineStr">
        <is>
          <t>C35@20261028-c67e587f</t>
        </is>
      </c>
      <c r="H2205" s="8" t="n">
        <v>1</v>
      </c>
      <c r="I2205" s="8" t="n">
        <v>1</v>
      </c>
      <c r="J2205" s="8" t="inlineStr">
        <is>
          <t>NOTE: Submission of claims in physical form will not be accepted.</t>
        </is>
      </c>
      <c r="K2205" s="8" t="inlineStr">
        <is>
          <t>MS-C35</t>
        </is>
      </c>
      <c r="L2205" s="9" t="n">
        <v>46323</v>
      </c>
      <c r="M2205" s="8" t="inlineStr">
        <is>
          <t>Approved</t>
        </is>
      </c>
      <c r="N2205" s="8" t="inlineStr">
        <is>
          <t>paragraph</t>
        </is>
      </c>
    </row>
    <row r="2206" ht="40" customHeight="1">
      <c r="A2206" s="4" t="inlineStr">
        <is>
          <t>C35-P0063</t>
        </is>
      </c>
      <c r="B2206" s="4" t="inlineStr">
        <is>
          <t>C35</t>
        </is>
      </c>
      <c r="C2206" s="4" t="inlineStr">
        <is>
          <t>Marketing Development Assistance Scheme</t>
        </is>
      </c>
      <c r="D2206" s="4" t="inlineStr">
        <is>
          <t>FAQ</t>
        </is>
      </c>
      <c r="E2206" s="4" t="inlineStr"/>
      <c r="F2206" s="4" t="inlineStr">
        <is>
          <t>faqs.en.faqs[0]</t>
        </is>
      </c>
      <c r="G2206" s="4" t="inlineStr">
        <is>
          <t>C35@20261028-c67e587f</t>
        </is>
      </c>
      <c r="H2206" s="4" t="n">
        <v>1</v>
      </c>
      <c r="I2206" s="4" t="n">
        <v>1</v>
      </c>
      <c r="J2206" s="4" t="inlineStr">
        <is>
          <t>Who can apply for the MDA Scheme? 
Approved Tourism Service Providers and State Governments/UT Administrations can apply.</t>
        </is>
      </c>
      <c r="K2206" s="4" t="inlineStr">
        <is>
          <t>MS-C35</t>
        </is>
      </c>
      <c r="L2206" s="6" t="n">
        <v>46323</v>
      </c>
      <c r="M2206" s="4" t="inlineStr">
        <is>
          <t>Approved</t>
        </is>
      </c>
      <c r="N2206" s="4" t="inlineStr">
        <is>
          <t>faq</t>
        </is>
      </c>
    </row>
    <row r="2207" ht="54" customHeight="1">
      <c r="A2207" s="8" t="inlineStr">
        <is>
          <t>C35-P0064</t>
        </is>
      </c>
      <c r="B2207" s="8" t="inlineStr">
        <is>
          <t>C35</t>
        </is>
      </c>
      <c r="C2207" s="8" t="inlineStr">
        <is>
          <t>Marketing Development Assistance Scheme</t>
        </is>
      </c>
      <c r="D2207" s="8" t="inlineStr">
        <is>
          <t>FAQ</t>
        </is>
      </c>
      <c r="E2207" s="8" t="inlineStr"/>
      <c r="F2207" s="8" t="inlineStr">
        <is>
          <t>faqs.en.faqs[1]</t>
        </is>
      </c>
      <c r="G2207" s="8" t="inlineStr">
        <is>
          <t>C35@20261028-c67e587f</t>
        </is>
      </c>
      <c r="H2207" s="8" t="n">
        <v>1</v>
      </c>
      <c r="I2207" s="8" t="n">
        <v>1</v>
      </c>
      <c r="J2207" s="8" t="inlineStr">
        <is>
          <t>What types of activities are covered under the scheme? 
Sales tours, participation in travel fairs/exhibitions, online promotion, and digital content production are covered.</t>
        </is>
      </c>
      <c r="K2207" s="8" t="inlineStr">
        <is>
          <t>MS-C35</t>
        </is>
      </c>
      <c r="L2207" s="9" t="n">
        <v>46323</v>
      </c>
      <c r="M2207" s="8" t="inlineStr">
        <is>
          <t>Approved</t>
        </is>
      </c>
      <c r="N2207" s="8" t="inlineStr">
        <is>
          <t>faq</t>
        </is>
      </c>
    </row>
    <row r="2208" ht="54" customHeight="1">
      <c r="A2208" s="4" t="inlineStr">
        <is>
          <t>C35-P0065</t>
        </is>
      </c>
      <c r="B2208" s="4" t="inlineStr">
        <is>
          <t>C35</t>
        </is>
      </c>
      <c r="C2208" s="4" t="inlineStr">
        <is>
          <t>Marketing Development Assistance Scheme</t>
        </is>
      </c>
      <c r="D2208" s="4" t="inlineStr">
        <is>
          <t>FAQ</t>
        </is>
      </c>
      <c r="E2208" s="4" t="inlineStr"/>
      <c r="F2208" s="4" t="inlineStr">
        <is>
          <t>faqs.en.faqs[2]</t>
        </is>
      </c>
      <c r="G2208" s="4" t="inlineStr">
        <is>
          <t>C35@20261028-c67e587f</t>
        </is>
      </c>
      <c r="H2208" s="4" t="n">
        <v>1</v>
      </c>
      <c r="I2208" s="4" t="n">
        <v>1</v>
      </c>
      <c r="J2208" s="4" t="inlineStr">
        <is>
          <t>What is the financial support available for TSPs?
Up to 90% of air fare and travel fair costs, and lodging expenses up to ₹10,000 per night for a maximum of 5 nights, with an overall ceiling of ₹3.5 lakh per tour.</t>
        </is>
      </c>
      <c r="K2208" s="4" t="inlineStr">
        <is>
          <t>MS-C35</t>
        </is>
      </c>
      <c r="L2208" s="6" t="n">
        <v>46323</v>
      </c>
      <c r="M2208" s="4" t="inlineStr">
        <is>
          <t>Approved</t>
        </is>
      </c>
      <c r="N2208" s="4" t="inlineStr">
        <is>
          <t>faq</t>
        </is>
      </c>
    </row>
    <row r="2209" ht="54" customHeight="1">
      <c r="A2209" s="8" t="inlineStr">
        <is>
          <t>C35-P0066</t>
        </is>
      </c>
      <c r="B2209" s="8" t="inlineStr">
        <is>
          <t>C35</t>
        </is>
      </c>
      <c r="C2209" s="8" t="inlineStr">
        <is>
          <t>Marketing Development Assistance Scheme</t>
        </is>
      </c>
      <c r="D2209" s="8" t="inlineStr">
        <is>
          <t>FAQ</t>
        </is>
      </c>
      <c r="E2209" s="8" t="inlineStr"/>
      <c r="F2209" s="8" t="inlineStr">
        <is>
          <t>faqs.en.faqs[3]</t>
        </is>
      </c>
      <c r="G2209" s="8" t="inlineStr">
        <is>
          <t>C35@20261028-c67e587f</t>
        </is>
      </c>
      <c r="H2209" s="8" t="n">
        <v>1</v>
      </c>
      <c r="I2209" s="8" t="n">
        <v>1</v>
      </c>
      <c r="J2209" s="8" t="inlineStr">
        <is>
          <t>How many tours can a TSP undertake in a year under the scheme?
TSPs with FEE of ₹1 crore to ₹2 crore can undertake up to 2 tours; those with FEE of ₹2 crore and above can undertake up to 3 tours.</t>
        </is>
      </c>
      <c r="K2209" s="8" t="inlineStr">
        <is>
          <t>MS-C35</t>
        </is>
      </c>
      <c r="L2209" s="9" t="n">
        <v>46323</v>
      </c>
      <c r="M2209" s="8" t="inlineStr">
        <is>
          <t>Approved</t>
        </is>
      </c>
      <c r="N2209" s="8" t="inlineStr">
        <is>
          <t>faq</t>
        </is>
      </c>
    </row>
    <row r="2210" ht="54" customHeight="1">
      <c r="A2210" s="4" t="inlineStr">
        <is>
          <t>C35-P0067</t>
        </is>
      </c>
      <c r="B2210" s="4" t="inlineStr">
        <is>
          <t>C35</t>
        </is>
      </c>
      <c r="C2210" s="4" t="inlineStr">
        <is>
          <t>Marketing Development Assistance Scheme</t>
        </is>
      </c>
      <c r="D2210" s="4" t="inlineStr">
        <is>
          <t>FAQ</t>
        </is>
      </c>
      <c r="E2210" s="4" t="inlineStr"/>
      <c r="F2210" s="4" t="inlineStr">
        <is>
          <t>faqs.en.faqs[4]</t>
        </is>
      </c>
      <c r="G2210" s="4" t="inlineStr">
        <is>
          <t>C35@20261028-c67e587f</t>
        </is>
      </c>
      <c r="H2210" s="4" t="n">
        <v>1</v>
      </c>
      <c r="I2210" s="4" t="n">
        <v>1</v>
      </c>
      <c r="J2210" s="4" t="inlineStr">
        <is>
          <t>What is the process for obtaining prior approval?
Submit the application and required documents at least 21 days before the tour via email to mda-tourism@gov.in.</t>
        </is>
      </c>
      <c r="K2210" s="4" t="inlineStr">
        <is>
          <t>MS-C35</t>
        </is>
      </c>
      <c r="L2210" s="6" t="n">
        <v>46323</v>
      </c>
      <c r="M2210" s="4" t="inlineStr">
        <is>
          <t>Approved</t>
        </is>
      </c>
      <c r="N2210" s="4" t="inlineStr">
        <is>
          <t>faq</t>
        </is>
      </c>
    </row>
    <row r="2211" ht="54" customHeight="1">
      <c r="A2211" s="8" t="inlineStr">
        <is>
          <t>C35-P0068</t>
        </is>
      </c>
      <c r="B2211" s="8" t="inlineStr">
        <is>
          <t>C35</t>
        </is>
      </c>
      <c r="C2211" s="8" t="inlineStr">
        <is>
          <t>Marketing Development Assistance Scheme</t>
        </is>
      </c>
      <c r="D2211" s="8" t="inlineStr">
        <is>
          <t>FAQ</t>
        </is>
      </c>
      <c r="E2211" s="8" t="inlineStr"/>
      <c r="F2211" s="8" t="inlineStr">
        <is>
          <t>faqs.en.faqs[5]</t>
        </is>
      </c>
      <c r="G2211" s="8" t="inlineStr">
        <is>
          <t>C35@20261028-c67e587f</t>
        </is>
      </c>
      <c r="H2211" s="8" t="n">
        <v>1</v>
      </c>
      <c r="I2211" s="8" t="n">
        <v>1</v>
      </c>
      <c r="J2211" s="8" t="inlineStr">
        <is>
          <t>How to claim reimbursement? 
Submit the claim within 45 days of return, with required documents, via email to mda-tourism@nic.in.</t>
        </is>
      </c>
      <c r="K2211" s="8" t="inlineStr">
        <is>
          <t>MS-C35</t>
        </is>
      </c>
      <c r="L2211" s="9" t="n">
        <v>46323</v>
      </c>
      <c r="M2211" s="8" t="inlineStr">
        <is>
          <t>Approved</t>
        </is>
      </c>
      <c r="N2211" s="8" t="inlineStr">
        <is>
          <t>faq</t>
        </is>
      </c>
    </row>
    <row r="2212" ht="54" customHeight="1">
      <c r="A2212" s="4" t="inlineStr">
        <is>
          <t>C35-P0069</t>
        </is>
      </c>
      <c r="B2212" s="4" t="inlineStr">
        <is>
          <t>C35</t>
        </is>
      </c>
      <c r="C2212" s="4" t="inlineStr">
        <is>
          <t>Marketing Development Assistance Scheme</t>
        </is>
      </c>
      <c r="D2212" s="4" t="inlineStr">
        <is>
          <t>FAQ</t>
        </is>
      </c>
      <c r="E2212" s="4" t="inlineStr"/>
      <c r="F2212" s="4" t="inlineStr">
        <is>
          <t>faqs.en.faqs[6]</t>
        </is>
      </c>
      <c r="G2212" s="4" t="inlineStr">
        <is>
          <t>C35@20261028-c67e587f</t>
        </is>
      </c>
      <c r="H2212" s="4" t="n">
        <v>1</v>
      </c>
      <c r="I2212" s="4" t="n">
        <v>1</v>
      </c>
      <c r="J2212" s="4" t="inlineStr">
        <is>
          <t>Are there any specific travel conditions for availing air fare reimbursement?
Yes, travel should be on Air India for sectors directly connected by Air India; otherwise, economy class on shorter routes by other airlines is permissible.</t>
        </is>
      </c>
      <c r="K2212" s="4" t="inlineStr">
        <is>
          <t>MS-C35</t>
        </is>
      </c>
      <c r="L2212" s="6" t="n">
        <v>46323</v>
      </c>
      <c r="M2212" s="4" t="inlineStr">
        <is>
          <t>Approved</t>
        </is>
      </c>
      <c r="N2212" s="4" t="inlineStr">
        <is>
          <t>faq</t>
        </is>
      </c>
    </row>
    <row r="2213" ht="54" customHeight="1">
      <c r="A2213" s="8" t="inlineStr">
        <is>
          <t>C35-P0070</t>
        </is>
      </c>
      <c r="B2213" s="8" t="inlineStr">
        <is>
          <t>C35</t>
        </is>
      </c>
      <c r="C2213" s="8" t="inlineStr">
        <is>
          <t>Marketing Development Assistance Scheme</t>
        </is>
      </c>
      <c r="D2213" s="8" t="inlineStr">
        <is>
          <t>FAQ</t>
        </is>
      </c>
      <c r="E2213" s="8" t="inlineStr"/>
      <c r="F2213" s="8" t="inlineStr">
        <is>
          <t>faqs.en.faqs[7]</t>
        </is>
      </c>
      <c r="G2213" s="8" t="inlineStr">
        <is>
          <t>C35@20261028-c67e587f</t>
        </is>
      </c>
      <c r="H2213" s="8" t="n">
        <v>1</v>
      </c>
      <c r="I2213" s="8" t="n">
        <v>1</v>
      </c>
      <c r="J2213" s="8" t="inlineStr">
        <is>
          <t>Can financial support be claimed for the same activity from multiple sources? 
No, the applicant should not have claimed/received financial assistance for the same activity from any other Government department or agency.</t>
        </is>
      </c>
      <c r="K2213" s="8" t="inlineStr">
        <is>
          <t>MS-C35</t>
        </is>
      </c>
      <c r="L2213" s="9" t="n">
        <v>46323</v>
      </c>
      <c r="M2213" s="8" t="inlineStr">
        <is>
          <t>Approved</t>
        </is>
      </c>
      <c r="N2213" s="8" t="inlineStr">
        <is>
          <t>faq</t>
        </is>
      </c>
    </row>
    <row r="2214" ht="40" customHeight="1">
      <c r="A2214" s="4" t="inlineStr">
        <is>
          <t>C35-P0071</t>
        </is>
      </c>
      <c r="B2214" s="4" t="inlineStr">
        <is>
          <t>C35</t>
        </is>
      </c>
      <c r="C2214" s="4" t="inlineStr">
        <is>
          <t>Marketing Development Assistance Scheme</t>
        </is>
      </c>
      <c r="D2214" s="4" t="inlineStr">
        <is>
          <t>FAQ</t>
        </is>
      </c>
      <c r="E2214" s="4" t="inlineStr"/>
      <c r="F2214" s="4" t="inlineStr">
        <is>
          <t>faqs.en.faqs[8]</t>
        </is>
      </c>
      <c r="G2214" s="4" t="inlineStr">
        <is>
          <t>C35@20261028-c67e587f</t>
        </is>
      </c>
      <c r="H2214" s="4" t="n">
        <v>1</v>
      </c>
      <c r="I2214" s="4" t="n">
        <v>1</v>
      </c>
      <c r="J2214" s="4" t="inlineStr">
        <is>
          <t>Is the scheme available for all TSPs? 
Only TSPs approved by the Ministry of Tourism or State/UT Tourism Departments are eligible.</t>
        </is>
      </c>
      <c r="K2214" s="4" t="inlineStr">
        <is>
          <t>MS-C35</t>
        </is>
      </c>
      <c r="L2214" s="6" t="n">
        <v>46323</v>
      </c>
      <c r="M2214" s="4" t="inlineStr">
        <is>
          <t>Approved</t>
        </is>
      </c>
      <c r="N2214" s="4" t="inlineStr">
        <is>
          <t>faq</t>
        </is>
      </c>
    </row>
    <row r="2215" ht="40" customHeight="1">
      <c r="A2215" s="8" t="inlineStr">
        <is>
          <t>C35-P0072</t>
        </is>
      </c>
      <c r="B2215" s="8" t="inlineStr">
        <is>
          <t>C35</t>
        </is>
      </c>
      <c r="C2215" s="8" t="inlineStr">
        <is>
          <t>Marketing Development Assistance Scheme</t>
        </is>
      </c>
      <c r="D2215" s="8" t="inlineStr">
        <is>
          <t>FAQ</t>
        </is>
      </c>
      <c r="E2215" s="8" t="inlineStr"/>
      <c r="F2215" s="8" t="inlineStr">
        <is>
          <t>faqs.en.faqs[9]</t>
        </is>
      </c>
      <c r="G2215" s="8" t="inlineStr">
        <is>
          <t>C35@20261028-c67e587f</t>
        </is>
      </c>
      <c r="H2215" s="8" t="n">
        <v>1</v>
      </c>
      <c r="I2215" s="8" t="n">
        <v>1</v>
      </c>
      <c r="J2215" s="8" t="inlineStr">
        <is>
          <t>Can support be claimed for domestic travel? 
No, the scheme is for international promotional activities only.</t>
        </is>
      </c>
      <c r="K2215" s="8" t="inlineStr">
        <is>
          <t>MS-C35</t>
        </is>
      </c>
      <c r="L2215" s="9" t="n">
        <v>46323</v>
      </c>
      <c r="M2215" s="8" t="inlineStr">
        <is>
          <t>Approved</t>
        </is>
      </c>
      <c r="N2215" s="8" t="inlineStr">
        <is>
          <t>faq</t>
        </is>
      </c>
    </row>
    <row r="2216" ht="54" customHeight="1">
      <c r="A2216" s="4" t="inlineStr">
        <is>
          <t>C35-P0073</t>
        </is>
      </c>
      <c r="B2216" s="4" t="inlineStr">
        <is>
          <t>C35</t>
        </is>
      </c>
      <c r="C2216" s="4" t="inlineStr">
        <is>
          <t>Marketing Development Assistance Scheme</t>
        </is>
      </c>
      <c r="D2216" s="4" t="inlineStr">
        <is>
          <t>FAQ</t>
        </is>
      </c>
      <c r="E2216" s="4" t="inlineStr"/>
      <c r="F2216" s="4" t="inlineStr">
        <is>
          <t>faqs.en.faqs[10]</t>
        </is>
      </c>
      <c r="G2216" s="4" t="inlineStr">
        <is>
          <t>C35@20261028-c67e587f</t>
        </is>
      </c>
      <c r="H2216" s="4" t="n">
        <v>1</v>
      </c>
      <c r="I2216" s="4" t="n">
        <v>1</v>
      </c>
      <c r="J2216" s="4" t="inlineStr">
        <is>
          <t>Are there any restrictions on who can undertake the tour from the company?
Only one person, specifically the CEO, Managing Director, Director, Managing Partner, Proprietor, or a regular employee, can undertake the tour.</t>
        </is>
      </c>
      <c r="K2216" s="4" t="inlineStr">
        <is>
          <t>MS-C35</t>
        </is>
      </c>
      <c r="L2216" s="6" t="n">
        <v>46323</v>
      </c>
      <c r="M2216" s="4" t="inlineStr">
        <is>
          <t>Approved</t>
        </is>
      </c>
      <c r="N2216" s="4" t="inlineStr">
        <is>
          <t>faq</t>
        </is>
      </c>
    </row>
    <row r="2217" ht="54" customHeight="1">
      <c r="A2217" s="8" t="inlineStr">
        <is>
          <t>C35-P0074</t>
        </is>
      </c>
      <c r="B2217" s="8" t="inlineStr">
        <is>
          <t>C35</t>
        </is>
      </c>
      <c r="C2217" s="8" t="inlineStr">
        <is>
          <t>Marketing Development Assistance Scheme</t>
        </is>
      </c>
      <c r="D2217" s="8" t="inlineStr">
        <is>
          <t>FAQ</t>
        </is>
      </c>
      <c r="E2217" s="8" t="inlineStr"/>
      <c r="F2217" s="8" t="inlineStr">
        <is>
          <t>faqs.en.faqs[11]</t>
        </is>
      </c>
      <c r="G2217" s="8" t="inlineStr">
        <is>
          <t>C35@20261028-c67e587f</t>
        </is>
      </c>
      <c r="H2217" s="8" t="n">
        <v>1</v>
      </c>
      <c r="I2217" s="8" t="n">
        <v>1</v>
      </c>
      <c r="J2217" s="8" t="inlineStr">
        <is>
          <t>Is prior approval a guarantee of financial support?
No, prior approval does not ensure financial support. Reimbursement is subject to the submission of complete claims and availability of funds.</t>
        </is>
      </c>
      <c r="K2217" s="8" t="inlineStr">
        <is>
          <t>MS-C35</t>
        </is>
      </c>
      <c r="L2217" s="9" t="n">
        <v>46323</v>
      </c>
      <c r="M2217" s="8" t="inlineStr">
        <is>
          <t>Approved</t>
        </is>
      </c>
      <c r="N2217" s="8" t="inlineStr">
        <is>
          <t>faq</t>
        </is>
      </c>
    </row>
    <row r="2218" ht="54" customHeight="1">
      <c r="A2218" s="4" t="inlineStr">
        <is>
          <t>C35-P0075</t>
        </is>
      </c>
      <c r="B2218" s="4" t="inlineStr">
        <is>
          <t>C35</t>
        </is>
      </c>
      <c r="C2218" s="4" t="inlineStr">
        <is>
          <t>Marketing Development Assistance Scheme</t>
        </is>
      </c>
      <c r="D2218" s="4" t="inlineStr">
        <is>
          <t>FAQ</t>
        </is>
      </c>
      <c r="E2218" s="4" t="inlineStr"/>
      <c r="F2218" s="4" t="inlineStr">
        <is>
          <t>faqs.en.faqs[12]</t>
        </is>
      </c>
      <c r="G2218" s="4" t="inlineStr">
        <is>
          <t>C35@20261028-c67e587f</t>
        </is>
      </c>
      <c r="H2218" s="4" t="n">
        <v>1</v>
      </c>
      <c r="I2218" s="4" t="n">
        <v>1</v>
      </c>
      <c r="J2218" s="4" t="inlineStr">
        <is>
          <t>How is the priority determined if there are more applications than available funds?
Priority is given to service providers who have not availed of financial assistance in the past under the MDA Scheme.</t>
        </is>
      </c>
      <c r="K2218" s="4" t="inlineStr">
        <is>
          <t>MS-C35</t>
        </is>
      </c>
      <c r="L2218" s="6" t="n">
        <v>46323</v>
      </c>
      <c r="M2218" s="4" t="inlineStr">
        <is>
          <t>Approved</t>
        </is>
      </c>
      <c r="N2218" s="4" t="inlineStr">
        <is>
          <t>faq</t>
        </is>
      </c>
    </row>
    <row r="2219" ht="166" customHeight="1">
      <c r="A2219" s="8" t="inlineStr">
        <is>
          <t>C36-P0001</t>
        </is>
      </c>
      <c r="B2219" s="8" t="inlineStr">
        <is>
          <t>C36</t>
        </is>
      </c>
      <c r="C2219" s="8" t="inlineStr">
        <is>
          <t>AICTE-INAE Travel Grant Scheme For Engineering Students From AICTE Approved Engineering College/Institution</t>
        </is>
      </c>
      <c r="D2219" s="8" t="inlineStr">
        <is>
          <t>Details</t>
        </is>
      </c>
      <c r="E2219" s="8" t="inlineStr"/>
      <c r="F2219" s="8" t="inlineStr">
        <is>
          <t>en.schemeContent.detailedDescription[0]</t>
        </is>
      </c>
      <c r="G2219" s="8" t="inlineStr">
        <is>
          <t>C36@20261028-c9ddf1f8</t>
        </is>
      </c>
      <c r="H2219" s="8" t="n">
        <v>1</v>
      </c>
      <c r="I2219" s="8" t="n">
        <v>2</v>
      </c>
      <c r="J2219" s="8" t="inlineStr">
        <is>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 and to inculcate a culture of research amongst the students. The scheme aims to provide partial travel assistance and registration fees to Bachelors's and Masters's Level engineering students for presenting a research paper at an international scientific event(conference/seminar/symposium/workshop/exhibition etc) to encourage engineering students to engage in research. Pre-final and final year students of B.E./B.Tech or Integrated M.Tech and first and second-year students of M.E./M. Tech from AICTE-approved Engineering Institutions is eligible under the scheme. The student must have scored a minimum 7 CGPA or 65% in order to be eligible to apply under this scheme. The student should have a letter of</t>
        </is>
      </c>
      <c r="K2219" s="8" t="inlineStr">
        <is>
          <t>MS-C36</t>
        </is>
      </c>
      <c r="L2219" s="9" t="n">
        <v>46323</v>
      </c>
      <c r="M2219" s="8" t="inlineStr">
        <is>
          <t>Approved</t>
        </is>
      </c>
      <c r="N2219" s="8" t="inlineStr">
        <is>
          <t>paragraph</t>
        </is>
      </c>
    </row>
    <row r="2220" ht="54" customHeight="1">
      <c r="A2220" s="4" t="inlineStr">
        <is>
          <t>C36-P0001</t>
        </is>
      </c>
      <c r="B2220" s="4" t="inlineStr">
        <is>
          <t>C36</t>
        </is>
      </c>
      <c r="C2220" s="4" t="inlineStr">
        <is>
          <t>AICTE-INAE Travel Grant Scheme For Engineering Students From AICTE Approved Engineering College/Institution</t>
        </is>
      </c>
      <c r="D2220" s="4" t="inlineStr">
        <is>
          <t>Details</t>
        </is>
      </c>
      <c r="E2220" s="4" t="inlineStr"/>
      <c r="F2220" s="4" t="inlineStr">
        <is>
          <t>en.schemeContent.detailedDescription[0]</t>
        </is>
      </c>
      <c r="G2220" s="4" t="inlineStr">
        <is>
          <t>C36@20261028-c9ddf1f8</t>
        </is>
      </c>
      <c r="H2220" s="4" t="n">
        <v>2</v>
      </c>
      <c r="I2220" s="4" t="n">
        <v>2</v>
      </c>
      <c r="J2220" s="4" t="inlineStr">
        <is>
          <t xml:space="preserve"> acceptance for presenting a research paper that has been accepted in a conference/seminar/symposium/workshop/exhibition abroad.</t>
        </is>
      </c>
      <c r="K2220" s="4" t="inlineStr">
        <is>
          <t>MS-C36</t>
        </is>
      </c>
      <c r="L2220" s="6" t="n">
        <v>46323</v>
      </c>
      <c r="M2220" s="4" t="inlineStr">
        <is>
          <t>Approved</t>
        </is>
      </c>
      <c r="N2220" s="4" t="inlineStr">
        <is>
          <t>paragraph</t>
        </is>
      </c>
    </row>
    <row r="2221" ht="54" customHeight="1">
      <c r="A2221" s="8" t="inlineStr">
        <is>
          <t>C36-P0002</t>
        </is>
      </c>
      <c r="B2221" s="8" t="inlineStr">
        <is>
          <t>C36</t>
        </is>
      </c>
      <c r="C2221" s="8" t="inlineStr">
        <is>
          <t>AICTE-INAE Travel Grant Scheme For Engineering Students From AICTE Approved Engineering College/Institution</t>
        </is>
      </c>
      <c r="D2221" s="8" t="inlineStr">
        <is>
          <t>Benefits</t>
        </is>
      </c>
      <c r="E2221" s="8" t="inlineStr"/>
      <c r="F2221" s="8" t="inlineStr">
        <is>
          <t>en.schemeContent.benefits[0].children[0]</t>
        </is>
      </c>
      <c r="G2221" s="8" t="inlineStr">
        <is>
          <t>C36@20261028-c9ddf1f8</t>
        </is>
      </c>
      <c r="H2221" s="8" t="n">
        <v>1</v>
      </c>
      <c r="I2221" s="8" t="n">
        <v>1</v>
      </c>
      <c r="J2221" s="8" t="inlineStr">
        <is>
          <t>Financial Support</t>
        </is>
      </c>
      <c r="K2221" s="8" t="inlineStr">
        <is>
          <t>MS-C36</t>
        </is>
      </c>
      <c r="L2221" s="9" t="n">
        <v>46323</v>
      </c>
      <c r="M2221" s="8" t="inlineStr">
        <is>
          <t>Approved</t>
        </is>
      </c>
      <c r="N2221" s="8" t="inlineStr">
        <is>
          <t>text</t>
        </is>
      </c>
    </row>
    <row r="2222" ht="54" customHeight="1">
      <c r="A2222" s="4" t="inlineStr">
        <is>
          <t>C36-P0003</t>
        </is>
      </c>
      <c r="B2222" s="4" t="inlineStr">
        <is>
          <t>C36</t>
        </is>
      </c>
      <c r="C2222" s="4" t="inlineStr">
        <is>
          <t>AICTE-INAE Travel Grant Scheme For Engineering Students From AICTE Approved Engineering College/Institution</t>
        </is>
      </c>
      <c r="D2222" s="4" t="inlineStr">
        <is>
          <t>Benefits</t>
        </is>
      </c>
      <c r="E2222" s="4" t="inlineStr"/>
      <c r="F2222" s="4" t="inlineStr">
        <is>
          <t>en.schemeContent.benefits[1].children[0]</t>
        </is>
      </c>
      <c r="G2222" s="4" t="inlineStr">
        <is>
          <t>C36@20261028-c9ddf1f8</t>
        </is>
      </c>
      <c r="H2222" s="4" t="n">
        <v>1</v>
      </c>
      <c r="I2222" s="4" t="n">
        <v>1</v>
      </c>
      <c r="J2222" s="4" t="inlineStr">
        <is>
          <t>The reimbursement of 100% Registration Fee, Visa Fee including travel insurance up to ₹5000.</t>
        </is>
      </c>
      <c r="K2222" s="4" t="inlineStr">
        <is>
          <t>MS-C36</t>
        </is>
      </c>
      <c r="L2222" s="6" t="n">
        <v>46323</v>
      </c>
      <c r="M2222" s="4" t="inlineStr">
        <is>
          <t>Approved</t>
        </is>
      </c>
      <c r="N2222" s="4" t="inlineStr">
        <is>
          <t>list_item</t>
        </is>
      </c>
    </row>
    <row r="2223" ht="54" customHeight="1">
      <c r="A2223" s="8" t="inlineStr">
        <is>
          <t>C36-P0004</t>
        </is>
      </c>
      <c r="B2223" s="8" t="inlineStr">
        <is>
          <t>C36</t>
        </is>
      </c>
      <c r="C2223" s="8" t="inlineStr">
        <is>
          <t>AICTE-INAE Travel Grant Scheme For Engineering Students From AICTE Approved Engineering College/Institution</t>
        </is>
      </c>
      <c r="D2223" s="8" t="inlineStr">
        <is>
          <t>Benefits</t>
        </is>
      </c>
      <c r="E2223" s="8" t="inlineStr"/>
      <c r="F2223" s="8" t="inlineStr">
        <is>
          <t>en.schemeContent.benefits[1].children[1]</t>
        </is>
      </c>
      <c r="G2223" s="8" t="inlineStr">
        <is>
          <t>C36@20261028-c9ddf1f8</t>
        </is>
      </c>
      <c r="H2223" s="8" t="n">
        <v>1</v>
      </c>
      <c r="I2223" s="8" t="n">
        <v>1</v>
      </c>
      <c r="J2223" s="8" t="inlineStr">
        <is>
          <t>The reimbursement of 50% of the actual Airfare or discounted /concessional air tickets along with local transport from the airport to the venue for presentation, in case not claimed from any other source.</t>
        </is>
      </c>
      <c r="K2223" s="8" t="inlineStr">
        <is>
          <t>MS-C36</t>
        </is>
      </c>
      <c r="L2223" s="9" t="n">
        <v>46323</v>
      </c>
      <c r="M2223" s="8" t="inlineStr">
        <is>
          <t>Approved</t>
        </is>
      </c>
      <c r="N2223" s="8" t="inlineStr">
        <is>
          <t>list_item</t>
        </is>
      </c>
    </row>
    <row r="2224" ht="54" customHeight="1">
      <c r="A2224" s="4" t="inlineStr">
        <is>
          <t>C36-P0005</t>
        </is>
      </c>
      <c r="B2224" s="4" t="inlineStr">
        <is>
          <t>C36</t>
        </is>
      </c>
      <c r="C2224" s="4" t="inlineStr">
        <is>
          <t>AICTE-INAE Travel Grant Scheme For Engineering Students From AICTE Approved Engineering College/Institution</t>
        </is>
      </c>
      <c r="D2224" s="4" t="inlineStr">
        <is>
          <t>Benefits</t>
        </is>
      </c>
      <c r="E2224" s="4" t="inlineStr"/>
      <c r="F2224" s="4" t="inlineStr">
        <is>
          <t>en.schemeContent.benefits[1].children[2]</t>
        </is>
      </c>
      <c r="G2224" s="4" t="inlineStr">
        <is>
          <t>C36@20261028-c9ddf1f8</t>
        </is>
      </c>
      <c r="H2224" s="4" t="n">
        <v>1</v>
      </c>
      <c r="I2224" s="4" t="n">
        <v>1</v>
      </c>
      <c r="J2224" s="4" t="inlineStr">
        <is>
          <t>Actual fare not exceeding AC II-Class train fare will be admissible for travel from the Technical Institution to the nearest airport and back in India).</t>
        </is>
      </c>
      <c r="K2224" s="4" t="inlineStr">
        <is>
          <t>MS-C36</t>
        </is>
      </c>
      <c r="L2224" s="6" t="n">
        <v>46323</v>
      </c>
      <c r="M2224" s="4" t="inlineStr">
        <is>
          <t>Approved</t>
        </is>
      </c>
      <c r="N2224" s="4" t="inlineStr">
        <is>
          <t>list_item</t>
        </is>
      </c>
    </row>
    <row r="2225" ht="54" customHeight="1">
      <c r="A2225" s="8" t="inlineStr">
        <is>
          <t>C36-P0006</t>
        </is>
      </c>
      <c r="B2225" s="8" t="inlineStr">
        <is>
          <t>C36</t>
        </is>
      </c>
      <c r="C2225" s="8" t="inlineStr">
        <is>
          <t>AICTE-INAE Travel Grant Scheme For Engineering Students From AICTE Approved Engineering College/Institution</t>
        </is>
      </c>
      <c r="D2225" s="8" t="inlineStr">
        <is>
          <t>Benefits</t>
        </is>
      </c>
      <c r="E2225" s="8" t="inlineStr"/>
      <c r="F2225" s="8" t="inlineStr">
        <is>
          <t>en.schemeContent.benefits[1].children[3]</t>
        </is>
      </c>
      <c r="G2225" s="8" t="inlineStr">
        <is>
          <t>C36@20261028-c9ddf1f8</t>
        </is>
      </c>
      <c r="H2225" s="8" t="n">
        <v>1</v>
      </c>
      <c r="I2225" s="8" t="n">
        <v>1</v>
      </c>
      <c r="J2225" s="8" t="inlineStr">
        <is>
          <t>The maximum financial support per student for all the above reimbursements is limited to ₹1,00,000.</t>
        </is>
      </c>
      <c r="K2225" s="8" t="inlineStr">
        <is>
          <t>MS-C36</t>
        </is>
      </c>
      <c r="L2225" s="9" t="n">
        <v>46323</v>
      </c>
      <c r="M2225" s="8" t="inlineStr">
        <is>
          <t>Approved</t>
        </is>
      </c>
      <c r="N2225" s="8" t="inlineStr">
        <is>
          <t>list_item</t>
        </is>
      </c>
    </row>
    <row r="2226" ht="68" customHeight="1">
      <c r="A2226" s="4" t="inlineStr">
        <is>
          <t>C36-P0007</t>
        </is>
      </c>
      <c r="B2226" s="4" t="inlineStr">
        <is>
          <t>C36</t>
        </is>
      </c>
      <c r="C2226" s="4" t="inlineStr">
        <is>
          <t>AICTE-INAE Travel Grant Scheme For Engineering Students From AICTE Approved Engineering College/Institution</t>
        </is>
      </c>
      <c r="D2226" s="4" t="inlineStr">
        <is>
          <t>Eligibility</t>
        </is>
      </c>
      <c r="E2226" s="4" t="inlineStr"/>
      <c r="F2226" s="4" t="inlineStr">
        <is>
          <t>en.eligibilityCriteria.eligibilityDescription[0].children[0]</t>
        </is>
      </c>
      <c r="G2226" s="4" t="inlineStr">
        <is>
          <t>C36@20261028-c9ddf1f8</t>
        </is>
      </c>
      <c r="H2226" s="4" t="n">
        <v>1</v>
      </c>
      <c r="I2226" s="4" t="n">
        <v>1</v>
      </c>
      <c r="J2226" s="4" t="inlineStr">
        <is>
          <t>The applicant must EITHER be a Pre-final/final year student of B.E./B.Tech, OR Integrated M.Tech and first/second-year student of M.E./M. Tech, OR Students pursuing MS Research, M.Sc. in Engineering, dual degree B.Tech and M.Tech or any degree with a minimum of 4 years of engineering studies.</t>
        </is>
      </c>
      <c r="K2226" s="4" t="inlineStr">
        <is>
          <t>MS-C36</t>
        </is>
      </c>
      <c r="L2226" s="6" t="n">
        <v>46323</v>
      </c>
      <c r="M2226" s="4" t="inlineStr">
        <is>
          <t>Approved</t>
        </is>
      </c>
      <c r="N2226" s="4" t="inlineStr">
        <is>
          <t>list_item</t>
        </is>
      </c>
    </row>
    <row r="2227" ht="54" customHeight="1">
      <c r="A2227" s="8" t="inlineStr">
        <is>
          <t>C36-P0008</t>
        </is>
      </c>
      <c r="B2227" s="8" t="inlineStr">
        <is>
          <t>C36</t>
        </is>
      </c>
      <c r="C2227" s="8" t="inlineStr">
        <is>
          <t>AICTE-INAE Travel Grant Scheme For Engineering Students From AICTE Approved Engineering College/Institution</t>
        </is>
      </c>
      <c r="D2227" s="8" t="inlineStr">
        <is>
          <t>Eligibility</t>
        </is>
      </c>
      <c r="E2227" s="8" t="inlineStr"/>
      <c r="F2227" s="8" t="inlineStr">
        <is>
          <t>en.eligibilityCriteria.eligibilityDescription[0].children[1]</t>
        </is>
      </c>
      <c r="G2227" s="8" t="inlineStr">
        <is>
          <t>C36@20261028-c9ddf1f8</t>
        </is>
      </c>
      <c r="H2227" s="8" t="n">
        <v>1</v>
      </c>
      <c r="I2227" s="8" t="n">
        <v>1</v>
      </c>
      <c r="J2227" s="8" t="inlineStr">
        <is>
          <t>The applicant must be pursuing the degree course from an AICTE-approved Engineering Institution.</t>
        </is>
      </c>
      <c r="K2227" s="8" t="inlineStr">
        <is>
          <t>MS-C36</t>
        </is>
      </c>
      <c r="L2227" s="9" t="n">
        <v>46323</v>
      </c>
      <c r="M2227" s="8" t="inlineStr">
        <is>
          <t>Approved</t>
        </is>
      </c>
      <c r="N2227" s="8" t="inlineStr">
        <is>
          <t>list_item</t>
        </is>
      </c>
    </row>
    <row r="2228" ht="54" customHeight="1">
      <c r="A2228" s="4" t="inlineStr">
        <is>
          <t>C36-P0009</t>
        </is>
      </c>
      <c r="B2228" s="4" t="inlineStr">
        <is>
          <t>C36</t>
        </is>
      </c>
      <c r="C2228" s="4" t="inlineStr">
        <is>
          <t>AICTE-INAE Travel Grant Scheme For Engineering Students From AICTE Approved Engineering College/Institution</t>
        </is>
      </c>
      <c r="D2228" s="4" t="inlineStr">
        <is>
          <t>Eligibility</t>
        </is>
      </c>
      <c r="E2228" s="4" t="inlineStr"/>
      <c r="F2228" s="4" t="inlineStr">
        <is>
          <t>en.eligibilityCriteria.eligibilityDescription[0].children[2]</t>
        </is>
      </c>
      <c r="G2228" s="4" t="inlineStr">
        <is>
          <t>C36@20261028-c9ddf1f8</t>
        </is>
      </c>
      <c r="H2228" s="4" t="n">
        <v>1</v>
      </c>
      <c r="I2228" s="4" t="n">
        <v>1</v>
      </c>
      <c r="J2228" s="4" t="inlineStr">
        <is>
          <t>The applicant must have scored a minimum of 7 CGPA or 65% in the previous year's annual examination.</t>
        </is>
      </c>
      <c r="K2228" s="4" t="inlineStr">
        <is>
          <t>MS-C36</t>
        </is>
      </c>
      <c r="L2228" s="6" t="n">
        <v>46323</v>
      </c>
      <c r="M2228" s="4" t="inlineStr">
        <is>
          <t>Approved</t>
        </is>
      </c>
      <c r="N2228" s="4" t="inlineStr">
        <is>
          <t>list_item</t>
        </is>
      </c>
    </row>
    <row r="2229" ht="54" customHeight="1">
      <c r="A2229" s="8" t="inlineStr">
        <is>
          <t>C36-P0010</t>
        </is>
      </c>
      <c r="B2229" s="8" t="inlineStr">
        <is>
          <t>C36</t>
        </is>
      </c>
      <c r="C2229" s="8" t="inlineStr">
        <is>
          <t>AICTE-INAE Travel Grant Scheme For Engineering Students From AICTE Approved Engineering College/Institution</t>
        </is>
      </c>
      <c r="D2229" s="8" t="inlineStr">
        <is>
          <t>Eligibility</t>
        </is>
      </c>
      <c r="E2229" s="8" t="inlineStr"/>
      <c r="F2229" s="8" t="inlineStr">
        <is>
          <t>en.eligibilityCriteria.eligibilityDescription[0].children[3]</t>
        </is>
      </c>
      <c r="G2229" s="8" t="inlineStr">
        <is>
          <t>C36@20261028-c9ddf1f8</t>
        </is>
      </c>
      <c r="H2229" s="8" t="n">
        <v>1</v>
      </c>
      <c r="I2229" s="8" t="n">
        <v>1</v>
      </c>
      <c r="J2229" s="8" t="inlineStr">
        <is>
          <t>The applicant must possess a letter of acceptance for presenting a research paper accepted in a conference/seminar/symposium/workshop/exhibition abroad.</t>
        </is>
      </c>
      <c r="K2229" s="8" t="inlineStr">
        <is>
          <t>MS-C36</t>
        </is>
      </c>
      <c r="L2229" s="9" t="n">
        <v>46323</v>
      </c>
      <c r="M2229" s="8" t="inlineStr">
        <is>
          <t>Approved</t>
        </is>
      </c>
      <c r="N2229" s="8" t="inlineStr">
        <is>
          <t>list_item</t>
        </is>
      </c>
    </row>
    <row r="2230" ht="54" customHeight="1">
      <c r="A2230" s="4" t="inlineStr">
        <is>
          <t>C36-P0011</t>
        </is>
      </c>
      <c r="B2230" s="4" t="inlineStr">
        <is>
          <t>C36</t>
        </is>
      </c>
      <c r="C2230" s="4" t="inlineStr">
        <is>
          <t>AICTE-INAE Travel Grant Scheme For Engineering Students From AICTE Approved Engineering College/Institution</t>
        </is>
      </c>
      <c r="D2230" s="4" t="inlineStr">
        <is>
          <t>Eligibility</t>
        </is>
      </c>
      <c r="E2230" s="4" t="inlineStr"/>
      <c r="F2230" s="4" t="inlineStr">
        <is>
          <t>en.eligibilityCriteria.eligibilityDescription[2]</t>
        </is>
      </c>
      <c r="G2230" s="4" t="inlineStr">
        <is>
          <t>C36@20261028-c9ddf1f8</t>
        </is>
      </c>
      <c r="H2230" s="4" t="n">
        <v>1</v>
      </c>
      <c r="I2230" s="4" t="n">
        <v>1</v>
      </c>
      <c r="J2230" s="4" t="inlineStr">
        <is>
          <t>NOTE: A student is eligible only once during the course of his/her study for finance al support under the subject scheme.</t>
        </is>
      </c>
      <c r="K2230" s="4" t="inlineStr">
        <is>
          <t>MS-C36</t>
        </is>
      </c>
      <c r="L2230" s="6" t="n">
        <v>46323</v>
      </c>
      <c r="M2230" s="4" t="inlineStr">
        <is>
          <t>Approved</t>
        </is>
      </c>
      <c r="N2230" s="4" t="inlineStr">
        <is>
          <t>paragraph</t>
        </is>
      </c>
    </row>
    <row r="2231" ht="54" customHeight="1">
      <c r="A2231" s="8" t="inlineStr">
        <is>
          <t>C36-P0012</t>
        </is>
      </c>
      <c r="B2231" s="8" t="inlineStr">
        <is>
          <t>C36</t>
        </is>
      </c>
      <c r="C2231" s="8" t="inlineStr">
        <is>
          <t>AICTE-INAE Travel Grant Scheme For Engineering Students From AICTE Approved Engineering College/Institution</t>
        </is>
      </c>
      <c r="D2231" s="8" t="inlineStr">
        <is>
          <t>Applicant documents</t>
        </is>
      </c>
      <c r="E2231" s="8" t="inlineStr"/>
      <c r="F2231" s="8" t="inlineStr">
        <is>
          <t>documents.en.documents_required[0].children[0]</t>
        </is>
      </c>
      <c r="G2231" s="8" t="inlineStr">
        <is>
          <t>C36@20261028-c9ddf1f8</t>
        </is>
      </c>
      <c r="H2231" s="8" t="n">
        <v>1</v>
      </c>
      <c r="I2231" s="8" t="n">
        <v>1</v>
      </c>
      <c r="J2231" s="8" t="inlineStr">
        <is>
          <t>Curriculum Vitae containing the Date of Birth and Age, Awards, Scholarships, Educational Qualification, Research Experience, and List of Publications.</t>
        </is>
      </c>
      <c r="K2231" s="8" t="inlineStr">
        <is>
          <t>MS-C36</t>
        </is>
      </c>
      <c r="L2231" s="9" t="n">
        <v>46323</v>
      </c>
      <c r="M2231" s="8" t="inlineStr">
        <is>
          <t>Approved</t>
        </is>
      </c>
      <c r="N2231" s="8" t="inlineStr">
        <is>
          <t>list_item</t>
        </is>
      </c>
    </row>
    <row r="2232" ht="54" customHeight="1">
      <c r="A2232" s="4" t="inlineStr">
        <is>
          <t>C36-P0013</t>
        </is>
      </c>
      <c r="B2232" s="4" t="inlineStr">
        <is>
          <t>C36</t>
        </is>
      </c>
      <c r="C2232" s="4" t="inlineStr">
        <is>
          <t>AICTE-INAE Travel Grant Scheme For Engineering Students From AICTE Approved Engineering College/Institution</t>
        </is>
      </c>
      <c r="D2232" s="4" t="inlineStr">
        <is>
          <t>Applicant documents</t>
        </is>
      </c>
      <c r="E2232" s="4" t="inlineStr"/>
      <c r="F2232" s="4" t="inlineStr">
        <is>
          <t>documents.en.documents_required[0].children[1]</t>
        </is>
      </c>
      <c r="G2232" s="4" t="inlineStr">
        <is>
          <t>C36@20261028-c9ddf1f8</t>
        </is>
      </c>
      <c r="H2232" s="4" t="n">
        <v>1</v>
      </c>
      <c r="I2232" s="4" t="n">
        <v>1</v>
      </c>
      <c r="J2232" s="4" t="inlineStr">
        <is>
          <t>Passport Size Photograph.</t>
        </is>
      </c>
      <c r="K2232" s="4" t="inlineStr">
        <is>
          <t>MS-C36</t>
        </is>
      </c>
      <c r="L2232" s="6" t="n">
        <v>46323</v>
      </c>
      <c r="M2232" s="4" t="inlineStr">
        <is>
          <t>Approved</t>
        </is>
      </c>
      <c r="N2232" s="4" t="inlineStr">
        <is>
          <t>list_item</t>
        </is>
      </c>
    </row>
    <row r="2233" ht="54" customHeight="1">
      <c r="A2233" s="8" t="inlineStr">
        <is>
          <t>C36-P0014</t>
        </is>
      </c>
      <c r="B2233" s="8" t="inlineStr">
        <is>
          <t>C36</t>
        </is>
      </c>
      <c r="C2233" s="8" t="inlineStr">
        <is>
          <t>AICTE-INAE Travel Grant Scheme For Engineering Students From AICTE Approved Engineering College/Institution</t>
        </is>
      </c>
      <c r="D2233" s="8" t="inlineStr">
        <is>
          <t>Applicant documents</t>
        </is>
      </c>
      <c r="E2233" s="8" t="inlineStr"/>
      <c r="F2233" s="8" t="inlineStr">
        <is>
          <t>documents.en.documents_required[0].children[2]</t>
        </is>
      </c>
      <c r="G2233" s="8" t="inlineStr">
        <is>
          <t>C36@20261028-c9ddf1f8</t>
        </is>
      </c>
      <c r="H2233" s="8" t="n">
        <v>1</v>
      </c>
      <c r="I2233" s="8" t="n">
        <v>1</v>
      </c>
      <c r="J2233" s="8" t="inlineStr">
        <is>
          <t>A copy of the Letter of Acceptance from the organizers of the event.</t>
        </is>
      </c>
      <c r="K2233" s="8" t="inlineStr">
        <is>
          <t>MS-C36</t>
        </is>
      </c>
      <c r="L2233" s="9" t="n">
        <v>46323</v>
      </c>
      <c r="M2233" s="8" t="inlineStr">
        <is>
          <t>Approved</t>
        </is>
      </c>
      <c r="N2233" s="8" t="inlineStr">
        <is>
          <t>list_item</t>
        </is>
      </c>
    </row>
    <row r="2234" ht="54" customHeight="1">
      <c r="A2234" s="4" t="inlineStr">
        <is>
          <t>C36-P0015</t>
        </is>
      </c>
      <c r="B2234" s="4" t="inlineStr">
        <is>
          <t>C36</t>
        </is>
      </c>
      <c r="C2234" s="4" t="inlineStr">
        <is>
          <t>AICTE-INAE Travel Grant Scheme For Engineering Students From AICTE Approved Engineering College/Institution</t>
        </is>
      </c>
      <c r="D2234" s="4" t="inlineStr">
        <is>
          <t>Applicant documents</t>
        </is>
      </c>
      <c r="E2234" s="4" t="inlineStr"/>
      <c r="F2234" s="4" t="inlineStr">
        <is>
          <t>documents.en.documents_required[0].children[3]</t>
        </is>
      </c>
      <c r="G2234" s="4" t="inlineStr">
        <is>
          <t>C36@20261028-c9ddf1f8</t>
        </is>
      </c>
      <c r="H2234" s="4" t="n">
        <v>1</v>
      </c>
      <c r="I2234" s="4" t="n">
        <v>1</v>
      </c>
      <c r="J2234" s="4" t="inlineStr">
        <is>
          <t>Abstract/Full text of paperas submitted for the event.</t>
        </is>
      </c>
      <c r="K2234" s="4" t="inlineStr">
        <is>
          <t>MS-C36</t>
        </is>
      </c>
      <c r="L2234" s="6" t="n">
        <v>46323</v>
      </c>
      <c r="M2234" s="4" t="inlineStr">
        <is>
          <t>Approved</t>
        </is>
      </c>
      <c r="N2234" s="4" t="inlineStr">
        <is>
          <t>list_item</t>
        </is>
      </c>
    </row>
    <row r="2235" ht="54" customHeight="1">
      <c r="A2235" s="8" t="inlineStr">
        <is>
          <t>C36-P0016</t>
        </is>
      </c>
      <c r="B2235" s="8" t="inlineStr">
        <is>
          <t>C36</t>
        </is>
      </c>
      <c r="C2235" s="8" t="inlineStr">
        <is>
          <t>AICTE-INAE Travel Grant Scheme For Engineering Students From AICTE Approved Engineering College/Institution</t>
        </is>
      </c>
      <c r="D2235" s="8" t="inlineStr">
        <is>
          <t>Applicant documents</t>
        </is>
      </c>
      <c r="E2235" s="8" t="inlineStr"/>
      <c r="F2235" s="8" t="inlineStr">
        <is>
          <t>documents.en.documents_required[0].children[4]</t>
        </is>
      </c>
      <c r="G2235" s="8" t="inlineStr">
        <is>
          <t>C36@20261028-c9ddf1f8</t>
        </is>
      </c>
      <c r="H2235" s="8" t="n">
        <v>1</v>
      </c>
      <c r="I2235" s="8" t="n">
        <v>1</v>
      </c>
      <c r="J2235" s="8" t="inlineStr">
        <is>
          <t>A brief on the Project Impact of the paper presented.</t>
        </is>
      </c>
      <c r="K2235" s="8" t="inlineStr">
        <is>
          <t>MS-C36</t>
        </is>
      </c>
      <c r="L2235" s="9" t="n">
        <v>46323</v>
      </c>
      <c r="M2235" s="8" t="inlineStr">
        <is>
          <t>Approved</t>
        </is>
      </c>
      <c r="N2235" s="8" t="inlineStr">
        <is>
          <t>list_item</t>
        </is>
      </c>
    </row>
    <row r="2236" ht="54" customHeight="1">
      <c r="A2236" s="4" t="inlineStr">
        <is>
          <t>C36-P0017</t>
        </is>
      </c>
      <c r="B2236" s="4" t="inlineStr">
        <is>
          <t>C36</t>
        </is>
      </c>
      <c r="C2236" s="4" t="inlineStr">
        <is>
          <t>AICTE-INAE Travel Grant Scheme For Engineering Students From AICTE Approved Engineering College/Institution</t>
        </is>
      </c>
      <c r="D2236" s="4" t="inlineStr">
        <is>
          <t>Applicant documents</t>
        </is>
      </c>
      <c r="E2236" s="4" t="inlineStr"/>
      <c r="F2236" s="4" t="inlineStr">
        <is>
          <t>documents.en.documents_required[0].children[5]</t>
        </is>
      </c>
      <c r="G2236" s="4" t="inlineStr">
        <is>
          <t>C36@20261028-c9ddf1f8</t>
        </is>
      </c>
      <c r="H2236" s="4" t="n">
        <v>1</v>
      </c>
      <c r="I2236" s="4" t="n">
        <v>1</v>
      </c>
      <c r="J2236" s="4" t="inlineStr">
        <is>
          <t>A brief on Expected Outcome from the paper presented.</t>
        </is>
      </c>
      <c r="K2236" s="4" t="inlineStr">
        <is>
          <t>MS-C36</t>
        </is>
      </c>
      <c r="L2236" s="6" t="n">
        <v>46323</v>
      </c>
      <c r="M2236" s="4" t="inlineStr">
        <is>
          <t>Approved</t>
        </is>
      </c>
      <c r="N2236" s="4" t="inlineStr">
        <is>
          <t>list_item</t>
        </is>
      </c>
    </row>
    <row r="2237" ht="54" customHeight="1">
      <c r="A2237" s="8" t="inlineStr">
        <is>
          <t>C36-P0018</t>
        </is>
      </c>
      <c r="B2237" s="8" t="inlineStr">
        <is>
          <t>C36</t>
        </is>
      </c>
      <c r="C2237" s="8" t="inlineStr">
        <is>
          <t>AICTE-INAE Travel Grant Scheme For Engineering Students From AICTE Approved Engineering College/Institution</t>
        </is>
      </c>
      <c r="D2237" s="8" t="inlineStr">
        <is>
          <t>Applicant documents</t>
        </is>
      </c>
      <c r="E2237" s="8" t="inlineStr"/>
      <c r="F2237" s="8" t="inlineStr">
        <is>
          <t>documents.en.documents_required[0].children[6]</t>
        </is>
      </c>
      <c r="G2237" s="8" t="inlineStr">
        <is>
          <t>C36@20261028-c9ddf1f8</t>
        </is>
      </c>
      <c r="H2237" s="8" t="n">
        <v>1</v>
      </c>
      <c r="I2237" s="8" t="n">
        <v>1</v>
      </c>
      <c r="J2237" s="8" t="inlineStr">
        <is>
          <t>A scanned copy of the Certificate by the student.</t>
        </is>
      </c>
      <c r="K2237" s="8" t="inlineStr">
        <is>
          <t>MS-C36</t>
        </is>
      </c>
      <c r="L2237" s="9" t="n">
        <v>46323</v>
      </c>
      <c r="M2237" s="8" t="inlineStr">
        <is>
          <t>Approved</t>
        </is>
      </c>
      <c r="N2237" s="8" t="inlineStr">
        <is>
          <t>list_item</t>
        </is>
      </c>
    </row>
    <row r="2238" ht="54" customHeight="1">
      <c r="A2238" s="4" t="inlineStr">
        <is>
          <t>C36-P0019</t>
        </is>
      </c>
      <c r="B2238" s="4" t="inlineStr">
        <is>
          <t>C36</t>
        </is>
      </c>
      <c r="C2238" s="4" t="inlineStr">
        <is>
          <t>AICTE-INAE Travel Grant Scheme For Engineering Students From AICTE Approved Engineering College/Institution</t>
        </is>
      </c>
      <c r="D2238" s="4" t="inlineStr">
        <is>
          <t>Applicant documents</t>
        </is>
      </c>
      <c r="E2238" s="4" t="inlineStr"/>
      <c r="F2238" s="4" t="inlineStr">
        <is>
          <t>documents.en.documents_required[0].children[7]</t>
        </is>
      </c>
      <c r="G2238" s="4" t="inlineStr">
        <is>
          <t>C36@20261028-c9ddf1f8</t>
        </is>
      </c>
      <c r="H2238" s="4" t="n">
        <v>1</v>
      </c>
      <c r="I2238" s="4" t="n">
        <v>1</v>
      </c>
      <c r="J2238" s="4" t="inlineStr">
        <is>
          <t>A scanned copy of the Endorsement by the Head of the Institution.</t>
        </is>
      </c>
      <c r="K2238" s="4" t="inlineStr">
        <is>
          <t>MS-C36</t>
        </is>
      </c>
      <c r="L2238" s="6" t="n">
        <v>46323</v>
      </c>
      <c r="M2238" s="4" t="inlineStr">
        <is>
          <t>Approved</t>
        </is>
      </c>
      <c r="N2238" s="4" t="inlineStr">
        <is>
          <t>list_item</t>
        </is>
      </c>
    </row>
    <row r="2239" ht="54" customHeight="1">
      <c r="A2239" s="8" t="inlineStr">
        <is>
          <t>C36-P0020</t>
        </is>
      </c>
      <c r="B2239" s="8" t="inlineStr">
        <is>
          <t>C36</t>
        </is>
      </c>
      <c r="C2239" s="8" t="inlineStr">
        <is>
          <t>AICTE-INAE Travel Grant Scheme For Engineering Students From AICTE Approved Engineering College/Institution</t>
        </is>
      </c>
      <c r="D2239" s="8" t="inlineStr">
        <is>
          <t>Application process</t>
        </is>
      </c>
      <c r="E2239" s="8" t="inlineStr"/>
      <c r="F2239" s="8" t="inlineStr">
        <is>
          <t>en.applicationProcess[0].process[0].children[0]</t>
        </is>
      </c>
      <c r="G2239" s="8" t="inlineStr">
        <is>
          <t>C36@20261028-c9ddf1f8</t>
        </is>
      </c>
      <c r="H2239" s="8" t="n">
        <v>1</v>
      </c>
      <c r="I2239" s="8" t="n">
        <v>1</v>
      </c>
      <c r="J2239" s="8" t="inlineStr">
        <is>
          <t>Procedure to Apply</t>
        </is>
      </c>
      <c r="K2239" s="8" t="inlineStr">
        <is>
          <t>MS-C36</t>
        </is>
      </c>
      <c r="L2239" s="9" t="n">
        <v>46323</v>
      </c>
      <c r="M2239" s="8" t="inlineStr">
        <is>
          <t>Approved</t>
        </is>
      </c>
      <c r="N2239" s="8" t="inlineStr">
        <is>
          <t>text</t>
        </is>
      </c>
    </row>
    <row r="2240" ht="54" customHeight="1">
      <c r="A2240" s="4" t="inlineStr">
        <is>
          <t>C36-P0021</t>
        </is>
      </c>
      <c r="B2240" s="4" t="inlineStr">
        <is>
          <t>C36</t>
        </is>
      </c>
      <c r="C2240" s="4" t="inlineStr">
        <is>
          <t>AICTE-INAE Travel Grant Scheme For Engineering Students From AICTE Approved Engineering College/Institution</t>
        </is>
      </c>
      <c r="D2240" s="4" t="inlineStr">
        <is>
          <t>Application process</t>
        </is>
      </c>
      <c r="E2240" s="4" t="inlineStr"/>
      <c r="F2240" s="4" t="inlineStr">
        <is>
          <t>en.applicationProcess[0].process[2]</t>
        </is>
      </c>
      <c r="G2240" s="4" t="inlineStr">
        <is>
          <t>C36@20261028-c9ddf1f8</t>
        </is>
      </c>
      <c r="H2240" s="4" t="n">
        <v>1</v>
      </c>
      <c r="I2240" s="4" t="n">
        <v>1</v>
      </c>
      <c r="J2240" s="4" t="inlineStr">
        <is>
          <t>The application should be sent at least eight weeks prior to the date of presentation of the research paper through email at inaehq@inae.in and hard copy as well at the following address:</t>
        </is>
      </c>
      <c r="K2240" s="4" t="inlineStr">
        <is>
          <t>MS-C36</t>
        </is>
      </c>
      <c r="L2240" s="6" t="n">
        <v>46323</v>
      </c>
      <c r="M2240" s="4" t="inlineStr">
        <is>
          <t>Approved</t>
        </is>
      </c>
      <c r="N2240" s="4" t="inlineStr">
        <is>
          <t>paragraph</t>
        </is>
      </c>
    </row>
    <row r="2241" ht="54" customHeight="1">
      <c r="A2241" s="8" t="inlineStr">
        <is>
          <t>C36-P0022</t>
        </is>
      </c>
      <c r="B2241" s="8" t="inlineStr">
        <is>
          <t>C36</t>
        </is>
      </c>
      <c r="C2241" s="8" t="inlineStr">
        <is>
          <t>AICTE-INAE Travel Grant Scheme For Engineering Students From AICTE Approved Engineering College/Institution</t>
        </is>
      </c>
      <c r="D2241" s="8" t="inlineStr">
        <is>
          <t>Application process</t>
        </is>
      </c>
      <c r="E2241" s="8" t="inlineStr"/>
      <c r="F2241" s="8" t="inlineStr">
        <is>
          <t>en.applicationProcess[0].process[3]</t>
        </is>
      </c>
      <c r="G2241" s="8" t="inlineStr">
        <is>
          <t>C36@20261028-c9ddf1f8</t>
        </is>
      </c>
      <c r="H2241" s="8" t="n">
        <v>1</v>
      </c>
      <c r="I2241" s="8" t="n">
        <v>1</v>
      </c>
      <c r="J2241" s="8" t="inlineStr">
        <is>
          <t>Executive Director Indian National Academy of Engineering (INAE) Unit No 604-609</t>
        </is>
      </c>
      <c r="K2241" s="8" t="inlineStr">
        <is>
          <t>MS-C36</t>
        </is>
      </c>
      <c r="L2241" s="9" t="n">
        <v>46323</v>
      </c>
      <c r="M2241" s="8" t="inlineStr">
        <is>
          <t>Approved</t>
        </is>
      </c>
      <c r="N2241" s="8" t="inlineStr">
        <is>
          <t>paragraph</t>
        </is>
      </c>
    </row>
    <row r="2242" ht="54" customHeight="1">
      <c r="A2242" s="4" t="inlineStr">
        <is>
          <t>C36-P0023</t>
        </is>
      </c>
      <c r="B2242" s="4" t="inlineStr">
        <is>
          <t>C36</t>
        </is>
      </c>
      <c r="C2242" s="4" t="inlineStr">
        <is>
          <t>AICTE-INAE Travel Grant Scheme For Engineering Students From AICTE Approved Engineering College/Institution</t>
        </is>
      </c>
      <c r="D2242" s="4" t="inlineStr">
        <is>
          <t>Application process</t>
        </is>
      </c>
      <c r="E2242" s="4" t="inlineStr"/>
      <c r="F2242" s="4" t="inlineStr">
        <is>
          <t>en.applicationProcess[0].process[4]</t>
        </is>
      </c>
      <c r="G2242" s="4" t="inlineStr">
        <is>
          <t>C36@20261028-c9ddf1f8</t>
        </is>
      </c>
      <c r="H2242" s="4" t="n">
        <v>1</v>
      </c>
      <c r="I2242" s="4" t="n">
        <v>1</v>
      </c>
      <c r="J2242" s="4" t="inlineStr">
        <is>
          <t>6th Floor, Tower A, SPAZE I-Tech Park, Sector-49, Sohna Road, Gurgaon - 122 018</t>
        </is>
      </c>
      <c r="K2242" s="4" t="inlineStr">
        <is>
          <t>MS-C36</t>
        </is>
      </c>
      <c r="L2242" s="6" t="n">
        <v>46323</v>
      </c>
      <c r="M2242" s="4" t="inlineStr">
        <is>
          <t>Approved</t>
        </is>
      </c>
      <c r="N2242" s="4" t="inlineStr">
        <is>
          <t>paragraph</t>
        </is>
      </c>
    </row>
    <row r="2243" ht="54" customHeight="1">
      <c r="A2243" s="8" t="inlineStr">
        <is>
          <t>C36-P0024</t>
        </is>
      </c>
      <c r="B2243" s="8" t="inlineStr">
        <is>
          <t>C36</t>
        </is>
      </c>
      <c r="C2243" s="8" t="inlineStr">
        <is>
          <t>AICTE-INAE Travel Grant Scheme For Engineering Students From AICTE Approved Engineering College/Institution</t>
        </is>
      </c>
      <c r="D2243" s="8" t="inlineStr">
        <is>
          <t>Application process</t>
        </is>
      </c>
      <c r="E2243" s="8" t="inlineStr"/>
      <c r="F2243" s="8" t="inlineStr">
        <is>
          <t>en.applicationProcess[0].process[5]</t>
        </is>
      </c>
      <c r="G2243" s="8" t="inlineStr">
        <is>
          <t>C36@20261028-c9ddf1f8</t>
        </is>
      </c>
      <c r="H2243" s="8" t="n">
        <v>1</v>
      </c>
      <c r="I2243" s="8" t="n">
        <v>1</v>
      </c>
      <c r="J2243" s="8" t="inlineStr">
        <is>
          <t>Phone: 0124-4239480 Fax: 0124-4239481</t>
        </is>
      </c>
      <c r="K2243" s="8" t="inlineStr">
        <is>
          <t>MS-C36</t>
        </is>
      </c>
      <c r="L2243" s="9" t="n">
        <v>46323</v>
      </c>
      <c r="M2243" s="8" t="inlineStr">
        <is>
          <t>Approved</t>
        </is>
      </c>
      <c r="N2243" s="8" t="inlineStr">
        <is>
          <t>paragraph</t>
        </is>
      </c>
    </row>
    <row r="2244" ht="54" customHeight="1">
      <c r="A2244" s="4" t="inlineStr">
        <is>
          <t>C36-P0025</t>
        </is>
      </c>
      <c r="B2244" s="4" t="inlineStr">
        <is>
          <t>C36</t>
        </is>
      </c>
      <c r="C2244" s="4" t="inlineStr">
        <is>
          <t>AICTE-INAE Travel Grant Scheme For Engineering Students From AICTE Approved Engineering College/Institution</t>
        </is>
      </c>
      <c r="D2244" s="4" t="inlineStr">
        <is>
          <t>Application process</t>
        </is>
      </c>
      <c r="E2244" s="4" t="inlineStr"/>
      <c r="F2244" s="4" t="inlineStr">
        <is>
          <t>en.applicationProcess[0].process[6]</t>
        </is>
      </c>
      <c r="G2244" s="4" t="inlineStr">
        <is>
          <t>C36@20261028-c9ddf1f8</t>
        </is>
      </c>
      <c r="H2244" s="4" t="n">
        <v>1</v>
      </c>
      <c r="I2244" s="4" t="n">
        <v>1</v>
      </c>
      <c r="J2244" s="4" t="inlineStr">
        <is>
          <t>Website: www.inae.in</t>
        </is>
      </c>
      <c r="K2244" s="4" t="inlineStr">
        <is>
          <t>MS-C36</t>
        </is>
      </c>
      <c r="L2244" s="6" t="n">
        <v>46323</v>
      </c>
      <c r="M2244" s="4" t="inlineStr">
        <is>
          <t>Approved</t>
        </is>
      </c>
      <c r="N2244" s="4" t="inlineStr">
        <is>
          <t>paragraph</t>
        </is>
      </c>
    </row>
    <row r="2245" ht="166" customHeight="1">
      <c r="A2245" s="8" t="inlineStr">
        <is>
          <t>C36-P0026</t>
        </is>
      </c>
      <c r="B2245" s="8" t="inlineStr">
        <is>
          <t>C36</t>
        </is>
      </c>
      <c r="C2245" s="8" t="inlineStr">
        <is>
          <t>AICTE-INAE Travel Grant Scheme For Engineering Students From AICTE Approved Engineering College/Institution</t>
        </is>
      </c>
      <c r="D2245" s="8" t="inlineStr">
        <is>
          <t>FAQ</t>
        </is>
      </c>
      <c r="E2245" s="8" t="inlineStr"/>
      <c r="F2245" s="8" t="inlineStr">
        <is>
          <t>faqs.en.faqs[0]</t>
        </is>
      </c>
      <c r="G2245" s="8" t="inlineStr">
        <is>
          <t>C36@20261028-c9ddf1f8</t>
        </is>
      </c>
      <c r="H2245" s="8" t="n">
        <v>1</v>
      </c>
      <c r="I2245" s="8" t="n">
        <v>1</v>
      </c>
      <c r="J2245" s="8" t="inlineStr">
        <is>
          <t>What are the required documents to apply for this scheme?
Curriculum Vitae containing the Date of Birth and Age, Awards, Scholarships, Educational Qualification, Research Experience and List of Publications.
Passport Size Photograph.
A copy of Letter of Acceptance from the organizers of the event.
Abstract/Full text of paperas submitted for the event.
A brief on Project Impact of the paper presented.
A brief on Expected Outcome from the paper presented.
A scanned copy of Certificate by the student.
A scanned copy of Endorsement by the Head of the Institution.</t>
        </is>
      </c>
      <c r="K2245" s="8" t="inlineStr">
        <is>
          <t>MS-C36</t>
        </is>
      </c>
      <c r="L2245" s="9" t="n">
        <v>46323</v>
      </c>
      <c r="M2245" s="8" t="inlineStr">
        <is>
          <t>Approved</t>
        </is>
      </c>
      <c r="N2245" s="8" t="inlineStr">
        <is>
          <t>faq</t>
        </is>
      </c>
    </row>
    <row r="2246" ht="54" customHeight="1">
      <c r="A2246" s="4" t="inlineStr">
        <is>
          <t>C36-P0027</t>
        </is>
      </c>
      <c r="B2246" s="4" t="inlineStr">
        <is>
          <t>C36</t>
        </is>
      </c>
      <c r="C2246" s="4" t="inlineStr">
        <is>
          <t>AICTE-INAE Travel Grant Scheme For Engineering Students From AICTE Approved Engineering College/Institution</t>
        </is>
      </c>
      <c r="D2246" s="4" t="inlineStr">
        <is>
          <t>FAQ</t>
        </is>
      </c>
      <c r="E2246" s="4" t="inlineStr"/>
      <c r="F2246" s="4" t="inlineStr">
        <is>
          <t>faqs.en.faqs[1]</t>
        </is>
      </c>
      <c r="G2246" s="4" t="inlineStr">
        <is>
          <t>C36@20261028-c9ddf1f8</t>
        </is>
      </c>
      <c r="H2246" s="4" t="n">
        <v>1</v>
      </c>
      <c r="I2246" s="4" t="n">
        <v>1</v>
      </c>
      <c r="J2246" s="4" t="inlineStr">
        <is>
          <t>Is there any age criteria to apply tot this scheme?
No,there is no age criteria for this scheme.</t>
        </is>
      </c>
      <c r="K2246" s="4" t="inlineStr">
        <is>
          <t>MS-C36</t>
        </is>
      </c>
      <c r="L2246" s="6" t="n">
        <v>46323</v>
      </c>
      <c r="M2246" s="4" t="inlineStr">
        <is>
          <t>Approved</t>
        </is>
      </c>
      <c r="N2246" s="4" t="inlineStr">
        <is>
          <t>faq</t>
        </is>
      </c>
    </row>
    <row r="2247" ht="96" customHeight="1">
      <c r="A2247" s="8" t="inlineStr">
        <is>
          <t>C36-P0028</t>
        </is>
      </c>
      <c r="B2247" s="8" t="inlineStr">
        <is>
          <t>C36</t>
        </is>
      </c>
      <c r="C2247" s="8" t="inlineStr">
        <is>
          <t>AICTE-INAE Travel Grant Scheme For Engineering Students From AICTE Approved Engineering College/Institution</t>
        </is>
      </c>
      <c r="D2247" s="8" t="inlineStr">
        <is>
          <t>FAQ</t>
        </is>
      </c>
      <c r="E2247" s="8" t="inlineStr"/>
      <c r="F2247" s="8" t="inlineStr">
        <is>
          <t>faqs.en.faqs[2]</t>
        </is>
      </c>
      <c r="G2247" s="8" t="inlineStr">
        <is>
          <t>C36@20261028-c9ddf1f8</t>
        </is>
      </c>
      <c r="H2247" s="8" t="n">
        <v>1</v>
      </c>
      <c r="I2247" s="8" t="n">
        <v>1</v>
      </c>
      <c r="J2247" s="8" t="inlineStr">
        <is>
          <t>What should be the minimum educational Qualification of the applicant in order to be eligible to apply to this scheme?
The applicant must EITHER be a Pre-final/final year student of B.E./B.Tech, OR Integrated M.Tech and first/second-year student of M.E./M. Tech, OR Students pursuing MS Research, M.Sc. in Engineering, dual degree B.Tech and M.Tech or any degree with a minimum of 4 years of engineering studies.</t>
        </is>
      </c>
      <c r="K2247" s="8" t="inlineStr">
        <is>
          <t>MS-C36</t>
        </is>
      </c>
      <c r="L2247" s="9" t="n">
        <v>46323</v>
      </c>
      <c r="M2247" s="8" t="inlineStr">
        <is>
          <t>Approved</t>
        </is>
      </c>
      <c r="N2247" s="8" t="inlineStr">
        <is>
          <t>faq</t>
        </is>
      </c>
    </row>
    <row r="2248" ht="54" customHeight="1">
      <c r="A2248" s="4" t="inlineStr">
        <is>
          <t>C36-P0029</t>
        </is>
      </c>
      <c r="B2248" s="4" t="inlineStr">
        <is>
          <t>C36</t>
        </is>
      </c>
      <c r="C2248" s="4" t="inlineStr">
        <is>
          <t>AICTE-INAE Travel Grant Scheme For Engineering Students From AICTE Approved Engineering College/Institution</t>
        </is>
      </c>
      <c r="D2248" s="4" t="inlineStr">
        <is>
          <t>FAQ</t>
        </is>
      </c>
      <c r="E2248" s="4" t="inlineStr"/>
      <c r="F2248" s="4" t="inlineStr">
        <is>
          <t>faqs.en.faqs[3]</t>
        </is>
      </c>
      <c r="G2248" s="4" t="inlineStr">
        <is>
          <t>C36@20261028-c9ddf1f8</t>
        </is>
      </c>
      <c r="H2248" s="4" t="n">
        <v>1</v>
      </c>
      <c r="I2248" s="4" t="n">
        <v>1</v>
      </c>
      <c r="J2248" s="4" t="inlineStr">
        <is>
          <t>What is the full form of INAE?
INAE stands for "Indian National Academy of Engineering".</t>
        </is>
      </c>
      <c r="K2248" s="4" t="inlineStr">
        <is>
          <t>MS-C36</t>
        </is>
      </c>
      <c r="L2248" s="6" t="n">
        <v>46323</v>
      </c>
      <c r="M2248" s="4" t="inlineStr">
        <is>
          <t>Approved</t>
        </is>
      </c>
      <c r="N2248" s="4" t="inlineStr">
        <is>
          <t>faq</t>
        </is>
      </c>
    </row>
    <row r="2249" ht="54" customHeight="1">
      <c r="A2249" s="8" t="inlineStr">
        <is>
          <t>C36-P0030</t>
        </is>
      </c>
      <c r="B2249" s="8" t="inlineStr">
        <is>
          <t>C36</t>
        </is>
      </c>
      <c r="C2249" s="8" t="inlineStr">
        <is>
          <t>AICTE-INAE Travel Grant Scheme For Engineering Students From AICTE Approved Engineering College/Institution</t>
        </is>
      </c>
      <c r="D2249" s="8" t="inlineStr">
        <is>
          <t>FAQ</t>
        </is>
      </c>
      <c r="E2249" s="8" t="inlineStr"/>
      <c r="F2249" s="8" t="inlineStr">
        <is>
          <t>faqs.en.faqs[4]</t>
        </is>
      </c>
      <c r="G2249" s="8" t="inlineStr">
        <is>
          <t>C36@20261028-c9ddf1f8</t>
        </is>
      </c>
      <c r="H2249" s="8" t="n">
        <v>1</v>
      </c>
      <c r="I2249" s="8" t="n">
        <v>1</v>
      </c>
      <c r="J2249" s="8" t="inlineStr">
        <is>
          <t>Do I need to have a Letter Of Acceptance to apply?
Yes, The student should have a letter of acceptance for presenting a research paper which has been accepted in a conference/serninar/symposiurn/workshop/exhibition abroad.</t>
        </is>
      </c>
      <c r="K2249" s="8" t="inlineStr">
        <is>
          <t>MS-C36</t>
        </is>
      </c>
      <c r="L2249" s="9" t="n">
        <v>46323</v>
      </c>
      <c r="M2249" s="8" t="inlineStr">
        <is>
          <t>Approved</t>
        </is>
      </c>
      <c r="N2249" s="8" t="inlineStr">
        <is>
          <t>faq</t>
        </is>
      </c>
    </row>
    <row r="2250" ht="96" customHeight="1">
      <c r="A2250" s="4" t="inlineStr">
        <is>
          <t>C37-P0001</t>
        </is>
      </c>
      <c r="B2250" s="4" t="inlineStr">
        <is>
          <t>C37</t>
        </is>
      </c>
      <c r="C2250" s="4" t="inlineStr">
        <is>
          <t>Pilgrimage Rejuvenation and Spiritual Augmentation Drive (PRASHAD)</t>
        </is>
      </c>
      <c r="D2250" s="4" t="inlineStr">
        <is>
          <t>Details</t>
        </is>
      </c>
      <c r="E2250" s="4" t="inlineStr"/>
      <c r="F2250" s="4" t="inlineStr">
        <is>
          <t>en.schemeContent.detailedDescription[0]</t>
        </is>
      </c>
      <c r="G2250" s="4" t="inlineStr">
        <is>
          <t>C37@20261028-bd74d255</t>
        </is>
      </c>
      <c r="H2250" s="4" t="n">
        <v>1</v>
      </c>
      <c r="I2250" s="4" t="n">
        <v>1</v>
      </c>
      <c r="J2250" s="4" t="inlineStr">
        <is>
          <t>Launched in 2014–2015, the scheme "Pilgrimage Rejuvenation and Spiritual Augmentation Drive (PRASAD)" is a Central Sector Scheme by the Ministry of Tourism, Government of India. The scheme focuses on developing and identifying pilgrimage sites across India to enrich the religious tourism experience. It aims to integrate pilgrimage destinations in a prioritised, planned and sustainable manner to provide a complete religious tourism experience. The PRASAD scheme aims to pave the way for the development and promotion of religious tourism in India.</t>
        </is>
      </c>
      <c r="K2250" s="4" t="inlineStr">
        <is>
          <t>MS-C37</t>
        </is>
      </c>
      <c r="L2250" s="6" t="n">
        <v>46323</v>
      </c>
      <c r="M2250" s="4" t="inlineStr">
        <is>
          <t>Approved</t>
        </is>
      </c>
      <c r="N2250" s="4" t="inlineStr">
        <is>
          <t>paragraph</t>
        </is>
      </c>
    </row>
    <row r="2251" ht="40" customHeight="1">
      <c r="A2251" s="8" t="inlineStr">
        <is>
          <t>C37-P0002</t>
        </is>
      </c>
      <c r="B2251" s="8" t="inlineStr">
        <is>
          <t>C37</t>
        </is>
      </c>
      <c r="C2251" s="8" t="inlineStr">
        <is>
          <t>Pilgrimage Rejuvenation and Spiritual Augmentation Drive (PRASHAD)</t>
        </is>
      </c>
      <c r="D2251" s="8" t="inlineStr">
        <is>
          <t>Benefits</t>
        </is>
      </c>
      <c r="E2251" s="8" t="inlineStr"/>
      <c r="F2251" s="8" t="inlineStr">
        <is>
          <t>en.schemeContent.benefits[0]</t>
        </is>
      </c>
      <c r="G2251" s="8" t="inlineStr">
        <is>
          <t>C37@20261028-bd74d255</t>
        </is>
      </c>
      <c r="H2251" s="8" t="n">
        <v>1</v>
      </c>
      <c r="I2251" s="8" t="n">
        <v>1</v>
      </c>
      <c r="J2251" s="8" t="inlineStr">
        <is>
          <t>The scheme offers a range of benefits for its beneficiaries, which include local communities, tourists, and stakeholders involved in the tourism sector:</t>
        </is>
      </c>
      <c r="K2251" s="8" t="inlineStr">
        <is>
          <t>MS-C37</t>
        </is>
      </c>
      <c r="L2251" s="9" t="n">
        <v>46323</v>
      </c>
      <c r="M2251" s="8" t="inlineStr">
        <is>
          <t>Approved</t>
        </is>
      </c>
      <c r="N2251" s="8" t="inlineStr">
        <is>
          <t>paragraph</t>
        </is>
      </c>
    </row>
    <row r="2252" ht="40" customHeight="1">
      <c r="A2252" s="4" t="inlineStr">
        <is>
          <t>C37-P0003</t>
        </is>
      </c>
      <c r="B2252" s="4" t="inlineStr">
        <is>
          <t>C37</t>
        </is>
      </c>
      <c r="C2252" s="4" t="inlineStr">
        <is>
          <t>Pilgrimage Rejuvenation and Spiritual Augmentation Drive (PRASHAD)</t>
        </is>
      </c>
      <c r="D2252" s="4" t="inlineStr">
        <is>
          <t>Benefits</t>
        </is>
      </c>
      <c r="E2252" s="4" t="inlineStr"/>
      <c r="F2252" s="4" t="inlineStr">
        <is>
          <t>en.schemeContent.benefits[1].children[0]</t>
        </is>
      </c>
      <c r="G2252" s="4" t="inlineStr">
        <is>
          <t>C37@20261028-bd74d255</t>
        </is>
      </c>
      <c r="H2252" s="4" t="n">
        <v>1</v>
      </c>
      <c r="I2252" s="4" t="n">
        <v>1</v>
      </c>
      <c r="J2252" s="4" t="inlineStr">
        <is>
          <t>Improved Infrastructure</t>
        </is>
      </c>
      <c r="K2252" s="4" t="inlineStr">
        <is>
          <t>MS-C37</t>
        </is>
      </c>
      <c r="L2252" s="6" t="n">
        <v>46323</v>
      </c>
      <c r="M2252" s="4" t="inlineStr">
        <is>
          <t>Approved</t>
        </is>
      </c>
      <c r="N2252" s="4" t="inlineStr">
        <is>
          <t>text</t>
        </is>
      </c>
    </row>
    <row r="2253" ht="68" customHeight="1">
      <c r="A2253" s="8" t="inlineStr">
        <is>
          <t>C37-P0004</t>
        </is>
      </c>
      <c r="B2253" s="8" t="inlineStr">
        <is>
          <t>C37</t>
        </is>
      </c>
      <c r="C2253" s="8" t="inlineStr">
        <is>
          <t>Pilgrimage Rejuvenation and Spiritual Augmentation Drive (PRASHAD)</t>
        </is>
      </c>
      <c r="D2253" s="8" t="inlineStr">
        <is>
          <t>Benefits</t>
        </is>
      </c>
      <c r="E2253" s="8" t="inlineStr"/>
      <c r="F2253" s="8" t="inlineStr">
        <is>
          <t>en.schemeContent.benefits[2]</t>
        </is>
      </c>
      <c r="G2253" s="8" t="inlineStr">
        <is>
          <t>C37@20261028-bd74d255</t>
        </is>
      </c>
      <c r="H2253" s="8" t="n">
        <v>1</v>
      </c>
      <c r="I2253" s="8" t="n">
        <v>1</v>
      </c>
      <c r="J2253" s="8" t="inlineStr">
        <is>
          <t>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t>
        </is>
      </c>
      <c r="K2253" s="8" t="inlineStr">
        <is>
          <t>MS-C37</t>
        </is>
      </c>
      <c r="L2253" s="9" t="n">
        <v>46323</v>
      </c>
      <c r="M2253" s="8" t="inlineStr">
        <is>
          <t>Approved</t>
        </is>
      </c>
      <c r="N2253" s="8" t="inlineStr">
        <is>
          <t>paragraph</t>
        </is>
      </c>
    </row>
    <row r="2254" ht="40" customHeight="1">
      <c r="A2254" s="4" t="inlineStr">
        <is>
          <t>C37-P0005</t>
        </is>
      </c>
      <c r="B2254" s="4" t="inlineStr">
        <is>
          <t>C37</t>
        </is>
      </c>
      <c r="C2254" s="4" t="inlineStr">
        <is>
          <t>Pilgrimage Rejuvenation and Spiritual Augmentation Drive (PRASHAD)</t>
        </is>
      </c>
      <c r="D2254" s="4" t="inlineStr">
        <is>
          <t>Benefits</t>
        </is>
      </c>
      <c r="E2254" s="4" t="inlineStr"/>
      <c r="F2254" s="4" t="inlineStr">
        <is>
          <t>en.schemeContent.benefits[3].children[0]</t>
        </is>
      </c>
      <c r="G2254" s="4" t="inlineStr">
        <is>
          <t>C37@20261028-bd74d255</t>
        </is>
      </c>
      <c r="H2254" s="4" t="n">
        <v>1</v>
      </c>
      <c r="I2254" s="4" t="n">
        <v>1</v>
      </c>
      <c r="J2254" s="4" t="inlineStr">
        <is>
          <t>Employment Opportunities</t>
        </is>
      </c>
      <c r="K2254" s="4" t="inlineStr">
        <is>
          <t>MS-C37</t>
        </is>
      </c>
      <c r="L2254" s="6" t="n">
        <v>46323</v>
      </c>
      <c r="M2254" s="4" t="inlineStr">
        <is>
          <t>Approved</t>
        </is>
      </c>
      <c r="N2254" s="4" t="inlineStr">
        <is>
          <t>text</t>
        </is>
      </c>
    </row>
    <row r="2255" ht="68" customHeight="1">
      <c r="A2255" s="8" t="inlineStr">
        <is>
          <t>C37-P0006</t>
        </is>
      </c>
      <c r="B2255" s="8" t="inlineStr">
        <is>
          <t>C37</t>
        </is>
      </c>
      <c r="C2255" s="8" t="inlineStr">
        <is>
          <t>Pilgrimage Rejuvenation and Spiritual Augmentation Drive (PRASHAD)</t>
        </is>
      </c>
      <c r="D2255" s="8" t="inlineStr">
        <is>
          <t>Benefits</t>
        </is>
      </c>
      <c r="E2255" s="8" t="inlineStr"/>
      <c r="F2255" s="8" t="inlineStr">
        <is>
          <t>en.schemeContent.benefits[4]</t>
        </is>
      </c>
      <c r="G2255" s="8" t="inlineStr">
        <is>
          <t>C37@20261028-bd74d255</t>
        </is>
      </c>
      <c r="H2255" s="8" t="n">
        <v>1</v>
      </c>
      <c r="I2255" s="8" t="n">
        <v>1</v>
      </c>
      <c r="J2255" s="8" t="inlineStr">
        <is>
          <t>The development of tourism infrastructure and services under the Prashad Scheme creates job opportunities for local residents. These jobs span various sectors, including hospitality, tour guiding, transportation, handicrafts, and retail, providing a source of livelihood and economic empowerment for communities.</t>
        </is>
      </c>
      <c r="K2255" s="8" t="inlineStr">
        <is>
          <t>MS-C37</t>
        </is>
      </c>
      <c r="L2255" s="9" t="n">
        <v>46323</v>
      </c>
      <c r="M2255" s="8" t="inlineStr">
        <is>
          <t>Approved</t>
        </is>
      </c>
      <c r="N2255" s="8" t="inlineStr">
        <is>
          <t>paragraph</t>
        </is>
      </c>
    </row>
    <row r="2256" ht="40" customHeight="1">
      <c r="A2256" s="4" t="inlineStr">
        <is>
          <t>C37-P0007</t>
        </is>
      </c>
      <c r="B2256" s="4" t="inlineStr">
        <is>
          <t>C37</t>
        </is>
      </c>
      <c r="C2256" s="4" t="inlineStr">
        <is>
          <t>Pilgrimage Rejuvenation and Spiritual Augmentation Drive (PRASHAD)</t>
        </is>
      </c>
      <c r="D2256" s="4" t="inlineStr">
        <is>
          <t>Benefits</t>
        </is>
      </c>
      <c r="E2256" s="4" t="inlineStr"/>
      <c r="F2256" s="4" t="inlineStr">
        <is>
          <t>en.schemeContent.benefits[5].children[0]</t>
        </is>
      </c>
      <c r="G2256" s="4" t="inlineStr">
        <is>
          <t>C37@20261028-bd74d255</t>
        </is>
      </c>
      <c r="H2256" s="4" t="n">
        <v>1</v>
      </c>
      <c r="I2256" s="4" t="n">
        <v>1</v>
      </c>
      <c r="J2256" s="4" t="inlineStr">
        <is>
          <t>Income Generation</t>
        </is>
      </c>
      <c r="K2256" s="4" t="inlineStr">
        <is>
          <t>MS-C37</t>
        </is>
      </c>
      <c r="L2256" s="6" t="n">
        <v>46323</v>
      </c>
      <c r="M2256" s="4" t="inlineStr">
        <is>
          <t>Approved</t>
        </is>
      </c>
      <c r="N2256" s="4" t="inlineStr">
        <is>
          <t>text</t>
        </is>
      </c>
    </row>
    <row r="2257" ht="68" customHeight="1">
      <c r="A2257" s="8" t="inlineStr">
        <is>
          <t>C37-P0008</t>
        </is>
      </c>
      <c r="B2257" s="8" t="inlineStr">
        <is>
          <t>C37</t>
        </is>
      </c>
      <c r="C2257" s="8" t="inlineStr">
        <is>
          <t>Pilgrimage Rejuvenation and Spiritual Augmentation Drive (PRASHAD)</t>
        </is>
      </c>
      <c r="D2257" s="8" t="inlineStr">
        <is>
          <t>Benefits</t>
        </is>
      </c>
      <c r="E2257" s="8" t="inlineStr"/>
      <c r="F2257" s="8" t="inlineStr">
        <is>
          <t>en.schemeContent.benefits[6]</t>
        </is>
      </c>
      <c r="G2257" s="8" t="inlineStr">
        <is>
          <t>C37@20261028-bd74d255</t>
        </is>
      </c>
      <c r="H2257" s="8" t="n">
        <v>1</v>
      </c>
      <c r="I2257" s="8" t="n">
        <v>1</v>
      </c>
      <c r="J2257" s="8" t="inlineStr">
        <is>
          <t>Tourism-related activities generate income for beneficiaries involved in providing goods and services to tourists. Local artisans, vendors, homestay owners, and small businesses often experience increased demand for their products and services, leading to higher incomes and improved standards of living.</t>
        </is>
      </c>
      <c r="K2257" s="8" t="inlineStr">
        <is>
          <t>MS-C37</t>
        </is>
      </c>
      <c r="L2257" s="9" t="n">
        <v>46323</v>
      </c>
      <c r="M2257" s="8" t="inlineStr">
        <is>
          <t>Approved</t>
        </is>
      </c>
      <c r="N2257" s="8" t="inlineStr">
        <is>
          <t>paragraph</t>
        </is>
      </c>
    </row>
    <row r="2258" ht="40" customHeight="1">
      <c r="A2258" s="4" t="inlineStr">
        <is>
          <t>C37-P0009</t>
        </is>
      </c>
      <c r="B2258" s="4" t="inlineStr">
        <is>
          <t>C37</t>
        </is>
      </c>
      <c r="C2258" s="4" t="inlineStr">
        <is>
          <t>Pilgrimage Rejuvenation and Spiritual Augmentation Drive (PRASHAD)</t>
        </is>
      </c>
      <c r="D2258" s="4" t="inlineStr">
        <is>
          <t>Benefits</t>
        </is>
      </c>
      <c r="E2258" s="4" t="inlineStr"/>
      <c r="F2258" s="4" t="inlineStr">
        <is>
          <t>en.schemeContent.benefits[7].children[0]</t>
        </is>
      </c>
      <c r="G2258" s="4" t="inlineStr">
        <is>
          <t>C37@20261028-bd74d255</t>
        </is>
      </c>
      <c r="H2258" s="4" t="n">
        <v>1</v>
      </c>
      <c r="I2258" s="4" t="n">
        <v>1</v>
      </c>
      <c r="J2258" s="4" t="inlineStr">
        <is>
          <t>Preservation of Cultural Heritage</t>
        </is>
      </c>
      <c r="K2258" s="4" t="inlineStr">
        <is>
          <t>MS-C37</t>
        </is>
      </c>
      <c r="L2258" s="6" t="n">
        <v>46323</v>
      </c>
      <c r="M2258" s="4" t="inlineStr">
        <is>
          <t>Approved</t>
        </is>
      </c>
      <c r="N2258" s="4" t="inlineStr">
        <is>
          <t>text</t>
        </is>
      </c>
    </row>
    <row r="2259" ht="68" customHeight="1">
      <c r="A2259" s="8" t="inlineStr">
        <is>
          <t>C37-P0010</t>
        </is>
      </c>
      <c r="B2259" s="8" t="inlineStr">
        <is>
          <t>C37</t>
        </is>
      </c>
      <c r="C2259" s="8" t="inlineStr">
        <is>
          <t>Pilgrimage Rejuvenation and Spiritual Augmentation Drive (PRASHAD)</t>
        </is>
      </c>
      <c r="D2259" s="8" t="inlineStr">
        <is>
          <t>Benefits</t>
        </is>
      </c>
      <c r="E2259" s="8" t="inlineStr"/>
      <c r="F2259" s="8" t="inlineStr">
        <is>
          <t>en.schemeContent.benefits[8]</t>
        </is>
      </c>
      <c r="G2259" s="8" t="inlineStr">
        <is>
          <t>C37@20261028-bd74d255</t>
        </is>
      </c>
      <c r="H2259" s="8" t="n">
        <v>1</v>
      </c>
      <c r="I2259" s="8" t="n">
        <v>1</v>
      </c>
      <c r="J2259" s="8" t="inlineStr">
        <is>
          <t>Communities living near heritage sites and cultural landmarks benefit from the preservation efforts funded by the Prashad Scheme. This not only helps in maintaining their cultural identity but also provides opportunities for cultural exchange and education, as visitors learn about local traditions, customs, and history.</t>
        </is>
      </c>
      <c r="K2259" s="8" t="inlineStr">
        <is>
          <t>MS-C37</t>
        </is>
      </c>
      <c r="L2259" s="9" t="n">
        <v>46323</v>
      </c>
      <c r="M2259" s="8" t="inlineStr">
        <is>
          <t>Approved</t>
        </is>
      </c>
      <c r="N2259" s="8" t="inlineStr">
        <is>
          <t>paragraph</t>
        </is>
      </c>
    </row>
    <row r="2260" ht="40" customHeight="1">
      <c r="A2260" s="4" t="inlineStr">
        <is>
          <t>C37-P0011</t>
        </is>
      </c>
      <c r="B2260" s="4" t="inlineStr">
        <is>
          <t>C37</t>
        </is>
      </c>
      <c r="C2260" s="4" t="inlineStr">
        <is>
          <t>Pilgrimage Rejuvenation and Spiritual Augmentation Drive (PRASHAD)</t>
        </is>
      </c>
      <c r="D2260" s="4" t="inlineStr">
        <is>
          <t>Benefits</t>
        </is>
      </c>
      <c r="E2260" s="4" t="inlineStr"/>
      <c r="F2260" s="4" t="inlineStr">
        <is>
          <t>en.schemeContent.benefits[9].children[0]</t>
        </is>
      </c>
      <c r="G2260" s="4" t="inlineStr">
        <is>
          <t>C37@20261028-bd74d255</t>
        </is>
      </c>
      <c r="H2260" s="4" t="n">
        <v>1</v>
      </c>
      <c r="I2260" s="4" t="n">
        <v>1</v>
      </c>
      <c r="J2260" s="4" t="inlineStr">
        <is>
          <t>Promotion of Local Culture and Traditions</t>
        </is>
      </c>
      <c r="K2260" s="4" t="inlineStr">
        <is>
          <t>MS-C37</t>
        </is>
      </c>
      <c r="L2260" s="6" t="n">
        <v>46323</v>
      </c>
      <c r="M2260" s="4" t="inlineStr">
        <is>
          <t>Approved</t>
        </is>
      </c>
      <c r="N2260" s="4" t="inlineStr">
        <is>
          <t>text</t>
        </is>
      </c>
    </row>
    <row r="2261" ht="68" customHeight="1">
      <c r="A2261" s="8" t="inlineStr">
        <is>
          <t>C37-P0012</t>
        </is>
      </c>
      <c r="B2261" s="8" t="inlineStr">
        <is>
          <t>C37</t>
        </is>
      </c>
      <c r="C2261" s="8" t="inlineStr">
        <is>
          <t>Pilgrimage Rejuvenation and Spiritual Augmentation Drive (PRASHAD)</t>
        </is>
      </c>
      <c r="D2261" s="8" t="inlineStr">
        <is>
          <t>Benefits</t>
        </is>
      </c>
      <c r="E2261" s="8" t="inlineStr"/>
      <c r="F2261" s="8" t="inlineStr">
        <is>
          <t>en.schemeContent.benefits[10]</t>
        </is>
      </c>
      <c r="G2261" s="8" t="inlineStr">
        <is>
          <t>C37@20261028-bd74d255</t>
        </is>
      </c>
      <c r="H2261" s="8" t="n">
        <v>1</v>
      </c>
      <c r="I2261" s="8" t="n">
        <v>1</v>
      </c>
      <c r="J2261" s="8" t="inlineStr">
        <is>
          <t>The Prashad Scheme often includes initiatives to promote local culture, art, and traditions. This may involve organizing cultural festivals, art exhibitions, and traditional performances, which not only showcase the richness of local heritage but also contribute to community pride and cohesion.</t>
        </is>
      </c>
      <c r="K2261" s="8" t="inlineStr">
        <is>
          <t>MS-C37</t>
        </is>
      </c>
      <c r="L2261" s="9" t="n">
        <v>46323</v>
      </c>
      <c r="M2261" s="8" t="inlineStr">
        <is>
          <t>Approved</t>
        </is>
      </c>
      <c r="N2261" s="8" t="inlineStr">
        <is>
          <t>paragraph</t>
        </is>
      </c>
    </row>
    <row r="2262" ht="40" customHeight="1">
      <c r="A2262" s="4" t="inlineStr">
        <is>
          <t>C37-P0013</t>
        </is>
      </c>
      <c r="B2262" s="4" t="inlineStr">
        <is>
          <t>C37</t>
        </is>
      </c>
      <c r="C2262" s="4" t="inlineStr">
        <is>
          <t>Pilgrimage Rejuvenation and Spiritual Augmentation Drive (PRASHAD)</t>
        </is>
      </c>
      <c r="D2262" s="4" t="inlineStr">
        <is>
          <t>Benefits</t>
        </is>
      </c>
      <c r="E2262" s="4" t="inlineStr"/>
      <c r="F2262" s="4" t="inlineStr">
        <is>
          <t>en.schemeContent.benefits[11].children[0]</t>
        </is>
      </c>
      <c r="G2262" s="4" t="inlineStr">
        <is>
          <t>C37@20261028-bd74d255</t>
        </is>
      </c>
      <c r="H2262" s="4" t="n">
        <v>1</v>
      </c>
      <c r="I2262" s="4" t="n">
        <v>1</v>
      </c>
      <c r="J2262" s="4" t="inlineStr">
        <is>
          <t>Increased Tourism Revenues</t>
        </is>
      </c>
      <c r="K2262" s="4" t="inlineStr">
        <is>
          <t>MS-C37</t>
        </is>
      </c>
      <c r="L2262" s="6" t="n">
        <v>46323</v>
      </c>
      <c r="M2262" s="4" t="inlineStr">
        <is>
          <t>Approved</t>
        </is>
      </c>
      <c r="N2262" s="4" t="inlineStr">
        <is>
          <t>text</t>
        </is>
      </c>
    </row>
    <row r="2263" ht="54" customHeight="1">
      <c r="A2263" s="8" t="inlineStr">
        <is>
          <t>C37-P0014</t>
        </is>
      </c>
      <c r="B2263" s="8" t="inlineStr">
        <is>
          <t>C37</t>
        </is>
      </c>
      <c r="C2263" s="8" t="inlineStr">
        <is>
          <t>Pilgrimage Rejuvenation and Spiritual Augmentation Drive (PRASHAD)</t>
        </is>
      </c>
      <c r="D2263" s="8" t="inlineStr">
        <is>
          <t>Benefits</t>
        </is>
      </c>
      <c r="E2263" s="8" t="inlineStr"/>
      <c r="F2263" s="8" t="inlineStr">
        <is>
          <t>en.schemeContent.benefits[12]</t>
        </is>
      </c>
      <c r="G2263" s="8" t="inlineStr">
        <is>
          <t>C37@20261028-bd74d255</t>
        </is>
      </c>
      <c r="H2263" s="8" t="n">
        <v>1</v>
      </c>
      <c r="I2263" s="8" t="n">
        <v>1</v>
      </c>
      <c r="J2263" s="8" t="inlineStr">
        <is>
          <t>As tourism flourishes in areas supported by the Prashad Scheme, beneficiaries reap the benefits of increased tourism revenues. This can have a multiplier effect on the local economy, stimulating growth in ancillary sectors such as food and beverage, retail, and transportation.</t>
        </is>
      </c>
      <c r="K2263" s="8" t="inlineStr">
        <is>
          <t>MS-C37</t>
        </is>
      </c>
      <c r="L2263" s="9" t="n">
        <v>46323</v>
      </c>
      <c r="M2263" s="8" t="inlineStr">
        <is>
          <t>Approved</t>
        </is>
      </c>
      <c r="N2263" s="8" t="inlineStr">
        <is>
          <t>paragraph</t>
        </is>
      </c>
    </row>
    <row r="2264" ht="40" customHeight="1">
      <c r="A2264" s="4" t="inlineStr">
        <is>
          <t>C37-P0015</t>
        </is>
      </c>
      <c r="B2264" s="4" t="inlineStr">
        <is>
          <t>C37</t>
        </is>
      </c>
      <c r="C2264" s="4" t="inlineStr">
        <is>
          <t>Pilgrimage Rejuvenation and Spiritual Augmentation Drive (PRASHAD)</t>
        </is>
      </c>
      <c r="D2264" s="4" t="inlineStr">
        <is>
          <t>Benefits</t>
        </is>
      </c>
      <c r="E2264" s="4" t="inlineStr"/>
      <c r="F2264" s="4" t="inlineStr">
        <is>
          <t>en.schemeContent.benefits[13].children[0]</t>
        </is>
      </c>
      <c r="G2264" s="4" t="inlineStr">
        <is>
          <t>C37@20261028-bd74d255</t>
        </is>
      </c>
      <c r="H2264" s="4" t="n">
        <v>1</v>
      </c>
      <c r="I2264" s="4" t="n">
        <v>1</v>
      </c>
      <c r="J2264" s="4" t="inlineStr">
        <is>
          <t>Skill Development and Capacity Building</t>
        </is>
      </c>
      <c r="K2264" s="4" t="inlineStr">
        <is>
          <t>MS-C37</t>
        </is>
      </c>
      <c r="L2264" s="6" t="n">
        <v>46323</v>
      </c>
      <c r="M2264" s="4" t="inlineStr">
        <is>
          <t>Approved</t>
        </is>
      </c>
      <c r="N2264" s="4" t="inlineStr">
        <is>
          <t>text</t>
        </is>
      </c>
    </row>
    <row r="2265" ht="68" customHeight="1">
      <c r="A2265" s="8" t="inlineStr">
        <is>
          <t>C37-P0016</t>
        </is>
      </c>
      <c r="B2265" s="8" t="inlineStr">
        <is>
          <t>C37</t>
        </is>
      </c>
      <c r="C2265" s="8" t="inlineStr">
        <is>
          <t>Pilgrimage Rejuvenation and Spiritual Augmentation Drive (PRASHAD)</t>
        </is>
      </c>
      <c r="D2265" s="8" t="inlineStr">
        <is>
          <t>Benefits</t>
        </is>
      </c>
      <c r="E2265" s="8" t="inlineStr"/>
      <c r="F2265" s="8" t="inlineStr">
        <is>
          <t>en.schemeContent.benefits[14]</t>
        </is>
      </c>
      <c r="G2265" s="8" t="inlineStr">
        <is>
          <t>C37@20261028-bd74d255</t>
        </is>
      </c>
      <c r="H2265" s="8" t="n">
        <v>1</v>
      </c>
      <c r="I2265" s="8" t="n">
        <v>1</v>
      </c>
      <c r="J2265" s="8" t="inlineStr">
        <is>
          <t>The Prashad Scheme may include provisions for skill development and capacity building programs targeted at local communities. These initiatives equip beneficiaries with the necessary skills and knowledge to actively participate in the tourism industry, empowering them to capitalize on tourism opportunities and contribute to sustainable development.</t>
        </is>
      </c>
      <c r="K2265" s="8" t="inlineStr">
        <is>
          <t>MS-C37</t>
        </is>
      </c>
      <c r="L2265" s="9" t="n">
        <v>46323</v>
      </c>
      <c r="M2265" s="8" t="inlineStr">
        <is>
          <t>Approved</t>
        </is>
      </c>
      <c r="N2265" s="8" t="inlineStr">
        <is>
          <t>paragraph</t>
        </is>
      </c>
    </row>
    <row r="2266" ht="40" customHeight="1">
      <c r="A2266" s="4" t="inlineStr">
        <is>
          <t>C37-P0017</t>
        </is>
      </c>
      <c r="B2266" s="4" t="inlineStr">
        <is>
          <t>C37</t>
        </is>
      </c>
      <c r="C2266" s="4" t="inlineStr">
        <is>
          <t>Pilgrimage Rejuvenation and Spiritual Augmentation Drive (PRASHAD)</t>
        </is>
      </c>
      <c r="D2266" s="4" t="inlineStr">
        <is>
          <t>Eligibility</t>
        </is>
      </c>
      <c r="E2266" s="4" t="inlineStr"/>
      <c r="F2266" s="4" t="inlineStr">
        <is>
          <t>en.eligibilityCriteria.eligibilityDescription[0]</t>
        </is>
      </c>
      <c r="G2266" s="4" t="inlineStr">
        <is>
          <t>C37@20261028-bd74d255</t>
        </is>
      </c>
      <c r="H2266" s="4" t="n">
        <v>1</v>
      </c>
      <c r="I2266" s="4" t="n">
        <v>1</v>
      </c>
      <c r="J2266" s="4" t="inlineStr">
        <is>
          <t>There are no eligibility requirements to avail the benefits of this scheme.</t>
        </is>
      </c>
      <c r="K2266" s="4" t="inlineStr">
        <is>
          <t>MS-C37</t>
        </is>
      </c>
      <c r="L2266" s="6" t="n">
        <v>46323</v>
      </c>
      <c r="M2266" s="4" t="inlineStr">
        <is>
          <t>Approved</t>
        </is>
      </c>
      <c r="N2266" s="4" t="inlineStr">
        <is>
          <t>paragraph</t>
        </is>
      </c>
    </row>
    <row r="2267" ht="40" customHeight="1">
      <c r="A2267" s="8" t="inlineStr">
        <is>
          <t>C37-P0018</t>
        </is>
      </c>
      <c r="B2267" s="8" t="inlineStr">
        <is>
          <t>C37</t>
        </is>
      </c>
      <c r="C2267" s="8" t="inlineStr">
        <is>
          <t>Pilgrimage Rejuvenation and Spiritual Augmentation Drive (PRASHAD)</t>
        </is>
      </c>
      <c r="D2267" s="8" t="inlineStr">
        <is>
          <t>Applicant documents</t>
        </is>
      </c>
      <c r="E2267" s="8" t="inlineStr"/>
      <c r="F2267" s="8" t="inlineStr">
        <is>
          <t>documents.en.documents_required[0]</t>
        </is>
      </c>
      <c r="G2267" s="8" t="inlineStr">
        <is>
          <t>C37@20261028-bd74d255</t>
        </is>
      </c>
      <c r="H2267" s="8" t="n">
        <v>1</v>
      </c>
      <c r="I2267" s="8" t="n">
        <v>1</v>
      </c>
      <c r="J2267" s="8" t="inlineStr">
        <is>
          <t>There are no document requirements for this scheme.</t>
        </is>
      </c>
      <c r="K2267" s="8" t="inlineStr">
        <is>
          <t>MS-C37</t>
        </is>
      </c>
      <c r="L2267" s="9" t="n">
        <v>46323</v>
      </c>
      <c r="M2267" s="8" t="inlineStr">
        <is>
          <t>Approved</t>
        </is>
      </c>
      <c r="N2267" s="8" t="inlineStr">
        <is>
          <t>paragraph</t>
        </is>
      </c>
    </row>
    <row r="2268" ht="40" customHeight="1">
      <c r="A2268" s="4" t="inlineStr">
        <is>
          <t>C37-P0019</t>
        </is>
      </c>
      <c r="B2268" s="4" t="inlineStr">
        <is>
          <t>C37</t>
        </is>
      </c>
      <c r="C2268" s="4" t="inlineStr">
        <is>
          <t>Pilgrimage Rejuvenation and Spiritual Augmentation Drive (PRASHAD)</t>
        </is>
      </c>
      <c r="D2268" s="4" t="inlineStr">
        <is>
          <t>Application process</t>
        </is>
      </c>
      <c r="E2268" s="4" t="inlineStr"/>
      <c r="F2268" s="4" t="inlineStr">
        <is>
          <t>en.applicationProcess[0].process[0]</t>
        </is>
      </c>
      <c r="G2268" s="4" t="inlineStr">
        <is>
          <t>C37@20261028-bd74d255</t>
        </is>
      </c>
      <c r="H2268" s="4" t="n">
        <v>1</v>
      </c>
      <c r="I2268" s="4" t="n">
        <v>1</v>
      </c>
      <c r="J2268" s="4" t="inlineStr">
        <is>
          <t>The citizens need not apply to this scheme.</t>
        </is>
      </c>
      <c r="K2268" s="4" t="inlineStr">
        <is>
          <t>MS-C37</t>
        </is>
      </c>
      <c r="L2268" s="6" t="n">
        <v>46323</v>
      </c>
      <c r="M2268" s="4" t="inlineStr">
        <is>
          <t>Approved</t>
        </is>
      </c>
      <c r="N2268" s="4" t="inlineStr">
        <is>
          <t>paragraph</t>
        </is>
      </c>
    </row>
    <row r="2269" ht="68" customHeight="1">
      <c r="A2269" s="8" t="inlineStr">
        <is>
          <t>C37-P0020</t>
        </is>
      </c>
      <c r="B2269" s="8" t="inlineStr">
        <is>
          <t>C37</t>
        </is>
      </c>
      <c r="C2269" s="8" t="inlineStr">
        <is>
          <t>Pilgrimage Rejuvenation and Spiritual Augmentation Drive (PRASHAD)</t>
        </is>
      </c>
      <c r="D2269" s="8" t="inlineStr">
        <is>
          <t>FAQ</t>
        </is>
      </c>
      <c r="E2269" s="8" t="inlineStr"/>
      <c r="F2269" s="8" t="inlineStr">
        <is>
          <t>faqs.en.faqs[0]</t>
        </is>
      </c>
      <c r="G2269" s="8" t="inlineStr">
        <is>
          <t>C37@20261028-bd74d255</t>
        </is>
      </c>
      <c r="H2269" s="8" t="n">
        <v>1</v>
      </c>
      <c r="I2269" s="8" t="n">
        <v>1</v>
      </c>
      <c r="J2269" s="8" t="inlineStr">
        <is>
          <t>What role do tourism information/interpretation centres play in the PRASAD scheme?
These centres, equipped with ATMs or money exchange counters, serve as hubs for disseminating information about the pilgrimage destinations, local culture, and heritage, enhancing tourists' understanding and experience.</t>
        </is>
      </c>
      <c r="K2269" s="8" t="inlineStr">
        <is>
          <t>MS-C37</t>
        </is>
      </c>
      <c r="L2269" s="9" t="n">
        <v>46323</v>
      </c>
      <c r="M2269" s="8" t="inlineStr">
        <is>
          <t>Approved</t>
        </is>
      </c>
      <c r="N2269" s="8" t="inlineStr">
        <is>
          <t>faq</t>
        </is>
      </c>
    </row>
    <row r="2270" ht="82" customHeight="1">
      <c r="A2270" s="4" t="inlineStr">
        <is>
          <t>C37-P0021</t>
        </is>
      </c>
      <c r="B2270" s="4" t="inlineStr">
        <is>
          <t>C37</t>
        </is>
      </c>
      <c r="C2270" s="4" t="inlineStr">
        <is>
          <t>Pilgrimage Rejuvenation and Spiritual Augmentation Drive (PRASHAD)</t>
        </is>
      </c>
      <c r="D2270" s="4" t="inlineStr">
        <is>
          <t>FAQ</t>
        </is>
      </c>
      <c r="E2270" s="4" t="inlineStr"/>
      <c r="F2270" s="4" t="inlineStr">
        <is>
          <t>faqs.en.faqs[1]</t>
        </is>
      </c>
      <c r="G2270" s="4" t="inlineStr">
        <is>
          <t>C37@20261028-bd74d255</t>
        </is>
      </c>
      <c r="H2270" s="4" t="n">
        <v>1</v>
      </c>
      <c r="I2270" s="4" t="n">
        <v>1</v>
      </c>
      <c r="J2270" s="4" t="inlineStr">
        <is>
          <t>How does the PRASAD scheme encourage convergence between government schemes and private sector developments?
The scheme aims to enable convergence between state and central government schemes, as well as private sector initiatives, for integrated site and destination development, fostering collaboration and maximizing resources for tourism development.</t>
        </is>
      </c>
      <c r="K2270" s="4" t="inlineStr">
        <is>
          <t>MS-C37</t>
        </is>
      </c>
      <c r="L2270" s="6" t="n">
        <v>46323</v>
      </c>
      <c r="M2270" s="4" t="inlineStr">
        <is>
          <t>Approved</t>
        </is>
      </c>
      <c r="N2270" s="4" t="inlineStr">
        <is>
          <t>faq</t>
        </is>
      </c>
    </row>
    <row r="2271" ht="68" customHeight="1">
      <c r="A2271" s="8" t="inlineStr">
        <is>
          <t>C37-P0022</t>
        </is>
      </c>
      <c r="B2271" s="8" t="inlineStr">
        <is>
          <t>C37</t>
        </is>
      </c>
      <c r="C2271" s="8" t="inlineStr">
        <is>
          <t>Pilgrimage Rejuvenation and Spiritual Augmentation Drive (PRASHAD)</t>
        </is>
      </c>
      <c r="D2271" s="8" t="inlineStr">
        <is>
          <t>FAQ</t>
        </is>
      </c>
      <c r="E2271" s="8" t="inlineStr"/>
      <c r="F2271" s="8" t="inlineStr">
        <is>
          <t>faqs.en.faqs[2]</t>
        </is>
      </c>
      <c r="G2271" s="8" t="inlineStr">
        <is>
          <t>C37@20261028-bd74d255</t>
        </is>
      </c>
      <c r="H2271" s="8" t="n">
        <v>1</v>
      </c>
      <c r="I2271" s="8" t="n">
        <v>1</v>
      </c>
      <c r="J2271" s="8" t="inlineStr">
        <is>
          <t>How does the PRASAD scheme ensure the responsible use of funds and resources?
By delineating eligible and non-permitted project components, the scheme establishes clear guidelines for project selection, ensuring that funding is directed towards initiatives that align with the scheme's objectives and priorities.</t>
        </is>
      </c>
      <c r="K2271" s="8" t="inlineStr">
        <is>
          <t>MS-C37</t>
        </is>
      </c>
      <c r="L2271" s="9" t="n">
        <v>46323</v>
      </c>
      <c r="M2271" s="8" t="inlineStr">
        <is>
          <t>Approved</t>
        </is>
      </c>
      <c r="N2271" s="8" t="inlineStr">
        <is>
          <t>faq</t>
        </is>
      </c>
    </row>
    <row r="2272" ht="68" customHeight="1">
      <c r="A2272" s="4" t="inlineStr">
        <is>
          <t>C37-P0023</t>
        </is>
      </c>
      <c r="B2272" s="4" t="inlineStr">
        <is>
          <t>C37</t>
        </is>
      </c>
      <c r="C2272" s="4" t="inlineStr">
        <is>
          <t>Pilgrimage Rejuvenation and Spiritual Augmentation Drive (PRASHAD)</t>
        </is>
      </c>
      <c r="D2272" s="4" t="inlineStr">
        <is>
          <t>FAQ</t>
        </is>
      </c>
      <c r="E2272" s="4" t="inlineStr"/>
      <c r="F2272" s="4" t="inlineStr">
        <is>
          <t>faqs.en.faqs[3]</t>
        </is>
      </c>
      <c r="G2272" s="4" t="inlineStr">
        <is>
          <t>C37@20261028-bd74d255</t>
        </is>
      </c>
      <c r="H2272" s="4" t="n">
        <v>1</v>
      </c>
      <c r="I2272" s="4" t="n">
        <v>1</v>
      </c>
      <c r="J2272" s="4" t="inlineStr">
        <is>
          <t>Are there any project components not permitted under the PRASAD scheme?
Yes, non-permitted project components include resettlement and rehabilitation packages, operation and maintenance of assets created, investments in private entities' assets, and land acquisition for development purposes.</t>
        </is>
      </c>
      <c r="K2272" s="4" t="inlineStr">
        <is>
          <t>MS-C37</t>
        </is>
      </c>
      <c r="L2272" s="6" t="n">
        <v>46323</v>
      </c>
      <c r="M2272" s="4" t="inlineStr">
        <is>
          <t>Approved</t>
        </is>
      </c>
      <c r="N2272" s="4" t="inlineStr">
        <is>
          <t>faq</t>
        </is>
      </c>
    </row>
    <row r="2273" ht="68" customHeight="1">
      <c r="A2273" s="8" t="inlineStr">
        <is>
          <t>C37-P0024</t>
        </is>
      </c>
      <c r="B2273" s="8" t="inlineStr">
        <is>
          <t>C37</t>
        </is>
      </c>
      <c r="C2273" s="8" t="inlineStr">
        <is>
          <t>Pilgrimage Rejuvenation and Spiritual Augmentation Drive (PRASHAD)</t>
        </is>
      </c>
      <c r="D2273" s="8" t="inlineStr">
        <is>
          <t>FAQ</t>
        </is>
      </c>
      <c r="E2273" s="8" t="inlineStr"/>
      <c r="F2273" s="8" t="inlineStr">
        <is>
          <t>faqs.en.faqs[4]</t>
        </is>
      </c>
      <c r="G2273" s="8" t="inlineStr">
        <is>
          <t>C37@20261028-bd74d255</t>
        </is>
      </c>
      <c r="H2273" s="8" t="n">
        <v>1</v>
      </c>
      <c r="I2273" s="8" t="n">
        <v>1</v>
      </c>
      <c r="J2273" s="8" t="inlineStr">
        <is>
          <t>What types of infrastructure development projects are supported under the PRASAD scheme?
Infrastructure development projects include the establishment of first aid centres, toilet facilities, waiting areas, and passenger terminals for various modes of transport, as well as improvements in sewerage, water supply, drainage, and roads.</t>
        </is>
      </c>
      <c r="K2273" s="8" t="inlineStr">
        <is>
          <t>MS-C37</t>
        </is>
      </c>
      <c r="L2273" s="9" t="n">
        <v>46323</v>
      </c>
      <c r="M2273" s="8" t="inlineStr">
        <is>
          <t>Approved</t>
        </is>
      </c>
      <c r="N2273" s="8" t="inlineStr">
        <is>
          <t>faq</t>
        </is>
      </c>
    </row>
    <row r="2274" ht="82" customHeight="1">
      <c r="A2274" s="4" t="inlineStr">
        <is>
          <t>C37-P0025</t>
        </is>
      </c>
      <c r="B2274" s="4" t="inlineStr">
        <is>
          <t>C37</t>
        </is>
      </c>
      <c r="C2274" s="4" t="inlineStr">
        <is>
          <t>Pilgrimage Rejuvenation and Spiritual Augmentation Drive (PRASHAD)</t>
        </is>
      </c>
      <c r="D2274" s="4" t="inlineStr">
        <is>
          <t>FAQ</t>
        </is>
      </c>
      <c r="E2274" s="4" t="inlineStr"/>
      <c r="F2274" s="4" t="inlineStr">
        <is>
          <t>faqs.en.faqs[5]</t>
        </is>
      </c>
      <c r="G2274" s="4" t="inlineStr">
        <is>
          <t>C37@20261028-bd74d255</t>
        </is>
      </c>
      <c r="H2274" s="4" t="n">
        <v>1</v>
      </c>
      <c r="I2274" s="4" t="n">
        <v>1</v>
      </c>
      <c r="J2274" s="4" t="inlineStr">
        <is>
          <t>How does the PRASAD scheme promote capacity development and knowledge management?
The scheme broadens travel and hospitality education, preserves tourism knowledge, utilizes local expertise in arts and crafts, and offers skill development programs such as 'Hunar Se Rozgar Tak' and 'Earn While You Learn' to empower local communities and enhance their participation in the tourism sector.</t>
        </is>
      </c>
      <c r="K2274" s="4" t="inlineStr">
        <is>
          <t>MS-C37</t>
        </is>
      </c>
      <c r="L2274" s="6" t="n">
        <v>46323</v>
      </c>
      <c r="M2274" s="4" t="inlineStr">
        <is>
          <t>Approved</t>
        </is>
      </c>
      <c r="N2274" s="4" t="inlineStr">
        <is>
          <t>faq</t>
        </is>
      </c>
    </row>
    <row r="2275" ht="68" customHeight="1">
      <c r="A2275" s="8" t="inlineStr">
        <is>
          <t>C37-P0026</t>
        </is>
      </c>
      <c r="B2275" s="8" t="inlineStr">
        <is>
          <t>C37</t>
        </is>
      </c>
      <c r="C2275" s="8" t="inlineStr">
        <is>
          <t>Pilgrimage Rejuvenation and Spiritual Augmentation Drive (PRASHAD)</t>
        </is>
      </c>
      <c r="D2275" s="8" t="inlineStr">
        <is>
          <t>FAQ</t>
        </is>
      </c>
      <c r="E2275" s="8" t="inlineStr"/>
      <c r="F2275" s="8" t="inlineStr">
        <is>
          <t>faqs.en.faqs[6]</t>
        </is>
      </c>
      <c r="G2275" s="8" t="inlineStr">
        <is>
          <t>C37@20261028-bd74d255</t>
        </is>
      </c>
      <c r="H2275" s="8" t="n">
        <v>1</v>
      </c>
      <c r="I2275" s="8" t="n">
        <v>1</v>
      </c>
      <c r="J2275" s="8" t="inlineStr">
        <is>
          <t>What is the purpose of the online presence component under the PRASAD scheme?
The online presence component aims to enhance the digital infrastructure of pilgrimage destinations through data analysis tools, GIS-based portals, and mobile applications, providing tourists with information and improving their overall experience.</t>
        </is>
      </c>
      <c r="K2275" s="8" t="inlineStr">
        <is>
          <t>MS-C37</t>
        </is>
      </c>
      <c r="L2275" s="9" t="n">
        <v>46323</v>
      </c>
      <c r="M2275" s="8" t="inlineStr">
        <is>
          <t>Approved</t>
        </is>
      </c>
      <c r="N2275" s="8" t="inlineStr">
        <is>
          <t>faq</t>
        </is>
      </c>
    </row>
    <row r="2276" ht="68" customHeight="1">
      <c r="A2276" s="4" t="inlineStr">
        <is>
          <t>C37-P0027</t>
        </is>
      </c>
      <c r="B2276" s="4" t="inlineStr">
        <is>
          <t>C37</t>
        </is>
      </c>
      <c r="C2276" s="4" t="inlineStr">
        <is>
          <t>Pilgrimage Rejuvenation and Spiritual Augmentation Drive (PRASHAD)</t>
        </is>
      </c>
      <c r="D2276" s="4" t="inlineStr">
        <is>
          <t>FAQ</t>
        </is>
      </c>
      <c r="E2276" s="4" t="inlineStr"/>
      <c r="F2276" s="4" t="inlineStr">
        <is>
          <t>faqs.en.faqs[7]</t>
        </is>
      </c>
      <c r="G2276" s="4" t="inlineStr">
        <is>
          <t>C37@20261028-bd74d255</t>
        </is>
      </c>
      <c r="H2276" s="4" t="n">
        <v>1</v>
      </c>
      <c r="I2276" s="4" t="n">
        <v>1</v>
      </c>
      <c r="J2276" s="4" t="inlineStr">
        <is>
          <t>What are the eligible project components under the PRASAD scheme?
Eligible project components include developing online presence tools, capacity development and skill enhancement initiatives, infrastructure development such as first aid centres and directional signage, and restoration and conservation of historic structures and monuments.</t>
        </is>
      </c>
      <c r="K2276" s="4" t="inlineStr">
        <is>
          <t>MS-C37</t>
        </is>
      </c>
      <c r="L2276" s="6" t="n">
        <v>46323</v>
      </c>
      <c r="M2276" s="4" t="inlineStr">
        <is>
          <t>Approved</t>
        </is>
      </c>
      <c r="N2276" s="4" t="inlineStr">
        <is>
          <t>faq</t>
        </is>
      </c>
    </row>
    <row r="2277" ht="68" customHeight="1">
      <c r="A2277" s="8" t="inlineStr">
        <is>
          <t>C37-P0028</t>
        </is>
      </c>
      <c r="B2277" s="8" t="inlineStr">
        <is>
          <t>C37</t>
        </is>
      </c>
      <c r="C2277" s="8" t="inlineStr">
        <is>
          <t>Pilgrimage Rejuvenation and Spiritual Augmentation Drive (PRASHAD)</t>
        </is>
      </c>
      <c r="D2277" s="8" t="inlineStr">
        <is>
          <t>FAQ</t>
        </is>
      </c>
      <c r="E2277" s="8" t="inlineStr"/>
      <c r="F2277" s="8" t="inlineStr">
        <is>
          <t>faqs.en.faqs[8]</t>
        </is>
      </c>
      <c r="G2277" s="8" t="inlineStr">
        <is>
          <t>C37@20261028-bd74d255</t>
        </is>
      </c>
      <c r="H2277" s="8" t="n">
        <v>1</v>
      </c>
      <c r="I2277" s="8" t="n">
        <v>1</v>
      </c>
      <c r="J2277" s="8" t="inlineStr">
        <is>
          <t>What are the objectives of the PRASAD scheme regarding safety and security?
The PRASAD scheme aims to strengthen measures for the safety and security of pilgrims and tourists, ensuring a safe and enjoyable tourism experience. It also focuses on improving the quality of tourism services provided at pilgrimage destinations[1].</t>
        </is>
      </c>
      <c r="K2277" s="8" t="inlineStr">
        <is>
          <t>MS-C37</t>
        </is>
      </c>
      <c r="L2277" s="9" t="n">
        <v>46323</v>
      </c>
      <c r="M2277" s="8" t="inlineStr">
        <is>
          <t>Approved</t>
        </is>
      </c>
      <c r="N2277" s="8" t="inlineStr">
        <is>
          <t>faq</t>
        </is>
      </c>
    </row>
    <row r="2278" ht="82" customHeight="1">
      <c r="A2278" s="4" t="inlineStr">
        <is>
          <t>C37-P0029</t>
        </is>
      </c>
      <c r="B2278" s="4" t="inlineStr">
        <is>
          <t>C37</t>
        </is>
      </c>
      <c r="C2278" s="4" t="inlineStr">
        <is>
          <t>Pilgrimage Rejuvenation and Spiritual Augmentation Drive (PRASHAD)</t>
        </is>
      </c>
      <c r="D2278" s="4" t="inlineStr">
        <is>
          <t>FAQ</t>
        </is>
      </c>
      <c r="E2278" s="4" t="inlineStr"/>
      <c r="F2278" s="4" t="inlineStr">
        <is>
          <t>faqs.en.faqs[9]</t>
        </is>
      </c>
      <c r="G2278" s="4" t="inlineStr">
        <is>
          <t>C37@20261028-bd74d255</t>
        </is>
      </c>
      <c r="H2278" s="4" t="n">
        <v>1</v>
      </c>
      <c r="I2278" s="4" t="n">
        <v>1</v>
      </c>
      <c r="J2278" s="4" t="inlineStr">
        <is>
          <t>How does the PRASAD scheme enhance tourism attractiveness?
The scheme enhances tourism attractiveness by integrating pilgrimage destinations in a planned and sustainable manner, developing world-class tourism projects, and promoting heritage and local livelihoods. It positions pilgrimage and heritage tourism as major contributors to economic growth and employment generation[1].</t>
        </is>
      </c>
      <c r="K2278" s="4" t="inlineStr">
        <is>
          <t>MS-C37</t>
        </is>
      </c>
      <c r="L2278" s="6" t="n">
        <v>46323</v>
      </c>
      <c r="M2278" s="4" t="inlineStr">
        <is>
          <t>Approved</t>
        </is>
      </c>
      <c r="N2278" s="4" t="inlineStr">
        <is>
          <t>faq</t>
        </is>
      </c>
    </row>
    <row r="2279" ht="68" customHeight="1">
      <c r="A2279" s="8" t="inlineStr">
        <is>
          <t>C37-P0030</t>
        </is>
      </c>
      <c r="B2279" s="8" t="inlineStr">
        <is>
          <t>C37</t>
        </is>
      </c>
      <c r="C2279" s="8" t="inlineStr">
        <is>
          <t>Pilgrimage Rejuvenation and Spiritual Augmentation Drive (PRASHAD)</t>
        </is>
      </c>
      <c r="D2279" s="8" t="inlineStr">
        <is>
          <t>FAQ</t>
        </is>
      </c>
      <c r="E2279" s="8" t="inlineStr"/>
      <c r="F2279" s="8" t="inlineStr">
        <is>
          <t>faqs.en.faqs[10]</t>
        </is>
      </c>
      <c r="G2279" s="8" t="inlineStr">
        <is>
          <t>C37@20261028-bd74d255</t>
        </is>
      </c>
      <c r="H2279" s="8" t="n">
        <v>1</v>
      </c>
      <c r="I2279" s="8" t="n">
        <v>1</v>
      </c>
      <c r="J2279" s="8" t="inlineStr">
        <is>
          <t>How does accreditation of heritage destinations influence the selection of heritage cities?
Accreditation by UNESCO and ASI validates the historical significance and authenticity of heritage destinations within cities, making them eligible for prioritization in the PRASAD scheme[1].</t>
        </is>
      </c>
      <c r="K2279" s="8" t="inlineStr">
        <is>
          <t>MS-C37</t>
        </is>
      </c>
      <c r="L2279" s="9" t="n">
        <v>46323</v>
      </c>
      <c r="M2279" s="8" t="inlineStr">
        <is>
          <t>Approved</t>
        </is>
      </c>
      <c r="N2279" s="8" t="inlineStr">
        <is>
          <t>faq</t>
        </is>
      </c>
    </row>
    <row r="2280" ht="68" customHeight="1">
      <c r="A2280" s="4" t="inlineStr">
        <is>
          <t>C37-P0031</t>
        </is>
      </c>
      <c r="B2280" s="4" t="inlineStr">
        <is>
          <t>C37</t>
        </is>
      </c>
      <c r="C2280" s="4" t="inlineStr">
        <is>
          <t>Pilgrimage Rejuvenation and Spiritual Augmentation Drive (PRASHAD)</t>
        </is>
      </c>
      <c r="D2280" s="4" t="inlineStr">
        <is>
          <t>FAQ</t>
        </is>
      </c>
      <c r="E2280" s="4" t="inlineStr"/>
      <c r="F2280" s="4" t="inlineStr">
        <is>
          <t>faqs.en.faqs[11]</t>
        </is>
      </c>
      <c r="G2280" s="4" t="inlineStr">
        <is>
          <t>C37@20261028-bd74d255</t>
        </is>
      </c>
      <c r="H2280" s="4" t="n">
        <v>1</v>
      </c>
      <c r="I2280" s="4" t="n">
        <v>1</v>
      </c>
      <c r="J2280" s="4" t="inlineStr">
        <is>
          <t>Why is tourist footfall considered a crucial criterion for selecting heritage cities?
Tourist footfall indicates the popularity and tourism potential of a city's heritage destinations. Higher footfall signifies greater demand and attractiveness for tourists, leading to prioritization in scheme inclusion[1].</t>
        </is>
      </c>
      <c r="K2280" s="4" t="inlineStr">
        <is>
          <t>MS-C37</t>
        </is>
      </c>
      <c r="L2280" s="6" t="n">
        <v>46323</v>
      </c>
      <c r="M2280" s="4" t="inlineStr">
        <is>
          <t>Approved</t>
        </is>
      </c>
      <c r="N2280" s="4" t="inlineStr">
        <is>
          <t>faq</t>
        </is>
      </c>
    </row>
    <row r="2281" ht="68" customHeight="1">
      <c r="A2281" s="8" t="inlineStr">
        <is>
          <t>C37-P0032</t>
        </is>
      </c>
      <c r="B2281" s="8" t="inlineStr">
        <is>
          <t>C37</t>
        </is>
      </c>
      <c r="C2281" s="8" t="inlineStr">
        <is>
          <t>Pilgrimage Rejuvenation and Spiritual Augmentation Drive (PRASHAD)</t>
        </is>
      </c>
      <c r="D2281" s="8" t="inlineStr">
        <is>
          <t>FAQ</t>
        </is>
      </c>
      <c r="E2281" s="8" t="inlineStr"/>
      <c r="F2281" s="8" t="inlineStr">
        <is>
          <t>faqs.en.faqs[12]</t>
        </is>
      </c>
      <c r="G2281" s="8" t="inlineStr">
        <is>
          <t>C37@20261028-bd74d255</t>
        </is>
      </c>
      <c r="H2281" s="8" t="n">
        <v>1</v>
      </c>
      <c r="I2281" s="8" t="n">
        <v>1</v>
      </c>
      <c r="J2281" s="8" t="inlineStr">
        <is>
          <t>How are heritage cities selected for integrated development under the PRASAD scheme?
Heritage cities are chosen based on criteria such as tourist footfall, accreditation of heritage destinations, number of heritage monuments, and funding needs. These factors help prioritize cities for integrated heritage development[1].</t>
        </is>
      </c>
      <c r="K2281" s="8" t="inlineStr">
        <is>
          <t>MS-C37</t>
        </is>
      </c>
      <c r="L2281" s="9" t="n">
        <v>46323</v>
      </c>
      <c r="M2281" s="8" t="inlineStr">
        <is>
          <t>Approved</t>
        </is>
      </c>
      <c r="N2281" s="8" t="inlineStr">
        <is>
          <t>faq</t>
        </is>
      </c>
    </row>
    <row r="2282" ht="82" customHeight="1">
      <c r="A2282" s="4" t="inlineStr">
        <is>
          <t>C37-P0033</t>
        </is>
      </c>
      <c r="B2282" s="4" t="inlineStr">
        <is>
          <t>C37</t>
        </is>
      </c>
      <c r="C2282" s="4" t="inlineStr">
        <is>
          <t>Pilgrimage Rejuvenation and Spiritual Augmentation Drive (PRASHAD)</t>
        </is>
      </c>
      <c r="D2282" s="4" t="inlineStr">
        <is>
          <t>FAQ</t>
        </is>
      </c>
      <c r="E2282" s="4" t="inlineStr"/>
      <c r="F2282" s="4" t="inlineStr">
        <is>
          <t>faqs.en.faqs[13]</t>
        </is>
      </c>
      <c r="G2282" s="4" t="inlineStr">
        <is>
          <t>C37@20261028-bd74d255</t>
        </is>
      </c>
      <c r="H2282" s="4" t="n">
        <v>1</v>
      </c>
      <c r="I2282" s="4" t="n">
        <v>1</v>
      </c>
      <c r="J2282" s="4" t="inlineStr">
        <is>
          <t>What is the significance of parity for pan India development in selecting pilgrimage destinations?
Parity for pan India development ensures equitable representation of states on the pilgrimage map. The scheme prioritizes states not covered in the existing list of destinations, aiming for comprehensive national coverage[1].</t>
        </is>
      </c>
      <c r="K2282" s="4" t="inlineStr">
        <is>
          <t>MS-C37</t>
        </is>
      </c>
      <c r="L2282" s="6" t="n">
        <v>46323</v>
      </c>
      <c r="M2282" s="4" t="inlineStr">
        <is>
          <t>Approved</t>
        </is>
      </c>
      <c r="N2282" s="4" t="inlineStr">
        <is>
          <t>faq</t>
        </is>
      </c>
    </row>
    <row r="2283" ht="68" customHeight="1">
      <c r="A2283" s="8" t="inlineStr">
        <is>
          <t>C37-P0034</t>
        </is>
      </c>
      <c r="B2283" s="8" t="inlineStr">
        <is>
          <t>C37</t>
        </is>
      </c>
      <c r="C2283" s="8" t="inlineStr">
        <is>
          <t>Pilgrimage Rejuvenation and Spiritual Augmentation Drive (PRASHAD)</t>
        </is>
      </c>
      <c r="D2283" s="8" t="inlineStr">
        <is>
          <t>FAQ</t>
        </is>
      </c>
      <c r="E2283" s="8" t="inlineStr"/>
      <c r="F2283" s="8" t="inlineStr">
        <is>
          <t>faqs.en.faqs[14]</t>
        </is>
      </c>
      <c r="G2283" s="8" t="inlineStr">
        <is>
          <t>C37@20261028-bd74d255</t>
        </is>
      </c>
      <c r="H2283" s="8" t="n">
        <v>1</v>
      </c>
      <c r="I2283" s="8" t="n">
        <v>1</v>
      </c>
      <c r="J2283" s="8" t="inlineStr">
        <is>
          <t>How is the credibility of implementation evaluated for selecting pilgrimage destinations?
Credibility of implementation is assessed through the utilization certificate (UC) pendency of state/UT governments and their implementing agencies. States with minimal UC pendency are prioritized for scheme inclusion[1].</t>
        </is>
      </c>
      <c r="K2283" s="8" t="inlineStr">
        <is>
          <t>MS-C37</t>
        </is>
      </c>
      <c r="L2283" s="9" t="n">
        <v>46323</v>
      </c>
      <c r="M2283" s="8" t="inlineStr">
        <is>
          <t>Approved</t>
        </is>
      </c>
      <c r="N2283" s="8" t="inlineStr">
        <is>
          <t>faq</t>
        </is>
      </c>
    </row>
    <row r="2284" ht="96" customHeight="1">
      <c r="A2284" s="4" t="inlineStr">
        <is>
          <t>C38-P0001</t>
        </is>
      </c>
      <c r="B2284" s="4" t="inlineStr">
        <is>
          <t>C38</t>
        </is>
      </c>
      <c r="C2284" s="4" t="inlineStr">
        <is>
          <t>Pratyaksh Hanstantrit Labh / Direct Benefits Transfer For LPG</t>
        </is>
      </c>
      <c r="D2284" s="4" t="inlineStr">
        <is>
          <t>Details</t>
        </is>
      </c>
      <c r="E2284" s="4" t="inlineStr"/>
      <c r="F2284" s="4" t="inlineStr">
        <is>
          <t>en.schemeContent.detailedDescription[0]</t>
        </is>
      </c>
      <c r="G2284" s="4" t="inlineStr">
        <is>
          <t>C38@20261028-483e350c</t>
        </is>
      </c>
      <c r="H2284" s="4" t="n">
        <v>1</v>
      </c>
      <c r="I2284" s="4" t="n">
        <v>1</v>
      </c>
      <c r="J2284" s="4" t="inlineStr">
        <is>
          <t>"Pratyaksh Hanstantrit Labh / Direct Benefits Transfer For LPG (PAHAL)" launched by the Ministry Of Petroleum and Natural Gas, ensures transparency by transferring LPG subsidies directly to consumers' bank accounts, eliminating diversion and reducing subsidy leakages. It empowers users, improves delivery, and enables self-selection for subsidy, with provisions for Aadhaar-linked and non-Aadhaar-linked accounts. This initiative protects consumer entitlement, prevents fraud, and promotes efficient subsidy management.</t>
        </is>
      </c>
      <c r="K2284" s="4" t="inlineStr">
        <is>
          <t>MS-C38</t>
        </is>
      </c>
      <c r="L2284" s="6" t="n">
        <v>46323</v>
      </c>
      <c r="M2284" s="4" t="inlineStr">
        <is>
          <t>Approved</t>
        </is>
      </c>
      <c r="N2284" s="4" t="inlineStr">
        <is>
          <t>paragraph</t>
        </is>
      </c>
    </row>
    <row r="2285" ht="40" customHeight="1">
      <c r="A2285" s="8" t="inlineStr">
        <is>
          <t>C38-P0002</t>
        </is>
      </c>
      <c r="B2285" s="8" t="inlineStr">
        <is>
          <t>C38</t>
        </is>
      </c>
      <c r="C2285" s="8" t="inlineStr">
        <is>
          <t>Pratyaksh Hanstantrit Labh / Direct Benefits Transfer For LPG</t>
        </is>
      </c>
      <c r="D2285" s="8" t="inlineStr">
        <is>
          <t>Benefits</t>
        </is>
      </c>
      <c r="E2285" s="8" t="inlineStr"/>
      <c r="F2285" s="8" t="inlineStr">
        <is>
          <t>en.schemeContent.benefits[0].children[0].children[0]</t>
        </is>
      </c>
      <c r="G2285" s="8" t="inlineStr">
        <is>
          <t>C38@20261028-483e350c</t>
        </is>
      </c>
      <c r="H2285" s="8" t="n">
        <v>1</v>
      </c>
      <c r="I2285" s="8" t="n">
        <v>1</v>
      </c>
      <c r="J2285" s="8" t="inlineStr">
        <is>
          <t>Direct Subsidy Transfer: LPG consumers receive subsidies directly in their bank accounts automatically.</t>
        </is>
      </c>
      <c r="K2285" s="8" t="inlineStr">
        <is>
          <t>MS-C38</t>
        </is>
      </c>
      <c r="L2285" s="9" t="n">
        <v>46323</v>
      </c>
      <c r="M2285" s="8" t="inlineStr">
        <is>
          <t>Approved</t>
        </is>
      </c>
      <c r="N2285" s="8" t="inlineStr">
        <is>
          <t>list_item</t>
        </is>
      </c>
    </row>
    <row r="2286" ht="40" customHeight="1">
      <c r="A2286" s="4" t="inlineStr">
        <is>
          <t>C38-P0003</t>
        </is>
      </c>
      <c r="B2286" s="4" t="inlineStr">
        <is>
          <t>C38</t>
        </is>
      </c>
      <c r="C2286" s="4" t="inlineStr">
        <is>
          <t>Pratyaksh Hanstantrit Labh / Direct Benefits Transfer For LPG</t>
        </is>
      </c>
      <c r="D2286" s="4" t="inlineStr">
        <is>
          <t>Benefits</t>
        </is>
      </c>
      <c r="E2286" s="4" t="inlineStr"/>
      <c r="F2286" s="4" t="inlineStr">
        <is>
          <t>en.schemeContent.benefits[0].children[0].children[1]</t>
        </is>
      </c>
      <c r="G2286" s="4" t="inlineStr">
        <is>
          <t>C38@20261028-483e350c</t>
        </is>
      </c>
      <c r="H2286" s="4" t="n">
        <v>1</v>
      </c>
      <c r="I2286" s="4" t="n">
        <v>1</v>
      </c>
      <c r="J2286" s="4" t="inlineStr">
        <is>
          <t>Improved Availability: Enhanced market availability of new LPG connections for genuine consumers.</t>
        </is>
      </c>
      <c r="K2286" s="4" t="inlineStr">
        <is>
          <t>MS-C38</t>
        </is>
      </c>
      <c r="L2286" s="6" t="n">
        <v>46323</v>
      </c>
      <c r="M2286" s="4" t="inlineStr">
        <is>
          <t>Approved</t>
        </is>
      </c>
      <c r="N2286" s="4" t="inlineStr">
        <is>
          <t>list_item</t>
        </is>
      </c>
    </row>
    <row r="2287" ht="40" customHeight="1">
      <c r="A2287" s="8" t="inlineStr">
        <is>
          <t>C38-P0004</t>
        </is>
      </c>
      <c r="B2287" s="8" t="inlineStr">
        <is>
          <t>C38</t>
        </is>
      </c>
      <c r="C2287" s="8" t="inlineStr">
        <is>
          <t>Pratyaksh Hanstantrit Labh / Direct Benefits Transfer For LPG</t>
        </is>
      </c>
      <c r="D2287" s="8" t="inlineStr">
        <is>
          <t>Benefits</t>
        </is>
      </c>
      <c r="E2287" s="8" t="inlineStr"/>
      <c r="F2287" s="8" t="inlineStr">
        <is>
          <t>en.schemeContent.benefits[0].children[0].children[2]</t>
        </is>
      </c>
      <c r="G2287" s="8" t="inlineStr">
        <is>
          <t>C38@20261028-483e350c</t>
        </is>
      </c>
      <c r="H2287" s="8" t="n">
        <v>1</v>
      </c>
      <c r="I2287" s="8" t="n">
        <v>1</v>
      </c>
      <c r="J2287" s="8" t="inlineStr">
        <is>
          <t>Health Benefits: Replaces unclean cooking fuels, reducing indoor pollution and preventing respiratory diseases among women and children in rural areas.</t>
        </is>
      </c>
      <c r="K2287" s="8" t="inlineStr">
        <is>
          <t>MS-C38</t>
        </is>
      </c>
      <c r="L2287" s="9" t="n">
        <v>46323</v>
      </c>
      <c r="M2287" s="8" t="inlineStr">
        <is>
          <t>Approved</t>
        </is>
      </c>
      <c r="N2287" s="8" t="inlineStr">
        <is>
          <t>list_item</t>
        </is>
      </c>
    </row>
    <row r="2288" ht="40" customHeight="1">
      <c r="A2288" s="4" t="inlineStr">
        <is>
          <t>C38-P0005</t>
        </is>
      </c>
      <c r="B2288" s="4" t="inlineStr">
        <is>
          <t>C38</t>
        </is>
      </c>
      <c r="C2288" s="4" t="inlineStr">
        <is>
          <t>Pratyaksh Hanstantrit Labh / Direct Benefits Transfer For LPG</t>
        </is>
      </c>
      <c r="D2288" s="4" t="inlineStr">
        <is>
          <t>Eligibility</t>
        </is>
      </c>
      <c r="E2288" s="4" t="inlineStr"/>
      <c r="F2288" s="4" t="inlineStr">
        <is>
          <t>en.eligibilityCriteria.eligibilityDescription[0].children[0]</t>
        </is>
      </c>
      <c r="G2288" s="4" t="inlineStr">
        <is>
          <t>C38@20261028-483e350c</t>
        </is>
      </c>
      <c r="H2288" s="4" t="n">
        <v>1</v>
      </c>
      <c r="I2288" s="4" t="n">
        <v>1</v>
      </c>
      <c r="J2288" s="4" t="inlineStr">
        <is>
          <t>The applicant must be an LPG user.</t>
        </is>
      </c>
      <c r="K2288" s="4" t="inlineStr">
        <is>
          <t>MS-C38</t>
        </is>
      </c>
      <c r="L2288" s="6" t="n">
        <v>46323</v>
      </c>
      <c r="M2288" s="4" t="inlineStr">
        <is>
          <t>Approved</t>
        </is>
      </c>
      <c r="N2288" s="4" t="inlineStr">
        <is>
          <t>list_item</t>
        </is>
      </c>
    </row>
    <row r="2289" ht="40" customHeight="1">
      <c r="A2289" s="8" t="inlineStr">
        <is>
          <t>C38-P0006</t>
        </is>
      </c>
      <c r="B2289" s="8" t="inlineStr">
        <is>
          <t>C38</t>
        </is>
      </c>
      <c r="C2289" s="8" t="inlineStr">
        <is>
          <t>Pratyaksh Hanstantrit Labh / Direct Benefits Transfer For LPG</t>
        </is>
      </c>
      <c r="D2289" s="8" t="inlineStr">
        <is>
          <t>Eligibility</t>
        </is>
      </c>
      <c r="E2289" s="8" t="inlineStr"/>
      <c r="F2289" s="8" t="inlineStr">
        <is>
          <t>en.eligibilityCriteria.eligibilityDescription[0].children[1]</t>
        </is>
      </c>
      <c r="G2289" s="8" t="inlineStr">
        <is>
          <t>C38@20261028-483e350c</t>
        </is>
      </c>
      <c r="H2289" s="8" t="n">
        <v>1</v>
      </c>
      <c r="I2289" s="8" t="n">
        <v>1</v>
      </c>
      <c r="J2289" s="8" t="inlineStr">
        <is>
          <t>The combined taxable income of the applicant and their spouse should not exceed ₹10,00,000 in the previous financial year, as per the Income Tax Act, 1961.</t>
        </is>
      </c>
      <c r="K2289" s="8" t="inlineStr">
        <is>
          <t>MS-C38</t>
        </is>
      </c>
      <c r="L2289" s="9" t="n">
        <v>46323</v>
      </c>
      <c r="M2289" s="8" t="inlineStr">
        <is>
          <t>Approved</t>
        </is>
      </c>
      <c r="N2289" s="8" t="inlineStr">
        <is>
          <t>list_item</t>
        </is>
      </c>
    </row>
    <row r="2290" ht="40" customHeight="1">
      <c r="A2290" s="4" t="inlineStr">
        <is>
          <t>C38-P0007</t>
        </is>
      </c>
      <c r="B2290" s="4" t="inlineStr">
        <is>
          <t>C38</t>
        </is>
      </c>
      <c r="C2290" s="4" t="inlineStr">
        <is>
          <t>Pratyaksh Hanstantrit Labh / Direct Benefits Transfer For LPG</t>
        </is>
      </c>
      <c r="D2290" s="4" t="inlineStr">
        <is>
          <t>Applicant documents</t>
        </is>
      </c>
      <c r="E2290" s="4" t="inlineStr"/>
      <c r="F2290" s="4" t="inlineStr">
        <is>
          <t>documents.en.documents_required[0].children[0]</t>
        </is>
      </c>
      <c r="G2290" s="4" t="inlineStr">
        <is>
          <t>C38@20261028-483e350c</t>
        </is>
      </c>
      <c r="H2290" s="4" t="n">
        <v>1</v>
      </c>
      <c r="I2290" s="4" t="n">
        <v>1</v>
      </c>
      <c r="J2290" s="4" t="inlineStr">
        <is>
          <t>Form 1 -  Submit a copy of the Aadhaar letter to the LPG distributor or bank</t>
        </is>
      </c>
      <c r="K2290" s="4" t="inlineStr">
        <is>
          <t>MS-C38</t>
        </is>
      </c>
      <c r="L2290" s="6" t="n">
        <v>46323</v>
      </c>
      <c r="M2290" s="4" t="inlineStr">
        <is>
          <t>Approved</t>
        </is>
      </c>
      <c r="N2290" s="4" t="inlineStr">
        <is>
          <t>list_item</t>
        </is>
      </c>
    </row>
    <row r="2291" ht="40" customHeight="1">
      <c r="A2291" s="8" t="inlineStr">
        <is>
          <t>C38-P0008</t>
        </is>
      </c>
      <c r="B2291" s="8" t="inlineStr">
        <is>
          <t>C38</t>
        </is>
      </c>
      <c r="C2291" s="8" t="inlineStr">
        <is>
          <t>Pratyaksh Hanstantrit Labh / Direct Benefits Transfer For LPG</t>
        </is>
      </c>
      <c r="D2291" s="8" t="inlineStr">
        <is>
          <t>Applicant documents</t>
        </is>
      </c>
      <c r="E2291" s="8" t="inlineStr"/>
      <c r="F2291" s="8" t="inlineStr">
        <is>
          <t>documents.en.documents_required[0].children[1]</t>
        </is>
      </c>
      <c r="G2291" s="8" t="inlineStr">
        <is>
          <t>C38@20261028-483e350c</t>
        </is>
      </c>
      <c r="H2291" s="8" t="n">
        <v>1</v>
      </c>
      <c r="I2291" s="8" t="n">
        <v>1</v>
      </c>
      <c r="J2291" s="8" t="inlineStr">
        <is>
          <t>Form 2 - Aadhaar letter, in addition to residential proof, to be submitted to the LPG distributor</t>
        </is>
      </c>
      <c r="K2291" s="8" t="inlineStr">
        <is>
          <t>MS-C38</t>
        </is>
      </c>
      <c r="L2291" s="9" t="n">
        <v>46323</v>
      </c>
      <c r="M2291" s="8" t="inlineStr">
        <is>
          <t>Approved</t>
        </is>
      </c>
      <c r="N2291" s="8" t="inlineStr">
        <is>
          <t>list_item</t>
        </is>
      </c>
    </row>
    <row r="2292" ht="40" customHeight="1">
      <c r="A2292" s="4" t="inlineStr">
        <is>
          <t>C38-P0009</t>
        </is>
      </c>
      <c r="B2292" s="4" t="inlineStr">
        <is>
          <t>C38</t>
        </is>
      </c>
      <c r="C2292" s="4" t="inlineStr">
        <is>
          <t>Pratyaksh Hanstantrit Labh / Direct Benefits Transfer For LPG</t>
        </is>
      </c>
      <c r="D2292" s="4" t="inlineStr">
        <is>
          <t>Applicant documents</t>
        </is>
      </c>
      <c r="E2292" s="4" t="inlineStr"/>
      <c r="F2292" s="4" t="inlineStr">
        <is>
          <t>documents.en.documents_required[0].children[2]</t>
        </is>
      </c>
      <c r="G2292" s="4" t="inlineStr">
        <is>
          <t>C38@20261028-483e350c</t>
        </is>
      </c>
      <c r="H2292" s="4" t="n">
        <v>1</v>
      </c>
      <c r="I2292" s="4" t="n">
        <v>1</v>
      </c>
      <c r="J2292" s="4" t="inlineStr">
        <is>
          <t>Form 3 -  A copy of a current refill slip consisting of a 17-digit LPG ID number</t>
        </is>
      </c>
      <c r="K2292" s="4" t="inlineStr">
        <is>
          <t>MS-C38</t>
        </is>
      </c>
      <c r="L2292" s="6" t="n">
        <v>46323</v>
      </c>
      <c r="M2292" s="4" t="inlineStr">
        <is>
          <t>Approved</t>
        </is>
      </c>
      <c r="N2292" s="4" t="inlineStr">
        <is>
          <t>list_item</t>
        </is>
      </c>
    </row>
    <row r="2293" ht="40" customHeight="1">
      <c r="A2293" s="8" t="inlineStr">
        <is>
          <t>C38-P0010</t>
        </is>
      </c>
      <c r="B2293" s="8" t="inlineStr">
        <is>
          <t>C38</t>
        </is>
      </c>
      <c r="C2293" s="8" t="inlineStr">
        <is>
          <t>Pratyaksh Hanstantrit Labh / Direct Benefits Transfer For LPG</t>
        </is>
      </c>
      <c r="D2293" s="8" t="inlineStr">
        <is>
          <t>Applicant documents</t>
        </is>
      </c>
      <c r="E2293" s="8" t="inlineStr"/>
      <c r="F2293" s="8" t="inlineStr">
        <is>
          <t>documents.en.documents_required[0].children[3]</t>
        </is>
      </c>
      <c r="G2293" s="8" t="inlineStr">
        <is>
          <t>C38@20261028-483e350c</t>
        </is>
      </c>
      <c r="H2293" s="8" t="n">
        <v>1</v>
      </c>
      <c r="I2293" s="8" t="n">
        <v>1</v>
      </c>
      <c r="J2293" s="8" t="inlineStr">
        <is>
          <t>Form 4 - A copy of a bank passbook's front page and a canceled cheque</t>
        </is>
      </c>
      <c r="K2293" s="8" t="inlineStr">
        <is>
          <t>MS-C38</t>
        </is>
      </c>
      <c r="L2293" s="9" t="n">
        <v>46323</v>
      </c>
      <c r="M2293" s="8" t="inlineStr">
        <is>
          <t>Approved</t>
        </is>
      </c>
      <c r="N2293" s="8" t="inlineStr">
        <is>
          <t>list_item</t>
        </is>
      </c>
    </row>
    <row r="2294" ht="40" customHeight="1">
      <c r="A2294" s="4" t="inlineStr">
        <is>
          <t>C38-P0011</t>
        </is>
      </c>
      <c r="B2294" s="4" t="inlineStr">
        <is>
          <t>C38</t>
        </is>
      </c>
      <c r="C2294" s="4" t="inlineStr">
        <is>
          <t>Pratyaksh Hanstantrit Labh / Direct Benefits Transfer For LPG</t>
        </is>
      </c>
      <c r="D2294" s="4" t="inlineStr">
        <is>
          <t>Application process</t>
        </is>
      </c>
      <c r="E2294" s="4" t="inlineStr"/>
      <c r="F2294" s="4" t="inlineStr">
        <is>
          <t>en.applicationProcess[0].process[0].children[0]</t>
        </is>
      </c>
      <c r="G2294" s="4" t="inlineStr">
        <is>
          <t>C38@20261028-483e350c</t>
        </is>
      </c>
      <c r="H2294" s="4" t="n">
        <v>1</v>
      </c>
      <c r="I2294" s="4" t="n">
        <v>1</v>
      </c>
      <c r="J2294" s="4" t="inlineStr">
        <is>
          <t>Through Bank:</t>
        </is>
      </c>
      <c r="K2294" s="4" t="inlineStr">
        <is>
          <t>MS-C38</t>
        </is>
      </c>
      <c r="L2294" s="6" t="n">
        <v>46323</v>
      </c>
      <c r="M2294" s="4" t="inlineStr">
        <is>
          <t>Approved</t>
        </is>
      </c>
      <c r="N2294" s="4" t="inlineStr">
        <is>
          <t>text</t>
        </is>
      </c>
    </row>
    <row r="2295" ht="40" customHeight="1">
      <c r="A2295" s="8" t="inlineStr">
        <is>
          <t>C38-P0012</t>
        </is>
      </c>
      <c r="B2295" s="8" t="inlineStr">
        <is>
          <t>C38</t>
        </is>
      </c>
      <c r="C2295" s="8" t="inlineStr">
        <is>
          <t>Pratyaksh Hanstantrit Labh / Direct Benefits Transfer For LPG</t>
        </is>
      </c>
      <c r="D2295" s="8" t="inlineStr">
        <is>
          <t>Application process</t>
        </is>
      </c>
      <c r="E2295" s="8" t="inlineStr"/>
      <c r="F2295" s="8" t="inlineStr">
        <is>
          <t>en.applicationProcess[0].process[1]</t>
        </is>
      </c>
      <c r="G2295" s="8" t="inlineStr">
        <is>
          <t>C38@20261028-483e350c</t>
        </is>
      </c>
      <c r="H2295" s="8" t="n">
        <v>1</v>
      </c>
      <c r="I2295" s="8" t="n">
        <v>1</v>
      </c>
      <c r="J2295" s="8" t="inlineStr">
        <is>
          <t>Step 1: Visit your bank branch where you hold an account.</t>
        </is>
      </c>
      <c r="K2295" s="8" t="inlineStr">
        <is>
          <t>MS-C38</t>
        </is>
      </c>
      <c r="L2295" s="9" t="n">
        <v>46323</v>
      </c>
      <c r="M2295" s="8" t="inlineStr">
        <is>
          <t>Approved</t>
        </is>
      </c>
      <c r="N2295" s="8" t="inlineStr">
        <is>
          <t>paragraph</t>
        </is>
      </c>
    </row>
    <row r="2296" ht="40" customHeight="1">
      <c r="A2296" s="4" t="inlineStr">
        <is>
          <t>C38-P0013</t>
        </is>
      </c>
      <c r="B2296" s="4" t="inlineStr">
        <is>
          <t>C38</t>
        </is>
      </c>
      <c r="C2296" s="4" t="inlineStr">
        <is>
          <t>Pratyaksh Hanstantrit Labh / Direct Benefits Transfer For LPG</t>
        </is>
      </c>
      <c r="D2296" s="4" t="inlineStr">
        <is>
          <t>Application process</t>
        </is>
      </c>
      <c r="E2296" s="4" t="inlineStr"/>
      <c r="F2296" s="4" t="inlineStr">
        <is>
          <t>en.applicationProcess[0].process[2]</t>
        </is>
      </c>
      <c r="G2296" s="4" t="inlineStr">
        <is>
          <t>C38@20261028-483e350c</t>
        </is>
      </c>
      <c r="H2296" s="4" t="n">
        <v>1</v>
      </c>
      <c r="I2296" s="4" t="n">
        <v>1</v>
      </c>
      <c r="J2296" s="4" t="inlineStr">
        <is>
          <t>Step 2:Carry a copy of your Aadhaar card along with the original for verification.</t>
        </is>
      </c>
      <c r="K2296" s="4" t="inlineStr">
        <is>
          <t>MS-C38</t>
        </is>
      </c>
      <c r="L2296" s="6" t="n">
        <v>46323</v>
      </c>
      <c r="M2296" s="4" t="inlineStr">
        <is>
          <t>Approved</t>
        </is>
      </c>
      <c r="N2296" s="4" t="inlineStr">
        <is>
          <t>paragraph</t>
        </is>
      </c>
    </row>
    <row r="2297" ht="40" customHeight="1">
      <c r="A2297" s="8" t="inlineStr">
        <is>
          <t>C38-P0014</t>
        </is>
      </c>
      <c r="B2297" s="8" t="inlineStr">
        <is>
          <t>C38</t>
        </is>
      </c>
      <c r="C2297" s="8" t="inlineStr">
        <is>
          <t>Pratyaksh Hanstantrit Labh / Direct Benefits Transfer For LPG</t>
        </is>
      </c>
      <c r="D2297" s="8" t="inlineStr">
        <is>
          <t>Application process</t>
        </is>
      </c>
      <c r="E2297" s="8" t="inlineStr"/>
      <c r="F2297" s="8" t="inlineStr">
        <is>
          <t>en.applicationProcess[0].process[3]</t>
        </is>
      </c>
      <c r="G2297" s="8" t="inlineStr">
        <is>
          <t>C38@20261028-483e350c</t>
        </is>
      </c>
      <c r="H2297" s="8" t="n">
        <v>1</v>
      </c>
      <c r="I2297" s="8" t="n">
        <v>1</v>
      </c>
      <c r="J2297" s="8" t="inlineStr">
        <is>
          <t>Step 3:Request the bank staff to link your Aadhaar number with your bank account.</t>
        </is>
      </c>
      <c r="K2297" s="8" t="inlineStr">
        <is>
          <t>MS-C38</t>
        </is>
      </c>
      <c r="L2297" s="9" t="n">
        <v>46323</v>
      </c>
      <c r="M2297" s="8" t="inlineStr">
        <is>
          <t>Approved</t>
        </is>
      </c>
      <c r="N2297" s="8" t="inlineStr">
        <is>
          <t>paragraph</t>
        </is>
      </c>
    </row>
    <row r="2298" ht="40" customHeight="1">
      <c r="A2298" s="4" t="inlineStr">
        <is>
          <t>C38-P0015</t>
        </is>
      </c>
      <c r="B2298" s="4" t="inlineStr">
        <is>
          <t>C38</t>
        </is>
      </c>
      <c r="C2298" s="4" t="inlineStr">
        <is>
          <t>Pratyaksh Hanstantrit Labh / Direct Benefits Transfer For LPG</t>
        </is>
      </c>
      <c r="D2298" s="4" t="inlineStr">
        <is>
          <t>Application process</t>
        </is>
      </c>
      <c r="E2298" s="4" t="inlineStr"/>
      <c r="F2298" s="4" t="inlineStr">
        <is>
          <t>en.applicationProcess[0].process[4]</t>
        </is>
      </c>
      <c r="G2298" s="4" t="inlineStr">
        <is>
          <t>C38@20261028-483e350c</t>
        </is>
      </c>
      <c r="H2298" s="4" t="n">
        <v>1</v>
      </c>
      <c r="I2298" s="4" t="n">
        <v>1</v>
      </c>
      <c r="J2298" s="4" t="inlineStr">
        <is>
          <t>Step 4:Fill out the Aadhaar linking form provided by the bank and submit it along with a copy of your Aadhaar card.</t>
        </is>
      </c>
      <c r="K2298" s="4" t="inlineStr">
        <is>
          <t>MS-C38</t>
        </is>
      </c>
      <c r="L2298" s="6" t="n">
        <v>46323</v>
      </c>
      <c r="M2298" s="4" t="inlineStr">
        <is>
          <t>Approved</t>
        </is>
      </c>
      <c r="N2298" s="4" t="inlineStr">
        <is>
          <t>paragraph</t>
        </is>
      </c>
    </row>
    <row r="2299" ht="40" customHeight="1">
      <c r="A2299" s="8" t="inlineStr">
        <is>
          <t>C38-P0016</t>
        </is>
      </c>
      <c r="B2299" s="8" t="inlineStr">
        <is>
          <t>C38</t>
        </is>
      </c>
      <c r="C2299" s="8" t="inlineStr">
        <is>
          <t>Pratyaksh Hanstantrit Labh / Direct Benefits Transfer For LPG</t>
        </is>
      </c>
      <c r="D2299" s="8" t="inlineStr">
        <is>
          <t>Application process</t>
        </is>
      </c>
      <c r="E2299" s="8" t="inlineStr"/>
      <c r="F2299" s="8" t="inlineStr">
        <is>
          <t>en.applicationProcess[0].process[5]</t>
        </is>
      </c>
      <c r="G2299" s="8" t="inlineStr">
        <is>
          <t>C38@20261028-483e350c</t>
        </is>
      </c>
      <c r="H2299" s="8" t="n">
        <v>1</v>
      </c>
      <c r="I2299" s="8" t="n">
        <v>1</v>
      </c>
      <c r="J2299" s="8" t="inlineStr">
        <is>
          <t>Step 5: The bank will notify you upon successful linking.</t>
        </is>
      </c>
      <c r="K2299" s="8" t="inlineStr">
        <is>
          <t>MS-C38</t>
        </is>
      </c>
      <c r="L2299" s="9" t="n">
        <v>46323</v>
      </c>
      <c r="M2299" s="8" t="inlineStr">
        <is>
          <t>Approved</t>
        </is>
      </c>
      <c r="N2299" s="8" t="inlineStr">
        <is>
          <t>paragraph</t>
        </is>
      </c>
    </row>
    <row r="2300" ht="40" customHeight="1">
      <c r="A2300" s="4" t="inlineStr">
        <is>
          <t>C38-P0017</t>
        </is>
      </c>
      <c r="B2300" s="4" t="inlineStr">
        <is>
          <t>C38</t>
        </is>
      </c>
      <c r="C2300" s="4" t="inlineStr">
        <is>
          <t>Pratyaksh Hanstantrit Labh / Direct Benefits Transfer For LPG</t>
        </is>
      </c>
      <c r="D2300" s="4" t="inlineStr">
        <is>
          <t>Application process</t>
        </is>
      </c>
      <c r="E2300" s="4" t="inlineStr"/>
      <c r="F2300" s="4" t="inlineStr">
        <is>
          <t>en.applicationProcess[0].process[6].children[0]</t>
        </is>
      </c>
      <c r="G2300" s="4" t="inlineStr">
        <is>
          <t>C38@20261028-483e350c</t>
        </is>
      </c>
      <c r="H2300" s="4" t="n">
        <v>1</v>
      </c>
      <c r="I2300" s="4" t="n">
        <v>1</v>
      </c>
      <c r="J2300" s="4" t="inlineStr">
        <is>
          <t>Through LPG Distributor:</t>
        </is>
      </c>
      <c r="K2300" s="4" t="inlineStr">
        <is>
          <t>MS-C38</t>
        </is>
      </c>
      <c r="L2300" s="6" t="n">
        <v>46323</v>
      </c>
      <c r="M2300" s="4" t="inlineStr">
        <is>
          <t>Approved</t>
        </is>
      </c>
      <c r="N2300" s="4" t="inlineStr">
        <is>
          <t>text</t>
        </is>
      </c>
    </row>
    <row r="2301" ht="40" customHeight="1">
      <c r="A2301" s="8" t="inlineStr">
        <is>
          <t>C38-P0018</t>
        </is>
      </c>
      <c r="B2301" s="8" t="inlineStr">
        <is>
          <t>C38</t>
        </is>
      </c>
      <c r="C2301" s="8" t="inlineStr">
        <is>
          <t>Pratyaksh Hanstantrit Labh / Direct Benefits Transfer For LPG</t>
        </is>
      </c>
      <c r="D2301" s="8" t="inlineStr">
        <is>
          <t>Application process</t>
        </is>
      </c>
      <c r="E2301" s="8" t="inlineStr"/>
      <c r="F2301" s="8" t="inlineStr">
        <is>
          <t>en.applicationProcess[0].process[7]</t>
        </is>
      </c>
      <c r="G2301" s="8" t="inlineStr">
        <is>
          <t>C38@20261028-483e350c</t>
        </is>
      </c>
      <c r="H2301" s="8" t="n">
        <v>1</v>
      </c>
      <c r="I2301" s="8" t="n">
        <v>1</v>
      </c>
      <c r="J2301" s="8" t="inlineStr">
        <is>
          <t>Step 1: Visit your LPG distributor's office.</t>
        </is>
      </c>
      <c r="K2301" s="8" t="inlineStr">
        <is>
          <t>MS-C38</t>
        </is>
      </c>
      <c r="L2301" s="9" t="n">
        <v>46323</v>
      </c>
      <c r="M2301" s="8" t="inlineStr">
        <is>
          <t>Approved</t>
        </is>
      </c>
      <c r="N2301" s="8" t="inlineStr">
        <is>
          <t>paragraph</t>
        </is>
      </c>
    </row>
    <row r="2302" ht="40" customHeight="1">
      <c r="A2302" s="4" t="inlineStr">
        <is>
          <t>C38-P0019</t>
        </is>
      </c>
      <c r="B2302" s="4" t="inlineStr">
        <is>
          <t>C38</t>
        </is>
      </c>
      <c r="C2302" s="4" t="inlineStr">
        <is>
          <t>Pratyaksh Hanstantrit Labh / Direct Benefits Transfer For LPG</t>
        </is>
      </c>
      <c r="D2302" s="4" t="inlineStr">
        <is>
          <t>Application process</t>
        </is>
      </c>
      <c r="E2302" s="4" t="inlineStr"/>
      <c r="F2302" s="4" t="inlineStr">
        <is>
          <t>en.applicationProcess[0].process[8]</t>
        </is>
      </c>
      <c r="G2302" s="4" t="inlineStr">
        <is>
          <t>C38@20261028-483e350c</t>
        </is>
      </c>
      <c r="H2302" s="4" t="n">
        <v>1</v>
      </c>
      <c r="I2302" s="4" t="n">
        <v>1</v>
      </c>
      <c r="J2302" s="4" t="inlineStr">
        <is>
          <t>Step 2: Carry a copy of your Aadhaar card and the original for verification.</t>
        </is>
      </c>
      <c r="K2302" s="4" t="inlineStr">
        <is>
          <t>MS-C38</t>
        </is>
      </c>
      <c r="L2302" s="6" t="n">
        <v>46323</v>
      </c>
      <c r="M2302" s="4" t="inlineStr">
        <is>
          <t>Approved</t>
        </is>
      </c>
      <c r="N2302" s="4" t="inlineStr">
        <is>
          <t>paragraph</t>
        </is>
      </c>
    </row>
    <row r="2303" ht="40" customHeight="1">
      <c r="A2303" s="8" t="inlineStr">
        <is>
          <t>C38-P0020</t>
        </is>
      </c>
      <c r="B2303" s="8" t="inlineStr">
        <is>
          <t>C38</t>
        </is>
      </c>
      <c r="C2303" s="8" t="inlineStr">
        <is>
          <t>Pratyaksh Hanstantrit Labh / Direct Benefits Transfer For LPG</t>
        </is>
      </c>
      <c r="D2303" s="8" t="inlineStr">
        <is>
          <t>Application process</t>
        </is>
      </c>
      <c r="E2303" s="8" t="inlineStr"/>
      <c r="F2303" s="8" t="inlineStr">
        <is>
          <t>en.applicationProcess[0].process[9]</t>
        </is>
      </c>
      <c r="G2303" s="8" t="inlineStr">
        <is>
          <t>C38@20261028-483e350c</t>
        </is>
      </c>
      <c r="H2303" s="8" t="n">
        <v>1</v>
      </c>
      <c r="I2303" s="8" t="n">
        <v>1</v>
      </c>
      <c r="J2303" s="8" t="inlineStr">
        <is>
          <t>Step 3: Provide your LPG Consumer Number and request Aadhaar linking.</t>
        </is>
      </c>
      <c r="K2303" s="8" t="inlineStr">
        <is>
          <t>MS-C38</t>
        </is>
      </c>
      <c r="L2303" s="9" t="n">
        <v>46323</v>
      </c>
      <c r="M2303" s="8" t="inlineStr">
        <is>
          <t>Approved</t>
        </is>
      </c>
      <c r="N2303" s="8" t="inlineStr">
        <is>
          <t>paragraph</t>
        </is>
      </c>
    </row>
    <row r="2304" ht="40" customHeight="1">
      <c r="A2304" s="4" t="inlineStr">
        <is>
          <t>C38-P0021</t>
        </is>
      </c>
      <c r="B2304" s="4" t="inlineStr">
        <is>
          <t>C38</t>
        </is>
      </c>
      <c r="C2304" s="4" t="inlineStr">
        <is>
          <t>Pratyaksh Hanstantrit Labh / Direct Benefits Transfer For LPG</t>
        </is>
      </c>
      <c r="D2304" s="4" t="inlineStr">
        <is>
          <t>Application process</t>
        </is>
      </c>
      <c r="E2304" s="4" t="inlineStr"/>
      <c r="F2304" s="4" t="inlineStr">
        <is>
          <t>en.applicationProcess[0].process[10]</t>
        </is>
      </c>
      <c r="G2304" s="4" t="inlineStr">
        <is>
          <t>C38@20261028-483e350c</t>
        </is>
      </c>
      <c r="H2304" s="4" t="n">
        <v>1</v>
      </c>
      <c r="I2304" s="4" t="n">
        <v>1</v>
      </c>
      <c r="J2304" s="4" t="inlineStr">
        <is>
          <t>Step 4: Fill out the Aadhaar linking form provided by the distributor and submit it along with a copy of your Aadhaar card.</t>
        </is>
      </c>
      <c r="K2304" s="4" t="inlineStr">
        <is>
          <t>MS-C38</t>
        </is>
      </c>
      <c r="L2304" s="6" t="n">
        <v>46323</v>
      </c>
      <c r="M2304" s="4" t="inlineStr">
        <is>
          <t>Approved</t>
        </is>
      </c>
      <c r="N2304" s="4" t="inlineStr">
        <is>
          <t>paragraph</t>
        </is>
      </c>
    </row>
    <row r="2305" ht="40" customHeight="1">
      <c r="A2305" s="8" t="inlineStr">
        <is>
          <t>C38-P0022</t>
        </is>
      </c>
      <c r="B2305" s="8" t="inlineStr">
        <is>
          <t>C38</t>
        </is>
      </c>
      <c r="C2305" s="8" t="inlineStr">
        <is>
          <t>Pratyaksh Hanstantrit Labh / Direct Benefits Transfer For LPG</t>
        </is>
      </c>
      <c r="D2305" s="8" t="inlineStr">
        <is>
          <t>Application process</t>
        </is>
      </c>
      <c r="E2305" s="8" t="inlineStr"/>
      <c r="F2305" s="8" t="inlineStr">
        <is>
          <t>en.applicationProcess[0].process[11]</t>
        </is>
      </c>
      <c r="G2305" s="8" t="inlineStr">
        <is>
          <t>C38@20261028-483e350c</t>
        </is>
      </c>
      <c r="H2305" s="8" t="n">
        <v>1</v>
      </c>
      <c r="I2305" s="8" t="n">
        <v>1</v>
      </c>
      <c r="J2305" s="8" t="inlineStr">
        <is>
          <t>Step 5: You will be notified once the linking process is completed successfully.</t>
        </is>
      </c>
      <c r="K2305" s="8" t="inlineStr">
        <is>
          <t>MS-C38</t>
        </is>
      </c>
      <c r="L2305" s="9" t="n">
        <v>46323</v>
      </c>
      <c r="M2305" s="8" t="inlineStr">
        <is>
          <t>Approved</t>
        </is>
      </c>
      <c r="N2305" s="8" t="inlineStr">
        <is>
          <t>paragraph</t>
        </is>
      </c>
    </row>
    <row r="2306" ht="40" customHeight="1">
      <c r="A2306" s="4" t="inlineStr">
        <is>
          <t>C38-P0023</t>
        </is>
      </c>
      <c r="B2306" s="4" t="inlineStr">
        <is>
          <t>C38</t>
        </is>
      </c>
      <c r="C2306" s="4" t="inlineStr">
        <is>
          <t>Pratyaksh Hanstantrit Labh / Direct Benefits Transfer For LPG</t>
        </is>
      </c>
      <c r="D2306" s="4" t="inlineStr">
        <is>
          <t>Application process</t>
        </is>
      </c>
      <c r="E2306" s="4" t="inlineStr"/>
      <c r="F2306" s="4" t="inlineStr">
        <is>
          <t>en.applicationProcess[0].process[12].children[0]</t>
        </is>
      </c>
      <c r="G2306" s="4" t="inlineStr">
        <is>
          <t>C38@20261028-483e350c</t>
        </is>
      </c>
      <c r="H2306" s="4" t="n">
        <v>1</v>
      </c>
      <c r="I2306" s="4" t="n">
        <v>1</v>
      </c>
      <c r="J2306" s="4" t="inlineStr">
        <is>
          <t xml:space="preserve">Note: </t>
        </is>
      </c>
      <c r="K2306" s="4" t="inlineStr">
        <is>
          <t>MS-C38</t>
        </is>
      </c>
      <c r="L2306" s="6" t="n">
        <v>46323</v>
      </c>
      <c r="M2306" s="4" t="inlineStr">
        <is>
          <t>Approved</t>
        </is>
      </c>
      <c r="N2306" s="4" t="inlineStr">
        <is>
          <t>text</t>
        </is>
      </c>
    </row>
    <row r="2307" ht="54" customHeight="1">
      <c r="A2307" s="8" t="inlineStr">
        <is>
          <t>C38-P0024</t>
        </is>
      </c>
      <c r="B2307" s="8" t="inlineStr">
        <is>
          <t>C38</t>
        </is>
      </c>
      <c r="C2307" s="8" t="inlineStr">
        <is>
          <t>Pratyaksh Hanstantrit Labh / Direct Benefits Transfer For LPG</t>
        </is>
      </c>
      <c r="D2307" s="8" t="inlineStr">
        <is>
          <t>Application process</t>
        </is>
      </c>
      <c r="E2307" s="8" t="inlineStr"/>
      <c r="F2307" s="8" t="inlineStr">
        <is>
          <t>en.applicationProcess[0].process[12].children[1]</t>
        </is>
      </c>
      <c r="G2307" s="8" t="inlineStr">
        <is>
          <t>C38@20261028-483e350c</t>
        </is>
      </c>
      <c r="H2307" s="8" t="n">
        <v>1</v>
      </c>
      <c r="I2307" s="8" t="n">
        <v>1</v>
      </c>
      <c r="J2307" s="8" t="inlineStr">
        <is>
          <t>If the applicant does not link their Aadhaar Number to their Bank Account and LPG Consumer Number within 3 months, they will need to purchase cylinders at the market price. Subsidies will no longer be available without Aadhaar linkage.</t>
        </is>
      </c>
      <c r="K2307" s="8" t="inlineStr">
        <is>
          <t>MS-C38</t>
        </is>
      </c>
      <c r="L2307" s="9" t="n">
        <v>46323</v>
      </c>
      <c r="M2307" s="8" t="inlineStr">
        <is>
          <t>Approved</t>
        </is>
      </c>
      <c r="N2307" s="8" t="inlineStr">
        <is>
          <t>text</t>
        </is>
      </c>
    </row>
    <row r="2308" ht="96" customHeight="1">
      <c r="A2308" s="4" t="inlineStr">
        <is>
          <t>C38-P0025</t>
        </is>
      </c>
      <c r="B2308" s="4" t="inlineStr">
        <is>
          <t>C38</t>
        </is>
      </c>
      <c r="C2308" s="4" t="inlineStr">
        <is>
          <t>Pratyaksh Hanstantrit Labh / Direct Benefits Transfer For LPG</t>
        </is>
      </c>
      <c r="D2308" s="4" t="inlineStr">
        <is>
          <t>FAQ</t>
        </is>
      </c>
      <c r="E2308" s="4" t="inlineStr"/>
      <c r="F2308" s="4" t="inlineStr">
        <is>
          <t>faqs.en.faqs[0]</t>
        </is>
      </c>
      <c r="G2308" s="4" t="inlineStr">
        <is>
          <t>C38@20261028-483e350c</t>
        </is>
      </c>
      <c r="H2308" s="4" t="n">
        <v>1</v>
      </c>
      <c r="I2308" s="4" t="n">
        <v>1</v>
      </c>
      <c r="J2308" s="4" t="inlineStr">
        <is>
          <t>What Will Have To Be Done By The LPG Consumer Who Had Already Joined The Scheme Earlier? 
LPG consumers who had joined the scheme earlier by linking their Aadhaar number in LPG and Bank database do not need to do anything. Such consumers will get the cylinder at Market price w.e.f the date on which the scheme is launched and the cash will be transferred into their bank account. They do not have to do anything further. They can check their CTC (Cash Transfer Compliance) status on www.mylpg.in or check with their LPG distributor.</t>
        </is>
      </c>
      <c r="K2308" s="4" t="inlineStr">
        <is>
          <t>MS-C38</t>
        </is>
      </c>
      <c r="L2308" s="6" t="n">
        <v>46323</v>
      </c>
      <c r="M2308" s="4" t="inlineStr">
        <is>
          <t>Approved</t>
        </is>
      </c>
      <c r="N2308" s="4" t="inlineStr">
        <is>
          <t>faq</t>
        </is>
      </c>
    </row>
    <row r="2309" ht="138" customHeight="1">
      <c r="A2309" s="8" t="inlineStr">
        <is>
          <t>C38-P0026</t>
        </is>
      </c>
      <c r="B2309" s="8" t="inlineStr">
        <is>
          <t>C38</t>
        </is>
      </c>
      <c r="C2309" s="8" t="inlineStr">
        <is>
          <t>Pratyaksh Hanstantrit Labh / Direct Benefits Transfer For LPG</t>
        </is>
      </c>
      <c r="D2309" s="8" t="inlineStr">
        <is>
          <t>FAQ</t>
        </is>
      </c>
      <c r="E2309" s="8" t="inlineStr"/>
      <c r="F2309" s="8" t="inlineStr">
        <is>
          <t>faqs.en.faqs[1]</t>
        </is>
      </c>
      <c r="G2309" s="8" t="inlineStr">
        <is>
          <t>C38@20261028-483e350c</t>
        </is>
      </c>
      <c r="H2309" s="8" t="n">
        <v>1</v>
      </c>
      <c r="I2309" s="8" t="n">
        <v>1</v>
      </c>
      <c r="J2309" s="8" t="inlineStr">
        <is>
          <t>What Does An LPG Consumer Do To Join PAHAL (DBTL) Scheme? 
Option I (Primary): LPG consumers who have an Aadhaar number must provide their Aadhaar number to LPG distributor using Form 2 and to Bank using Form 1. This is the preferred mode of joining the scheme. 
Option II (Secondary): If the LPG consumer does not have an Aadhaar number, he/she can do one of the following: 
a. Give Bank details to the LPG distributor in Form 4 
OR 
b. Give a 17-digit LPG ID to the Bank using Form 3.</t>
        </is>
      </c>
      <c r="K2309" s="8" t="inlineStr">
        <is>
          <t>MS-C38</t>
        </is>
      </c>
      <c r="L2309" s="9" t="n">
        <v>46323</v>
      </c>
      <c r="M2309" s="8" t="inlineStr">
        <is>
          <t>Approved</t>
        </is>
      </c>
      <c r="N2309" s="8" t="inlineStr">
        <is>
          <t>faq</t>
        </is>
      </c>
    </row>
    <row r="2310" ht="96" customHeight="1">
      <c r="A2310" s="4" t="inlineStr">
        <is>
          <t>C38-P0027</t>
        </is>
      </c>
      <c r="B2310" s="4" t="inlineStr">
        <is>
          <t>C38</t>
        </is>
      </c>
      <c r="C2310" s="4" t="inlineStr">
        <is>
          <t>Pratyaksh Hanstantrit Labh / Direct Benefits Transfer For LPG</t>
        </is>
      </c>
      <c r="D2310" s="4" t="inlineStr">
        <is>
          <t>FAQ</t>
        </is>
      </c>
      <c r="E2310" s="4" t="inlineStr"/>
      <c r="F2310" s="4" t="inlineStr">
        <is>
          <t>faqs.en.faqs[2]</t>
        </is>
      </c>
      <c r="G2310" s="4" t="inlineStr">
        <is>
          <t>C38@20261028-483e350c</t>
        </is>
      </c>
      <c r="H2310" s="4" t="n">
        <v>1</v>
      </c>
      <c r="I2310" s="4" t="n">
        <v>1</v>
      </c>
      <c r="J2310" s="4" t="inlineStr">
        <is>
          <t>When Can An LPG Consumer Visit The Distributorship For Submitting Aadhaar And Bank Details Seeding Forms To Join PAHAL (DBTL) Scheme? 
The LPG consumers can visit their LPG distributorship on any weekday during office hours for submitting the forms. For the convenience of LPG consumers, all distributorships will also remain open on their weekly off day for exclusively receiving Aadhaar &amp; Bank detail seeding forms of the PAHAL (DBTL) scheme till the end of the grace period.</t>
        </is>
      </c>
      <c r="K2310" s="4" t="inlineStr">
        <is>
          <t>MS-C38</t>
        </is>
      </c>
      <c r="L2310" s="6" t="n">
        <v>46323</v>
      </c>
      <c r="M2310" s="4" t="inlineStr">
        <is>
          <t>Approved</t>
        </is>
      </c>
      <c r="N2310" s="4" t="inlineStr">
        <is>
          <t>faq</t>
        </is>
      </c>
    </row>
    <row r="2311" ht="82" customHeight="1">
      <c r="A2311" s="8" t="inlineStr">
        <is>
          <t>C38-P0028</t>
        </is>
      </c>
      <c r="B2311" s="8" t="inlineStr">
        <is>
          <t>C38</t>
        </is>
      </c>
      <c r="C2311" s="8" t="inlineStr">
        <is>
          <t>Pratyaksh Hanstantrit Labh / Direct Benefits Transfer For LPG</t>
        </is>
      </c>
      <c r="D2311" s="8" t="inlineStr">
        <is>
          <t>FAQ</t>
        </is>
      </c>
      <c r="E2311" s="8" t="inlineStr"/>
      <c r="F2311" s="8" t="inlineStr">
        <is>
          <t>faqs.en.faqs[3]</t>
        </is>
      </c>
      <c r="G2311" s="8" t="inlineStr">
        <is>
          <t>C38@20261028-483e350c</t>
        </is>
      </c>
      <c r="H2311" s="8" t="n">
        <v>1</v>
      </c>
      <c r="I2311" s="8" t="n">
        <v>1</v>
      </c>
      <c r="J2311" s="8" t="inlineStr">
        <is>
          <t>How Does An LPG Consumer Check His/Her PAHAL (DBTL) Joining Status? 
To check PAHAL (DBTL) joining status, consumers can log on to the transparency portal of their LPG Company (IOC, BPC, HPC) through www.myLPG.in and follow instructions. On each of the OMC’s transparency portals, a call out with the name ‘Check DBTL (CTC) Status’ has been provided. Consumers can click on this and see the status both for ATC as well as BTC methods.</t>
        </is>
      </c>
      <c r="K2311" s="8" t="inlineStr">
        <is>
          <t>MS-C38</t>
        </is>
      </c>
      <c r="L2311" s="9" t="n">
        <v>46323</v>
      </c>
      <c r="M2311" s="8" t="inlineStr">
        <is>
          <t>Approved</t>
        </is>
      </c>
      <c r="N2311" s="8" t="inlineStr">
        <is>
          <t>faq</t>
        </is>
      </c>
    </row>
    <row r="2312" ht="194" customHeight="1">
      <c r="A2312" s="4" t="inlineStr">
        <is>
          <t>C38-P0029</t>
        </is>
      </c>
      <c r="B2312" s="4" t="inlineStr">
        <is>
          <t>C38</t>
        </is>
      </c>
      <c r="C2312" s="4" t="inlineStr">
        <is>
          <t>Pratyaksh Hanstantrit Labh / Direct Benefits Transfer For LPG</t>
        </is>
      </c>
      <c r="D2312" s="4" t="inlineStr">
        <is>
          <t>FAQ</t>
        </is>
      </c>
      <c r="E2312" s="4" t="inlineStr"/>
      <c r="F2312" s="4" t="inlineStr">
        <is>
          <t>faqs.en.faqs[4]</t>
        </is>
      </c>
      <c r="G2312" s="4" t="inlineStr">
        <is>
          <t>C38@20261028-483e350c</t>
        </is>
      </c>
      <c r="H2312" s="4" t="n">
        <v>1</v>
      </c>
      <c r="I2312" s="4" t="n">
        <v>1</v>
      </c>
      <c r="J2312" s="4" t="inlineStr">
        <is>
          <t>What Happens Where Transactions Sent To The Bank Fail And How Are They Dealt With? 
A) In case some transfers cannot be processed by the banks, they are termed as failures, and the failure cases if any along with the amount is received back from the Sponsor Bank by the OMCs. A report on such failure cases has been provided by the OMC on their portal which is accessible to the distributors as well 
as Call Centre. 
b) Payments returned will be re-processed twice in a span of 15 days each and if it is still not transferred, the amount will be kept for payment as and when the bank-related issues are resolved. 
c) If the amount towards the subsequent cylinder delivered is successfully transferred then the pending amount also will be transferred thereafter. 
d) The time period up to which such payments will be kept pending will be 3 months or the end of the current financial year whichever is later.</t>
        </is>
      </c>
      <c r="K2312" s="4" t="inlineStr">
        <is>
          <t>MS-C38</t>
        </is>
      </c>
      <c r="L2312" s="6" t="n">
        <v>46323</v>
      </c>
      <c r="M2312" s="4" t="inlineStr">
        <is>
          <t>Approved</t>
        </is>
      </c>
      <c r="N2312" s="4" t="inlineStr">
        <is>
          <t>faq</t>
        </is>
      </c>
    </row>
    <row r="2313" ht="110" customHeight="1">
      <c r="A2313" s="8" t="inlineStr">
        <is>
          <t>C38-P0030</t>
        </is>
      </c>
      <c r="B2313" s="8" t="inlineStr">
        <is>
          <t>C38</t>
        </is>
      </c>
      <c r="C2313" s="8" t="inlineStr">
        <is>
          <t>Pratyaksh Hanstantrit Labh / Direct Benefits Transfer For LPG</t>
        </is>
      </c>
      <c r="D2313" s="8" t="inlineStr">
        <is>
          <t>FAQ</t>
        </is>
      </c>
      <c r="E2313" s="8" t="inlineStr"/>
      <c r="F2313" s="8" t="inlineStr">
        <is>
          <t>faqs.en.faqs[5]</t>
        </is>
      </c>
      <c r="G2313" s="8" t="inlineStr">
        <is>
          <t>C38@20261028-483e350c</t>
        </is>
      </c>
      <c r="H2313" s="8" t="n">
        <v>1</v>
      </c>
      <c r="I2313" s="8" t="n">
        <v>1</v>
      </c>
      <c r="J2313" s="8" t="inlineStr">
        <is>
          <t>How Is The Quota Of Subsidized Cylinders Worked Out For New Consumers? 
A) The eligibility for the quota of subsidized cylinders for all new connections released is on a pro-rata basis. This is also applicable to CTC consumers. 
b) For new connections, CTC consumers will receive both the advance amount (after the booking of the first cylinder) and the subsidy amount (after the delivery of the first cylinder). 
c) Thereafter, they will receive a subsidy amount with every cylinder delivery upto the capped subsidized quota of cylinders.</t>
        </is>
      </c>
      <c r="K2313" s="8" t="inlineStr">
        <is>
          <t>MS-C38</t>
        </is>
      </c>
      <c r="L2313" s="9" t="n">
        <v>46323</v>
      </c>
      <c r="M2313" s="8" t="inlineStr">
        <is>
          <t>Approved</t>
        </is>
      </c>
      <c r="N2313" s="8" t="inlineStr">
        <is>
          <t>faq</t>
        </is>
      </c>
    </row>
    <row r="2314" ht="166" customHeight="1">
      <c r="A2314" s="4" t="inlineStr">
        <is>
          <t>C38-P0031</t>
        </is>
      </c>
      <c r="B2314" s="4" t="inlineStr">
        <is>
          <t>C38</t>
        </is>
      </c>
      <c r="C2314" s="4" t="inlineStr">
        <is>
          <t>Pratyaksh Hanstantrit Labh / Direct Benefits Transfer For LPG</t>
        </is>
      </c>
      <c r="D2314" s="4" t="inlineStr">
        <is>
          <t>FAQ</t>
        </is>
      </c>
      <c r="E2314" s="4" t="inlineStr"/>
      <c r="F2314" s="4" t="inlineStr">
        <is>
          <t>faqs.en.faqs[6]</t>
        </is>
      </c>
      <c r="G2314" s="4" t="inlineStr">
        <is>
          <t>C38@20261028-483e350c</t>
        </is>
      </c>
      <c r="H2314" s="4" t="n">
        <v>1</v>
      </c>
      <c r="I2314" s="4" t="n">
        <v>1</v>
      </c>
      <c r="J2314" s="4" t="inlineStr">
        <is>
          <t>How To Deal With Advance Amounts Given To Consumers When They Are On Transfer? 
A) CTC consumers, who are transferred, have to return the advance amount to the parent distributor. In other words, when the Termination Voucher is made the net amount of the Security Deposit of equipment minus the Permanent Advance amount will be refunded to consumers. 
b) If such consumers are transferred to another district where PAHAL (DBTL) has been launched, they will be given an advance once they become a consumer at the new location and are handed over the Subscription Voucher. 
c) OMC Software has the provision to capture Security deposits and advance amounts separately and account for them in the ERP accounting system. 
d) For CTC consumers located in the same city on transfer without any surrendering of equipment and refund of deposit (TTV/CTA), Permanent Advance amount will not be refunded.</t>
        </is>
      </c>
      <c r="K2314" s="4" t="inlineStr">
        <is>
          <t>MS-C38</t>
        </is>
      </c>
      <c r="L2314" s="6" t="n">
        <v>46323</v>
      </c>
      <c r="M2314" s="4" t="inlineStr">
        <is>
          <t>Approved</t>
        </is>
      </c>
      <c r="N2314" s="4" t="inlineStr">
        <is>
          <t>faq</t>
        </is>
      </c>
    </row>
    <row r="2315" ht="82" customHeight="1">
      <c r="A2315" s="8" t="inlineStr">
        <is>
          <t>C38-P0032</t>
        </is>
      </c>
      <c r="B2315" s="8" t="inlineStr">
        <is>
          <t>C38</t>
        </is>
      </c>
      <c r="C2315" s="8" t="inlineStr">
        <is>
          <t>Pratyaksh Hanstantrit Labh / Direct Benefits Transfer For LPG</t>
        </is>
      </c>
      <c r="D2315" s="8" t="inlineStr">
        <is>
          <t>FAQ</t>
        </is>
      </c>
      <c r="E2315" s="8" t="inlineStr"/>
      <c r="F2315" s="8" t="inlineStr">
        <is>
          <t>faqs.en.faqs[7]</t>
        </is>
      </c>
      <c r="G2315" s="8" t="inlineStr">
        <is>
          <t>C38@20261028-483e350c</t>
        </is>
      </c>
      <c r="H2315" s="8" t="n">
        <v>1</v>
      </c>
      <c r="I2315" s="8" t="n">
        <v>1</v>
      </c>
      <c r="J2315" s="8" t="inlineStr">
        <is>
          <t>How Will The Consumer Know The Status Of His Payments? 
Visibility has been provided to the consumers through the Transparency portal of OMCs (via www.mylpg.in). These portals provide separate columns for subsidized and non-subsidized cylinder delivery, the amount paid to the consumer. A call center with a dashboard on all transactions is available for suitable consumer grievance redressal.</t>
        </is>
      </c>
      <c r="K2315" s="8" t="inlineStr">
        <is>
          <t>MS-C38</t>
        </is>
      </c>
      <c r="L2315" s="9" t="n">
        <v>46323</v>
      </c>
      <c r="M2315" s="8" t="inlineStr">
        <is>
          <t>Approved</t>
        </is>
      </c>
      <c r="N2315" s="8" t="inlineStr">
        <is>
          <t>faq</t>
        </is>
      </c>
    </row>
    <row r="2316" ht="82" customHeight="1">
      <c r="A2316" s="4" t="inlineStr">
        <is>
          <t>C38-P0033</t>
        </is>
      </c>
      <c r="B2316" s="4" t="inlineStr">
        <is>
          <t>C38</t>
        </is>
      </c>
      <c r="C2316" s="4" t="inlineStr">
        <is>
          <t>Pratyaksh Hanstantrit Labh / Direct Benefits Transfer For LPG</t>
        </is>
      </c>
      <c r="D2316" s="4" t="inlineStr">
        <is>
          <t>FAQ</t>
        </is>
      </c>
      <c r="E2316" s="4" t="inlineStr"/>
      <c r="F2316" s="4" t="inlineStr">
        <is>
          <t>faqs.en.faqs[8]</t>
        </is>
      </c>
      <c r="G2316" s="4" t="inlineStr">
        <is>
          <t>C38@20261028-483e350c</t>
        </is>
      </c>
      <c r="H2316" s="4" t="n">
        <v>1</v>
      </c>
      <c r="I2316" s="4" t="n">
        <v>1</v>
      </c>
      <c r="J2316" s="4" t="inlineStr">
        <is>
          <t>Where Can A Consumer Get More Information About PAHAL (DBTL) Scheme? 
A) For getting any information, providing feedback, and registering any complaint OMCs have a call center which is accessible at Toll-Free No 18002333555. 
b) Consumers can also visit http://petroleum.nic.in/dbt/index.htm or visit the transparency portal of their LPG Company (IOC, BPC, HPC) through www.myLPG.in.</t>
        </is>
      </c>
      <c r="K2316" s="4" t="inlineStr">
        <is>
          <t>MS-C38</t>
        </is>
      </c>
      <c r="L2316" s="6" t="n">
        <v>46323</v>
      </c>
      <c r="M2316" s="4" t="inlineStr">
        <is>
          <t>Approved</t>
        </is>
      </c>
      <c r="N2316" s="4" t="inlineStr">
        <is>
          <t>faq</t>
        </is>
      </c>
    </row>
    <row r="2317" ht="82" customHeight="1">
      <c r="A2317" s="8" t="inlineStr">
        <is>
          <t>C38-P0034</t>
        </is>
      </c>
      <c r="B2317" s="8" t="inlineStr">
        <is>
          <t>C38</t>
        </is>
      </c>
      <c r="C2317" s="8" t="inlineStr">
        <is>
          <t>Pratyaksh Hanstantrit Labh / Direct Benefits Transfer For LPG</t>
        </is>
      </c>
      <c r="D2317" s="8" t="inlineStr">
        <is>
          <t>FAQ</t>
        </is>
      </c>
      <c r="E2317" s="8" t="inlineStr"/>
      <c r="F2317" s="8" t="inlineStr">
        <is>
          <t>faqs.en.faqs[9]</t>
        </is>
      </c>
      <c r="G2317" s="8" t="inlineStr">
        <is>
          <t>C38@20261028-483e350c</t>
        </is>
      </c>
      <c r="H2317" s="8" t="n">
        <v>1</v>
      </c>
      <c r="I2317" s="8" t="n">
        <v>1</v>
      </c>
      <c r="J2317" s="8" t="inlineStr">
        <is>
          <t>The LPG Consumer Has Contacted The Call Center/LPG Distributor And Has Been Advised That There Is A Failed Transaction With XYZ Bank. What Should He/She Do? 
Consumers can visit his/her concerned bank with their Aadhaar number and/or account details to know the reason for failed transactions. In some cases OMC the call center can also help with the reason why banks have sent the correct error code to OMCs.</t>
        </is>
      </c>
      <c r="K2317" s="8" t="inlineStr">
        <is>
          <t>MS-C38</t>
        </is>
      </c>
      <c r="L2317" s="9" t="n">
        <v>46323</v>
      </c>
      <c r="M2317" s="8" t="inlineStr">
        <is>
          <t>Approved</t>
        </is>
      </c>
      <c r="N2317" s="8" t="inlineStr">
        <is>
          <t>faq</t>
        </is>
      </c>
    </row>
    <row r="2318" ht="138" customHeight="1">
      <c r="A2318" s="4" t="inlineStr">
        <is>
          <t>C38-P0035</t>
        </is>
      </c>
      <c r="B2318" s="4" t="inlineStr">
        <is>
          <t>C38</t>
        </is>
      </c>
      <c r="C2318" s="4" t="inlineStr">
        <is>
          <t>Pratyaksh Hanstantrit Labh / Direct Benefits Transfer For LPG</t>
        </is>
      </c>
      <c r="D2318" s="4" t="inlineStr">
        <is>
          <t>FAQ</t>
        </is>
      </c>
      <c r="E2318" s="4" t="inlineStr"/>
      <c r="F2318" s="4" t="inlineStr">
        <is>
          <t>faqs.en.faqs[10]</t>
        </is>
      </c>
      <c r="G2318" s="4" t="inlineStr">
        <is>
          <t>C38@20261028-483e350c</t>
        </is>
      </c>
      <c r="H2318" s="4" t="n">
        <v>1</v>
      </c>
      <c r="I2318" s="4" t="n">
        <v>1</v>
      </c>
      <c r="J2318" s="4" t="inlineStr">
        <is>
          <t>The LPG Consumer Has Contacted The Call Center/LPG Distributor And Has Been Advised That The Subsidy Has Been Transferred On Date Dd/Mm/Yyyy To XYZ Bank But The Consumer Does Not Have A Bank Account In XYZ Bank. What Should He/She Do? 
Consumer needs to visit the concerned bank with their Aadhaar number. Bank will provide the consumer with the details of the bank account to which the subsidy has been transferred. Alternatively, the consumer may choose to link his/her Aadhaar number with any other bank by submitting the duly filled Bank Linking Form. For non-Aadhaar CTC consumers (BTC), he/she need to visit the concerned bank with the 17-digit LPG ID. Banks will provide the consumer with the details of the bank account to which the subsidy has been transferred.</t>
        </is>
      </c>
      <c r="K2318" s="4" t="inlineStr">
        <is>
          <t>MS-C38</t>
        </is>
      </c>
      <c r="L2318" s="6" t="n">
        <v>46323</v>
      </c>
      <c r="M2318" s="4" t="inlineStr">
        <is>
          <t>Approved</t>
        </is>
      </c>
      <c r="N2318" s="4" t="inlineStr">
        <is>
          <t>faq</t>
        </is>
      </c>
    </row>
    <row r="2319" ht="166" customHeight="1">
      <c r="A2319" s="8" t="inlineStr">
        <is>
          <t>C39-P0001</t>
        </is>
      </c>
      <c r="B2319" s="8" t="inlineStr">
        <is>
          <t>C39</t>
        </is>
      </c>
      <c r="C2319" s="8" t="inlineStr">
        <is>
          <t>Atal Bhujal Yojana</t>
        </is>
      </c>
      <c r="D2319" s="8" t="inlineStr">
        <is>
          <t>Details</t>
        </is>
      </c>
      <c r="E2319" s="8" t="inlineStr"/>
      <c r="F2319" s="8" t="inlineStr">
        <is>
          <t>en.schemeContent.detailedDescription[0]</t>
        </is>
      </c>
      <c r="G2319" s="8" t="inlineStr">
        <is>
          <t>C39@20261028-5776a732</t>
        </is>
      </c>
      <c r="H2319" s="8" t="n">
        <v>1</v>
      </c>
      <c r="I2319" s="8" t="n">
        <v>2</v>
      </c>
      <c r="J2319" s="8" t="inlineStr">
        <is>
          <t>The scheme "Atal Bhujal Yojana" was launched by the Department of Water Resources, River Development and Ganga Rejuvenation, Ministry of Jal Shakti, in 2020. The scheme aims to improve the management of groundwater resources in the water-stressed areas of the selected states. The scheme provides institutional strengthening, capacity building, and financial incentives for the preparation of community-led Water Security Plans, adoption of efficient water use practices, and improvement in the rate of decline of groundwater levels. The applicant must ensure community participation, measure groundwater levels, prepare a water budget, and develop a Gram Panchayat-level Water Security Plan. The scheme is implemented by the National Program Management Unit at the central level and State Program Management Units at the state level. The applications for this scheme are accepted through the submission of Water Security Plans to the District Program Management Units for further action and</t>
        </is>
      </c>
      <c r="K2319" s="8" t="inlineStr">
        <is>
          <t>MS-C39</t>
        </is>
      </c>
      <c r="L2319" s="9" t="n">
        <v>46323</v>
      </c>
      <c r="M2319" s="8" t="inlineStr">
        <is>
          <t>Approved</t>
        </is>
      </c>
      <c r="N2319" s="8" t="inlineStr">
        <is>
          <t>paragraph</t>
        </is>
      </c>
    </row>
    <row r="2320" ht="40" customHeight="1">
      <c r="A2320" s="4" t="inlineStr">
        <is>
          <t>C39-P0001</t>
        </is>
      </c>
      <c r="B2320" s="4" t="inlineStr">
        <is>
          <t>C39</t>
        </is>
      </c>
      <c r="C2320" s="4" t="inlineStr">
        <is>
          <t>Atal Bhujal Yojana</t>
        </is>
      </c>
      <c r="D2320" s="4" t="inlineStr">
        <is>
          <t>Details</t>
        </is>
      </c>
      <c r="E2320" s="4" t="inlineStr"/>
      <c r="F2320" s="4" t="inlineStr">
        <is>
          <t>en.schemeContent.detailedDescription[0]</t>
        </is>
      </c>
      <c r="G2320" s="4" t="inlineStr">
        <is>
          <t>C39@20261028-5776a732</t>
        </is>
      </c>
      <c r="H2320" s="4" t="n">
        <v>2</v>
      </c>
      <c r="I2320" s="4" t="n">
        <v>2</v>
      </c>
      <c r="J2320" s="4" t="inlineStr">
        <is>
          <t xml:space="preserve"> consolidation.</t>
        </is>
      </c>
      <c r="K2320" s="4" t="inlineStr">
        <is>
          <t>MS-C39</t>
        </is>
      </c>
      <c r="L2320" s="6" t="n">
        <v>46323</v>
      </c>
      <c r="M2320" s="4" t="inlineStr">
        <is>
          <t>Approved</t>
        </is>
      </c>
      <c r="N2320" s="4" t="inlineStr">
        <is>
          <t>paragraph</t>
        </is>
      </c>
    </row>
    <row r="2321" ht="54" customHeight="1">
      <c r="A2321" s="8" t="inlineStr">
        <is>
          <t>C39-P0002</t>
        </is>
      </c>
      <c r="B2321" s="8" t="inlineStr">
        <is>
          <t>C39</t>
        </is>
      </c>
      <c r="C2321" s="8" t="inlineStr">
        <is>
          <t>Atal Bhujal Yojana</t>
        </is>
      </c>
      <c r="D2321" s="8" t="inlineStr">
        <is>
          <t>Benefits</t>
        </is>
      </c>
      <c r="E2321" s="8" t="inlineStr"/>
      <c r="F2321" s="8" t="inlineStr">
        <is>
          <t>en.schemeContent.benefits[0].children[0]</t>
        </is>
      </c>
      <c r="G2321" s="8" t="inlineStr">
        <is>
          <t>C39@20261028-5776a732</t>
        </is>
      </c>
      <c r="H2321" s="8" t="n">
        <v>1</v>
      </c>
      <c r="I2321" s="8" t="n">
        <v>1</v>
      </c>
      <c r="J2321" s="8" t="inlineStr">
        <is>
          <t>The scheme provides an overall financial outlay of ₹60,00,00,00,000/- over five years, which includes ₹30,00,00,00,000/- as a loan from the World Bank and ₹30,00,00,00,000/- as a matching contribution from the Government of India.</t>
        </is>
      </c>
      <c r="K2321" s="8" t="inlineStr">
        <is>
          <t>MS-C39</t>
        </is>
      </c>
      <c r="L2321" s="9" t="n">
        <v>46323</v>
      </c>
      <c r="M2321" s="8" t="inlineStr">
        <is>
          <t>Approved</t>
        </is>
      </c>
      <c r="N2321" s="8" t="inlineStr">
        <is>
          <t>list_item</t>
        </is>
      </c>
    </row>
    <row r="2322" ht="54" customHeight="1">
      <c r="A2322" s="4" t="inlineStr">
        <is>
          <t>C39-P0003</t>
        </is>
      </c>
      <c r="B2322" s="4" t="inlineStr">
        <is>
          <t>C39</t>
        </is>
      </c>
      <c r="C2322" s="4" t="inlineStr">
        <is>
          <t>Atal Bhujal Yojana</t>
        </is>
      </c>
      <c r="D2322" s="4" t="inlineStr">
        <is>
          <t>Benefits</t>
        </is>
      </c>
      <c r="E2322" s="4" t="inlineStr"/>
      <c r="F2322" s="4" t="inlineStr">
        <is>
          <t>en.schemeContent.benefits[0].children[1]</t>
        </is>
      </c>
      <c r="G2322" s="4" t="inlineStr">
        <is>
          <t>C39@20261028-5776a732</t>
        </is>
      </c>
      <c r="H2322" s="4" t="n">
        <v>1</v>
      </c>
      <c r="I2322" s="4" t="n">
        <v>1</v>
      </c>
      <c r="J2322" s="4" t="inlineStr">
        <is>
          <t>The Institutional Strengthening and Capacity Building Component offers ₹14,00,00,00,000/- for training, community mobilization, and the procurement of equipment such as Digital Water Level Recorders, rain gauges, and water quality testing kits.</t>
        </is>
      </c>
      <c r="K2322" s="4" t="inlineStr">
        <is>
          <t>MS-C39</t>
        </is>
      </c>
      <c r="L2322" s="6" t="n">
        <v>46323</v>
      </c>
      <c r="M2322" s="4" t="inlineStr">
        <is>
          <t>Approved</t>
        </is>
      </c>
      <c r="N2322" s="4" t="inlineStr">
        <is>
          <t>list_item</t>
        </is>
      </c>
    </row>
    <row r="2323" ht="40" customHeight="1">
      <c r="A2323" s="8" t="inlineStr">
        <is>
          <t>C39-P0004</t>
        </is>
      </c>
      <c r="B2323" s="8" t="inlineStr">
        <is>
          <t>C39</t>
        </is>
      </c>
      <c r="C2323" s="8" t="inlineStr">
        <is>
          <t>Atal Bhujal Yojana</t>
        </is>
      </c>
      <c r="D2323" s="8" t="inlineStr">
        <is>
          <t>Benefits</t>
        </is>
      </c>
      <c r="E2323" s="8" t="inlineStr"/>
      <c r="F2323" s="8" t="inlineStr">
        <is>
          <t>en.schemeContent.benefits[0].children[2]</t>
        </is>
      </c>
      <c r="G2323" s="8" t="inlineStr">
        <is>
          <t>C39@20261028-5776a732</t>
        </is>
      </c>
      <c r="H2323" s="8" t="n">
        <v>1</v>
      </c>
      <c r="I2323" s="8" t="n">
        <v>1</v>
      </c>
      <c r="J2323" s="8" t="inlineStr">
        <is>
          <t>The Incentive Component provides ₹46,00,00,00,000/- in financial rewards to states and Gram Panchayats for achieving predefined targets in groundwater management.</t>
        </is>
      </c>
      <c r="K2323" s="8" t="inlineStr">
        <is>
          <t>MS-C39</t>
        </is>
      </c>
      <c r="L2323" s="9" t="n">
        <v>46323</v>
      </c>
      <c r="M2323" s="8" t="inlineStr">
        <is>
          <t>Approved</t>
        </is>
      </c>
      <c r="N2323" s="8" t="inlineStr">
        <is>
          <t>list_item</t>
        </is>
      </c>
    </row>
    <row r="2324" ht="54" customHeight="1">
      <c r="A2324" s="4" t="inlineStr">
        <is>
          <t>C39-P0005</t>
        </is>
      </c>
      <c r="B2324" s="4" t="inlineStr">
        <is>
          <t>C39</t>
        </is>
      </c>
      <c r="C2324" s="4" t="inlineStr">
        <is>
          <t>Atal Bhujal Yojana</t>
        </is>
      </c>
      <c r="D2324" s="4" t="inlineStr">
        <is>
          <t>Benefits</t>
        </is>
      </c>
      <c r="E2324" s="4" t="inlineStr"/>
      <c r="F2324" s="4" t="inlineStr">
        <is>
          <t>en.schemeContent.benefits[0].children[3]</t>
        </is>
      </c>
      <c r="G2324" s="4" t="inlineStr">
        <is>
          <t>C39@20261028-5776a732</t>
        </is>
      </c>
      <c r="H2324" s="4" t="n">
        <v>1</v>
      </c>
      <c r="I2324" s="4" t="n">
        <v>1</v>
      </c>
      <c r="J2324" s="4" t="inlineStr">
        <is>
          <t>The scheme funds demand-side interventions, including micro-irrigation practices like drip and sprinkler systems, the use of recycled or reused water for irrigation, underground pipelines, and crop diversification.</t>
        </is>
      </c>
      <c r="K2324" s="4" t="inlineStr">
        <is>
          <t>MS-C39</t>
        </is>
      </c>
      <c r="L2324" s="6" t="n">
        <v>46323</v>
      </c>
      <c r="M2324" s="4" t="inlineStr">
        <is>
          <t>Approved</t>
        </is>
      </c>
      <c r="N2324" s="4" t="inlineStr">
        <is>
          <t>list_item</t>
        </is>
      </c>
    </row>
    <row r="2325" ht="54" customHeight="1">
      <c r="A2325" s="8" t="inlineStr">
        <is>
          <t>C39-P0006</t>
        </is>
      </c>
      <c r="B2325" s="8" t="inlineStr">
        <is>
          <t>C39</t>
        </is>
      </c>
      <c r="C2325" s="8" t="inlineStr">
        <is>
          <t>Atal Bhujal Yojana</t>
        </is>
      </c>
      <c r="D2325" s="8" t="inlineStr">
        <is>
          <t>Benefits</t>
        </is>
      </c>
      <c r="E2325" s="8" t="inlineStr"/>
      <c r="F2325" s="8" t="inlineStr">
        <is>
          <t>en.schemeContent.benefits[0].children[4]</t>
        </is>
      </c>
      <c r="G2325" s="8" t="inlineStr">
        <is>
          <t>C39@20261028-5776a732</t>
        </is>
      </c>
      <c r="H2325" s="8" t="n">
        <v>1</v>
      </c>
      <c r="I2325" s="8" t="n">
        <v>1</v>
      </c>
      <c r="J2325" s="8" t="inlineStr">
        <is>
          <t>The scheme supports supply-side interventions, including the construction of artificial recharge and water conservation structures such as check dams, percolation ponds, contour trenches, sub-surface dykes, and farm ponds.</t>
        </is>
      </c>
      <c r="K2325" s="8" t="inlineStr">
        <is>
          <t>MS-C39</t>
        </is>
      </c>
      <c r="L2325" s="9" t="n">
        <v>46323</v>
      </c>
      <c r="M2325" s="8" t="inlineStr">
        <is>
          <t>Approved</t>
        </is>
      </c>
      <c r="N2325" s="8" t="inlineStr">
        <is>
          <t>list_item</t>
        </is>
      </c>
    </row>
    <row r="2326" ht="54" customHeight="1">
      <c r="A2326" s="4" t="inlineStr">
        <is>
          <t>C39-P0007</t>
        </is>
      </c>
      <c r="B2326" s="4" t="inlineStr">
        <is>
          <t>C39</t>
        </is>
      </c>
      <c r="C2326" s="4" t="inlineStr">
        <is>
          <t>Atal Bhujal Yojana</t>
        </is>
      </c>
      <c r="D2326" s="4" t="inlineStr">
        <is>
          <t>Benefits</t>
        </is>
      </c>
      <c r="E2326" s="4" t="inlineStr"/>
      <c r="F2326" s="4" t="inlineStr">
        <is>
          <t>en.schemeContent.benefits[0].children[5]</t>
        </is>
      </c>
      <c r="G2326" s="4" t="inlineStr">
        <is>
          <t>C39@20261028-5776a732</t>
        </is>
      </c>
      <c r="H2326" s="4" t="n">
        <v>1</v>
      </c>
      <c r="I2326" s="4" t="n">
        <v>1</v>
      </c>
      <c r="J2326" s="4" t="inlineStr">
        <is>
          <t>The scheme provides for the upgrading of state-level groundwater quality laboratories to receive accreditation from the National Accreditation Board for Testing and Calibration Laboratories.</t>
        </is>
      </c>
      <c r="K2326" s="4" t="inlineStr">
        <is>
          <t>MS-C39</t>
        </is>
      </c>
      <c r="L2326" s="6" t="n">
        <v>46323</v>
      </c>
      <c r="M2326" s="4" t="inlineStr">
        <is>
          <t>Approved</t>
        </is>
      </c>
      <c r="N2326" s="4" t="inlineStr">
        <is>
          <t>list_item</t>
        </is>
      </c>
    </row>
    <row r="2327" ht="40" customHeight="1">
      <c r="A2327" s="8" t="inlineStr">
        <is>
          <t>C39-P0008</t>
        </is>
      </c>
      <c r="B2327" s="8" t="inlineStr">
        <is>
          <t>C39</t>
        </is>
      </c>
      <c r="C2327" s="8" t="inlineStr">
        <is>
          <t>Atal Bhujal Yojana</t>
        </is>
      </c>
      <c r="D2327" s="8" t="inlineStr">
        <is>
          <t>Benefits</t>
        </is>
      </c>
      <c r="E2327" s="8" t="inlineStr"/>
      <c r="F2327" s="8" t="inlineStr">
        <is>
          <t>en.schemeContent.benefits[1].children[0]</t>
        </is>
      </c>
      <c r="G2327" s="8" t="inlineStr">
        <is>
          <t>C39@20261028-5776a732</t>
        </is>
      </c>
      <c r="H2327" s="8" t="n">
        <v>1</v>
      </c>
      <c r="I2327" s="8" t="n">
        <v>1</v>
      </c>
      <c r="J2327" s="8" t="inlineStr">
        <is>
          <t>Conditions</t>
        </is>
      </c>
      <c r="K2327" s="8" t="inlineStr">
        <is>
          <t>MS-C39</t>
        </is>
      </c>
      <c r="L2327" s="9" t="n">
        <v>46323</v>
      </c>
      <c r="M2327" s="8" t="inlineStr">
        <is>
          <t>Approved</t>
        </is>
      </c>
      <c r="N2327" s="8" t="inlineStr">
        <is>
          <t>text</t>
        </is>
      </c>
    </row>
    <row r="2328" ht="40" customHeight="1">
      <c r="A2328" s="4" t="inlineStr">
        <is>
          <t>C39-P0009</t>
        </is>
      </c>
      <c r="B2328" s="4" t="inlineStr">
        <is>
          <t>C39</t>
        </is>
      </c>
      <c r="C2328" s="4" t="inlineStr">
        <is>
          <t>Atal Bhujal Yojana</t>
        </is>
      </c>
      <c r="D2328" s="4" t="inlineStr">
        <is>
          <t>Benefits</t>
        </is>
      </c>
      <c r="E2328" s="4" t="inlineStr"/>
      <c r="F2328" s="4" t="inlineStr">
        <is>
          <t>en.schemeContent.benefits[2].children[0]</t>
        </is>
      </c>
      <c r="G2328" s="4" t="inlineStr">
        <is>
          <t>C39@20261028-5776a732</t>
        </is>
      </c>
      <c r="H2328" s="4" t="n">
        <v>1</v>
      </c>
      <c r="I2328" s="4" t="n">
        <v>1</v>
      </c>
      <c r="J2328" s="4" t="inlineStr">
        <is>
          <t>The beneficiary must form or strengthen a Village Water and Sanitation Committee to function as the Participatory Groundwater Management Committee.</t>
        </is>
      </c>
      <c r="K2328" s="4" t="inlineStr">
        <is>
          <t>MS-C39</t>
        </is>
      </c>
      <c r="L2328" s="6" t="n">
        <v>46323</v>
      </c>
      <c r="M2328" s="4" t="inlineStr">
        <is>
          <t>Approved</t>
        </is>
      </c>
      <c r="N2328" s="4" t="inlineStr">
        <is>
          <t>list_item</t>
        </is>
      </c>
    </row>
    <row r="2329" ht="40" customHeight="1">
      <c r="A2329" s="8" t="inlineStr">
        <is>
          <t>C39-P0010</t>
        </is>
      </c>
      <c r="B2329" s="8" t="inlineStr">
        <is>
          <t>C39</t>
        </is>
      </c>
      <c r="C2329" s="8" t="inlineStr">
        <is>
          <t>Atal Bhujal Yojana</t>
        </is>
      </c>
      <c r="D2329" s="8" t="inlineStr">
        <is>
          <t>Benefits</t>
        </is>
      </c>
      <c r="E2329" s="8" t="inlineStr"/>
      <c r="F2329" s="8" t="inlineStr">
        <is>
          <t>en.schemeContent.benefits[2].children[1]</t>
        </is>
      </c>
      <c r="G2329" s="8" t="inlineStr">
        <is>
          <t>C39@20261028-5776a732</t>
        </is>
      </c>
      <c r="H2329" s="8" t="n">
        <v>1</v>
      </c>
      <c r="I2329" s="8" t="n">
        <v>1</v>
      </c>
      <c r="J2329" s="8" t="inlineStr">
        <is>
          <t>The beneficiary must continuously engage in regular water budgeting exercises, preferably season-wise or at least once a year.</t>
        </is>
      </c>
      <c r="K2329" s="8" t="inlineStr">
        <is>
          <t>MS-C39</t>
        </is>
      </c>
      <c r="L2329" s="9" t="n">
        <v>46323</v>
      </c>
      <c r="M2329" s="8" t="inlineStr">
        <is>
          <t>Approved</t>
        </is>
      </c>
      <c r="N2329" s="8" t="inlineStr">
        <is>
          <t>list_item</t>
        </is>
      </c>
    </row>
    <row r="2330" ht="40" customHeight="1">
      <c r="A2330" s="4" t="inlineStr">
        <is>
          <t>C39-P0011</t>
        </is>
      </c>
      <c r="B2330" s="4" t="inlineStr">
        <is>
          <t>C39</t>
        </is>
      </c>
      <c r="C2330" s="4" t="inlineStr">
        <is>
          <t>Atal Bhujal Yojana</t>
        </is>
      </c>
      <c r="D2330" s="4" t="inlineStr">
        <is>
          <t>Benefits</t>
        </is>
      </c>
      <c r="E2330" s="4" t="inlineStr"/>
      <c r="F2330" s="4" t="inlineStr">
        <is>
          <t>en.schemeContent.benefits[2].children[2]</t>
        </is>
      </c>
      <c r="G2330" s="4" t="inlineStr">
        <is>
          <t>C39@20261028-5776a732</t>
        </is>
      </c>
      <c r="H2330" s="4" t="n">
        <v>1</v>
      </c>
      <c r="I2330" s="4" t="n">
        <v>1</v>
      </c>
      <c r="J2330" s="4" t="inlineStr">
        <is>
          <t>The beneficiary must update the Water Security Plan on an annual basis to reflect changing water needs and interventions.</t>
        </is>
      </c>
      <c r="K2330" s="4" t="inlineStr">
        <is>
          <t>MS-C39</t>
        </is>
      </c>
      <c r="L2330" s="6" t="n">
        <v>46323</v>
      </c>
      <c r="M2330" s="4" t="inlineStr">
        <is>
          <t>Approved</t>
        </is>
      </c>
      <c r="N2330" s="4" t="inlineStr">
        <is>
          <t>list_item</t>
        </is>
      </c>
    </row>
    <row r="2331" ht="40" customHeight="1">
      <c r="A2331" s="8" t="inlineStr">
        <is>
          <t>C39-P0012</t>
        </is>
      </c>
      <c r="B2331" s="8" t="inlineStr">
        <is>
          <t>C39</t>
        </is>
      </c>
      <c r="C2331" s="8" t="inlineStr">
        <is>
          <t>Atal Bhujal Yojana</t>
        </is>
      </c>
      <c r="D2331" s="8" t="inlineStr">
        <is>
          <t>Benefits</t>
        </is>
      </c>
      <c r="E2331" s="8" t="inlineStr"/>
      <c r="F2331" s="8" t="inlineStr">
        <is>
          <t>en.schemeContent.benefits[2].children[3]</t>
        </is>
      </c>
      <c r="G2331" s="8" t="inlineStr">
        <is>
          <t>C39@20261028-5776a732</t>
        </is>
      </c>
      <c r="H2331" s="8" t="n">
        <v>1</v>
      </c>
      <c r="I2331" s="8" t="n">
        <v>1</v>
      </c>
      <c r="J2331" s="8" t="inlineStr">
        <is>
          <t>The beneficiary must actively conduct social audits to gather community feedback regarding the activities undertaken during the implementation of the scheme.</t>
        </is>
      </c>
      <c r="K2331" s="8" t="inlineStr">
        <is>
          <t>MS-C39</t>
        </is>
      </c>
      <c r="L2331" s="9" t="n">
        <v>46323</v>
      </c>
      <c r="M2331" s="8" t="inlineStr">
        <is>
          <t>Approved</t>
        </is>
      </c>
      <c r="N2331" s="8" t="inlineStr">
        <is>
          <t>list_item</t>
        </is>
      </c>
    </row>
    <row r="2332" ht="40" customHeight="1">
      <c r="A2332" s="4" t="inlineStr">
        <is>
          <t>C39-P0013</t>
        </is>
      </c>
      <c r="B2332" s="4" t="inlineStr">
        <is>
          <t>C39</t>
        </is>
      </c>
      <c r="C2332" s="4" t="inlineStr">
        <is>
          <t>Atal Bhujal Yojana</t>
        </is>
      </c>
      <c r="D2332" s="4" t="inlineStr">
        <is>
          <t>Benefits</t>
        </is>
      </c>
      <c r="E2332" s="4" t="inlineStr"/>
      <c r="F2332" s="4" t="inlineStr">
        <is>
          <t>en.schemeContent.benefits[2].children[4]</t>
        </is>
      </c>
      <c r="G2332" s="4" t="inlineStr">
        <is>
          <t>C39@20261028-5776a732</t>
        </is>
      </c>
      <c r="H2332" s="4" t="n">
        <v>1</v>
      </c>
      <c r="I2332" s="4" t="n">
        <v>1</v>
      </c>
      <c r="J2332" s="4" t="inlineStr">
        <is>
          <t>The beneficiary must maintain proper documentation and submit audited financial statements and utilization certificates to avoid the recall of scheme funds.</t>
        </is>
      </c>
      <c r="K2332" s="4" t="inlineStr">
        <is>
          <t>MS-C39</t>
        </is>
      </c>
      <c r="L2332" s="6" t="n">
        <v>46323</v>
      </c>
      <c r="M2332" s="4" t="inlineStr">
        <is>
          <t>Approved</t>
        </is>
      </c>
      <c r="N2332" s="4" t="inlineStr">
        <is>
          <t>list_item</t>
        </is>
      </c>
    </row>
    <row r="2333" ht="40" customHeight="1">
      <c r="A2333" s="8" t="inlineStr">
        <is>
          <t>C39-P0014</t>
        </is>
      </c>
      <c r="B2333" s="8" t="inlineStr">
        <is>
          <t>C39</t>
        </is>
      </c>
      <c r="C2333" s="8" t="inlineStr">
        <is>
          <t>Atal Bhujal Yojana</t>
        </is>
      </c>
      <c r="D2333" s="8" t="inlineStr">
        <is>
          <t>Eligibility</t>
        </is>
      </c>
      <c r="E2333" s="8" t="inlineStr"/>
      <c r="F2333" s="8" t="inlineStr">
        <is>
          <t>en.eligibilityCriteria.eligibilityDescription[0].children[0]</t>
        </is>
      </c>
      <c r="G2333" s="8" t="inlineStr">
        <is>
          <t>C39@20261028-5776a732</t>
        </is>
      </c>
      <c r="H2333" s="8" t="n">
        <v>1</v>
      </c>
      <c r="I2333" s="8" t="n">
        <v>1</v>
      </c>
      <c r="J2333" s="8" t="inlineStr">
        <is>
          <t>The applicant must reside or operate within the identified water-stressed districts, blocks, or Gram Panchayats selected for the scheme.</t>
        </is>
      </c>
      <c r="K2333" s="8" t="inlineStr">
        <is>
          <t>MS-C39</t>
        </is>
      </c>
      <c r="L2333" s="9" t="n">
        <v>46323</v>
      </c>
      <c r="M2333" s="8" t="inlineStr">
        <is>
          <t>Approved</t>
        </is>
      </c>
      <c r="N2333" s="8" t="inlineStr">
        <is>
          <t>list_item</t>
        </is>
      </c>
    </row>
    <row r="2334" ht="40" customHeight="1">
      <c r="A2334" s="4" t="inlineStr">
        <is>
          <t>C39-P0015</t>
        </is>
      </c>
      <c r="B2334" s="4" t="inlineStr">
        <is>
          <t>C39</t>
        </is>
      </c>
      <c r="C2334" s="4" t="inlineStr">
        <is>
          <t>Atal Bhujal Yojana</t>
        </is>
      </c>
      <c r="D2334" s="4" t="inlineStr">
        <is>
          <t>Eligibility</t>
        </is>
      </c>
      <c r="E2334" s="4" t="inlineStr"/>
      <c r="F2334" s="4" t="inlineStr">
        <is>
          <t>en.eligibilityCriteria.eligibilityDescription[0].children[1]</t>
        </is>
      </c>
      <c r="G2334" s="4" t="inlineStr">
        <is>
          <t>C39@20261028-5776a732</t>
        </is>
      </c>
      <c r="H2334" s="4" t="n">
        <v>1</v>
      </c>
      <c r="I2334" s="4" t="n">
        <v>1</v>
      </c>
      <c r="J2334" s="4" t="inlineStr">
        <is>
          <t>The applicant must be located in one of the seven participating states, namely Gujarat, Haryana, Karnataka, Madhya Pradesh, Maharashtra, Rajasthan, or Uttar Pradesh.</t>
        </is>
      </c>
      <c r="K2334" s="4" t="inlineStr">
        <is>
          <t>MS-C39</t>
        </is>
      </c>
      <c r="L2334" s="6" t="n">
        <v>46323</v>
      </c>
      <c r="M2334" s="4" t="inlineStr">
        <is>
          <t>Approved</t>
        </is>
      </c>
      <c r="N2334" s="4" t="inlineStr">
        <is>
          <t>list_item</t>
        </is>
      </c>
    </row>
    <row r="2335" ht="40" customHeight="1">
      <c r="A2335" s="8" t="inlineStr">
        <is>
          <t>C39-P0016</t>
        </is>
      </c>
      <c r="B2335" s="8" t="inlineStr">
        <is>
          <t>C39</t>
        </is>
      </c>
      <c r="C2335" s="8" t="inlineStr">
        <is>
          <t>Atal Bhujal Yojana</t>
        </is>
      </c>
      <c r="D2335" s="8" t="inlineStr">
        <is>
          <t>Eligibility</t>
        </is>
      </c>
      <c r="E2335" s="8" t="inlineStr"/>
      <c r="F2335" s="8" t="inlineStr">
        <is>
          <t>en.eligibilityCriteria.eligibilityDescription[0].children[2]</t>
        </is>
      </c>
      <c r="G2335" s="8" t="inlineStr">
        <is>
          <t>C39@20261028-5776a732</t>
        </is>
      </c>
      <c r="H2335" s="8" t="n">
        <v>1</v>
      </c>
      <c r="I2335" s="8" t="n">
        <v>1</v>
      </c>
      <c r="J2335" s="8" t="inlineStr">
        <is>
          <t>The applicant must formulate a Water Security Plan with active community participation.</t>
        </is>
      </c>
      <c r="K2335" s="8" t="inlineStr">
        <is>
          <t>MS-C39</t>
        </is>
      </c>
      <c r="L2335" s="9" t="n">
        <v>46323</v>
      </c>
      <c r="M2335" s="8" t="inlineStr">
        <is>
          <t>Approved</t>
        </is>
      </c>
      <c r="N2335" s="8" t="inlineStr">
        <is>
          <t>list_item</t>
        </is>
      </c>
    </row>
    <row r="2336" ht="40" customHeight="1">
      <c r="A2336" s="4" t="inlineStr">
        <is>
          <t>C39-P0017</t>
        </is>
      </c>
      <c r="B2336" s="4" t="inlineStr">
        <is>
          <t>C39</t>
        </is>
      </c>
      <c r="C2336" s="4" t="inlineStr">
        <is>
          <t>Atal Bhujal Yojana</t>
        </is>
      </c>
      <c r="D2336" s="4" t="inlineStr">
        <is>
          <t>Eligibility</t>
        </is>
      </c>
      <c r="E2336" s="4" t="inlineStr"/>
      <c r="F2336" s="4" t="inlineStr">
        <is>
          <t>en.eligibilityCriteria.eligibilityDescription[0].children[3]</t>
        </is>
      </c>
      <c r="G2336" s="4" t="inlineStr">
        <is>
          <t>C39@20261028-5776a732</t>
        </is>
      </c>
      <c r="H2336" s="4" t="n">
        <v>1</v>
      </c>
      <c r="I2336" s="4" t="n">
        <v>1</v>
      </c>
      <c r="J2336" s="4" t="inlineStr">
        <is>
          <t>The applicant must obtain the final approval of the prepared Water Security Plan from the Gram Sabha.</t>
        </is>
      </c>
      <c r="K2336" s="4" t="inlineStr">
        <is>
          <t>MS-C39</t>
        </is>
      </c>
      <c r="L2336" s="6" t="n">
        <v>46323</v>
      </c>
      <c r="M2336" s="4" t="inlineStr">
        <is>
          <t>Approved</t>
        </is>
      </c>
      <c r="N2336" s="4" t="inlineStr">
        <is>
          <t>list_item</t>
        </is>
      </c>
    </row>
    <row r="2337" ht="40" customHeight="1">
      <c r="A2337" s="8" t="inlineStr">
        <is>
          <t>C39-P0018</t>
        </is>
      </c>
      <c r="B2337" s="8" t="inlineStr">
        <is>
          <t>C39</t>
        </is>
      </c>
      <c r="C2337" s="8" t="inlineStr">
        <is>
          <t>Atal Bhujal Yojana</t>
        </is>
      </c>
      <c r="D2337" s="8" t="inlineStr">
        <is>
          <t>Eligibility</t>
        </is>
      </c>
      <c r="E2337" s="8" t="inlineStr"/>
      <c r="F2337" s="8" t="inlineStr">
        <is>
          <t>en.eligibilityCriteria.eligibilityDescription[0].children[4]</t>
        </is>
      </c>
      <c r="G2337" s="8" t="inlineStr">
        <is>
          <t>C39@20261028-5776a732</t>
        </is>
      </c>
      <c r="H2337" s="8" t="n">
        <v>1</v>
      </c>
      <c r="I2337" s="8" t="n">
        <v>1</v>
      </c>
      <c r="J2337" s="8" t="inlineStr">
        <is>
          <t>The applicant must ensure the presence of at least 33% female members in the Gram Panchayat-level Water User Associations or Village Water and Sanitation Committees.</t>
        </is>
      </c>
      <c r="K2337" s="8" t="inlineStr">
        <is>
          <t>MS-C39</t>
        </is>
      </c>
      <c r="L2337" s="9" t="n">
        <v>46323</v>
      </c>
      <c r="M2337" s="8" t="inlineStr">
        <is>
          <t>Approved</t>
        </is>
      </c>
      <c r="N2337" s="8" t="inlineStr">
        <is>
          <t>list_item</t>
        </is>
      </c>
    </row>
    <row r="2338" ht="40" customHeight="1">
      <c r="A2338" s="4" t="inlineStr">
        <is>
          <t>C39-P0019</t>
        </is>
      </c>
      <c r="B2338" s="4" t="inlineStr">
        <is>
          <t>C39</t>
        </is>
      </c>
      <c r="C2338" s="4" t="inlineStr">
        <is>
          <t>Atal Bhujal Yojana</t>
        </is>
      </c>
      <c r="D2338" s="4" t="inlineStr">
        <is>
          <t>Eligibility</t>
        </is>
      </c>
      <c r="E2338" s="4" t="inlineStr"/>
      <c r="F2338" s="4" t="inlineStr">
        <is>
          <t>en.eligibilityCriteria.eligibilityDescription[0].children[5]</t>
        </is>
      </c>
      <c r="G2338" s="4" t="inlineStr">
        <is>
          <t>C39@20261028-5776a732</t>
        </is>
      </c>
      <c r="H2338" s="4" t="n">
        <v>1</v>
      </c>
      <c r="I2338" s="4" t="n">
        <v>1</v>
      </c>
      <c r="J2338" s="4" t="inlineStr">
        <is>
          <t>The applicant should identify and train local volunteers or community resource persons to handle data collection equipment.</t>
        </is>
      </c>
      <c r="K2338" s="4" t="inlineStr">
        <is>
          <t>MS-C39</t>
        </is>
      </c>
      <c r="L2338" s="6" t="n">
        <v>46323</v>
      </c>
      <c r="M2338" s="4" t="inlineStr">
        <is>
          <t>Approved</t>
        </is>
      </c>
      <c r="N2338" s="4" t="inlineStr">
        <is>
          <t>list_item</t>
        </is>
      </c>
    </row>
    <row r="2339" ht="40" customHeight="1">
      <c r="A2339" s="8" t="inlineStr">
        <is>
          <t>C39-P0020</t>
        </is>
      </c>
      <c r="B2339" s="8" t="inlineStr">
        <is>
          <t>C39</t>
        </is>
      </c>
      <c r="C2339" s="8" t="inlineStr">
        <is>
          <t>Atal Bhujal Yojana</t>
        </is>
      </c>
      <c r="D2339" s="8" t="inlineStr">
        <is>
          <t>Exclusions</t>
        </is>
      </c>
      <c r="E2339" s="8" t="inlineStr"/>
      <c r="F2339" s="8" t="inlineStr">
        <is>
          <t>en.schemeContent.exclusions[0]</t>
        </is>
      </c>
      <c r="G2339" s="8" t="inlineStr">
        <is>
          <t>C39@20261028-5776a732</t>
        </is>
      </c>
      <c r="H2339" s="8" t="n">
        <v>1</v>
      </c>
      <c r="I2339" s="8" t="n">
        <v>1</v>
      </c>
      <c r="J2339" s="8" t="inlineStr">
        <is>
          <t>The applicant MUST NOT utilize the scheme funds for -</t>
        </is>
      </c>
      <c r="K2339" s="8" t="inlineStr">
        <is>
          <t>MS-C39</t>
        </is>
      </c>
      <c r="L2339" s="9" t="n">
        <v>46323</v>
      </c>
      <c r="M2339" s="8" t="inlineStr">
        <is>
          <t>Approved</t>
        </is>
      </c>
      <c r="N2339" s="8" t="inlineStr">
        <is>
          <t>paragraph</t>
        </is>
      </c>
    </row>
    <row r="2340" ht="40" customHeight="1">
      <c r="A2340" s="4" t="inlineStr">
        <is>
          <t>C39-P0021</t>
        </is>
      </c>
      <c r="B2340" s="4" t="inlineStr">
        <is>
          <t>C39</t>
        </is>
      </c>
      <c r="C2340" s="4" t="inlineStr">
        <is>
          <t>Atal Bhujal Yojana</t>
        </is>
      </c>
      <c r="D2340" s="4" t="inlineStr">
        <is>
          <t>Exclusions</t>
        </is>
      </c>
      <c r="E2340" s="4" t="inlineStr"/>
      <c r="F2340" s="4" t="inlineStr">
        <is>
          <t>en.schemeContent.exclusions[1].children[0]</t>
        </is>
      </c>
      <c r="G2340" s="4" t="inlineStr">
        <is>
          <t>C39@20261028-5776a732</t>
        </is>
      </c>
      <c r="H2340" s="4" t="n">
        <v>1</v>
      </c>
      <c r="I2340" s="4" t="n">
        <v>1</v>
      </c>
      <c r="J2340" s="4" t="inlineStr">
        <is>
          <t>Construction of major or minor dams.</t>
        </is>
      </c>
      <c r="K2340" s="4" t="inlineStr">
        <is>
          <t>MS-C39</t>
        </is>
      </c>
      <c r="L2340" s="6" t="n">
        <v>46323</v>
      </c>
      <c r="M2340" s="4" t="inlineStr">
        <is>
          <t>Approved</t>
        </is>
      </c>
      <c r="N2340" s="4" t="inlineStr">
        <is>
          <t>list_item</t>
        </is>
      </c>
    </row>
    <row r="2341" ht="40" customHeight="1">
      <c r="A2341" s="8" t="inlineStr">
        <is>
          <t>C39-P0022</t>
        </is>
      </c>
      <c r="B2341" s="8" t="inlineStr">
        <is>
          <t>C39</t>
        </is>
      </c>
      <c r="C2341" s="8" t="inlineStr">
        <is>
          <t>Atal Bhujal Yojana</t>
        </is>
      </c>
      <c r="D2341" s="8" t="inlineStr">
        <is>
          <t>Exclusions</t>
        </is>
      </c>
      <c r="E2341" s="8" t="inlineStr"/>
      <c r="F2341" s="8" t="inlineStr">
        <is>
          <t>en.schemeContent.exclusions[1].children[1]</t>
        </is>
      </c>
      <c r="G2341" s="8" t="inlineStr">
        <is>
          <t>C39@20261028-5776a732</t>
        </is>
      </c>
      <c r="H2341" s="8" t="n">
        <v>1</v>
      </c>
      <c r="I2341" s="8" t="n">
        <v>1</v>
      </c>
      <c r="J2341" s="8" t="inlineStr">
        <is>
          <t>Construction of new large-scale irrigation systems.</t>
        </is>
      </c>
      <c r="K2341" s="8" t="inlineStr">
        <is>
          <t>MS-C39</t>
        </is>
      </c>
      <c r="L2341" s="9" t="n">
        <v>46323</v>
      </c>
      <c r="M2341" s="8" t="inlineStr">
        <is>
          <t>Approved</t>
        </is>
      </c>
      <c r="N2341" s="8" t="inlineStr">
        <is>
          <t>list_item</t>
        </is>
      </c>
    </row>
    <row r="2342" ht="40" customHeight="1">
      <c r="A2342" s="4" t="inlineStr">
        <is>
          <t>C39-P0023</t>
        </is>
      </c>
      <c r="B2342" s="4" t="inlineStr">
        <is>
          <t>C39</t>
        </is>
      </c>
      <c r="C2342" s="4" t="inlineStr">
        <is>
          <t>Atal Bhujal Yojana</t>
        </is>
      </c>
      <c r="D2342" s="4" t="inlineStr">
        <is>
          <t>Exclusions</t>
        </is>
      </c>
      <c r="E2342" s="4" t="inlineStr"/>
      <c r="F2342" s="4" t="inlineStr">
        <is>
          <t>en.schemeContent.exclusions[1].children[2]</t>
        </is>
      </c>
      <c r="G2342" s="4" t="inlineStr">
        <is>
          <t>C39@20261028-5776a732</t>
        </is>
      </c>
      <c r="H2342" s="4" t="n">
        <v>1</v>
      </c>
      <c r="I2342" s="4" t="n">
        <v>1</v>
      </c>
      <c r="J2342" s="4" t="inlineStr">
        <is>
          <t>Major industrial wastewater collection, treatment, and injection systems.</t>
        </is>
      </c>
      <c r="K2342" s="4" t="inlineStr">
        <is>
          <t>MS-C39</t>
        </is>
      </c>
      <c r="L2342" s="6" t="n">
        <v>46323</v>
      </c>
      <c r="M2342" s="4" t="inlineStr">
        <is>
          <t>Approved</t>
        </is>
      </c>
      <c r="N2342" s="4" t="inlineStr">
        <is>
          <t>list_item</t>
        </is>
      </c>
    </row>
    <row r="2343" ht="40" customHeight="1">
      <c r="A2343" s="8" t="inlineStr">
        <is>
          <t>C39-P0024</t>
        </is>
      </c>
      <c r="B2343" s="8" t="inlineStr">
        <is>
          <t>C39</t>
        </is>
      </c>
      <c r="C2343" s="8" t="inlineStr">
        <is>
          <t>Atal Bhujal Yojana</t>
        </is>
      </c>
      <c r="D2343" s="8" t="inlineStr">
        <is>
          <t>Exclusions</t>
        </is>
      </c>
      <c r="E2343" s="8" t="inlineStr"/>
      <c r="F2343" s="8" t="inlineStr">
        <is>
          <t>en.schemeContent.exclusions[1].children[3]</t>
        </is>
      </c>
      <c r="G2343" s="8" t="inlineStr">
        <is>
          <t>C39@20261028-5776a732</t>
        </is>
      </c>
      <c r="H2343" s="8" t="n">
        <v>1</v>
      </c>
      <c r="I2343" s="8" t="n">
        <v>1</v>
      </c>
      <c r="J2343" s="8" t="inlineStr">
        <is>
          <t>Payment of salaries to government employees.</t>
        </is>
      </c>
      <c r="K2343" s="8" t="inlineStr">
        <is>
          <t>MS-C39</t>
        </is>
      </c>
      <c r="L2343" s="9" t="n">
        <v>46323</v>
      </c>
      <c r="M2343" s="8" t="inlineStr">
        <is>
          <t>Approved</t>
        </is>
      </c>
      <c r="N2343" s="8" t="inlineStr">
        <is>
          <t>list_item</t>
        </is>
      </c>
    </row>
    <row r="2344" ht="40" customHeight="1">
      <c r="A2344" s="4" t="inlineStr">
        <is>
          <t>C39-P0025</t>
        </is>
      </c>
      <c r="B2344" s="4" t="inlineStr">
        <is>
          <t>C39</t>
        </is>
      </c>
      <c r="C2344" s="4" t="inlineStr">
        <is>
          <t>Atal Bhujal Yojana</t>
        </is>
      </c>
      <c r="D2344" s="4" t="inlineStr">
        <is>
          <t>Exclusions</t>
        </is>
      </c>
      <c r="E2344" s="4" t="inlineStr"/>
      <c r="F2344" s="4" t="inlineStr">
        <is>
          <t>en.schemeContent.exclusions[1].children[4]</t>
        </is>
      </c>
      <c r="G2344" s="4" t="inlineStr">
        <is>
          <t>C39@20261028-5776a732</t>
        </is>
      </c>
      <c r="H2344" s="4" t="n">
        <v>1</v>
      </c>
      <c r="I2344" s="4" t="n">
        <v>1</v>
      </c>
      <c r="J2344" s="4" t="inlineStr">
        <is>
          <t>Construction or maintenance of religious structures such as temples, mosques, churches, or tombs.</t>
        </is>
      </c>
      <c r="K2344" s="4" t="inlineStr">
        <is>
          <t>MS-C39</t>
        </is>
      </c>
      <c r="L2344" s="6" t="n">
        <v>46323</v>
      </c>
      <c r="M2344" s="4" t="inlineStr">
        <is>
          <t>Approved</t>
        </is>
      </c>
      <c r="N2344" s="4" t="inlineStr">
        <is>
          <t>list_item</t>
        </is>
      </c>
    </row>
    <row r="2345" ht="40" customHeight="1">
      <c r="A2345" s="8" t="inlineStr">
        <is>
          <t>C39-P0026</t>
        </is>
      </c>
      <c r="B2345" s="8" t="inlineStr">
        <is>
          <t>C39</t>
        </is>
      </c>
      <c r="C2345" s="8" t="inlineStr">
        <is>
          <t>Atal Bhujal Yojana</t>
        </is>
      </c>
      <c r="D2345" s="8" t="inlineStr">
        <is>
          <t>Exclusions</t>
        </is>
      </c>
      <c r="E2345" s="8" t="inlineStr"/>
      <c r="F2345" s="8" t="inlineStr">
        <is>
          <t>en.schemeContent.exclusions[1].children[5]</t>
        </is>
      </c>
      <c r="G2345" s="8" t="inlineStr">
        <is>
          <t>C39@20261028-5776a732</t>
        </is>
      </c>
      <c r="H2345" s="8" t="n">
        <v>1</v>
      </c>
      <c r="I2345" s="8" t="n">
        <v>1</v>
      </c>
      <c r="J2345" s="8" t="inlineStr">
        <is>
          <t>Development of commercial ventures, including hotels, restaurants, or resorts.</t>
        </is>
      </c>
      <c r="K2345" s="8" t="inlineStr">
        <is>
          <t>MS-C39</t>
        </is>
      </c>
      <c r="L2345" s="9" t="n">
        <v>46323</v>
      </c>
      <c r="M2345" s="8" t="inlineStr">
        <is>
          <t>Approved</t>
        </is>
      </c>
      <c r="N2345" s="8" t="inlineStr">
        <is>
          <t>list_item</t>
        </is>
      </c>
    </row>
    <row r="2346" ht="40" customHeight="1">
      <c r="A2346" s="4" t="inlineStr">
        <is>
          <t>C39-P0027</t>
        </is>
      </c>
      <c r="B2346" s="4" t="inlineStr">
        <is>
          <t>C39</t>
        </is>
      </c>
      <c r="C2346" s="4" t="inlineStr">
        <is>
          <t>Atal Bhujal Yojana</t>
        </is>
      </c>
      <c r="D2346" s="4" t="inlineStr">
        <is>
          <t>Exclusions</t>
        </is>
      </c>
      <c r="E2346" s="4" t="inlineStr"/>
      <c r="F2346" s="4" t="inlineStr">
        <is>
          <t>en.schemeContent.exclusions[1].children[6]</t>
        </is>
      </c>
      <c r="G2346" s="4" t="inlineStr">
        <is>
          <t>C39@20261028-5776a732</t>
        </is>
      </c>
      <c r="H2346" s="4" t="n">
        <v>1</v>
      </c>
      <c r="I2346" s="4" t="n">
        <v>1</v>
      </c>
      <c r="J2346" s="4" t="inlineStr">
        <is>
          <t>Activities of a military or paramilitary nature.</t>
        </is>
      </c>
      <c r="K2346" s="4" t="inlineStr">
        <is>
          <t>MS-C39</t>
        </is>
      </c>
      <c r="L2346" s="6" t="n">
        <v>46323</v>
      </c>
      <c r="M2346" s="4" t="inlineStr">
        <is>
          <t>Approved</t>
        </is>
      </c>
      <c r="N2346" s="4" t="inlineStr">
        <is>
          <t>list_item</t>
        </is>
      </c>
    </row>
    <row r="2347" ht="40" customHeight="1">
      <c r="A2347" s="8" t="inlineStr">
        <is>
          <t>C39-P0028</t>
        </is>
      </c>
      <c r="B2347" s="8" t="inlineStr">
        <is>
          <t>C39</t>
        </is>
      </c>
      <c r="C2347" s="8" t="inlineStr">
        <is>
          <t>Atal Bhujal Yojana</t>
        </is>
      </c>
      <c r="D2347" s="8" t="inlineStr">
        <is>
          <t>Exclusions</t>
        </is>
      </c>
      <c r="E2347" s="8" t="inlineStr"/>
      <c r="F2347" s="8" t="inlineStr">
        <is>
          <t>en.schemeContent.exclusions[1].children[7]</t>
        </is>
      </c>
      <c r="G2347" s="8" t="inlineStr">
        <is>
          <t>C39@20261028-5776a732</t>
        </is>
      </c>
      <c r="H2347" s="8" t="n">
        <v>1</v>
      </c>
      <c r="I2347" s="8" t="n">
        <v>1</v>
      </c>
      <c r="J2347" s="8" t="inlineStr">
        <is>
          <t>Purchase of vehicles, land, arms, ammunition, alcohol, or tobacco.</t>
        </is>
      </c>
      <c r="K2347" s="8" t="inlineStr">
        <is>
          <t>MS-C39</t>
        </is>
      </c>
      <c r="L2347" s="9" t="n">
        <v>46323</v>
      </c>
      <c r="M2347" s="8" t="inlineStr">
        <is>
          <t>Approved</t>
        </is>
      </c>
      <c r="N2347" s="8" t="inlineStr">
        <is>
          <t>list_item</t>
        </is>
      </c>
    </row>
    <row r="2348" ht="40" customHeight="1">
      <c r="A2348" s="4" t="inlineStr">
        <is>
          <t>C39-P0029</t>
        </is>
      </c>
      <c r="B2348" s="4" t="inlineStr">
        <is>
          <t>C39</t>
        </is>
      </c>
      <c r="C2348" s="4" t="inlineStr">
        <is>
          <t>Atal Bhujal Yojana</t>
        </is>
      </c>
      <c r="D2348" s="4" t="inlineStr">
        <is>
          <t>Applicant documents</t>
        </is>
      </c>
      <c r="E2348" s="4" t="inlineStr"/>
      <c r="F2348" s="4" t="inlineStr">
        <is>
          <t>documents.en.documents_required[0].children[0]</t>
        </is>
      </c>
      <c r="G2348" s="4" t="inlineStr">
        <is>
          <t>C39@20261028-5776a732</t>
        </is>
      </c>
      <c r="H2348" s="4" t="n">
        <v>1</v>
      </c>
      <c r="I2348" s="4" t="n">
        <v>1</v>
      </c>
      <c r="J2348" s="4" t="inlineStr">
        <is>
          <t>At The Application And Planning Stage</t>
        </is>
      </c>
      <c r="K2348" s="4" t="inlineStr">
        <is>
          <t>MS-C39</t>
        </is>
      </c>
      <c r="L2348" s="6" t="n">
        <v>46323</v>
      </c>
      <c r="M2348" s="4" t="inlineStr">
        <is>
          <t>Approved</t>
        </is>
      </c>
      <c r="N2348" s="4" t="inlineStr">
        <is>
          <t>text</t>
        </is>
      </c>
    </row>
    <row r="2349" ht="40" customHeight="1">
      <c r="A2349" s="8" t="inlineStr">
        <is>
          <t>C39-P0030</t>
        </is>
      </c>
      <c r="B2349" s="8" t="inlineStr">
        <is>
          <t>C39</t>
        </is>
      </c>
      <c r="C2349" s="8" t="inlineStr">
        <is>
          <t>Atal Bhujal Yojana</t>
        </is>
      </c>
      <c r="D2349" s="8" t="inlineStr">
        <is>
          <t>Applicant documents</t>
        </is>
      </c>
      <c r="E2349" s="8" t="inlineStr"/>
      <c r="F2349" s="8" t="inlineStr">
        <is>
          <t>documents.en.documents_required[1].children[0]</t>
        </is>
      </c>
      <c r="G2349" s="8" t="inlineStr">
        <is>
          <t>C39@20261028-5776a732</t>
        </is>
      </c>
      <c r="H2349" s="8" t="n">
        <v>1</v>
      </c>
      <c r="I2349" s="8" t="n">
        <v>1</v>
      </c>
      <c r="J2349" s="8" t="inlineStr">
        <is>
          <t>Demographic Data And Beneficiary Census Report.</t>
        </is>
      </c>
      <c r="K2349" s="8" t="inlineStr">
        <is>
          <t>MS-C39</t>
        </is>
      </c>
      <c r="L2349" s="9" t="n">
        <v>46323</v>
      </c>
      <c r="M2349" s="8" t="inlineStr">
        <is>
          <t>Approved</t>
        </is>
      </c>
      <c r="N2349" s="8" t="inlineStr">
        <is>
          <t>list_item</t>
        </is>
      </c>
    </row>
    <row r="2350" ht="40" customHeight="1">
      <c r="A2350" s="4" t="inlineStr">
        <is>
          <t>C39-P0031</t>
        </is>
      </c>
      <c r="B2350" s="4" t="inlineStr">
        <is>
          <t>C39</t>
        </is>
      </c>
      <c r="C2350" s="4" t="inlineStr">
        <is>
          <t>Atal Bhujal Yojana</t>
        </is>
      </c>
      <c r="D2350" s="4" t="inlineStr">
        <is>
          <t>Applicant documents</t>
        </is>
      </c>
      <c r="E2350" s="4" t="inlineStr"/>
      <c r="F2350" s="4" t="inlineStr">
        <is>
          <t>documents.en.documents_required[1].children[1]</t>
        </is>
      </c>
      <c r="G2350" s="4" t="inlineStr">
        <is>
          <t>C39@20261028-5776a732</t>
        </is>
      </c>
      <c r="H2350" s="4" t="n">
        <v>1</v>
      </c>
      <c r="I2350" s="4" t="n">
        <v>1</v>
      </c>
      <c r="J2350" s="4" t="inlineStr">
        <is>
          <t>Gram Panchayat Level Water Budget Document.</t>
        </is>
      </c>
      <c r="K2350" s="4" t="inlineStr">
        <is>
          <t>MS-C39</t>
        </is>
      </c>
      <c r="L2350" s="6" t="n">
        <v>46323</v>
      </c>
      <c r="M2350" s="4" t="inlineStr">
        <is>
          <t>Approved</t>
        </is>
      </c>
      <c r="N2350" s="4" t="inlineStr">
        <is>
          <t>list_item</t>
        </is>
      </c>
    </row>
    <row r="2351" ht="40" customHeight="1">
      <c r="A2351" s="8" t="inlineStr">
        <is>
          <t>C39-P0032</t>
        </is>
      </c>
      <c r="B2351" s="8" t="inlineStr">
        <is>
          <t>C39</t>
        </is>
      </c>
      <c r="C2351" s="8" t="inlineStr">
        <is>
          <t>Atal Bhujal Yojana</t>
        </is>
      </c>
      <c r="D2351" s="8" t="inlineStr">
        <is>
          <t>Applicant documents</t>
        </is>
      </c>
      <c r="E2351" s="8" t="inlineStr"/>
      <c r="F2351" s="8" t="inlineStr">
        <is>
          <t>documents.en.documents_required[1].children[2]</t>
        </is>
      </c>
      <c r="G2351" s="8" t="inlineStr">
        <is>
          <t>C39@20261028-5776a732</t>
        </is>
      </c>
      <c r="H2351" s="8" t="n">
        <v>1</v>
      </c>
      <c r="I2351" s="8" t="n">
        <v>1</v>
      </c>
      <c r="J2351" s="8" t="inlineStr">
        <is>
          <t>Gram Panchayat Level Water Security Plan.</t>
        </is>
      </c>
      <c r="K2351" s="8" t="inlineStr">
        <is>
          <t>MS-C39</t>
        </is>
      </c>
      <c r="L2351" s="9" t="n">
        <v>46323</v>
      </c>
      <c r="M2351" s="8" t="inlineStr">
        <is>
          <t>Approved</t>
        </is>
      </c>
      <c r="N2351" s="8" t="inlineStr">
        <is>
          <t>list_item</t>
        </is>
      </c>
    </row>
    <row r="2352" ht="40" customHeight="1">
      <c r="A2352" s="4" t="inlineStr">
        <is>
          <t>C39-P0033</t>
        </is>
      </c>
      <c r="B2352" s="4" t="inlineStr">
        <is>
          <t>C39</t>
        </is>
      </c>
      <c r="C2352" s="4" t="inlineStr">
        <is>
          <t>Atal Bhujal Yojana</t>
        </is>
      </c>
      <c r="D2352" s="4" t="inlineStr">
        <is>
          <t>Applicant documents</t>
        </is>
      </c>
      <c r="E2352" s="4" t="inlineStr"/>
      <c r="F2352" s="4" t="inlineStr">
        <is>
          <t>documents.en.documents_required[1].children[3]</t>
        </is>
      </c>
      <c r="G2352" s="4" t="inlineStr">
        <is>
          <t>C39@20261028-5776a732</t>
        </is>
      </c>
      <c r="H2352" s="4" t="n">
        <v>1</v>
      </c>
      <c r="I2352" s="4" t="n">
        <v>1</v>
      </c>
      <c r="J2352" s="4" t="inlineStr">
        <is>
          <t>Gram Sabha Resolution Approving The Water Security Plan.</t>
        </is>
      </c>
      <c r="K2352" s="4" t="inlineStr">
        <is>
          <t>MS-C39</t>
        </is>
      </c>
      <c r="L2352" s="6" t="n">
        <v>46323</v>
      </c>
      <c r="M2352" s="4" t="inlineStr">
        <is>
          <t>Approved</t>
        </is>
      </c>
      <c r="N2352" s="4" t="inlineStr">
        <is>
          <t>list_item</t>
        </is>
      </c>
    </row>
    <row r="2353" ht="40" customHeight="1">
      <c r="A2353" s="8" t="inlineStr">
        <is>
          <t>C39-P0034</t>
        </is>
      </c>
      <c r="B2353" s="8" t="inlineStr">
        <is>
          <t>C39</t>
        </is>
      </c>
      <c r="C2353" s="8" t="inlineStr">
        <is>
          <t>Atal Bhujal Yojana</t>
        </is>
      </c>
      <c r="D2353" s="8" t="inlineStr">
        <is>
          <t>Applicant documents</t>
        </is>
      </c>
      <c r="E2353" s="8" t="inlineStr"/>
      <c r="F2353" s="8" t="inlineStr">
        <is>
          <t>documents.en.documents_required[1].children[4]</t>
        </is>
      </c>
      <c r="G2353" s="8" t="inlineStr">
        <is>
          <t>C39@20261028-5776a732</t>
        </is>
      </c>
      <c r="H2353" s="8" t="n">
        <v>1</v>
      </c>
      <c r="I2353" s="8" t="n">
        <v>1</v>
      </c>
      <c r="J2353" s="8" t="inlineStr">
        <is>
          <t>Record Of Minutes Of Community-Level Meetings.</t>
        </is>
      </c>
      <c r="K2353" s="8" t="inlineStr">
        <is>
          <t>MS-C39</t>
        </is>
      </c>
      <c r="L2353" s="9" t="n">
        <v>46323</v>
      </c>
      <c r="M2353" s="8" t="inlineStr">
        <is>
          <t>Approved</t>
        </is>
      </c>
      <c r="N2353" s="8" t="inlineStr">
        <is>
          <t>list_item</t>
        </is>
      </c>
    </row>
    <row r="2354" ht="40" customHeight="1">
      <c r="A2354" s="4" t="inlineStr">
        <is>
          <t>C39-P0035</t>
        </is>
      </c>
      <c r="B2354" s="4" t="inlineStr">
        <is>
          <t>C39</t>
        </is>
      </c>
      <c r="C2354" s="4" t="inlineStr">
        <is>
          <t>Atal Bhujal Yojana</t>
        </is>
      </c>
      <c r="D2354" s="4" t="inlineStr">
        <is>
          <t>Applicant documents</t>
        </is>
      </c>
      <c r="E2354" s="4" t="inlineStr"/>
      <c r="F2354" s="4" t="inlineStr">
        <is>
          <t>documents.en.documents_required[1].children[5]</t>
        </is>
      </c>
      <c r="G2354" s="4" t="inlineStr">
        <is>
          <t>C39@20261028-5776a732</t>
        </is>
      </c>
      <c r="H2354" s="4" t="n">
        <v>1</v>
      </c>
      <c r="I2354" s="4" t="n">
        <v>1</v>
      </c>
      <c r="J2354" s="4" t="inlineStr">
        <is>
          <t>Attendance Sheets Of The Gram Sabha (Ensuring At Least 20 Percent Women Members).</t>
        </is>
      </c>
      <c r="K2354" s="4" t="inlineStr">
        <is>
          <t>MS-C39</t>
        </is>
      </c>
      <c r="L2354" s="6" t="n">
        <v>46323</v>
      </c>
      <c r="M2354" s="4" t="inlineStr">
        <is>
          <t>Approved</t>
        </is>
      </c>
      <c r="N2354" s="4" t="inlineStr">
        <is>
          <t>list_item</t>
        </is>
      </c>
    </row>
    <row r="2355" ht="40" customHeight="1">
      <c r="A2355" s="8" t="inlineStr">
        <is>
          <t>C39-P0036</t>
        </is>
      </c>
      <c r="B2355" s="8" t="inlineStr">
        <is>
          <t>C39</t>
        </is>
      </c>
      <c r="C2355" s="8" t="inlineStr">
        <is>
          <t>Atal Bhujal Yojana</t>
        </is>
      </c>
      <c r="D2355" s="8" t="inlineStr">
        <is>
          <t>Applicant documents</t>
        </is>
      </c>
      <c r="E2355" s="8" t="inlineStr"/>
      <c r="F2355" s="8" t="inlineStr">
        <is>
          <t>documents.en.documents_required[2].children[0]</t>
        </is>
      </c>
      <c r="G2355" s="8" t="inlineStr">
        <is>
          <t>C39@20261028-5776a732</t>
        </is>
      </c>
      <c r="H2355" s="8" t="n">
        <v>1</v>
      </c>
      <c r="I2355" s="8" t="n">
        <v>1</v>
      </c>
      <c r="J2355" s="8" t="inlineStr">
        <is>
          <t>At The Benefit Disbursal And Monitoring Stage</t>
        </is>
      </c>
      <c r="K2355" s="8" t="inlineStr">
        <is>
          <t>MS-C39</t>
        </is>
      </c>
      <c r="L2355" s="9" t="n">
        <v>46323</v>
      </c>
      <c r="M2355" s="8" t="inlineStr">
        <is>
          <t>Approved</t>
        </is>
      </c>
      <c r="N2355" s="8" t="inlineStr">
        <is>
          <t>text</t>
        </is>
      </c>
    </row>
    <row r="2356" ht="40" customHeight="1">
      <c r="A2356" s="4" t="inlineStr">
        <is>
          <t>C39-P0037</t>
        </is>
      </c>
      <c r="B2356" s="4" t="inlineStr">
        <is>
          <t>C39</t>
        </is>
      </c>
      <c r="C2356" s="4" t="inlineStr">
        <is>
          <t>Atal Bhujal Yojana</t>
        </is>
      </c>
      <c r="D2356" s="4" t="inlineStr">
        <is>
          <t>Applicant documents</t>
        </is>
      </c>
      <c r="E2356" s="4" t="inlineStr"/>
      <c r="F2356" s="4" t="inlineStr">
        <is>
          <t>documents.en.documents_required[3].children[0]</t>
        </is>
      </c>
      <c r="G2356" s="4" t="inlineStr">
        <is>
          <t>C39@20261028-5776a732</t>
        </is>
      </c>
      <c r="H2356" s="4" t="n">
        <v>1</v>
      </c>
      <c r="I2356" s="4" t="n">
        <v>1</v>
      </c>
      <c r="J2356" s="4" t="inlineStr">
        <is>
          <t>Audited Financial Statements Of The Gram Panchayat.</t>
        </is>
      </c>
      <c r="K2356" s="4" t="inlineStr">
        <is>
          <t>MS-C39</t>
        </is>
      </c>
      <c r="L2356" s="6" t="n">
        <v>46323</v>
      </c>
      <c r="M2356" s="4" t="inlineStr">
        <is>
          <t>Approved</t>
        </is>
      </c>
      <c r="N2356" s="4" t="inlineStr">
        <is>
          <t>list_item</t>
        </is>
      </c>
    </row>
    <row r="2357" ht="40" customHeight="1">
      <c r="A2357" s="8" t="inlineStr">
        <is>
          <t>C39-P0038</t>
        </is>
      </c>
      <c r="B2357" s="8" t="inlineStr">
        <is>
          <t>C39</t>
        </is>
      </c>
      <c r="C2357" s="8" t="inlineStr">
        <is>
          <t>Atal Bhujal Yojana</t>
        </is>
      </c>
      <c r="D2357" s="8" t="inlineStr">
        <is>
          <t>Applicant documents</t>
        </is>
      </c>
      <c r="E2357" s="8" t="inlineStr"/>
      <c r="F2357" s="8" t="inlineStr">
        <is>
          <t>documents.en.documents_required[3].children[1]</t>
        </is>
      </c>
      <c r="G2357" s="8" t="inlineStr">
        <is>
          <t>C39@20261028-5776a732</t>
        </is>
      </c>
      <c r="H2357" s="8" t="n">
        <v>1</v>
      </c>
      <c r="I2357" s="8" t="n">
        <v>1</v>
      </c>
      <c r="J2357" s="8" t="inlineStr">
        <is>
          <t>Monthly Expenditure Statements With Supporting Documentation.</t>
        </is>
      </c>
      <c r="K2357" s="8" t="inlineStr">
        <is>
          <t>MS-C39</t>
        </is>
      </c>
      <c r="L2357" s="9" t="n">
        <v>46323</v>
      </c>
      <c r="M2357" s="8" t="inlineStr">
        <is>
          <t>Approved</t>
        </is>
      </c>
      <c r="N2357" s="8" t="inlineStr">
        <is>
          <t>list_item</t>
        </is>
      </c>
    </row>
    <row r="2358" ht="40" customHeight="1">
      <c r="A2358" s="4" t="inlineStr">
        <is>
          <t>C39-P0039</t>
        </is>
      </c>
      <c r="B2358" s="4" t="inlineStr">
        <is>
          <t>C39</t>
        </is>
      </c>
      <c r="C2358" s="4" t="inlineStr">
        <is>
          <t>Atal Bhujal Yojana</t>
        </is>
      </c>
      <c r="D2358" s="4" t="inlineStr">
        <is>
          <t>Applicant documents</t>
        </is>
      </c>
      <c r="E2358" s="4" t="inlineStr"/>
      <c r="F2358" s="4" t="inlineStr">
        <is>
          <t>documents.en.documents_required[3].children[2]</t>
        </is>
      </c>
      <c r="G2358" s="4" t="inlineStr">
        <is>
          <t>C39@20261028-5776a732</t>
        </is>
      </c>
      <c r="H2358" s="4" t="n">
        <v>1</v>
      </c>
      <c r="I2358" s="4" t="n">
        <v>1</v>
      </c>
      <c r="J2358" s="4" t="inlineStr">
        <is>
          <t>Utilization Certificates For The Received Scheme Funds.</t>
        </is>
      </c>
      <c r="K2358" s="4" t="inlineStr">
        <is>
          <t>MS-C39</t>
        </is>
      </c>
      <c r="L2358" s="6" t="n">
        <v>46323</v>
      </c>
      <c r="M2358" s="4" t="inlineStr">
        <is>
          <t>Approved</t>
        </is>
      </c>
      <c r="N2358" s="4" t="inlineStr">
        <is>
          <t>list_item</t>
        </is>
      </c>
    </row>
    <row r="2359" ht="40" customHeight="1">
      <c r="A2359" s="8" t="inlineStr">
        <is>
          <t>C39-P0040</t>
        </is>
      </c>
      <c r="B2359" s="8" t="inlineStr">
        <is>
          <t>C39</t>
        </is>
      </c>
      <c r="C2359" s="8" t="inlineStr">
        <is>
          <t>Atal Bhujal Yojana</t>
        </is>
      </c>
      <c r="D2359" s="8" t="inlineStr">
        <is>
          <t>Application process</t>
        </is>
      </c>
      <c r="E2359" s="8" t="inlineStr"/>
      <c r="F2359" s="8" t="inlineStr">
        <is>
          <t>en.applicationProcess[0].process[0].children[0]</t>
        </is>
      </c>
      <c r="G2359" s="8" t="inlineStr">
        <is>
          <t>C39@20261028-5776a732</t>
        </is>
      </c>
      <c r="H2359" s="8" t="n">
        <v>1</v>
      </c>
      <c r="I2359" s="8" t="n">
        <v>1</v>
      </c>
      <c r="J2359" s="8" t="inlineStr">
        <is>
          <t>Step 1:</t>
        </is>
      </c>
      <c r="K2359" s="8" t="inlineStr">
        <is>
          <t>MS-C39</t>
        </is>
      </c>
      <c r="L2359" s="9" t="n">
        <v>46323</v>
      </c>
      <c r="M2359" s="8" t="inlineStr">
        <is>
          <t>Approved</t>
        </is>
      </c>
      <c r="N2359" s="8" t="inlineStr">
        <is>
          <t>text</t>
        </is>
      </c>
    </row>
    <row r="2360" ht="40" customHeight="1">
      <c r="A2360" s="4" t="inlineStr">
        <is>
          <t>C39-P0042</t>
        </is>
      </c>
      <c r="B2360" s="4" t="inlineStr">
        <is>
          <t>C39</t>
        </is>
      </c>
      <c r="C2360" s="4" t="inlineStr">
        <is>
          <t>Atal Bhujal Yojana</t>
        </is>
      </c>
      <c r="D2360" s="4" t="inlineStr">
        <is>
          <t>Application process</t>
        </is>
      </c>
      <c r="E2360" s="4" t="inlineStr"/>
      <c r="F2360" s="4" t="inlineStr">
        <is>
          <t>en.applicationProcess[0].process[0].children[2]</t>
        </is>
      </c>
      <c r="G2360" s="4" t="inlineStr">
        <is>
          <t>C39@20261028-5776a732</t>
        </is>
      </c>
      <c r="H2360" s="4" t="n">
        <v>1</v>
      </c>
      <c r="I2360" s="4" t="n">
        <v>1</v>
      </c>
      <c r="J2360" s="4" t="inlineStr">
        <is>
          <t>Accessing The Portal And Submitting Baseline Data</t>
        </is>
      </c>
      <c r="K2360" s="4" t="inlineStr">
        <is>
          <t>MS-C39</t>
        </is>
      </c>
      <c r="L2360" s="6" t="n">
        <v>46323</v>
      </c>
      <c r="M2360" s="4" t="inlineStr">
        <is>
          <t>Approved</t>
        </is>
      </c>
      <c r="N2360" s="4" t="inlineStr">
        <is>
          <t>text</t>
        </is>
      </c>
    </row>
    <row r="2361" ht="68" customHeight="1">
      <c r="A2361" s="8" t="inlineStr">
        <is>
          <t>C39-P0043</t>
        </is>
      </c>
      <c r="B2361" s="8" t="inlineStr">
        <is>
          <t>C39</t>
        </is>
      </c>
      <c r="C2361" s="8" t="inlineStr">
        <is>
          <t>Atal Bhujal Yojana</t>
        </is>
      </c>
      <c r="D2361" s="8" t="inlineStr">
        <is>
          <t>Application process</t>
        </is>
      </c>
      <c r="E2361" s="8" t="inlineStr"/>
      <c r="F2361" s="8" t="inlineStr">
        <is>
          <t>en.applicationProcess[0].process[1]</t>
        </is>
      </c>
      <c r="G2361" s="8" t="inlineStr">
        <is>
          <t>C39@20261028-5776a732</t>
        </is>
      </c>
      <c r="H2361" s="8" t="n">
        <v>1</v>
      </c>
      <c r="I2361" s="8" t="n">
        <v>1</v>
      </c>
      <c r="J2361" s="8" t="inlineStr">
        <is>
          <t>The applicant must access the official Management Information System portal developed for Atal Bhujal Yojana to enter the required baseline data. The designated community resource persons must regularly feed the collected groundwater level, rainfall, and water quality data into the digital application to facilitate accurate water budgeting.</t>
        </is>
      </c>
      <c r="K2361" s="8" t="inlineStr">
        <is>
          <t>MS-C39</t>
        </is>
      </c>
      <c r="L2361" s="9" t="n">
        <v>46323</v>
      </c>
      <c r="M2361" s="8" t="inlineStr">
        <is>
          <t>Approved</t>
        </is>
      </c>
      <c r="N2361" s="8" t="inlineStr">
        <is>
          <t>paragraph</t>
        </is>
      </c>
    </row>
    <row r="2362" ht="40" customHeight="1">
      <c r="A2362" s="4" t="inlineStr">
        <is>
          <t>C39-P0044</t>
        </is>
      </c>
      <c r="B2362" s="4" t="inlineStr">
        <is>
          <t>C39</t>
        </is>
      </c>
      <c r="C2362" s="4" t="inlineStr">
        <is>
          <t>Atal Bhujal Yojana</t>
        </is>
      </c>
      <c r="D2362" s="4" t="inlineStr">
        <is>
          <t>Application process</t>
        </is>
      </c>
      <c r="E2362" s="4" t="inlineStr"/>
      <c r="F2362" s="4" t="inlineStr">
        <is>
          <t>en.applicationProcess[0].process[2].children[0]</t>
        </is>
      </c>
      <c r="G2362" s="4" t="inlineStr">
        <is>
          <t>C39@20261028-5776a732</t>
        </is>
      </c>
      <c r="H2362" s="4" t="n">
        <v>1</v>
      </c>
      <c r="I2362" s="4" t="n">
        <v>1</v>
      </c>
      <c r="J2362" s="4" t="inlineStr">
        <is>
          <t>Step 2:</t>
        </is>
      </c>
      <c r="K2362" s="4" t="inlineStr">
        <is>
          <t>MS-C39</t>
        </is>
      </c>
      <c r="L2362" s="6" t="n">
        <v>46323</v>
      </c>
      <c r="M2362" s="4" t="inlineStr">
        <is>
          <t>Approved</t>
        </is>
      </c>
      <c r="N2362" s="4" t="inlineStr">
        <is>
          <t>text</t>
        </is>
      </c>
    </row>
    <row r="2363" ht="40" customHeight="1">
      <c r="A2363" s="8" t="inlineStr">
        <is>
          <t>C39-P0046</t>
        </is>
      </c>
      <c r="B2363" s="8" t="inlineStr">
        <is>
          <t>C39</t>
        </is>
      </c>
      <c r="C2363" s="8" t="inlineStr">
        <is>
          <t>Atal Bhujal Yojana</t>
        </is>
      </c>
      <c r="D2363" s="8" t="inlineStr">
        <is>
          <t>Application process</t>
        </is>
      </c>
      <c r="E2363" s="8" t="inlineStr"/>
      <c r="F2363" s="8" t="inlineStr">
        <is>
          <t>en.applicationProcess[0].process[2].children[2]</t>
        </is>
      </c>
      <c r="G2363" s="8" t="inlineStr">
        <is>
          <t>C39@20261028-5776a732</t>
        </is>
      </c>
      <c r="H2363" s="8" t="n">
        <v>1</v>
      </c>
      <c r="I2363" s="8" t="n">
        <v>1</v>
      </c>
      <c r="J2363" s="8" t="inlineStr">
        <is>
          <t>Submitting The Water Security Plan For Approval</t>
        </is>
      </c>
      <c r="K2363" s="8" t="inlineStr">
        <is>
          <t>MS-C39</t>
        </is>
      </c>
      <c r="L2363" s="9" t="n">
        <v>46323</v>
      </c>
      <c r="M2363" s="8" t="inlineStr">
        <is>
          <t>Approved</t>
        </is>
      </c>
      <c r="N2363" s="8" t="inlineStr">
        <is>
          <t>text</t>
        </is>
      </c>
    </row>
    <row r="2364" ht="68" customHeight="1">
      <c r="A2364" s="4" t="inlineStr">
        <is>
          <t>C39-P0047</t>
        </is>
      </c>
      <c r="B2364" s="4" t="inlineStr">
        <is>
          <t>C39</t>
        </is>
      </c>
      <c r="C2364" s="4" t="inlineStr">
        <is>
          <t>Atal Bhujal Yojana</t>
        </is>
      </c>
      <c r="D2364" s="4" t="inlineStr">
        <is>
          <t>Application process</t>
        </is>
      </c>
      <c r="E2364" s="4" t="inlineStr"/>
      <c r="F2364" s="4" t="inlineStr">
        <is>
          <t>en.applicationProcess[0].process[3]</t>
        </is>
      </c>
      <c r="G2364" s="4" t="inlineStr">
        <is>
          <t>C39@20261028-5776a732</t>
        </is>
      </c>
      <c r="H2364" s="4" t="n">
        <v>1</v>
      </c>
      <c r="I2364" s="4" t="n">
        <v>1</v>
      </c>
      <c r="J2364" s="4" t="inlineStr">
        <is>
          <t>The applicant must convene a community meeting to review the water budget and pass a formal resolution approving the finalized Water Security Plan. The applicant must then submit the approved Water Security Plan to the District Program Management Unit for further review, allocation, and action.</t>
        </is>
      </c>
      <c r="K2364" s="4" t="inlineStr">
        <is>
          <t>MS-C39</t>
        </is>
      </c>
      <c r="L2364" s="6" t="n">
        <v>46323</v>
      </c>
      <c r="M2364" s="4" t="inlineStr">
        <is>
          <t>Approved</t>
        </is>
      </c>
      <c r="N2364" s="4" t="inlineStr">
        <is>
          <t>paragraph</t>
        </is>
      </c>
    </row>
    <row r="2365" ht="40" customHeight="1">
      <c r="A2365" s="8" t="inlineStr">
        <is>
          <t>C39-P0048</t>
        </is>
      </c>
      <c r="B2365" s="8" t="inlineStr">
        <is>
          <t>C39</t>
        </is>
      </c>
      <c r="C2365" s="8" t="inlineStr">
        <is>
          <t>Atal Bhujal Yojana</t>
        </is>
      </c>
      <c r="D2365" s="8" t="inlineStr">
        <is>
          <t>Application process</t>
        </is>
      </c>
      <c r="E2365" s="8" t="inlineStr"/>
      <c r="F2365" s="8" t="inlineStr">
        <is>
          <t>en.applicationProcess[0].process[4].children[0]</t>
        </is>
      </c>
      <c r="G2365" s="8" t="inlineStr">
        <is>
          <t>C39@20261028-5776a732</t>
        </is>
      </c>
      <c r="H2365" s="8" t="n">
        <v>1</v>
      </c>
      <c r="I2365" s="8" t="n">
        <v>1</v>
      </c>
      <c r="J2365" s="8" t="inlineStr">
        <is>
          <t>Step 3:</t>
        </is>
      </c>
      <c r="K2365" s="8" t="inlineStr">
        <is>
          <t>MS-C39</t>
        </is>
      </c>
      <c r="L2365" s="9" t="n">
        <v>46323</v>
      </c>
      <c r="M2365" s="8" t="inlineStr">
        <is>
          <t>Approved</t>
        </is>
      </c>
      <c r="N2365" s="8" t="inlineStr">
        <is>
          <t>text</t>
        </is>
      </c>
    </row>
    <row r="2366" ht="40" customHeight="1">
      <c r="A2366" s="4" t="inlineStr">
        <is>
          <t>C39-P0050</t>
        </is>
      </c>
      <c r="B2366" s="4" t="inlineStr">
        <is>
          <t>C39</t>
        </is>
      </c>
      <c r="C2366" s="4" t="inlineStr">
        <is>
          <t>Atal Bhujal Yojana</t>
        </is>
      </c>
      <c r="D2366" s="4" t="inlineStr">
        <is>
          <t>Application process</t>
        </is>
      </c>
      <c r="E2366" s="4" t="inlineStr"/>
      <c r="F2366" s="4" t="inlineStr">
        <is>
          <t>en.applicationProcess[0].process[4].children[2]</t>
        </is>
      </c>
      <c r="G2366" s="4" t="inlineStr">
        <is>
          <t>C39@20261028-5776a732</t>
        </is>
      </c>
      <c r="H2366" s="4" t="n">
        <v>1</v>
      </c>
      <c r="I2366" s="4" t="n">
        <v>1</v>
      </c>
      <c r="J2366" s="4" t="inlineStr">
        <is>
          <t>District And State Level Consolidation</t>
        </is>
      </c>
      <c r="K2366" s="4" t="inlineStr">
        <is>
          <t>MS-C39</t>
        </is>
      </c>
      <c r="L2366" s="6" t="n">
        <v>46323</v>
      </c>
      <c r="M2366" s="4" t="inlineStr">
        <is>
          <t>Approved</t>
        </is>
      </c>
      <c r="N2366" s="4" t="inlineStr">
        <is>
          <t>text</t>
        </is>
      </c>
    </row>
    <row r="2367" ht="68" customHeight="1">
      <c r="A2367" s="8" t="inlineStr">
        <is>
          <t>C39-P0051</t>
        </is>
      </c>
      <c r="B2367" s="8" t="inlineStr">
        <is>
          <t>C39</t>
        </is>
      </c>
      <c r="C2367" s="8" t="inlineStr">
        <is>
          <t>Atal Bhujal Yojana</t>
        </is>
      </c>
      <c r="D2367" s="8" t="inlineStr">
        <is>
          <t>Application process</t>
        </is>
      </c>
      <c r="E2367" s="8" t="inlineStr"/>
      <c r="F2367" s="8" t="inlineStr">
        <is>
          <t>en.applicationProcess[0].process[5]</t>
        </is>
      </c>
      <c r="G2367" s="8" t="inlineStr">
        <is>
          <t>C39@20261028-5776a732</t>
        </is>
      </c>
      <c r="H2367" s="8" t="n">
        <v>1</v>
      </c>
      <c r="I2367" s="8" t="n">
        <v>1</v>
      </c>
      <c r="J2367" s="8" t="inlineStr">
        <is>
          <t>The District Program Management Unit must consolidate and validate the submitted plans at the district level before forwarding the recommendations to the State Program Management Unit. The State Program Management Unit must review the state-level plans and submit them to the State Level Steering Committee for final budget allocation, convergence mapping, and approval.</t>
        </is>
      </c>
      <c r="K2367" s="8" t="inlineStr">
        <is>
          <t>MS-C39</t>
        </is>
      </c>
      <c r="L2367" s="9" t="n">
        <v>46323</v>
      </c>
      <c r="M2367" s="8" t="inlineStr">
        <is>
          <t>Approved</t>
        </is>
      </c>
      <c r="N2367" s="8" t="inlineStr">
        <is>
          <t>paragraph</t>
        </is>
      </c>
    </row>
    <row r="2368" ht="40" customHeight="1">
      <c r="A2368" s="4" t="inlineStr">
        <is>
          <t>C39-P0052</t>
        </is>
      </c>
      <c r="B2368" s="4" t="inlineStr">
        <is>
          <t>C39</t>
        </is>
      </c>
      <c r="C2368" s="4" t="inlineStr">
        <is>
          <t>Atal Bhujal Yojana</t>
        </is>
      </c>
      <c r="D2368" s="4" t="inlineStr">
        <is>
          <t>Application process</t>
        </is>
      </c>
      <c r="E2368" s="4" t="inlineStr"/>
      <c r="F2368" s="4" t="inlineStr">
        <is>
          <t>en.applicationProcess[0].process[6].children[0]</t>
        </is>
      </c>
      <c r="G2368" s="4" t="inlineStr">
        <is>
          <t>C39@20261028-5776a732</t>
        </is>
      </c>
      <c r="H2368" s="4" t="n">
        <v>1</v>
      </c>
      <c r="I2368" s="4" t="n">
        <v>1</v>
      </c>
      <c r="J2368" s="4" t="inlineStr">
        <is>
          <t>Grievance Redressal / Help &amp; Support</t>
        </is>
      </c>
      <c r="K2368" s="4" t="inlineStr">
        <is>
          <t>MS-C39</t>
        </is>
      </c>
      <c r="L2368" s="6" t="n">
        <v>46323</v>
      </c>
      <c r="M2368" s="4" t="inlineStr">
        <is>
          <t>Approved</t>
        </is>
      </c>
      <c r="N2368" s="4" t="inlineStr">
        <is>
          <t>text</t>
        </is>
      </c>
    </row>
    <row r="2369" ht="68" customHeight="1">
      <c r="A2369" s="8" t="inlineStr">
        <is>
          <t>C39-P0053</t>
        </is>
      </c>
      <c r="B2369" s="8" t="inlineStr">
        <is>
          <t>C39</t>
        </is>
      </c>
      <c r="C2369" s="8" t="inlineStr">
        <is>
          <t>Atal Bhujal Yojana</t>
        </is>
      </c>
      <c r="D2369" s="8" t="inlineStr">
        <is>
          <t>Application process</t>
        </is>
      </c>
      <c r="E2369" s="8" t="inlineStr"/>
      <c r="F2369" s="8" t="inlineStr">
        <is>
          <t>en.applicationProcess[0].process[7]</t>
        </is>
      </c>
      <c r="G2369" s="8" t="inlineStr">
        <is>
          <t>C39@20261028-5776a732</t>
        </is>
      </c>
      <c r="H2369" s="8" t="n">
        <v>1</v>
      </c>
      <c r="I2369" s="8" t="n">
        <v>1</v>
      </c>
      <c r="J2369" s="8" t="inlineStr">
        <is>
          <t>A dedicated online Grievance Redressal Mechanism has been developed and integrated with the Management Information System for the early resolution of complaints. The applicants can utilize the official Toll-Free Number (011-1800110121) allocated for the immediate registration and redressal of grievances and complaints.</t>
        </is>
      </c>
      <c r="K2369" s="8" t="inlineStr">
        <is>
          <t>MS-C39</t>
        </is>
      </c>
      <c r="L2369" s="9" t="n">
        <v>46323</v>
      </c>
      <c r="M2369" s="8" t="inlineStr">
        <is>
          <t>Approved</t>
        </is>
      </c>
      <c r="N2369" s="8" t="inlineStr">
        <is>
          <t>paragraph</t>
        </is>
      </c>
    </row>
    <row r="2370" ht="68" customHeight="1">
      <c r="A2370" s="4" t="inlineStr">
        <is>
          <t>C39-P0054</t>
        </is>
      </c>
      <c r="B2370" s="4" t="inlineStr">
        <is>
          <t>C39</t>
        </is>
      </c>
      <c r="C2370" s="4" t="inlineStr">
        <is>
          <t>Atal Bhujal Yojana</t>
        </is>
      </c>
      <c r="D2370" s="4" t="inlineStr">
        <is>
          <t>FAQ</t>
        </is>
      </c>
      <c r="E2370" s="4" t="inlineStr"/>
      <c r="F2370" s="4" t="inlineStr">
        <is>
          <t>faqs.en.faqs[0]</t>
        </is>
      </c>
      <c r="G2370" s="4" t="inlineStr">
        <is>
          <t>C39@20261028-5776a732</t>
        </is>
      </c>
      <c r="H2370" s="4" t="n">
        <v>1</v>
      </c>
      <c r="I2370" s="4" t="n">
        <v>1</v>
      </c>
      <c r="J2370" s="4" t="inlineStr">
        <is>
          <t>If our local community wants to repair the village temple or mosque using the provided financial support, are we allowed to allocate a portion of the budget for this purpose?
Financial assistance provided cannot be utilized for the construction or maintenance of any religious structures, including temples, mosques, churches, or tombs.</t>
        </is>
      </c>
      <c r="K2370" s="4" t="inlineStr">
        <is>
          <t>MS-C39</t>
        </is>
      </c>
      <c r="L2370" s="6" t="n">
        <v>46323</v>
      </c>
      <c r="M2370" s="4" t="inlineStr">
        <is>
          <t>Approved</t>
        </is>
      </c>
      <c r="N2370" s="4" t="inlineStr">
        <is>
          <t>faq</t>
        </is>
      </c>
    </row>
    <row r="2371" ht="82" customHeight="1">
      <c r="A2371" s="8" t="inlineStr">
        <is>
          <t>C39-P0055</t>
        </is>
      </c>
      <c r="B2371" s="8" t="inlineStr">
        <is>
          <t>C39</t>
        </is>
      </c>
      <c r="C2371" s="8" t="inlineStr">
        <is>
          <t>Atal Bhujal Yojana</t>
        </is>
      </c>
      <c r="D2371" s="8" t="inlineStr">
        <is>
          <t>FAQ</t>
        </is>
      </c>
      <c r="E2371" s="8" t="inlineStr"/>
      <c r="F2371" s="8" t="inlineStr">
        <is>
          <t>faqs.en.faqs[1]</t>
        </is>
      </c>
      <c r="G2371" s="8" t="inlineStr">
        <is>
          <t>C39@20261028-5776a732</t>
        </is>
      </c>
      <c r="H2371" s="8" t="n">
        <v>1</v>
      </c>
      <c r="I2371" s="8" t="n">
        <v>1</v>
      </c>
      <c r="J2371" s="8" t="inlineStr">
        <is>
          <t>What is the mandatory requirement regarding the inclusion and representation of female members in the local water management committees to qualify for the associated administrative benefits?
At least 33 percent of the total members in the Gram Panchayat-level Water User Associations or Village Water and Sanitation Committees must be women.</t>
        </is>
      </c>
      <c r="K2371" s="8" t="inlineStr">
        <is>
          <t>MS-C39</t>
        </is>
      </c>
      <c r="L2371" s="9" t="n">
        <v>46323</v>
      </c>
      <c r="M2371" s="8" t="inlineStr">
        <is>
          <t>Approved</t>
        </is>
      </c>
      <c r="N2371" s="8" t="inlineStr">
        <is>
          <t>faq</t>
        </is>
      </c>
    </row>
    <row r="2372" ht="68" customHeight="1">
      <c r="A2372" s="4" t="inlineStr">
        <is>
          <t>C39-P0056</t>
        </is>
      </c>
      <c r="B2372" s="4" t="inlineStr">
        <is>
          <t>C39</t>
        </is>
      </c>
      <c r="C2372" s="4" t="inlineStr">
        <is>
          <t>Atal Bhujal Yojana</t>
        </is>
      </c>
      <c r="D2372" s="4" t="inlineStr">
        <is>
          <t>FAQ</t>
        </is>
      </c>
      <c r="E2372" s="4" t="inlineStr"/>
      <c r="F2372" s="4" t="inlineStr">
        <is>
          <t>faqs.en.faqs[2]</t>
        </is>
      </c>
      <c r="G2372" s="4" t="inlineStr">
        <is>
          <t>C39@20261028-5776a732</t>
        </is>
      </c>
      <c r="H2372" s="4" t="n">
        <v>1</v>
      </c>
      <c r="I2372" s="4" t="n">
        <v>1</v>
      </c>
      <c r="J2372" s="4" t="inlineStr">
        <is>
          <t>Can the local administrative bodies utilise a part of the received financial incentives to pay the monthly salaries of the government employees assigned to assist with the project workload?
The allocated funds cannot be used for the payment of salaries to any regular government employees assigned to assist with the implementation activities.</t>
        </is>
      </c>
      <c r="K2372" s="4" t="inlineStr">
        <is>
          <t>MS-C39</t>
        </is>
      </c>
      <c r="L2372" s="6" t="n">
        <v>46323</v>
      </c>
      <c r="M2372" s="4" t="inlineStr">
        <is>
          <t>Approved</t>
        </is>
      </c>
      <c r="N2372" s="4" t="inlineStr">
        <is>
          <t>faq</t>
        </is>
      </c>
    </row>
    <row r="2373" ht="82" customHeight="1">
      <c r="A2373" s="8" t="inlineStr">
        <is>
          <t>C39-P0057</t>
        </is>
      </c>
      <c r="B2373" s="8" t="inlineStr">
        <is>
          <t>C39</t>
        </is>
      </c>
      <c r="C2373" s="8" t="inlineStr">
        <is>
          <t>Atal Bhujal Yojana</t>
        </is>
      </c>
      <c r="D2373" s="8" t="inlineStr">
        <is>
          <t>FAQ</t>
        </is>
      </c>
      <c r="E2373" s="8" t="inlineStr"/>
      <c r="F2373" s="8" t="inlineStr">
        <is>
          <t>faqs.en.faqs[3]</t>
        </is>
      </c>
      <c r="G2373" s="8" t="inlineStr">
        <is>
          <t>C39@20261028-5776a732</t>
        </is>
      </c>
      <c r="H2373" s="8" t="n">
        <v>1</v>
      </c>
      <c r="I2373" s="8" t="n">
        <v>1</v>
      </c>
      <c r="J2373" s="8" t="inlineStr">
        <is>
          <t>How frequently must the participating community evaluate and update their assessment of available water resources and current usage to remain compliant with the mandatory administrative guidelines?
The community must engage in regular water budgeting exercises at least once every year, though it is highly recommended to conduct them on a season-wise basis.</t>
        </is>
      </c>
      <c r="K2373" s="8" t="inlineStr">
        <is>
          <t>MS-C39</t>
        </is>
      </c>
      <c r="L2373" s="9" t="n">
        <v>46323</v>
      </c>
      <c r="M2373" s="8" t="inlineStr">
        <is>
          <t>Approved</t>
        </is>
      </c>
      <c r="N2373" s="8" t="inlineStr">
        <is>
          <t>faq</t>
        </is>
      </c>
    </row>
    <row r="2374" ht="82" customHeight="1">
      <c r="A2374" s="4" t="inlineStr">
        <is>
          <t>C39-P0058</t>
        </is>
      </c>
      <c r="B2374" s="4" t="inlineStr">
        <is>
          <t>C39</t>
        </is>
      </c>
      <c r="C2374" s="4" t="inlineStr">
        <is>
          <t>Atal Bhujal Yojana</t>
        </is>
      </c>
      <c r="D2374" s="4" t="inlineStr">
        <is>
          <t>FAQ</t>
        </is>
      </c>
      <c r="E2374" s="4" t="inlineStr"/>
      <c r="F2374" s="4" t="inlineStr">
        <is>
          <t>faqs.en.faqs[4]</t>
        </is>
      </c>
      <c r="G2374" s="4" t="inlineStr">
        <is>
          <t>C39@20261028-5776a732</t>
        </is>
      </c>
      <c r="H2374" s="4" t="n">
        <v>1</v>
      </c>
      <c r="I2374" s="4" t="n">
        <v>1</v>
      </c>
      <c r="J2374" s="4" t="inlineStr">
        <is>
          <t>Once our village has successfully prepared the required strategy for managing local groundwater and meeting demands, who holds the ultimate authority to officially sanction this critical document?
The finalized Water Security Plan must be formally reviewed, discussed, and officially approved through a formal resolution passed by the local Gram Sabha.</t>
        </is>
      </c>
      <c r="K2374" s="4" t="inlineStr">
        <is>
          <t>MS-C39</t>
        </is>
      </c>
      <c r="L2374" s="6" t="n">
        <v>46323</v>
      </c>
      <c r="M2374" s="4" t="inlineStr">
        <is>
          <t>Approved</t>
        </is>
      </c>
      <c r="N2374" s="4" t="inlineStr">
        <is>
          <t>faq</t>
        </is>
      </c>
    </row>
    <row r="2375" ht="68" customHeight="1">
      <c r="A2375" s="8" t="inlineStr">
        <is>
          <t>C39-P0059</t>
        </is>
      </c>
      <c r="B2375" s="8" t="inlineStr">
        <is>
          <t>C39</t>
        </is>
      </c>
      <c r="C2375" s="8" t="inlineStr">
        <is>
          <t>Atal Bhujal Yojana</t>
        </is>
      </c>
      <c r="D2375" s="8" t="inlineStr">
        <is>
          <t>FAQ</t>
        </is>
      </c>
      <c r="E2375" s="8" t="inlineStr"/>
      <c r="F2375" s="8" t="inlineStr">
        <is>
          <t>faqs.en.faqs[5]</t>
        </is>
      </c>
      <c r="G2375" s="8" t="inlineStr">
        <is>
          <t>C39@20261028-5776a732</t>
        </is>
      </c>
      <c r="H2375" s="8" t="n">
        <v>1</v>
      </c>
      <c r="I2375" s="8" t="n">
        <v>1</v>
      </c>
      <c r="J2375" s="8" t="inlineStr">
        <is>
          <t>In order to successfully apply for and receive the interventions and financial incentives, which specific regions or geographic locations must our community be currently situated in?
The applicant must be located in identified water-stressed districts or blocks within the states of Gujarat, Haryana, Karnataka, Madhya Pradesh, Maharashtra, Rajasthan, or Uttar Pradesh.</t>
        </is>
      </c>
      <c r="K2375" s="8" t="inlineStr">
        <is>
          <t>MS-C39</t>
        </is>
      </c>
      <c r="L2375" s="9" t="n">
        <v>46323</v>
      </c>
      <c r="M2375" s="8" t="inlineStr">
        <is>
          <t>Approved</t>
        </is>
      </c>
      <c r="N2375" s="8" t="inlineStr">
        <is>
          <t>faq</t>
        </is>
      </c>
    </row>
    <row r="2376" ht="82" customHeight="1">
      <c r="A2376" s="4" t="inlineStr">
        <is>
          <t>C39-P0060</t>
        </is>
      </c>
      <c r="B2376" s="4" t="inlineStr">
        <is>
          <t>C39</t>
        </is>
      </c>
      <c r="C2376" s="4" t="inlineStr">
        <is>
          <t>Atal Bhujal Yojana</t>
        </is>
      </c>
      <c r="D2376" s="4" t="inlineStr">
        <is>
          <t>FAQ</t>
        </is>
      </c>
      <c r="E2376" s="4" t="inlineStr"/>
      <c r="F2376" s="4" t="inlineStr">
        <is>
          <t>faqs.en.faqs[6]</t>
        </is>
      </c>
      <c r="G2376" s="4" t="inlineStr">
        <is>
          <t>C39@20261028-5776a732</t>
        </is>
      </c>
      <c r="H2376" s="4" t="n">
        <v>1</v>
      </c>
      <c r="I2376" s="4" t="n">
        <v>1</v>
      </c>
      <c r="J2376" s="4" t="inlineStr">
        <is>
          <t>Would our proposal be accepted if we plan to use the allotted financial resources to develop a community-owned resort or restaurant to boost local tourism and the overall economy?
Financial support is strictly prohibited from being utilized for the development of any commercial ventures whatsoever, including hotels, restaurants, resorts, or similar business operations.</t>
        </is>
      </c>
      <c r="K2376" s="4" t="inlineStr">
        <is>
          <t>MS-C39</t>
        </is>
      </c>
      <c r="L2376" s="6" t="n">
        <v>46323</v>
      </c>
      <c r="M2376" s="4" t="inlineStr">
        <is>
          <t>Approved</t>
        </is>
      </c>
      <c r="N2376" s="4" t="inlineStr">
        <is>
          <t>faq</t>
        </is>
      </c>
    </row>
    <row r="2377" ht="68" customHeight="1">
      <c r="A2377" s="8" t="inlineStr">
        <is>
          <t>C39-P0061</t>
        </is>
      </c>
      <c r="B2377" s="8" t="inlineStr">
        <is>
          <t>C39</t>
        </is>
      </c>
      <c r="C2377" s="8" t="inlineStr">
        <is>
          <t>Atal Bhujal Yojana</t>
        </is>
      </c>
      <c r="D2377" s="8" t="inlineStr">
        <is>
          <t>FAQ</t>
        </is>
      </c>
      <c r="E2377" s="8" t="inlineStr"/>
      <c r="F2377" s="8" t="inlineStr">
        <is>
          <t>faqs.en.faqs[7]</t>
        </is>
      </c>
      <c r="G2377" s="8" t="inlineStr">
        <is>
          <t>C39@20261028-5776a732</t>
        </is>
      </c>
      <c r="H2377" s="8" t="n">
        <v>1</v>
      </c>
      <c r="I2377" s="8" t="n">
        <v>1</v>
      </c>
      <c r="J2377" s="8" t="inlineStr">
        <is>
          <t>What kind of specific local committee needs to be formed or strengthened by the community to take charge of the participatory planning and resource management processes effectively?
The beneficiaries must form or strengthen a Village Water and Sanitation Committee to function specifically as the dedicated Participatory Groundwater Management Committee.</t>
        </is>
      </c>
      <c r="K2377" s="8" t="inlineStr">
        <is>
          <t>MS-C39</t>
        </is>
      </c>
      <c r="L2377" s="9" t="n">
        <v>46323</v>
      </c>
      <c r="M2377" s="8" t="inlineStr">
        <is>
          <t>Approved</t>
        </is>
      </c>
      <c r="N2377" s="8" t="inlineStr">
        <is>
          <t>faq</t>
        </is>
      </c>
    </row>
    <row r="2378" ht="68" customHeight="1">
      <c r="A2378" s="4" t="inlineStr">
        <is>
          <t>C39-P0062</t>
        </is>
      </c>
      <c r="B2378" s="4" t="inlineStr">
        <is>
          <t>C39</t>
        </is>
      </c>
      <c r="C2378" s="4" t="inlineStr">
        <is>
          <t>Atal Bhujal Yojana</t>
        </is>
      </c>
      <c r="D2378" s="4" t="inlineStr">
        <is>
          <t>FAQ</t>
        </is>
      </c>
      <c r="E2378" s="4" t="inlineStr"/>
      <c r="F2378" s="4" t="inlineStr">
        <is>
          <t>faqs.en.faqs[8]</t>
        </is>
      </c>
      <c r="G2378" s="4" t="inlineStr">
        <is>
          <t>C39@20261028-5776a732</t>
        </is>
      </c>
      <c r="H2378" s="4" t="n">
        <v>1</v>
      </c>
      <c r="I2378" s="4" t="n">
        <v>1</v>
      </c>
      <c r="J2378" s="4" t="inlineStr">
        <is>
          <t>Are we permitted to submit a proposal that involves the construction of major or minor dams to improve the surface water availability in our agricultural district?
The financial provisions cannot be used for the construction of major or minor dams, nor for setting up any new large-scale irrigation systems.</t>
        </is>
      </c>
      <c r="K2378" s="4" t="inlineStr">
        <is>
          <t>MS-C39</t>
        </is>
      </c>
      <c r="L2378" s="6" t="n">
        <v>46323</v>
      </c>
      <c r="M2378" s="4" t="inlineStr">
        <is>
          <t>Approved</t>
        </is>
      </c>
      <c r="N2378" s="4" t="inlineStr">
        <is>
          <t>faq</t>
        </is>
      </c>
    </row>
    <row r="2379" ht="68" customHeight="1">
      <c r="A2379" s="8" t="inlineStr">
        <is>
          <t>C39-P0063</t>
        </is>
      </c>
      <c r="B2379" s="8" t="inlineStr">
        <is>
          <t>C39</t>
        </is>
      </c>
      <c r="C2379" s="8" t="inlineStr">
        <is>
          <t>Atal Bhujal Yojana</t>
        </is>
      </c>
      <c r="D2379" s="8" t="inlineStr">
        <is>
          <t>FAQ</t>
        </is>
      </c>
      <c r="E2379" s="8" t="inlineStr"/>
      <c r="F2379" s="8" t="inlineStr">
        <is>
          <t>faqs.en.faqs[9]</t>
        </is>
      </c>
      <c r="G2379" s="8" t="inlineStr">
        <is>
          <t>C39@20261028-5776a732</t>
        </is>
      </c>
      <c r="H2379" s="8" t="n">
        <v>1</v>
      </c>
      <c r="I2379" s="8" t="n">
        <v>1</v>
      </c>
      <c r="J2379" s="8" t="inlineStr">
        <is>
          <t>Who is supposed to be responsible for the regular handling of the measurement equipment and the recording of essential groundwater and rainfall data in our village?
Local volunteers or community resource persons must be specifically identified and trained to handle the provided data collection equipment and input the relevant information.</t>
        </is>
      </c>
      <c r="K2379" s="8" t="inlineStr">
        <is>
          <t>MS-C39</t>
        </is>
      </c>
      <c r="L2379" s="9" t="n">
        <v>46323</v>
      </c>
      <c r="M2379" s="8" t="inlineStr">
        <is>
          <t>Approved</t>
        </is>
      </c>
      <c r="N2379" s="8" t="inlineStr">
        <is>
          <t>faq</t>
        </is>
      </c>
    </row>
    <row r="2380" ht="68" customHeight="1">
      <c r="A2380" s="4" t="inlineStr">
        <is>
          <t>C39-P0064</t>
        </is>
      </c>
      <c r="B2380" s="4" t="inlineStr">
        <is>
          <t>C39</t>
        </is>
      </c>
      <c r="C2380" s="4" t="inlineStr">
        <is>
          <t>Atal Bhujal Yojana</t>
        </is>
      </c>
      <c r="D2380" s="4" t="inlineStr">
        <is>
          <t>FAQ</t>
        </is>
      </c>
      <c r="E2380" s="4" t="inlineStr"/>
      <c r="F2380" s="4" t="inlineStr">
        <is>
          <t>faqs.en.faqs[10]</t>
        </is>
      </c>
      <c r="G2380" s="4" t="inlineStr">
        <is>
          <t>C39@20261028-5776a732</t>
        </is>
      </c>
      <c r="H2380" s="4" t="n">
        <v>1</v>
      </c>
      <c r="I2380" s="4" t="n">
        <v>1</v>
      </c>
      <c r="J2380" s="4" t="inlineStr">
        <is>
          <t>Can the implementation committee use a portion of the financial grant to purchase land for water conservation structures or buy vehicles for official community monitoring visits?
The provided funds are strictly restricted and cannot be used for the purchase of any vehicles, land, arms, ammunition, alcoholic beverages, or tobacco products.</t>
        </is>
      </c>
      <c r="K2380" s="4" t="inlineStr">
        <is>
          <t>MS-C39</t>
        </is>
      </c>
      <c r="L2380" s="6" t="n">
        <v>46323</v>
      </c>
      <c r="M2380" s="4" t="inlineStr">
        <is>
          <t>Approved</t>
        </is>
      </c>
      <c r="N2380" s="4" t="inlineStr">
        <is>
          <t>faq</t>
        </is>
      </c>
    </row>
    <row r="2381" ht="82" customHeight="1">
      <c r="A2381" s="8" t="inlineStr">
        <is>
          <t>C39-P0065</t>
        </is>
      </c>
      <c r="B2381" s="8" t="inlineStr">
        <is>
          <t>C39</t>
        </is>
      </c>
      <c r="C2381" s="8" t="inlineStr">
        <is>
          <t>Atal Bhujal Yojana</t>
        </is>
      </c>
      <c r="D2381" s="8" t="inlineStr">
        <is>
          <t>FAQ</t>
        </is>
      </c>
      <c r="E2381" s="8" t="inlineStr"/>
      <c r="F2381" s="8" t="inlineStr">
        <is>
          <t>faqs.en.faqs[11]</t>
        </is>
      </c>
      <c r="G2381" s="8" t="inlineStr">
        <is>
          <t>C39@20261028-5776a732</t>
        </is>
      </c>
      <c r="H2381" s="8" t="n">
        <v>1</v>
      </c>
      <c r="I2381" s="8" t="n">
        <v>1</v>
      </c>
      <c r="J2381" s="8" t="inlineStr">
        <is>
          <t>How is the local administration expected to gather feedback from the residents regarding the effectiveness and proper execution of the activities undertaken during the implementation period?
The beneficiaries must actively conduct regular social audits through a designated committee to gather community feedback on the undertaken activities and to ensure overall transparency.</t>
        </is>
      </c>
      <c r="K2381" s="8" t="inlineStr">
        <is>
          <t>MS-C39</t>
        </is>
      </c>
      <c r="L2381" s="9" t="n">
        <v>46323</v>
      </c>
      <c r="M2381" s="8" t="inlineStr">
        <is>
          <t>Approved</t>
        </is>
      </c>
      <c r="N2381" s="8" t="inlineStr">
        <is>
          <t>faq</t>
        </is>
      </c>
    </row>
    <row r="2382" ht="68" customHeight="1">
      <c r="A2382" s="4" t="inlineStr">
        <is>
          <t>C39-P0066</t>
        </is>
      </c>
      <c r="B2382" s="4" t="inlineStr">
        <is>
          <t>C39</t>
        </is>
      </c>
      <c r="C2382" s="4" t="inlineStr">
        <is>
          <t>Atal Bhujal Yojana</t>
        </is>
      </c>
      <c r="D2382" s="4" t="inlineStr">
        <is>
          <t>FAQ</t>
        </is>
      </c>
      <c r="E2382" s="4" t="inlineStr"/>
      <c r="F2382" s="4" t="inlineStr">
        <is>
          <t>faqs.en.faqs[12]</t>
        </is>
      </c>
      <c r="G2382" s="4" t="inlineStr">
        <is>
          <t>C39@20261028-5776a732</t>
        </is>
      </c>
      <c r="H2382" s="4" t="n">
        <v>1</v>
      </c>
      <c r="I2382" s="4" t="n">
        <v>1</v>
      </c>
      <c r="J2382" s="4" t="inlineStr">
        <is>
          <t>What specific financial records and proofs must our local administrative body maintain and submit to ensure that the received incentive funds are not recalled by the higher authorities?
The Gram Panchayat must maintain proper documentation and submit audited financial statements along with monthly expenditure statements and utilization certificates for the received funds.</t>
        </is>
      </c>
      <c r="K2382" s="4" t="inlineStr">
        <is>
          <t>MS-C39</t>
        </is>
      </c>
      <c r="L2382" s="6" t="n">
        <v>46323</v>
      </c>
      <c r="M2382" s="4" t="inlineStr">
        <is>
          <t>Approved</t>
        </is>
      </c>
      <c r="N2382" s="4" t="inlineStr">
        <is>
          <t>faq</t>
        </is>
      </c>
    </row>
    <row r="2383" ht="68" customHeight="1">
      <c r="A2383" s="8" t="inlineStr">
        <is>
          <t>C39-P0067</t>
        </is>
      </c>
      <c r="B2383" s="8" t="inlineStr">
        <is>
          <t>C39</t>
        </is>
      </c>
      <c r="C2383" s="8" t="inlineStr">
        <is>
          <t>Atal Bhujal Yojana</t>
        </is>
      </c>
      <c r="D2383" s="8" t="inlineStr">
        <is>
          <t>FAQ</t>
        </is>
      </c>
      <c r="E2383" s="8" t="inlineStr"/>
      <c r="F2383" s="8" t="inlineStr">
        <is>
          <t>faqs.en.faqs[13]</t>
        </is>
      </c>
      <c r="G2383" s="8" t="inlineStr">
        <is>
          <t>C39@20261028-5776a732</t>
        </is>
      </c>
      <c r="H2383" s="8" t="n">
        <v>1</v>
      </c>
      <c r="I2383" s="8" t="n">
        <v>1</v>
      </c>
      <c r="J2383" s="8" t="inlineStr">
        <is>
          <t>After the initial strategy for managing community water resources is drafted and approved, does it remain permanent for the entire five-year period or does it require regular modifications?
The drafted Water Security Plan must be reviewed and systematically updated on an annual basis to accurately reflect changing local water needs and the progress of ongoing interventions.</t>
        </is>
      </c>
      <c r="K2383" s="8" t="inlineStr">
        <is>
          <t>MS-C39</t>
        </is>
      </c>
      <c r="L2383" s="9" t="n">
        <v>46323</v>
      </c>
      <c r="M2383" s="8" t="inlineStr">
        <is>
          <t>Approved</t>
        </is>
      </c>
      <c r="N2383" s="8" t="inlineStr">
        <is>
          <t>faq</t>
        </is>
      </c>
    </row>
    <row r="2384" ht="96" customHeight="1">
      <c r="A2384" s="4" t="inlineStr">
        <is>
          <t>M05-P0001</t>
        </is>
      </c>
      <c r="B2384" s="4" t="inlineStr">
        <is>
          <t>M05</t>
        </is>
      </c>
      <c r="C2384" s="4" t="inlineStr">
        <is>
          <t>State Post-metric Scholarship For Disabled</t>
        </is>
      </c>
      <c r="D2384" s="4" t="inlineStr">
        <is>
          <t>Details</t>
        </is>
      </c>
      <c r="E2384" s="4" t="inlineStr"/>
      <c r="F2384" s="4" t="inlineStr">
        <is>
          <t>en.schemeContent.detailedDescription[0]</t>
        </is>
      </c>
      <c r="G2384" s="4" t="inlineStr">
        <is>
          <t>M05@20261028-b94d6a7d</t>
        </is>
      </c>
      <c r="H2384" s="4" t="n">
        <v>1</v>
      </c>
      <c r="I2384" s="4" t="n">
        <v>1</v>
      </c>
      <c r="J2384" s="4" t="inlineStr">
        <is>
          <t>The "State Post-metric Scholarship for Disabled" is a scheme by the Department of Social Justice &amp; Special Assistance, Govt. of Maharashtra. The objective of this scheme is to encourage students with disability (SwDs) to pursue higher education, i.e. H.S.C., Degree, Professional, Technical, Medical, Engineering, etc. Only citizens who are permanent residents of the state of Maharashtra are eligible to apply for this scheme. This scheme is 100% funded by the Govt. of Maharashtra.</t>
        </is>
      </c>
      <c r="K2384" s="4" t="inlineStr">
        <is>
          <t>MS-M05</t>
        </is>
      </c>
      <c r="L2384" s="6" t="n">
        <v>46323</v>
      </c>
      <c r="M2384" s="4" t="inlineStr">
        <is>
          <t>Approved</t>
        </is>
      </c>
      <c r="N2384" s="4" t="inlineStr">
        <is>
          <t>paragraph</t>
        </is>
      </c>
    </row>
    <row r="2385" ht="40" customHeight="1">
      <c r="A2385" s="8" t="inlineStr">
        <is>
          <t>M05-P0002</t>
        </is>
      </c>
      <c r="B2385" s="8" t="inlineStr">
        <is>
          <t>M05</t>
        </is>
      </c>
      <c r="C2385" s="8" t="inlineStr">
        <is>
          <t>State Post-metric Scholarship For Disabled</t>
        </is>
      </c>
      <c r="D2385" s="8" t="inlineStr">
        <is>
          <t>Benefits</t>
        </is>
      </c>
      <c r="E2385" s="8" t="inlineStr"/>
      <c r="F2385" s="8" t="inlineStr">
        <is>
          <t>en.schemeContent.benefits[0].children[0]</t>
        </is>
      </c>
      <c r="G2385" s="8" t="inlineStr">
        <is>
          <t>M05@20261028-b94d6a7d</t>
        </is>
      </c>
      <c r="H2385" s="8" t="n">
        <v>1</v>
      </c>
      <c r="I2385" s="8" t="n">
        <v>1</v>
      </c>
      <c r="J2385" s="8" t="inlineStr">
        <is>
          <t>A. Maintenance Allowance</t>
        </is>
      </c>
      <c r="K2385" s="8" t="inlineStr">
        <is>
          <t>MS-M05</t>
        </is>
      </c>
      <c r="L2385" s="9" t="n">
        <v>46323</v>
      </c>
      <c r="M2385" s="8" t="inlineStr">
        <is>
          <t>Approved</t>
        </is>
      </c>
      <c r="N2385" s="8" t="inlineStr">
        <is>
          <t>text</t>
        </is>
      </c>
    </row>
    <row r="2386" ht="40" customHeight="1">
      <c r="A2386" s="4" t="inlineStr">
        <is>
          <t>M05-P0003</t>
        </is>
      </c>
      <c r="B2386" s="4" t="inlineStr">
        <is>
          <t>M05</t>
        </is>
      </c>
      <c r="C2386" s="4" t="inlineStr">
        <is>
          <t>State Post-metric Scholarship For Disabled</t>
        </is>
      </c>
      <c r="D2386" s="4" t="inlineStr">
        <is>
          <t>Benefits</t>
        </is>
      </c>
      <c r="E2386" s="4" t="inlineStr"/>
      <c r="F2386" s="4" t="inlineStr">
        <is>
          <t>en.schemeContent.benefits[2]</t>
        </is>
      </c>
      <c r="G2386" s="4" t="inlineStr">
        <is>
          <t>M05@20261028-b94d6a7d</t>
        </is>
      </c>
      <c r="H2386" s="4" t="n">
        <v>1</v>
      </c>
      <c r="I2386" s="4" t="n">
        <v>1</v>
      </c>
      <c r="J2386" s="4" t="inlineStr">
        <is>
          <t>Group A: Degree Course in Medical, Engineering, Agricultural, Veterinary, and Postgraduate Degree Courses.</t>
        </is>
      </c>
      <c r="K2386" s="4" t="inlineStr">
        <is>
          <t>MS-M05</t>
        </is>
      </c>
      <c r="L2386" s="6" t="n">
        <v>46323</v>
      </c>
      <c r="M2386" s="4" t="inlineStr">
        <is>
          <t>Approved</t>
        </is>
      </c>
      <c r="N2386" s="4" t="inlineStr">
        <is>
          <t>paragraph</t>
        </is>
      </c>
    </row>
    <row r="2387" ht="40" customHeight="1">
      <c r="A2387" s="8" t="inlineStr">
        <is>
          <t>M05-P0004</t>
        </is>
      </c>
      <c r="B2387" s="8" t="inlineStr">
        <is>
          <t>M05</t>
        </is>
      </c>
      <c r="C2387" s="8" t="inlineStr">
        <is>
          <t>State Post-metric Scholarship For Disabled</t>
        </is>
      </c>
      <c r="D2387" s="8" t="inlineStr">
        <is>
          <t>Benefits</t>
        </is>
      </c>
      <c r="E2387" s="8" t="inlineStr"/>
      <c r="F2387" s="8" t="inlineStr">
        <is>
          <t>en.schemeContent.benefits[3]</t>
        </is>
      </c>
      <c r="G2387" s="8" t="inlineStr">
        <is>
          <t>M05@20261028-b94d6a7d</t>
        </is>
      </c>
      <c r="H2387" s="8" t="n">
        <v>1</v>
      </c>
      <c r="I2387" s="8" t="n">
        <v>1</v>
      </c>
      <c r="J2387" s="8" t="inlineStr">
        <is>
          <t>Rate of Scholarship for Hosteller (in ₹ per month): 1200/-</t>
        </is>
      </c>
      <c r="K2387" s="8" t="inlineStr">
        <is>
          <t>MS-M05</t>
        </is>
      </c>
      <c r="L2387" s="9" t="n">
        <v>46323</v>
      </c>
      <c r="M2387" s="8" t="inlineStr">
        <is>
          <t>Approved</t>
        </is>
      </c>
      <c r="N2387" s="8" t="inlineStr">
        <is>
          <t>paragraph</t>
        </is>
      </c>
    </row>
    <row r="2388" ht="40" customHeight="1">
      <c r="A2388" s="4" t="inlineStr">
        <is>
          <t>M05-P0005</t>
        </is>
      </c>
      <c r="B2388" s="4" t="inlineStr">
        <is>
          <t>M05</t>
        </is>
      </c>
      <c r="C2388" s="4" t="inlineStr">
        <is>
          <t>State Post-metric Scholarship For Disabled</t>
        </is>
      </c>
      <c r="D2388" s="4" t="inlineStr">
        <is>
          <t>Benefits</t>
        </is>
      </c>
      <c r="E2388" s="4" t="inlineStr"/>
      <c r="F2388" s="4" t="inlineStr">
        <is>
          <t>en.schemeContent.benefits[4]</t>
        </is>
      </c>
      <c r="G2388" s="4" t="inlineStr">
        <is>
          <t>M05@20261028-b94d6a7d</t>
        </is>
      </c>
      <c r="H2388" s="4" t="n">
        <v>1</v>
      </c>
      <c r="I2388" s="4" t="n">
        <v>1</v>
      </c>
      <c r="J2388" s="4" t="inlineStr">
        <is>
          <t>Rate of Scholarship for Day Scholar (in ₹ per month): 550/-</t>
        </is>
      </c>
      <c r="K2388" s="4" t="inlineStr">
        <is>
          <t>MS-M05</t>
        </is>
      </c>
      <c r="L2388" s="6" t="n">
        <v>46323</v>
      </c>
      <c r="M2388" s="4" t="inlineStr">
        <is>
          <t>Approved</t>
        </is>
      </c>
      <c r="N2388" s="4" t="inlineStr">
        <is>
          <t>paragraph</t>
        </is>
      </c>
    </row>
    <row r="2389" ht="40" customHeight="1">
      <c r="A2389" s="8" t="inlineStr">
        <is>
          <t>M05-P0006</t>
        </is>
      </c>
      <c r="B2389" s="8" t="inlineStr">
        <is>
          <t>M05</t>
        </is>
      </c>
      <c r="C2389" s="8" t="inlineStr">
        <is>
          <t>State Post-metric Scholarship For Disabled</t>
        </is>
      </c>
      <c r="D2389" s="8" t="inlineStr">
        <is>
          <t>Benefits</t>
        </is>
      </c>
      <c r="E2389" s="8" t="inlineStr"/>
      <c r="F2389" s="8" t="inlineStr">
        <is>
          <t>en.schemeContent.benefits[6]</t>
        </is>
      </c>
      <c r="G2389" s="8" t="inlineStr">
        <is>
          <t>M05@20261028-b94d6a7d</t>
        </is>
      </c>
      <c r="H2389" s="8" t="n">
        <v>1</v>
      </c>
      <c r="I2389" s="8" t="n">
        <v>1</v>
      </c>
      <c r="J2389" s="8" t="inlineStr">
        <is>
          <t>Group B: Diploma course in Medical, Engineering, Agricultural, and Veterinary.</t>
        </is>
      </c>
      <c r="K2389" s="8" t="inlineStr">
        <is>
          <t>MS-M05</t>
        </is>
      </c>
      <c r="L2389" s="9" t="n">
        <v>46323</v>
      </c>
      <c r="M2389" s="8" t="inlineStr">
        <is>
          <t>Approved</t>
        </is>
      </c>
      <c r="N2389" s="8" t="inlineStr">
        <is>
          <t>paragraph</t>
        </is>
      </c>
    </row>
    <row r="2390" ht="40" customHeight="1">
      <c r="A2390" s="4" t="inlineStr">
        <is>
          <t>M05-P0007</t>
        </is>
      </c>
      <c r="B2390" s="4" t="inlineStr">
        <is>
          <t>M05</t>
        </is>
      </c>
      <c r="C2390" s="4" t="inlineStr">
        <is>
          <t>State Post-metric Scholarship For Disabled</t>
        </is>
      </c>
      <c r="D2390" s="4" t="inlineStr">
        <is>
          <t>Benefits</t>
        </is>
      </c>
      <c r="E2390" s="4" t="inlineStr"/>
      <c r="F2390" s="4" t="inlineStr">
        <is>
          <t>en.schemeContent.benefits[7]</t>
        </is>
      </c>
      <c r="G2390" s="4" t="inlineStr">
        <is>
          <t>M05@20261028-b94d6a7d</t>
        </is>
      </c>
      <c r="H2390" s="4" t="n">
        <v>1</v>
      </c>
      <c r="I2390" s="4" t="n">
        <v>1</v>
      </c>
      <c r="J2390" s="4" t="inlineStr">
        <is>
          <t>Rate of Scholarship for Hosteller (in ₹ per month): 820/-</t>
        </is>
      </c>
      <c r="K2390" s="4" t="inlineStr">
        <is>
          <t>MS-M05</t>
        </is>
      </c>
      <c r="L2390" s="6" t="n">
        <v>46323</v>
      </c>
      <c r="M2390" s="4" t="inlineStr">
        <is>
          <t>Approved</t>
        </is>
      </c>
      <c r="N2390" s="4" t="inlineStr">
        <is>
          <t>paragraph</t>
        </is>
      </c>
    </row>
    <row r="2391" ht="40" customHeight="1">
      <c r="A2391" s="8" t="inlineStr">
        <is>
          <t>M05-P0008</t>
        </is>
      </c>
      <c r="B2391" s="8" t="inlineStr">
        <is>
          <t>M05</t>
        </is>
      </c>
      <c r="C2391" s="8" t="inlineStr">
        <is>
          <t>State Post-metric Scholarship For Disabled</t>
        </is>
      </c>
      <c r="D2391" s="8" t="inlineStr">
        <is>
          <t>Benefits</t>
        </is>
      </c>
      <c r="E2391" s="8" t="inlineStr"/>
      <c r="F2391" s="8" t="inlineStr">
        <is>
          <t>en.schemeContent.benefits[8]</t>
        </is>
      </c>
      <c r="G2391" s="8" t="inlineStr">
        <is>
          <t>M05@20261028-b94d6a7d</t>
        </is>
      </c>
      <c r="H2391" s="8" t="n">
        <v>1</v>
      </c>
      <c r="I2391" s="8" t="n">
        <v>1</v>
      </c>
      <c r="J2391" s="8" t="inlineStr">
        <is>
          <t>Rate of Scholarship for Day Scholar (in ₹ per month): 530/-</t>
        </is>
      </c>
      <c r="K2391" s="8" t="inlineStr">
        <is>
          <t>MS-M05</t>
        </is>
      </c>
      <c r="L2391" s="9" t="n">
        <v>46323</v>
      </c>
      <c r="M2391" s="8" t="inlineStr">
        <is>
          <t>Approved</t>
        </is>
      </c>
      <c r="N2391" s="8" t="inlineStr">
        <is>
          <t>paragraph</t>
        </is>
      </c>
    </row>
    <row r="2392" ht="40" customHeight="1">
      <c r="A2392" s="4" t="inlineStr">
        <is>
          <t>M05-P0009</t>
        </is>
      </c>
      <c r="B2392" s="4" t="inlineStr">
        <is>
          <t>M05</t>
        </is>
      </c>
      <c r="C2392" s="4" t="inlineStr">
        <is>
          <t>State Post-metric Scholarship For Disabled</t>
        </is>
      </c>
      <c r="D2392" s="4" t="inlineStr">
        <is>
          <t>Benefits</t>
        </is>
      </c>
      <c r="E2392" s="4" t="inlineStr"/>
      <c r="F2392" s="4" t="inlineStr">
        <is>
          <t>en.schemeContent.benefits[10]</t>
        </is>
      </c>
      <c r="G2392" s="4" t="inlineStr">
        <is>
          <t>M05@20261028-b94d6a7d</t>
        </is>
      </c>
      <c r="H2392" s="4" t="n">
        <v>1</v>
      </c>
      <c r="I2392" s="4" t="n">
        <v>1</v>
      </c>
      <c r="J2392" s="4" t="inlineStr">
        <is>
          <t>Group C: Post Graduate Course in Arts, Science, Commerce, and Diploma in Professional Education.</t>
        </is>
      </c>
      <c r="K2392" s="4" t="inlineStr">
        <is>
          <t>MS-M05</t>
        </is>
      </c>
      <c r="L2392" s="6" t="n">
        <v>46323</v>
      </c>
      <c r="M2392" s="4" t="inlineStr">
        <is>
          <t>Approved</t>
        </is>
      </c>
      <c r="N2392" s="4" t="inlineStr">
        <is>
          <t>paragraph</t>
        </is>
      </c>
    </row>
    <row r="2393" ht="40" customHeight="1">
      <c r="A2393" s="8" t="inlineStr">
        <is>
          <t>M05-P0010</t>
        </is>
      </c>
      <c r="B2393" s="8" t="inlineStr">
        <is>
          <t>M05</t>
        </is>
      </c>
      <c r="C2393" s="8" t="inlineStr">
        <is>
          <t>State Post-metric Scholarship For Disabled</t>
        </is>
      </c>
      <c r="D2393" s="8" t="inlineStr">
        <is>
          <t>Benefits</t>
        </is>
      </c>
      <c r="E2393" s="8" t="inlineStr"/>
      <c r="F2393" s="8" t="inlineStr">
        <is>
          <t>en.schemeContent.benefits[11]</t>
        </is>
      </c>
      <c r="G2393" s="8" t="inlineStr">
        <is>
          <t>M05@20261028-b94d6a7d</t>
        </is>
      </c>
      <c r="H2393" s="8" t="n">
        <v>1</v>
      </c>
      <c r="I2393" s="8" t="n">
        <v>1</v>
      </c>
      <c r="J2393" s="8" t="inlineStr">
        <is>
          <t>Rate of Scholarship for Hosteller (in ₹ per month): 820/-</t>
        </is>
      </c>
      <c r="K2393" s="8" t="inlineStr">
        <is>
          <t>MS-M05</t>
        </is>
      </c>
      <c r="L2393" s="9" t="n">
        <v>46323</v>
      </c>
      <c r="M2393" s="8" t="inlineStr">
        <is>
          <t>Approved</t>
        </is>
      </c>
      <c r="N2393" s="8" t="inlineStr">
        <is>
          <t>paragraph</t>
        </is>
      </c>
    </row>
    <row r="2394" ht="40" customHeight="1">
      <c r="A2394" s="4" t="inlineStr">
        <is>
          <t>M05-P0011</t>
        </is>
      </c>
      <c r="B2394" s="4" t="inlineStr">
        <is>
          <t>M05</t>
        </is>
      </c>
      <c r="C2394" s="4" t="inlineStr">
        <is>
          <t>State Post-metric Scholarship For Disabled</t>
        </is>
      </c>
      <c r="D2394" s="4" t="inlineStr">
        <is>
          <t>Benefits</t>
        </is>
      </c>
      <c r="E2394" s="4" t="inlineStr"/>
      <c r="F2394" s="4" t="inlineStr">
        <is>
          <t>en.schemeContent.benefits[12]</t>
        </is>
      </c>
      <c r="G2394" s="4" t="inlineStr">
        <is>
          <t>M05@20261028-b94d6a7d</t>
        </is>
      </c>
      <c r="H2394" s="4" t="n">
        <v>1</v>
      </c>
      <c r="I2394" s="4" t="n">
        <v>1</v>
      </c>
      <c r="J2394" s="4" t="inlineStr">
        <is>
          <t>Rate of Scholarship for Day Scholar (in ₹ per month): 530/-</t>
        </is>
      </c>
      <c r="K2394" s="4" t="inlineStr">
        <is>
          <t>MS-M05</t>
        </is>
      </c>
      <c r="L2394" s="6" t="n">
        <v>46323</v>
      </c>
      <c r="M2394" s="4" t="inlineStr">
        <is>
          <t>Approved</t>
        </is>
      </c>
      <c r="N2394" s="4" t="inlineStr">
        <is>
          <t>paragraph</t>
        </is>
      </c>
    </row>
    <row r="2395" ht="40" customHeight="1">
      <c r="A2395" s="8" t="inlineStr">
        <is>
          <t>M05-P0012</t>
        </is>
      </c>
      <c r="B2395" s="8" t="inlineStr">
        <is>
          <t>M05</t>
        </is>
      </c>
      <c r="C2395" s="8" t="inlineStr">
        <is>
          <t>State Post-metric Scholarship For Disabled</t>
        </is>
      </c>
      <c r="D2395" s="8" t="inlineStr">
        <is>
          <t>Benefits</t>
        </is>
      </c>
      <c r="E2395" s="8" t="inlineStr"/>
      <c r="F2395" s="8" t="inlineStr">
        <is>
          <t>en.schemeContent.benefits[14]</t>
        </is>
      </c>
      <c r="G2395" s="8" t="inlineStr">
        <is>
          <t>M05@20261028-b94d6a7d</t>
        </is>
      </c>
      <c r="H2395" s="8" t="n">
        <v>1</v>
      </c>
      <c r="I2395" s="8" t="n">
        <v>1</v>
      </c>
      <c r="J2395" s="8" t="inlineStr">
        <is>
          <t>Group D: From 2nd-year degree course</t>
        </is>
      </c>
      <c r="K2395" s="8" t="inlineStr">
        <is>
          <t>MS-M05</t>
        </is>
      </c>
      <c r="L2395" s="9" t="n">
        <v>46323</v>
      </c>
      <c r="M2395" s="8" t="inlineStr">
        <is>
          <t>Approved</t>
        </is>
      </c>
      <c r="N2395" s="8" t="inlineStr">
        <is>
          <t>paragraph</t>
        </is>
      </c>
    </row>
    <row r="2396" ht="40" customHeight="1">
      <c r="A2396" s="4" t="inlineStr">
        <is>
          <t>M05-P0013</t>
        </is>
      </c>
      <c r="B2396" s="4" t="inlineStr">
        <is>
          <t>M05</t>
        </is>
      </c>
      <c r="C2396" s="4" t="inlineStr">
        <is>
          <t>State Post-metric Scholarship For Disabled</t>
        </is>
      </c>
      <c r="D2396" s="4" t="inlineStr">
        <is>
          <t>Benefits</t>
        </is>
      </c>
      <c r="E2396" s="4" t="inlineStr"/>
      <c r="F2396" s="4" t="inlineStr">
        <is>
          <t>en.schemeContent.benefits[15]</t>
        </is>
      </c>
      <c r="G2396" s="4" t="inlineStr">
        <is>
          <t>M05@20261028-b94d6a7d</t>
        </is>
      </c>
      <c r="H2396" s="4" t="n">
        <v>1</v>
      </c>
      <c r="I2396" s="4" t="n">
        <v>1</v>
      </c>
      <c r="J2396" s="4" t="inlineStr">
        <is>
          <t>Rate of Scholarship for Hosteller (in ₹ per month): 570/-</t>
        </is>
      </c>
      <c r="K2396" s="4" t="inlineStr">
        <is>
          <t>MS-M05</t>
        </is>
      </c>
      <c r="L2396" s="6" t="n">
        <v>46323</v>
      </c>
      <c r="M2396" s="4" t="inlineStr">
        <is>
          <t>Approved</t>
        </is>
      </c>
      <c r="N2396" s="4" t="inlineStr">
        <is>
          <t>paragraph</t>
        </is>
      </c>
    </row>
    <row r="2397" ht="40" customHeight="1">
      <c r="A2397" s="8" t="inlineStr">
        <is>
          <t>M05-P0014</t>
        </is>
      </c>
      <c r="B2397" s="8" t="inlineStr">
        <is>
          <t>M05</t>
        </is>
      </c>
      <c r="C2397" s="8" t="inlineStr">
        <is>
          <t>State Post-metric Scholarship For Disabled</t>
        </is>
      </c>
      <c r="D2397" s="8" t="inlineStr">
        <is>
          <t>Benefits</t>
        </is>
      </c>
      <c r="E2397" s="8" t="inlineStr"/>
      <c r="F2397" s="8" t="inlineStr">
        <is>
          <t>en.schemeContent.benefits[16]</t>
        </is>
      </c>
      <c r="G2397" s="8" t="inlineStr">
        <is>
          <t>M05@20261028-b94d6a7d</t>
        </is>
      </c>
      <c r="H2397" s="8" t="n">
        <v>1</v>
      </c>
      <c r="I2397" s="8" t="n">
        <v>1</v>
      </c>
      <c r="J2397" s="8" t="inlineStr">
        <is>
          <t>Rate of Scholarship for Day Scholar (in ₹ per month): 300/-</t>
        </is>
      </c>
      <c r="K2397" s="8" t="inlineStr">
        <is>
          <t>MS-M05</t>
        </is>
      </c>
      <c r="L2397" s="9" t="n">
        <v>46323</v>
      </c>
      <c r="M2397" s="8" t="inlineStr">
        <is>
          <t>Approved</t>
        </is>
      </c>
      <c r="N2397" s="8" t="inlineStr">
        <is>
          <t>paragraph</t>
        </is>
      </c>
    </row>
    <row r="2398" ht="40" customHeight="1">
      <c r="A2398" s="4" t="inlineStr">
        <is>
          <t>M05-P0015</t>
        </is>
      </c>
      <c r="B2398" s="4" t="inlineStr">
        <is>
          <t>M05</t>
        </is>
      </c>
      <c r="C2398" s="4" t="inlineStr">
        <is>
          <t>State Post-metric Scholarship For Disabled</t>
        </is>
      </c>
      <c r="D2398" s="4" t="inlineStr">
        <is>
          <t>Benefits</t>
        </is>
      </c>
      <c r="E2398" s="4" t="inlineStr"/>
      <c r="F2398" s="4" t="inlineStr">
        <is>
          <t>en.schemeContent.benefits[18]</t>
        </is>
      </c>
      <c r="G2398" s="4" t="inlineStr">
        <is>
          <t>M05@20261028-b94d6a7d</t>
        </is>
      </c>
      <c r="H2398" s="4" t="n">
        <v>1</v>
      </c>
      <c r="I2398" s="4" t="n">
        <v>1</v>
      </c>
      <c r="J2398" s="4" t="inlineStr">
        <is>
          <t>Group E: 11th, 10th and 1st year of Degree Course</t>
        </is>
      </c>
      <c r="K2398" s="4" t="inlineStr">
        <is>
          <t>MS-M05</t>
        </is>
      </c>
      <c r="L2398" s="6" t="n">
        <v>46323</v>
      </c>
      <c r="M2398" s="4" t="inlineStr">
        <is>
          <t>Approved</t>
        </is>
      </c>
      <c r="N2398" s="4" t="inlineStr">
        <is>
          <t>paragraph</t>
        </is>
      </c>
    </row>
    <row r="2399" ht="40" customHeight="1">
      <c r="A2399" s="8" t="inlineStr">
        <is>
          <t>M05-P0016</t>
        </is>
      </c>
      <c r="B2399" s="8" t="inlineStr">
        <is>
          <t>M05</t>
        </is>
      </c>
      <c r="C2399" s="8" t="inlineStr">
        <is>
          <t>State Post-metric Scholarship For Disabled</t>
        </is>
      </c>
      <c r="D2399" s="8" t="inlineStr">
        <is>
          <t>Benefits</t>
        </is>
      </c>
      <c r="E2399" s="8" t="inlineStr"/>
      <c r="F2399" s="8" t="inlineStr">
        <is>
          <t>en.schemeContent.benefits[19]</t>
        </is>
      </c>
      <c r="G2399" s="8" t="inlineStr">
        <is>
          <t>M05@20261028-b94d6a7d</t>
        </is>
      </c>
      <c r="H2399" s="8" t="n">
        <v>1</v>
      </c>
      <c r="I2399" s="8" t="n">
        <v>1</v>
      </c>
      <c r="J2399" s="8" t="inlineStr">
        <is>
          <t>Rate of Scholarship for Hosteller (in ₹ per month): 380/-</t>
        </is>
      </c>
      <c r="K2399" s="8" t="inlineStr">
        <is>
          <t>MS-M05</t>
        </is>
      </c>
      <c r="L2399" s="9" t="n">
        <v>46323</v>
      </c>
      <c r="M2399" s="8" t="inlineStr">
        <is>
          <t>Approved</t>
        </is>
      </c>
      <c r="N2399" s="8" t="inlineStr">
        <is>
          <t>paragraph</t>
        </is>
      </c>
    </row>
    <row r="2400" ht="40" customHeight="1">
      <c r="A2400" s="4" t="inlineStr">
        <is>
          <t>M05-P0017</t>
        </is>
      </c>
      <c r="B2400" s="4" t="inlineStr">
        <is>
          <t>M05</t>
        </is>
      </c>
      <c r="C2400" s="4" t="inlineStr">
        <is>
          <t>State Post-metric Scholarship For Disabled</t>
        </is>
      </c>
      <c r="D2400" s="4" t="inlineStr">
        <is>
          <t>Benefits</t>
        </is>
      </c>
      <c r="E2400" s="4" t="inlineStr"/>
      <c r="F2400" s="4" t="inlineStr">
        <is>
          <t>en.schemeContent.benefits[20]</t>
        </is>
      </c>
      <c r="G2400" s="4" t="inlineStr">
        <is>
          <t>M05@20261028-b94d6a7d</t>
        </is>
      </c>
      <c r="H2400" s="4" t="n">
        <v>1</v>
      </c>
      <c r="I2400" s="4" t="n">
        <v>1</v>
      </c>
      <c r="J2400" s="4" t="inlineStr">
        <is>
          <t>Rate of Scholarship for Day Scholar (in ₹ per month): 230/-</t>
        </is>
      </c>
      <c r="K2400" s="4" t="inlineStr">
        <is>
          <t>MS-M05</t>
        </is>
      </c>
      <c r="L2400" s="6" t="n">
        <v>46323</v>
      </c>
      <c r="M2400" s="4" t="inlineStr">
        <is>
          <t>Approved</t>
        </is>
      </c>
      <c r="N2400" s="4" t="inlineStr">
        <is>
          <t>paragraph</t>
        </is>
      </c>
    </row>
    <row r="2401" ht="40" customHeight="1">
      <c r="A2401" s="8" t="inlineStr">
        <is>
          <t>M05-P0018</t>
        </is>
      </c>
      <c r="B2401" s="8" t="inlineStr">
        <is>
          <t>M05</t>
        </is>
      </c>
      <c r="C2401" s="8" t="inlineStr">
        <is>
          <t>State Post-metric Scholarship For Disabled</t>
        </is>
      </c>
      <c r="D2401" s="8" t="inlineStr">
        <is>
          <t>Benefits</t>
        </is>
      </c>
      <c r="E2401" s="8" t="inlineStr"/>
      <c r="F2401" s="8" t="inlineStr">
        <is>
          <t>en.schemeContent.benefits[22].children[0]</t>
        </is>
      </c>
      <c r="G2401" s="8" t="inlineStr">
        <is>
          <t>M05@20261028-b94d6a7d</t>
        </is>
      </c>
      <c r="H2401" s="8" t="n">
        <v>1</v>
      </c>
      <c r="I2401" s="8" t="n">
        <v>1</v>
      </c>
      <c r="J2401" s="8" t="inlineStr">
        <is>
          <t>B. Reader Allowance for Blind and Low-Vision Students.</t>
        </is>
      </c>
      <c r="K2401" s="8" t="inlineStr">
        <is>
          <t>MS-M05</t>
        </is>
      </c>
      <c r="L2401" s="9" t="n">
        <v>46323</v>
      </c>
      <c r="M2401" s="8" t="inlineStr">
        <is>
          <t>Approved</t>
        </is>
      </c>
      <c r="N2401" s="8" t="inlineStr">
        <is>
          <t>text</t>
        </is>
      </c>
    </row>
    <row r="2402" ht="40" customHeight="1">
      <c r="A2402" s="4" t="inlineStr">
        <is>
          <t>M05-P0019</t>
        </is>
      </c>
      <c r="B2402" s="4" t="inlineStr">
        <is>
          <t>M05</t>
        </is>
      </c>
      <c r="C2402" s="4" t="inlineStr">
        <is>
          <t>State Post-metric Scholarship For Disabled</t>
        </is>
      </c>
      <c r="D2402" s="4" t="inlineStr">
        <is>
          <t>Benefits</t>
        </is>
      </c>
      <c r="E2402" s="4" t="inlineStr"/>
      <c r="F2402" s="4" t="inlineStr">
        <is>
          <t>en.schemeContent.benefits[24]</t>
        </is>
      </c>
      <c r="G2402" s="4" t="inlineStr">
        <is>
          <t>M05@20261028-b94d6a7d</t>
        </is>
      </c>
      <c r="H2402" s="4" t="n">
        <v>1</v>
      </c>
      <c r="I2402" s="4" t="n">
        <v>1</v>
      </c>
      <c r="J2402" s="4" t="inlineStr">
        <is>
          <t>Group A, B, C (in ₹ per month): 100/-</t>
        </is>
      </c>
      <c r="K2402" s="4" t="inlineStr">
        <is>
          <t>MS-M05</t>
        </is>
      </c>
      <c r="L2402" s="6" t="n">
        <v>46323</v>
      </c>
      <c r="M2402" s="4" t="inlineStr">
        <is>
          <t>Approved</t>
        </is>
      </c>
      <c r="N2402" s="4" t="inlineStr">
        <is>
          <t>paragraph</t>
        </is>
      </c>
    </row>
    <row r="2403" ht="40" customHeight="1">
      <c r="A2403" s="8" t="inlineStr">
        <is>
          <t>M05-P0020</t>
        </is>
      </c>
      <c r="B2403" s="8" t="inlineStr">
        <is>
          <t>M05</t>
        </is>
      </c>
      <c r="C2403" s="8" t="inlineStr">
        <is>
          <t>State Post-metric Scholarship For Disabled</t>
        </is>
      </c>
      <c r="D2403" s="8" t="inlineStr">
        <is>
          <t>Benefits</t>
        </is>
      </c>
      <c r="E2403" s="8" t="inlineStr"/>
      <c r="F2403" s="8" t="inlineStr">
        <is>
          <t>en.schemeContent.benefits[26]</t>
        </is>
      </c>
      <c r="G2403" s="8" t="inlineStr">
        <is>
          <t>M05@20261028-b94d6a7d</t>
        </is>
      </c>
      <c r="H2403" s="8" t="n">
        <v>1</v>
      </c>
      <c r="I2403" s="8" t="n">
        <v>1</v>
      </c>
      <c r="J2403" s="8" t="inlineStr">
        <is>
          <t>Group D (in ₹ per month): 75/-</t>
        </is>
      </c>
      <c r="K2403" s="8" t="inlineStr">
        <is>
          <t>MS-M05</t>
        </is>
      </c>
      <c r="L2403" s="9" t="n">
        <v>46323</v>
      </c>
      <c r="M2403" s="8" t="inlineStr">
        <is>
          <t>Approved</t>
        </is>
      </c>
      <c r="N2403" s="8" t="inlineStr">
        <is>
          <t>paragraph</t>
        </is>
      </c>
    </row>
    <row r="2404" ht="40" customHeight="1">
      <c r="A2404" s="4" t="inlineStr">
        <is>
          <t>M05-P0021</t>
        </is>
      </c>
      <c r="B2404" s="4" t="inlineStr">
        <is>
          <t>M05</t>
        </is>
      </c>
      <c r="C2404" s="4" t="inlineStr">
        <is>
          <t>State Post-metric Scholarship For Disabled</t>
        </is>
      </c>
      <c r="D2404" s="4" t="inlineStr">
        <is>
          <t>Benefits</t>
        </is>
      </c>
      <c r="E2404" s="4" t="inlineStr"/>
      <c r="F2404" s="4" t="inlineStr">
        <is>
          <t>en.schemeContent.benefits[28]</t>
        </is>
      </c>
      <c r="G2404" s="4" t="inlineStr">
        <is>
          <t>M05@20261028-b94d6a7d</t>
        </is>
      </c>
      <c r="H2404" s="4" t="n">
        <v>1</v>
      </c>
      <c r="I2404" s="4" t="n">
        <v>1</v>
      </c>
      <c r="J2404" s="4" t="inlineStr">
        <is>
          <t>Group E (in ₹ per month): 50/-</t>
        </is>
      </c>
      <c r="K2404" s="4" t="inlineStr">
        <is>
          <t>MS-M05</t>
        </is>
      </c>
      <c r="L2404" s="6" t="n">
        <v>46323</v>
      </c>
      <c r="M2404" s="4" t="inlineStr">
        <is>
          <t>Approved</t>
        </is>
      </c>
      <c r="N2404" s="4" t="inlineStr">
        <is>
          <t>paragraph</t>
        </is>
      </c>
    </row>
    <row r="2405" ht="40" customHeight="1">
      <c r="A2405" s="8" t="inlineStr">
        <is>
          <t>M05-P0022</t>
        </is>
      </c>
      <c r="B2405" s="8" t="inlineStr">
        <is>
          <t>M05</t>
        </is>
      </c>
      <c r="C2405" s="8" t="inlineStr">
        <is>
          <t>State Post-metric Scholarship For Disabled</t>
        </is>
      </c>
      <c r="D2405" s="8" t="inlineStr">
        <is>
          <t>Benefits</t>
        </is>
      </c>
      <c r="E2405" s="8" t="inlineStr"/>
      <c r="F2405" s="8" t="inlineStr">
        <is>
          <t>en.schemeContent.benefits[30].children[0]</t>
        </is>
      </c>
      <c r="G2405" s="8" t="inlineStr">
        <is>
          <t>M05@20261028-b94d6a7d</t>
        </is>
      </c>
      <c r="H2405" s="8" t="n">
        <v>1</v>
      </c>
      <c r="I2405" s="8" t="n">
        <v>1</v>
      </c>
      <c r="J2405" s="8" t="inlineStr">
        <is>
          <t xml:space="preserve">C. Tuition Fees (in ₹ per month): </t>
        </is>
      </c>
      <c r="K2405" s="8" t="inlineStr">
        <is>
          <t>MS-M05</t>
        </is>
      </c>
      <c r="L2405" s="9" t="n">
        <v>46323</v>
      </c>
      <c r="M2405" s="8" t="inlineStr">
        <is>
          <t>Approved</t>
        </is>
      </c>
      <c r="N2405" s="8" t="inlineStr">
        <is>
          <t>text</t>
        </is>
      </c>
    </row>
    <row r="2406" ht="40" customHeight="1">
      <c r="A2406" s="4" t="inlineStr">
        <is>
          <t>M05-P0023</t>
        </is>
      </c>
      <c r="B2406" s="4" t="inlineStr">
        <is>
          <t>M05</t>
        </is>
      </c>
      <c r="C2406" s="4" t="inlineStr">
        <is>
          <t>State Post-metric Scholarship For Disabled</t>
        </is>
      </c>
      <c r="D2406" s="4" t="inlineStr">
        <is>
          <t>Benefits</t>
        </is>
      </c>
      <c r="E2406" s="4" t="inlineStr"/>
      <c r="F2406" s="4" t="inlineStr">
        <is>
          <t>en.schemeContent.benefits[31]</t>
        </is>
      </c>
      <c r="G2406" s="4" t="inlineStr">
        <is>
          <t>M05@20261028-b94d6a7d</t>
        </is>
      </c>
      <c r="H2406" s="4" t="n">
        <v>1</v>
      </c>
      <c r="I2406" s="4" t="n">
        <v>1</v>
      </c>
      <c r="J2406" s="4" t="inlineStr">
        <is>
          <t>As approved by the competent authority.</t>
        </is>
      </c>
      <c r="K2406" s="4" t="inlineStr">
        <is>
          <t>MS-M05</t>
        </is>
      </c>
      <c r="L2406" s="6" t="n">
        <v>46323</v>
      </c>
      <c r="M2406" s="4" t="inlineStr">
        <is>
          <t>Approved</t>
        </is>
      </c>
      <c r="N2406" s="4" t="inlineStr">
        <is>
          <t>paragraph</t>
        </is>
      </c>
    </row>
    <row r="2407" ht="40" customHeight="1">
      <c r="A2407" s="8" t="inlineStr">
        <is>
          <t>M05-P0024</t>
        </is>
      </c>
      <c r="B2407" s="8" t="inlineStr">
        <is>
          <t>M05</t>
        </is>
      </c>
      <c r="C2407" s="8" t="inlineStr">
        <is>
          <t>State Post-metric Scholarship For Disabled</t>
        </is>
      </c>
      <c r="D2407" s="8" t="inlineStr">
        <is>
          <t>Benefits</t>
        </is>
      </c>
      <c r="E2407" s="8" t="inlineStr"/>
      <c r="F2407" s="8" t="inlineStr">
        <is>
          <t>en.schemeContent.benefits[33].children[0]</t>
        </is>
      </c>
      <c r="G2407" s="8" t="inlineStr">
        <is>
          <t>M05@20261028-b94d6a7d</t>
        </is>
      </c>
      <c r="H2407" s="8" t="n">
        <v>1</v>
      </c>
      <c r="I2407" s="8" t="n">
        <v>1</v>
      </c>
      <c r="J2407" s="8" t="inlineStr">
        <is>
          <t xml:space="preserve">D. Study Tour Expenditure (in ₹ per annum): </t>
        </is>
      </c>
      <c r="K2407" s="8" t="inlineStr">
        <is>
          <t>MS-M05</t>
        </is>
      </c>
      <c r="L2407" s="9" t="n">
        <v>46323</v>
      </c>
      <c r="M2407" s="8" t="inlineStr">
        <is>
          <t>Approved</t>
        </is>
      </c>
      <c r="N2407" s="8" t="inlineStr">
        <is>
          <t>text</t>
        </is>
      </c>
    </row>
    <row r="2408" ht="40" customHeight="1">
      <c r="A2408" s="4" t="inlineStr">
        <is>
          <t>M05-P0025</t>
        </is>
      </c>
      <c r="B2408" s="4" t="inlineStr">
        <is>
          <t>M05</t>
        </is>
      </c>
      <c r="C2408" s="4" t="inlineStr">
        <is>
          <t>State Post-metric Scholarship For Disabled</t>
        </is>
      </c>
      <c r="D2408" s="4" t="inlineStr">
        <is>
          <t>Benefits</t>
        </is>
      </c>
      <c r="E2408" s="4" t="inlineStr"/>
      <c r="F2408" s="4" t="inlineStr">
        <is>
          <t>en.schemeContent.benefits[34]</t>
        </is>
      </c>
      <c r="G2408" s="4" t="inlineStr">
        <is>
          <t>M05@20261028-b94d6a7d</t>
        </is>
      </c>
      <c r="H2408" s="4" t="n">
        <v>1</v>
      </c>
      <c r="I2408" s="4" t="n">
        <v>1</v>
      </c>
      <c r="J2408" s="4" t="inlineStr">
        <is>
          <t>500/-</t>
        </is>
      </c>
      <c r="K2408" s="4" t="inlineStr">
        <is>
          <t>MS-M05</t>
        </is>
      </c>
      <c r="L2408" s="6" t="n">
        <v>46323</v>
      </c>
      <c r="M2408" s="4" t="inlineStr">
        <is>
          <t>Approved</t>
        </is>
      </c>
      <c r="N2408" s="4" t="inlineStr">
        <is>
          <t>paragraph</t>
        </is>
      </c>
    </row>
    <row r="2409" ht="40" customHeight="1">
      <c r="A2409" s="8" t="inlineStr">
        <is>
          <t>M05-P0026</t>
        </is>
      </c>
      <c r="B2409" s="8" t="inlineStr">
        <is>
          <t>M05</t>
        </is>
      </c>
      <c r="C2409" s="8" t="inlineStr">
        <is>
          <t>State Post-metric Scholarship For Disabled</t>
        </is>
      </c>
      <c r="D2409" s="8" t="inlineStr">
        <is>
          <t>Benefits</t>
        </is>
      </c>
      <c r="E2409" s="8" t="inlineStr"/>
      <c r="F2409" s="8" t="inlineStr">
        <is>
          <t>en.schemeContent.benefits[36].children[0]</t>
        </is>
      </c>
      <c r="G2409" s="8" t="inlineStr">
        <is>
          <t>M05@20261028-b94d6a7d</t>
        </is>
      </c>
      <c r="H2409" s="8" t="n">
        <v>1</v>
      </c>
      <c r="I2409" s="8" t="n">
        <v>1</v>
      </c>
      <c r="J2409" s="8" t="inlineStr">
        <is>
          <t xml:space="preserve">E. Project Typing Expenditure (in ₹ per annum): </t>
        </is>
      </c>
      <c r="K2409" s="8" t="inlineStr">
        <is>
          <t>MS-M05</t>
        </is>
      </c>
      <c r="L2409" s="9" t="n">
        <v>46323</v>
      </c>
      <c r="M2409" s="8" t="inlineStr">
        <is>
          <t>Approved</t>
        </is>
      </c>
      <c r="N2409" s="8" t="inlineStr">
        <is>
          <t>text</t>
        </is>
      </c>
    </row>
    <row r="2410" ht="40" customHeight="1">
      <c r="A2410" s="4" t="inlineStr">
        <is>
          <t>M05-P0027</t>
        </is>
      </c>
      <c r="B2410" s="4" t="inlineStr">
        <is>
          <t>M05</t>
        </is>
      </c>
      <c r="C2410" s="4" t="inlineStr">
        <is>
          <t>State Post-metric Scholarship For Disabled</t>
        </is>
      </c>
      <c r="D2410" s="4" t="inlineStr">
        <is>
          <t>Benefits</t>
        </is>
      </c>
      <c r="E2410" s="4" t="inlineStr"/>
      <c r="F2410" s="4" t="inlineStr">
        <is>
          <t>en.schemeContent.benefits[37]</t>
        </is>
      </c>
      <c r="G2410" s="4" t="inlineStr">
        <is>
          <t>M05@20261028-b94d6a7d</t>
        </is>
      </c>
      <c r="H2410" s="4" t="n">
        <v>1</v>
      </c>
      <c r="I2410" s="4" t="n">
        <v>1</v>
      </c>
      <c r="J2410" s="4" t="inlineStr">
        <is>
          <t>600/-</t>
        </is>
      </c>
      <c r="K2410" s="4" t="inlineStr">
        <is>
          <t>MS-M05</t>
        </is>
      </c>
      <c r="L2410" s="6" t="n">
        <v>46323</v>
      </c>
      <c r="M2410" s="4" t="inlineStr">
        <is>
          <t>Approved</t>
        </is>
      </c>
      <c r="N2410" s="4" t="inlineStr">
        <is>
          <t>paragraph</t>
        </is>
      </c>
    </row>
    <row r="2411" ht="40" customHeight="1">
      <c r="A2411" s="8" t="inlineStr">
        <is>
          <t>M05-P0028</t>
        </is>
      </c>
      <c r="B2411" s="8" t="inlineStr">
        <is>
          <t>M05</t>
        </is>
      </c>
      <c r="C2411" s="8" t="inlineStr">
        <is>
          <t>State Post-metric Scholarship For Disabled</t>
        </is>
      </c>
      <c r="D2411" s="8" t="inlineStr">
        <is>
          <t>Eligibility</t>
        </is>
      </c>
      <c r="E2411" s="8" t="inlineStr"/>
      <c r="F2411" s="8" t="inlineStr">
        <is>
          <t>en.eligibilityCriteria.eligibilityDescription[0].children[0]</t>
        </is>
      </c>
      <c r="G2411" s="8" t="inlineStr">
        <is>
          <t>M05@20261028-b94d6a7d</t>
        </is>
      </c>
      <c r="H2411" s="8" t="n">
        <v>1</v>
      </c>
      <c r="I2411" s="8" t="n">
        <v>1</v>
      </c>
      <c r="J2411" s="8" t="inlineStr">
        <is>
          <t>The applicant should be a citizen of India.</t>
        </is>
      </c>
      <c r="K2411" s="8" t="inlineStr">
        <is>
          <t>MS-M05</t>
        </is>
      </c>
      <c r="L2411" s="9" t="n">
        <v>46323</v>
      </c>
      <c r="M2411" s="8" t="inlineStr">
        <is>
          <t>Approved</t>
        </is>
      </c>
      <c r="N2411" s="8" t="inlineStr">
        <is>
          <t>list_item</t>
        </is>
      </c>
    </row>
    <row r="2412" ht="40" customHeight="1">
      <c r="A2412" s="4" t="inlineStr">
        <is>
          <t>M05-P0029</t>
        </is>
      </c>
      <c r="B2412" s="4" t="inlineStr">
        <is>
          <t>M05</t>
        </is>
      </c>
      <c r="C2412" s="4" t="inlineStr">
        <is>
          <t>State Post-metric Scholarship For Disabled</t>
        </is>
      </c>
      <c r="D2412" s="4" t="inlineStr">
        <is>
          <t>Eligibility</t>
        </is>
      </c>
      <c r="E2412" s="4" t="inlineStr"/>
      <c r="F2412" s="4" t="inlineStr">
        <is>
          <t>en.eligibilityCriteria.eligibilityDescription[0].children[1]</t>
        </is>
      </c>
      <c r="G2412" s="4" t="inlineStr">
        <is>
          <t>M05@20261028-b94d6a7d</t>
        </is>
      </c>
      <c r="H2412" s="4" t="n">
        <v>1</v>
      </c>
      <c r="I2412" s="4" t="n">
        <v>1</v>
      </c>
      <c r="J2412" s="4" t="inlineStr">
        <is>
          <t>The applicant should be a domicile / permanent resident of the state of Maharashtra.</t>
        </is>
      </c>
      <c r="K2412" s="4" t="inlineStr">
        <is>
          <t>MS-M05</t>
        </is>
      </c>
      <c r="L2412" s="6" t="n">
        <v>46323</v>
      </c>
      <c r="M2412" s="4" t="inlineStr">
        <is>
          <t>Approved</t>
        </is>
      </c>
      <c r="N2412" s="4" t="inlineStr">
        <is>
          <t>list_item</t>
        </is>
      </c>
    </row>
    <row r="2413" ht="40" customHeight="1">
      <c r="A2413" s="8" t="inlineStr">
        <is>
          <t>M05-P0030</t>
        </is>
      </c>
      <c r="B2413" s="8" t="inlineStr">
        <is>
          <t>M05</t>
        </is>
      </c>
      <c r="C2413" s="8" t="inlineStr">
        <is>
          <t>State Post-metric Scholarship For Disabled</t>
        </is>
      </c>
      <c r="D2413" s="8" t="inlineStr">
        <is>
          <t>Eligibility</t>
        </is>
      </c>
      <c r="E2413" s="8" t="inlineStr"/>
      <c r="F2413" s="8" t="inlineStr">
        <is>
          <t>en.eligibilityCriteria.eligibilityDescription[0].children[2]</t>
        </is>
      </c>
      <c r="G2413" s="8" t="inlineStr">
        <is>
          <t>M05@20261028-b94d6a7d</t>
        </is>
      </c>
      <c r="H2413" s="8" t="n">
        <v>1</v>
      </c>
      <c r="I2413" s="8" t="n">
        <v>1</v>
      </c>
      <c r="J2413" s="8" t="inlineStr">
        <is>
          <t>The applicant should be a student admitted/enrolled in a school recognized by the Govt. of Maharashtra.</t>
        </is>
      </c>
      <c r="K2413" s="8" t="inlineStr">
        <is>
          <t>MS-M05</t>
        </is>
      </c>
      <c r="L2413" s="9" t="n">
        <v>46323</v>
      </c>
      <c r="M2413" s="8" t="inlineStr">
        <is>
          <t>Approved</t>
        </is>
      </c>
      <c r="N2413" s="8" t="inlineStr">
        <is>
          <t>list_item</t>
        </is>
      </c>
    </row>
    <row r="2414" ht="40" customHeight="1">
      <c r="A2414" s="4" t="inlineStr">
        <is>
          <t>M05-P0031</t>
        </is>
      </c>
      <c r="B2414" s="4" t="inlineStr">
        <is>
          <t>M05</t>
        </is>
      </c>
      <c r="C2414" s="4" t="inlineStr">
        <is>
          <t>State Post-metric Scholarship For Disabled</t>
        </is>
      </c>
      <c r="D2414" s="4" t="inlineStr">
        <is>
          <t>Eligibility</t>
        </is>
      </c>
      <c r="E2414" s="4" t="inlineStr"/>
      <c r="F2414" s="4" t="inlineStr">
        <is>
          <t>en.eligibilityCriteria.eligibilityDescription[0].children[3]</t>
        </is>
      </c>
      <c r="G2414" s="4" t="inlineStr">
        <is>
          <t>M05@20261028-b94d6a7d</t>
        </is>
      </c>
      <c r="H2414" s="4" t="n">
        <v>1</v>
      </c>
      <c r="I2414" s="4" t="n">
        <v>1</v>
      </c>
      <c r="J2414" s="4" t="inlineStr">
        <is>
          <t>The applicant should be a Person with Disability (Visually Handicapped, Low Vision, Hearing Impaired, Orthopedically Handicapped, etc).</t>
        </is>
      </c>
      <c r="K2414" s="4" t="inlineStr">
        <is>
          <t>MS-M05</t>
        </is>
      </c>
      <c r="L2414" s="6" t="n">
        <v>46323</v>
      </c>
      <c r="M2414" s="4" t="inlineStr">
        <is>
          <t>Approved</t>
        </is>
      </c>
      <c r="N2414" s="4" t="inlineStr">
        <is>
          <t>list_item</t>
        </is>
      </c>
    </row>
    <row r="2415" ht="40" customHeight="1">
      <c r="A2415" s="8" t="inlineStr">
        <is>
          <t>M05-P0032</t>
        </is>
      </c>
      <c r="B2415" s="8" t="inlineStr">
        <is>
          <t>M05</t>
        </is>
      </c>
      <c r="C2415" s="8" t="inlineStr">
        <is>
          <t>State Post-metric Scholarship For Disabled</t>
        </is>
      </c>
      <c r="D2415" s="8" t="inlineStr">
        <is>
          <t>Eligibility</t>
        </is>
      </c>
      <c r="E2415" s="8" t="inlineStr"/>
      <c r="F2415" s="8" t="inlineStr">
        <is>
          <t>en.eligibilityCriteria.eligibilityDescription[0].children[4]</t>
        </is>
      </c>
      <c r="G2415" s="8" t="inlineStr">
        <is>
          <t>M05@20261028-b94d6a7d</t>
        </is>
      </c>
      <c r="H2415" s="8" t="n">
        <v>1</v>
      </c>
      <c r="I2415" s="8" t="n">
        <v>1</v>
      </c>
      <c r="J2415" s="8" t="inlineStr">
        <is>
          <t>The percentage of the disability should be 40% or above.</t>
        </is>
      </c>
      <c r="K2415" s="8" t="inlineStr">
        <is>
          <t>MS-M05</t>
        </is>
      </c>
      <c r="L2415" s="9" t="n">
        <v>46323</v>
      </c>
      <c r="M2415" s="8" t="inlineStr">
        <is>
          <t>Approved</t>
        </is>
      </c>
      <c r="N2415" s="8" t="inlineStr">
        <is>
          <t>list_item</t>
        </is>
      </c>
    </row>
    <row r="2416" ht="40" customHeight="1">
      <c r="A2416" s="4" t="inlineStr">
        <is>
          <t>M05-P0033</t>
        </is>
      </c>
      <c r="B2416" s="4" t="inlineStr">
        <is>
          <t>M05</t>
        </is>
      </c>
      <c r="C2416" s="4" t="inlineStr">
        <is>
          <t>State Post-metric Scholarship For Disabled</t>
        </is>
      </c>
      <c r="D2416" s="4" t="inlineStr">
        <is>
          <t>Eligibility</t>
        </is>
      </c>
      <c r="E2416" s="4" t="inlineStr"/>
      <c r="F2416" s="4" t="inlineStr">
        <is>
          <t>en.eligibilityCriteria.eligibilityDescription[0].children[5]</t>
        </is>
      </c>
      <c r="G2416" s="4" t="inlineStr">
        <is>
          <t>M05@20261028-b94d6a7d</t>
        </is>
      </c>
      <c r="H2416" s="4" t="n">
        <v>1</v>
      </c>
      <c r="I2416" s="4" t="n">
        <v>1</v>
      </c>
      <c r="J2416" s="4" t="inlineStr">
        <is>
          <t>The applicant should have passed class 10th.</t>
        </is>
      </c>
      <c r="K2416" s="4" t="inlineStr">
        <is>
          <t>MS-M05</t>
        </is>
      </c>
      <c r="L2416" s="6" t="n">
        <v>46323</v>
      </c>
      <c r="M2416" s="4" t="inlineStr">
        <is>
          <t>Approved</t>
        </is>
      </c>
      <c r="N2416" s="4" t="inlineStr">
        <is>
          <t>list_item</t>
        </is>
      </c>
    </row>
    <row r="2417" ht="40" customHeight="1">
      <c r="A2417" s="8" t="inlineStr">
        <is>
          <t>M05-P0034</t>
        </is>
      </c>
      <c r="B2417" s="8" t="inlineStr">
        <is>
          <t>M05</t>
        </is>
      </c>
      <c r="C2417" s="8" t="inlineStr">
        <is>
          <t>State Post-metric Scholarship For Disabled</t>
        </is>
      </c>
      <c r="D2417" s="8" t="inlineStr">
        <is>
          <t>Eligibility</t>
        </is>
      </c>
      <c r="E2417" s="8" t="inlineStr"/>
      <c r="F2417" s="8" t="inlineStr">
        <is>
          <t>en.eligibilityCriteria.eligibilityDescription[0].children[6]</t>
        </is>
      </c>
      <c r="G2417" s="8" t="inlineStr">
        <is>
          <t>M05@20261028-b94d6a7d</t>
        </is>
      </c>
      <c r="H2417" s="8" t="n">
        <v>1</v>
      </c>
      <c r="I2417" s="8" t="n">
        <v>1</v>
      </c>
      <c r="J2417" s="8" t="inlineStr">
        <is>
          <t>The applicant should not have failed in the last qualifying examination.</t>
        </is>
      </c>
      <c r="K2417" s="8" t="inlineStr">
        <is>
          <t>MS-M05</t>
        </is>
      </c>
      <c r="L2417" s="9" t="n">
        <v>46323</v>
      </c>
      <c r="M2417" s="8" t="inlineStr">
        <is>
          <t>Approved</t>
        </is>
      </c>
      <c r="N2417" s="8" t="inlineStr">
        <is>
          <t>list_item</t>
        </is>
      </c>
    </row>
    <row r="2418" ht="40" customHeight="1">
      <c r="A2418" s="4" t="inlineStr">
        <is>
          <t>M05-P0035</t>
        </is>
      </c>
      <c r="B2418" s="4" t="inlineStr">
        <is>
          <t>M05</t>
        </is>
      </c>
      <c r="C2418" s="4" t="inlineStr">
        <is>
          <t>State Post-metric Scholarship For Disabled</t>
        </is>
      </c>
      <c r="D2418" s="4" t="inlineStr">
        <is>
          <t>Eligibility</t>
        </is>
      </c>
      <c r="E2418" s="4" t="inlineStr"/>
      <c r="F2418" s="4" t="inlineStr">
        <is>
          <t>en.eligibilityCriteria.eligibilityDescription[0].children[7]</t>
        </is>
      </c>
      <c r="G2418" s="4" t="inlineStr">
        <is>
          <t>M05@20261028-b94d6a7d</t>
        </is>
      </c>
      <c r="H2418" s="4" t="n">
        <v>1</v>
      </c>
      <c r="I2418" s="4" t="n">
        <v>1</v>
      </c>
      <c r="J2418" s="4" t="inlineStr">
        <is>
          <t>The applicant should be pursuing a post-metric qualification, i.e. Higher Secondary School (Class 11th, Class 12th), or a Technical/Professional Degree in Medical, Engineering, etc.</t>
        </is>
      </c>
      <c r="K2418" s="4" t="inlineStr">
        <is>
          <t>MS-M05</t>
        </is>
      </c>
      <c r="L2418" s="6" t="n">
        <v>46323</v>
      </c>
      <c r="M2418" s="4" t="inlineStr">
        <is>
          <t>Approved</t>
        </is>
      </c>
      <c r="N2418" s="4" t="inlineStr">
        <is>
          <t>list_item</t>
        </is>
      </c>
    </row>
    <row r="2419" ht="40" customHeight="1">
      <c r="A2419" s="8" t="inlineStr">
        <is>
          <t>M05-P0036</t>
        </is>
      </c>
      <c r="B2419" s="8" t="inlineStr">
        <is>
          <t>M05</t>
        </is>
      </c>
      <c r="C2419" s="8" t="inlineStr">
        <is>
          <t>State Post-metric Scholarship For Disabled</t>
        </is>
      </c>
      <c r="D2419" s="8" t="inlineStr">
        <is>
          <t>Applicant documents</t>
        </is>
      </c>
      <c r="E2419" s="8" t="inlineStr"/>
      <c r="F2419" s="8" t="inlineStr">
        <is>
          <t>documents.en.documents_required[0].children[0]</t>
        </is>
      </c>
      <c r="G2419" s="8" t="inlineStr">
        <is>
          <t>M05@20261028-b94d6a7d</t>
        </is>
      </c>
      <c r="H2419" s="8" t="n">
        <v>1</v>
      </c>
      <c r="I2419" s="8" t="n">
        <v>1</v>
      </c>
      <c r="J2419" s="8" t="inlineStr">
        <is>
          <t>Aadhaar Card.</t>
        </is>
      </c>
      <c r="K2419" s="8" t="inlineStr">
        <is>
          <t>MS-M05</t>
        </is>
      </c>
      <c r="L2419" s="9" t="n">
        <v>46323</v>
      </c>
      <c r="M2419" s="8" t="inlineStr">
        <is>
          <t>Approved</t>
        </is>
      </c>
      <c r="N2419" s="8" t="inlineStr">
        <is>
          <t>list_item</t>
        </is>
      </c>
    </row>
    <row r="2420" ht="40" customHeight="1">
      <c r="A2420" s="4" t="inlineStr">
        <is>
          <t>M05-P0037</t>
        </is>
      </c>
      <c r="B2420" s="4" t="inlineStr">
        <is>
          <t>M05</t>
        </is>
      </c>
      <c r="C2420" s="4" t="inlineStr">
        <is>
          <t>State Post-metric Scholarship For Disabled</t>
        </is>
      </c>
      <c r="D2420" s="4" t="inlineStr">
        <is>
          <t>Applicant documents</t>
        </is>
      </c>
      <c r="E2420" s="4" t="inlineStr"/>
      <c r="F2420" s="4" t="inlineStr">
        <is>
          <t>documents.en.documents_required[0].children[1]</t>
        </is>
      </c>
      <c r="G2420" s="4" t="inlineStr">
        <is>
          <t>M05@20261028-b94d6a7d</t>
        </is>
      </c>
      <c r="H2420" s="4" t="n">
        <v>1</v>
      </c>
      <c r="I2420" s="4" t="n">
        <v>1</v>
      </c>
      <c r="J2420" s="4" t="inlineStr">
        <is>
          <t>2-Passport Sized Photograph (Signed Across).</t>
        </is>
      </c>
      <c r="K2420" s="4" t="inlineStr">
        <is>
          <t>MS-M05</t>
        </is>
      </c>
      <c r="L2420" s="6" t="n">
        <v>46323</v>
      </c>
      <c r="M2420" s="4" t="inlineStr">
        <is>
          <t>Approved</t>
        </is>
      </c>
      <c r="N2420" s="4" t="inlineStr">
        <is>
          <t>list_item</t>
        </is>
      </c>
    </row>
    <row r="2421" ht="40" customHeight="1">
      <c r="A2421" s="8" t="inlineStr">
        <is>
          <t>M05-P0038</t>
        </is>
      </c>
      <c r="B2421" s="8" t="inlineStr">
        <is>
          <t>M05</t>
        </is>
      </c>
      <c r="C2421" s="8" t="inlineStr">
        <is>
          <t>State Post-metric Scholarship For Disabled</t>
        </is>
      </c>
      <c r="D2421" s="8" t="inlineStr">
        <is>
          <t>Applicant documents</t>
        </is>
      </c>
      <c r="E2421" s="8" t="inlineStr"/>
      <c r="F2421" s="8" t="inlineStr">
        <is>
          <t>documents.en.documents_required[0].children[2]</t>
        </is>
      </c>
      <c r="G2421" s="8" t="inlineStr">
        <is>
          <t>M05@20261028-b94d6a7d</t>
        </is>
      </c>
      <c r="H2421" s="8" t="n">
        <v>1</v>
      </c>
      <c r="I2421" s="8" t="n">
        <v>1</v>
      </c>
      <c r="J2421" s="8" t="inlineStr">
        <is>
          <t>Residential Certificate / Domicile Certificate of the State of Maharashtra.</t>
        </is>
      </c>
      <c r="K2421" s="8" t="inlineStr">
        <is>
          <t>MS-M05</t>
        </is>
      </c>
      <c r="L2421" s="9" t="n">
        <v>46323</v>
      </c>
      <c r="M2421" s="8" t="inlineStr">
        <is>
          <t>Approved</t>
        </is>
      </c>
      <c r="N2421" s="8" t="inlineStr">
        <is>
          <t>list_item</t>
        </is>
      </c>
    </row>
    <row r="2422" ht="40" customHeight="1">
      <c r="A2422" s="4" t="inlineStr">
        <is>
          <t>M05-P0039</t>
        </is>
      </c>
      <c r="B2422" s="4" t="inlineStr">
        <is>
          <t>M05</t>
        </is>
      </c>
      <c r="C2422" s="4" t="inlineStr">
        <is>
          <t>State Post-metric Scholarship For Disabled</t>
        </is>
      </c>
      <c r="D2422" s="4" t="inlineStr">
        <is>
          <t>Applicant documents</t>
        </is>
      </c>
      <c r="E2422" s="4" t="inlineStr"/>
      <c r="F2422" s="4" t="inlineStr">
        <is>
          <t>documents.en.documents_required[0].children[3]</t>
        </is>
      </c>
      <c r="G2422" s="4" t="inlineStr">
        <is>
          <t>M05@20261028-b94d6a7d</t>
        </is>
      </c>
      <c r="H2422" s="4" t="n">
        <v>1</v>
      </c>
      <c r="I2422" s="4" t="n">
        <v>1</v>
      </c>
      <c r="J2422" s="4" t="inlineStr">
        <is>
          <t>Disability Certificate.</t>
        </is>
      </c>
      <c r="K2422" s="4" t="inlineStr">
        <is>
          <t>MS-M05</t>
        </is>
      </c>
      <c r="L2422" s="6" t="n">
        <v>46323</v>
      </c>
      <c r="M2422" s="4" t="inlineStr">
        <is>
          <t>Approved</t>
        </is>
      </c>
      <c r="N2422" s="4" t="inlineStr">
        <is>
          <t>list_item</t>
        </is>
      </c>
    </row>
    <row r="2423" ht="40" customHeight="1">
      <c r="A2423" s="8" t="inlineStr">
        <is>
          <t>M05-P0040</t>
        </is>
      </c>
      <c r="B2423" s="8" t="inlineStr">
        <is>
          <t>M05</t>
        </is>
      </c>
      <c r="C2423" s="8" t="inlineStr">
        <is>
          <t>State Post-metric Scholarship For Disabled</t>
        </is>
      </c>
      <c r="D2423" s="8" t="inlineStr">
        <is>
          <t>Applicant documents</t>
        </is>
      </c>
      <c r="E2423" s="8" t="inlineStr"/>
      <c r="F2423" s="8" t="inlineStr">
        <is>
          <t>documents.en.documents_required[0].children[4]</t>
        </is>
      </c>
      <c r="G2423" s="8" t="inlineStr">
        <is>
          <t>M05@20261028-b94d6a7d</t>
        </is>
      </c>
      <c r="H2423" s="8" t="n">
        <v>1</v>
      </c>
      <c r="I2423" s="8" t="n">
        <v>1</v>
      </c>
      <c r="J2423" s="8" t="inlineStr">
        <is>
          <t>Details of the Bank Account (Bank Name, Branch Name, Address, IFSC, etc).</t>
        </is>
      </c>
      <c r="K2423" s="8" t="inlineStr">
        <is>
          <t>MS-M05</t>
        </is>
      </c>
      <c r="L2423" s="9" t="n">
        <v>46323</v>
      </c>
      <c r="M2423" s="8" t="inlineStr">
        <is>
          <t>Approved</t>
        </is>
      </c>
      <c r="N2423" s="8" t="inlineStr">
        <is>
          <t>list_item</t>
        </is>
      </c>
    </row>
    <row r="2424" ht="40" customHeight="1">
      <c r="A2424" s="4" t="inlineStr">
        <is>
          <t>M05-P0041</t>
        </is>
      </c>
      <c r="B2424" s="4" t="inlineStr">
        <is>
          <t>M05</t>
        </is>
      </c>
      <c r="C2424" s="4" t="inlineStr">
        <is>
          <t>State Post-metric Scholarship For Disabled</t>
        </is>
      </c>
      <c r="D2424" s="4" t="inlineStr">
        <is>
          <t>Applicant documents</t>
        </is>
      </c>
      <c r="E2424" s="4" t="inlineStr"/>
      <c r="F2424" s="4" t="inlineStr">
        <is>
          <t>documents.en.documents_required[0].children[5]</t>
        </is>
      </c>
      <c r="G2424" s="4" t="inlineStr">
        <is>
          <t>M05@20261028-b94d6a7d</t>
        </is>
      </c>
      <c r="H2424" s="4" t="n">
        <v>1</v>
      </c>
      <c r="I2424" s="4" t="n">
        <v>1</v>
      </c>
      <c r="J2424" s="4" t="inlineStr">
        <is>
          <t>Proof of the Latest Educational Qualification (Passing Certificate or Marksheet)</t>
        </is>
      </c>
      <c r="K2424" s="4" t="inlineStr">
        <is>
          <t>MS-M05</t>
        </is>
      </c>
      <c r="L2424" s="6" t="n">
        <v>46323</v>
      </c>
      <c r="M2424" s="4" t="inlineStr">
        <is>
          <t>Approved</t>
        </is>
      </c>
      <c r="N2424" s="4" t="inlineStr">
        <is>
          <t>list_item</t>
        </is>
      </c>
    </row>
    <row r="2425" ht="40" customHeight="1">
      <c r="A2425" s="8" t="inlineStr">
        <is>
          <t>M05-P0042</t>
        </is>
      </c>
      <c r="B2425" s="8" t="inlineStr">
        <is>
          <t>M05</t>
        </is>
      </c>
      <c r="C2425" s="8" t="inlineStr">
        <is>
          <t>State Post-metric Scholarship For Disabled</t>
        </is>
      </c>
      <c r="D2425" s="8" t="inlineStr">
        <is>
          <t>Applicant documents</t>
        </is>
      </c>
      <c r="E2425" s="8" t="inlineStr"/>
      <c r="F2425" s="8" t="inlineStr">
        <is>
          <t>documents.en.documents_required[0].children[6]</t>
        </is>
      </c>
      <c r="G2425" s="8" t="inlineStr">
        <is>
          <t>M05@20261028-b94d6a7d</t>
        </is>
      </c>
      <c r="H2425" s="8" t="n">
        <v>1</v>
      </c>
      <c r="I2425" s="8" t="n">
        <v>1</v>
      </c>
      <c r="J2425" s="8" t="inlineStr">
        <is>
          <t>Proof of Passing Class 10th.</t>
        </is>
      </c>
      <c r="K2425" s="8" t="inlineStr">
        <is>
          <t>MS-M05</t>
        </is>
      </c>
      <c r="L2425" s="9" t="n">
        <v>46323</v>
      </c>
      <c r="M2425" s="8" t="inlineStr">
        <is>
          <t>Approved</t>
        </is>
      </c>
      <c r="N2425" s="8" t="inlineStr">
        <is>
          <t>list_item</t>
        </is>
      </c>
    </row>
    <row r="2426" ht="40" customHeight="1">
      <c r="A2426" s="4" t="inlineStr">
        <is>
          <t>M05-P0043</t>
        </is>
      </c>
      <c r="B2426" s="4" t="inlineStr">
        <is>
          <t>M05</t>
        </is>
      </c>
      <c r="C2426" s="4" t="inlineStr">
        <is>
          <t>State Post-metric Scholarship For Disabled</t>
        </is>
      </c>
      <c r="D2426" s="4" t="inlineStr">
        <is>
          <t>Applicant documents</t>
        </is>
      </c>
      <c r="E2426" s="4" t="inlineStr"/>
      <c r="F2426" s="4" t="inlineStr">
        <is>
          <t>documents.en.documents_required[0].children[7]</t>
        </is>
      </c>
      <c r="G2426" s="4" t="inlineStr">
        <is>
          <t>M05@20261028-b94d6a7d</t>
        </is>
      </c>
      <c r="H2426" s="4" t="n">
        <v>1</v>
      </c>
      <c r="I2426" s="4" t="n">
        <v>1</v>
      </c>
      <c r="J2426" s="4" t="inlineStr">
        <is>
          <t>Bonafide Certificate from the School/College</t>
        </is>
      </c>
      <c r="K2426" s="4" t="inlineStr">
        <is>
          <t>MS-M05</t>
        </is>
      </c>
      <c r="L2426" s="6" t="n">
        <v>46323</v>
      </c>
      <c r="M2426" s="4" t="inlineStr">
        <is>
          <t>Approved</t>
        </is>
      </c>
      <c r="N2426" s="4" t="inlineStr">
        <is>
          <t>list_item</t>
        </is>
      </c>
    </row>
    <row r="2427" ht="40" customHeight="1">
      <c r="A2427" s="8" t="inlineStr">
        <is>
          <t>M05-P0044</t>
        </is>
      </c>
      <c r="B2427" s="8" t="inlineStr">
        <is>
          <t>M05</t>
        </is>
      </c>
      <c r="C2427" s="8" t="inlineStr">
        <is>
          <t>State Post-metric Scholarship For Disabled</t>
        </is>
      </c>
      <c r="D2427" s="8" t="inlineStr">
        <is>
          <t>Applicant documents</t>
        </is>
      </c>
      <c r="E2427" s="8" t="inlineStr"/>
      <c r="F2427" s="8" t="inlineStr">
        <is>
          <t>documents.en.documents_required[0].children[8]</t>
        </is>
      </c>
      <c r="G2427" s="8" t="inlineStr">
        <is>
          <t>M05@20261028-b94d6a7d</t>
        </is>
      </c>
      <c r="H2427" s="8" t="n">
        <v>1</v>
      </c>
      <c r="I2427" s="8" t="n">
        <v>1</v>
      </c>
      <c r="J2427" s="8" t="inlineStr">
        <is>
          <t>Proof of Pursuance of a Post-Matric Qualification (Fee Receipt, etc)</t>
        </is>
      </c>
      <c r="K2427" s="8" t="inlineStr">
        <is>
          <t>MS-M05</t>
        </is>
      </c>
      <c r="L2427" s="9" t="n">
        <v>46323</v>
      </c>
      <c r="M2427" s="8" t="inlineStr">
        <is>
          <t>Approved</t>
        </is>
      </c>
      <c r="N2427" s="8" t="inlineStr">
        <is>
          <t>list_item</t>
        </is>
      </c>
    </row>
    <row r="2428" ht="40" customHeight="1">
      <c r="A2428" s="4" t="inlineStr">
        <is>
          <t>M05-P0045</t>
        </is>
      </c>
      <c r="B2428" s="4" t="inlineStr">
        <is>
          <t>M05</t>
        </is>
      </c>
      <c r="C2428" s="4" t="inlineStr">
        <is>
          <t>State Post-metric Scholarship For Disabled</t>
        </is>
      </c>
      <c r="D2428" s="4" t="inlineStr">
        <is>
          <t>Applicant documents</t>
        </is>
      </c>
      <c r="E2428" s="4" t="inlineStr"/>
      <c r="F2428" s="4" t="inlineStr">
        <is>
          <t>documents.en.documents_required[0].children[9]</t>
        </is>
      </c>
      <c r="G2428" s="4" t="inlineStr">
        <is>
          <t>M05@20261028-b94d6a7d</t>
        </is>
      </c>
      <c r="H2428" s="4" t="n">
        <v>1</v>
      </c>
      <c r="I2428" s="4" t="n">
        <v>1</v>
      </c>
      <c r="J2428" s="4" t="inlineStr">
        <is>
          <t>Any other document required by the School/College or the District Social Welfare Office.</t>
        </is>
      </c>
      <c r="K2428" s="4" t="inlineStr">
        <is>
          <t>MS-M05</t>
        </is>
      </c>
      <c r="L2428" s="6" t="n">
        <v>46323</v>
      </c>
      <c r="M2428" s="4" t="inlineStr">
        <is>
          <t>Approved</t>
        </is>
      </c>
      <c r="N2428" s="4" t="inlineStr">
        <is>
          <t>list_item</t>
        </is>
      </c>
    </row>
    <row r="2429" ht="40" customHeight="1">
      <c r="A2429" s="8" t="inlineStr">
        <is>
          <t>M05-P0046</t>
        </is>
      </c>
      <c r="B2429" s="8" t="inlineStr">
        <is>
          <t>M05</t>
        </is>
      </c>
      <c r="C2429" s="8" t="inlineStr">
        <is>
          <t>State Post-metric Scholarship For Disabled</t>
        </is>
      </c>
      <c r="D2429" s="8" t="inlineStr">
        <is>
          <t>Application process</t>
        </is>
      </c>
      <c r="E2429" s="8" t="inlineStr"/>
      <c r="F2429" s="8" t="inlineStr">
        <is>
          <t>en.applicationProcess[0].process[0]</t>
        </is>
      </c>
      <c r="G2429" s="8" t="inlineStr">
        <is>
          <t>M05@20261028-b94d6a7d</t>
        </is>
      </c>
      <c r="H2429" s="8" t="n">
        <v>1</v>
      </c>
      <c r="I2429" s="8" t="n">
        <v>1</v>
      </c>
      <c r="J2429" s="8" t="inlineStr">
        <is>
          <t>Step 1: Request a hard copy of the format of the application form for the scheme from the concerned authority at your school/college.</t>
        </is>
      </c>
      <c r="K2429" s="8" t="inlineStr">
        <is>
          <t>MS-M05</t>
        </is>
      </c>
      <c r="L2429" s="9" t="n">
        <v>46323</v>
      </c>
      <c r="M2429" s="8" t="inlineStr">
        <is>
          <t>Approved</t>
        </is>
      </c>
      <c r="N2429" s="8" t="inlineStr">
        <is>
          <t>paragraph</t>
        </is>
      </c>
    </row>
    <row r="2430" ht="40" customHeight="1">
      <c r="A2430" s="4" t="inlineStr">
        <is>
          <t>M05-P0047</t>
        </is>
      </c>
      <c r="B2430" s="4" t="inlineStr">
        <is>
          <t>M05</t>
        </is>
      </c>
      <c r="C2430" s="4" t="inlineStr">
        <is>
          <t>State Post-metric Scholarship For Disabled</t>
        </is>
      </c>
      <c r="D2430" s="4" t="inlineStr">
        <is>
          <t>Application process</t>
        </is>
      </c>
      <c r="E2430" s="4" t="inlineStr"/>
      <c r="F2430" s="4" t="inlineStr">
        <is>
          <t>en.applicationProcess[0].process[1]</t>
        </is>
      </c>
      <c r="G2430" s="4" t="inlineStr">
        <is>
          <t>M05@20261028-b94d6a7d</t>
        </is>
      </c>
      <c r="H2430" s="4" t="n">
        <v>1</v>
      </c>
      <c r="I2430" s="4" t="n">
        <v>1</v>
      </c>
      <c r="J2430" s="4" t="inlineStr">
        <is>
          <t>Step 2: In the application form, fill in all the mandatory fields, paste the passport-sized photograph (signed across), and attach all the (self-attested) mandatory documents.</t>
        </is>
      </c>
      <c r="K2430" s="4" t="inlineStr">
        <is>
          <t>MS-M05</t>
        </is>
      </c>
      <c r="L2430" s="6" t="n">
        <v>46323</v>
      </c>
      <c r="M2430" s="4" t="inlineStr">
        <is>
          <t>Approved</t>
        </is>
      </c>
      <c r="N2430" s="4" t="inlineStr">
        <is>
          <t>paragraph</t>
        </is>
      </c>
    </row>
    <row r="2431" ht="40" customHeight="1">
      <c r="A2431" s="8" t="inlineStr">
        <is>
          <t>M05-P0048</t>
        </is>
      </c>
      <c r="B2431" s="8" t="inlineStr">
        <is>
          <t>M05</t>
        </is>
      </c>
      <c r="C2431" s="8" t="inlineStr">
        <is>
          <t>State Post-metric Scholarship For Disabled</t>
        </is>
      </c>
      <c r="D2431" s="8" t="inlineStr">
        <is>
          <t>Application process</t>
        </is>
      </c>
      <c r="E2431" s="8" t="inlineStr"/>
      <c r="F2431" s="8" t="inlineStr">
        <is>
          <t>en.applicationProcess[0].process[2]</t>
        </is>
      </c>
      <c r="G2431" s="8" t="inlineStr">
        <is>
          <t>M05@20261028-b94d6a7d</t>
        </is>
      </c>
      <c r="H2431" s="8" t="n">
        <v>1</v>
      </c>
      <c r="I2431" s="8" t="n">
        <v>1</v>
      </c>
      <c r="J2431" s="8" t="inlineStr">
        <is>
          <t>Step 3: Submit the duly filled and signed application form along with the documents to the concerned authority at your school/college.</t>
        </is>
      </c>
      <c r="K2431" s="8" t="inlineStr">
        <is>
          <t>MS-M05</t>
        </is>
      </c>
      <c r="L2431" s="9" t="n">
        <v>46323</v>
      </c>
      <c r="M2431" s="8" t="inlineStr">
        <is>
          <t>Approved</t>
        </is>
      </c>
      <c r="N2431" s="8" t="inlineStr">
        <is>
          <t>paragraph</t>
        </is>
      </c>
    </row>
    <row r="2432" ht="40" customHeight="1">
      <c r="A2432" s="4" t="inlineStr">
        <is>
          <t>M05-P0049</t>
        </is>
      </c>
      <c r="B2432" s="4" t="inlineStr">
        <is>
          <t>M05</t>
        </is>
      </c>
      <c r="C2432" s="4" t="inlineStr">
        <is>
          <t>State Post-metric Scholarship For Disabled</t>
        </is>
      </c>
      <c r="D2432" s="4" t="inlineStr">
        <is>
          <t>Application process</t>
        </is>
      </c>
      <c r="E2432" s="4" t="inlineStr"/>
      <c r="F2432" s="4" t="inlineStr">
        <is>
          <t>en.applicationProcess[0].process[3]</t>
        </is>
      </c>
      <c r="G2432" s="4" t="inlineStr">
        <is>
          <t>M05@20261028-b94d6a7d</t>
        </is>
      </c>
      <c r="H2432" s="4" t="n">
        <v>1</v>
      </c>
      <c r="I2432" s="4" t="n">
        <v>1</v>
      </c>
      <c r="J2432" s="4" t="inlineStr">
        <is>
          <t>Step 4: Acquire the receipt/acknowledgment of the successful submission of the application form from the concerned authority at your school/college.</t>
        </is>
      </c>
      <c r="K2432" s="4" t="inlineStr">
        <is>
          <t>MS-M05</t>
        </is>
      </c>
      <c r="L2432" s="6" t="n">
        <v>46323</v>
      </c>
      <c r="M2432" s="4" t="inlineStr">
        <is>
          <t>Approved</t>
        </is>
      </c>
      <c r="N2432" s="4" t="inlineStr">
        <is>
          <t>paragraph</t>
        </is>
      </c>
    </row>
    <row r="2433" ht="54" customHeight="1">
      <c r="A2433" s="8" t="inlineStr">
        <is>
          <t>M05-P0050</t>
        </is>
      </c>
      <c r="B2433" s="8" t="inlineStr">
        <is>
          <t>M05</t>
        </is>
      </c>
      <c r="C2433" s="8" t="inlineStr">
        <is>
          <t>State Post-metric Scholarship For Disabled</t>
        </is>
      </c>
      <c r="D2433" s="8" t="inlineStr">
        <is>
          <t>FAQ</t>
        </is>
      </c>
      <c r="E2433" s="8" t="inlineStr"/>
      <c r="F2433" s="8" t="inlineStr">
        <is>
          <t>faqs.en.faqs[0]</t>
        </is>
      </c>
      <c r="G2433" s="8" t="inlineStr">
        <is>
          <t>M05@20261028-b94d6a7d</t>
        </is>
      </c>
      <c r="H2433" s="8" t="n">
        <v>1</v>
      </c>
      <c r="I2433" s="8" t="n">
        <v>1</v>
      </c>
      <c r="J2433" s="8" t="inlineStr">
        <is>
          <t>What Are The Objectives Of This Scheme?
The objective of this scheme is to encourage students with disability (SwDs) to pursue higher education, i.e. H.S.C., Degree, Professional, Technical, Medical, Engineering, etc.</t>
        </is>
      </c>
      <c r="K2433" s="8" t="inlineStr">
        <is>
          <t>MS-M05</t>
        </is>
      </c>
      <c r="L2433" s="9" t="n">
        <v>46323</v>
      </c>
      <c r="M2433" s="8" t="inlineStr">
        <is>
          <t>Approved</t>
        </is>
      </c>
      <c r="N2433" s="8" t="inlineStr">
        <is>
          <t>faq</t>
        </is>
      </c>
    </row>
    <row r="2434" ht="54" customHeight="1">
      <c r="A2434" s="4" t="inlineStr">
        <is>
          <t>M05-P0051</t>
        </is>
      </c>
      <c r="B2434" s="4" t="inlineStr">
        <is>
          <t>M05</t>
        </is>
      </c>
      <c r="C2434" s="4" t="inlineStr">
        <is>
          <t>State Post-metric Scholarship For Disabled</t>
        </is>
      </c>
      <c r="D2434" s="4" t="inlineStr">
        <is>
          <t>FAQ</t>
        </is>
      </c>
      <c r="E2434" s="4" t="inlineStr"/>
      <c r="F2434" s="4" t="inlineStr">
        <is>
          <t>faqs.en.faqs[1]</t>
        </is>
      </c>
      <c r="G2434" s="4" t="inlineStr">
        <is>
          <t>M05@20261028-b94d6a7d</t>
        </is>
      </c>
      <c r="H2434" s="4" t="n">
        <v>1</v>
      </c>
      <c r="I2434" s="4" t="n">
        <v>1</v>
      </c>
      <c r="J2434" s="4" t="inlineStr">
        <is>
          <t>Can All Students From Maharashtra Apply To This Scheme?
Only students with disability (SwDs) who are domiciled in the state of Maharashtra can apply to this scheme.</t>
        </is>
      </c>
      <c r="K2434" s="4" t="inlineStr">
        <is>
          <t>MS-M05</t>
        </is>
      </c>
      <c r="L2434" s="6" t="n">
        <v>46323</v>
      </c>
      <c r="M2434" s="4" t="inlineStr">
        <is>
          <t>Approved</t>
        </is>
      </c>
      <c r="N2434" s="4" t="inlineStr">
        <is>
          <t>faq</t>
        </is>
      </c>
    </row>
    <row r="2435" ht="54" customHeight="1">
      <c r="A2435" s="8" t="inlineStr">
        <is>
          <t>M05-P0052</t>
        </is>
      </c>
      <c r="B2435" s="8" t="inlineStr">
        <is>
          <t>M05</t>
        </is>
      </c>
      <c r="C2435" s="8" t="inlineStr">
        <is>
          <t>State Post-metric Scholarship For Disabled</t>
        </is>
      </c>
      <c r="D2435" s="8" t="inlineStr">
        <is>
          <t>FAQ</t>
        </is>
      </c>
      <c r="E2435" s="8" t="inlineStr"/>
      <c r="F2435" s="8" t="inlineStr">
        <is>
          <t>faqs.en.faqs[2]</t>
        </is>
      </c>
      <c r="G2435" s="8" t="inlineStr">
        <is>
          <t>M05@20261028-b94d6a7d</t>
        </is>
      </c>
      <c r="H2435" s="8" t="n">
        <v>1</v>
      </c>
      <c r="I2435" s="8" t="n">
        <v>1</v>
      </c>
      <c r="J2435" s="8" t="inlineStr">
        <is>
          <t>Can Students Of Pre-Matric Grade (Class 1st To Class 10th) Also Apply?
No, only the students who have passed Class 10th and pursuing a higher qualification can apply to this scheme.</t>
        </is>
      </c>
      <c r="K2435" s="8" t="inlineStr">
        <is>
          <t>MS-M05</t>
        </is>
      </c>
      <c r="L2435" s="9" t="n">
        <v>46323</v>
      </c>
      <c r="M2435" s="8" t="inlineStr">
        <is>
          <t>Approved</t>
        </is>
      </c>
      <c r="N2435" s="8" t="inlineStr">
        <is>
          <t>faq</t>
        </is>
      </c>
    </row>
    <row r="2436" ht="40" customHeight="1">
      <c r="A2436" s="4" t="inlineStr">
        <is>
          <t>M05-P0053</t>
        </is>
      </c>
      <c r="B2436" s="4" t="inlineStr">
        <is>
          <t>M05</t>
        </is>
      </c>
      <c r="C2436" s="4" t="inlineStr">
        <is>
          <t>State Post-metric Scholarship For Disabled</t>
        </is>
      </c>
      <c r="D2436" s="4" t="inlineStr">
        <is>
          <t>FAQ</t>
        </is>
      </c>
      <c r="E2436" s="4" t="inlineStr"/>
      <c r="F2436" s="4" t="inlineStr">
        <is>
          <t>faqs.en.faqs[3]</t>
        </is>
      </c>
      <c r="G2436" s="4" t="inlineStr">
        <is>
          <t>M05@20261028-b94d6a7d</t>
        </is>
      </c>
      <c r="H2436" s="4" t="n">
        <v>1</v>
      </c>
      <c r="I2436" s="4" t="n">
        <v>1</v>
      </c>
      <c r="J2436" s="4" t="inlineStr">
        <is>
          <t>What Is The Full Form Of HSC?
The full form of HSC is "Higher Secondary School Certificate".</t>
        </is>
      </c>
      <c r="K2436" s="4" t="inlineStr">
        <is>
          <t>MS-M05</t>
        </is>
      </c>
      <c r="L2436" s="6" t="n">
        <v>46323</v>
      </c>
      <c r="M2436" s="4" t="inlineStr">
        <is>
          <t>Approved</t>
        </is>
      </c>
      <c r="N2436" s="4" t="inlineStr">
        <is>
          <t>faq</t>
        </is>
      </c>
    </row>
    <row r="2437" ht="54" customHeight="1">
      <c r="A2437" s="8" t="inlineStr">
        <is>
          <t>M05-P0054</t>
        </is>
      </c>
      <c r="B2437" s="8" t="inlineStr">
        <is>
          <t>M05</t>
        </is>
      </c>
      <c r="C2437" s="8" t="inlineStr">
        <is>
          <t>State Post-metric Scholarship For Disabled</t>
        </is>
      </c>
      <c r="D2437" s="8" t="inlineStr">
        <is>
          <t>FAQ</t>
        </is>
      </c>
      <c r="E2437" s="8" t="inlineStr"/>
      <c r="F2437" s="8" t="inlineStr">
        <is>
          <t>faqs.en.faqs[4]</t>
        </is>
      </c>
      <c r="G2437" s="8" t="inlineStr">
        <is>
          <t>M05@20261028-b94d6a7d</t>
        </is>
      </c>
      <c r="H2437" s="8" t="n">
        <v>1</v>
      </c>
      <c r="I2437" s="8" t="n">
        <v>1</v>
      </c>
      <c r="J2437" s="8" t="inlineStr">
        <is>
          <t>How Much Shall Be The Monthly Maintenance Allowance For A Day Scholar Pursuing A Postgraduate Degree?
The monthly Maintenance Allowance for a Day Scholar shall be ₹ 550/-.</t>
        </is>
      </c>
      <c r="K2437" s="8" t="inlineStr">
        <is>
          <t>MS-M05</t>
        </is>
      </c>
      <c r="L2437" s="9" t="n">
        <v>46323</v>
      </c>
      <c r="M2437" s="8" t="inlineStr">
        <is>
          <t>Approved</t>
        </is>
      </c>
      <c r="N2437" s="8" t="inlineStr">
        <is>
          <t>faq</t>
        </is>
      </c>
    </row>
    <row r="2438" ht="54" customHeight="1">
      <c r="A2438" s="4" t="inlineStr">
        <is>
          <t>M05-P0055</t>
        </is>
      </c>
      <c r="B2438" s="4" t="inlineStr">
        <is>
          <t>M05</t>
        </is>
      </c>
      <c r="C2438" s="4" t="inlineStr">
        <is>
          <t>State Post-metric Scholarship For Disabled</t>
        </is>
      </c>
      <c r="D2438" s="4" t="inlineStr">
        <is>
          <t>FAQ</t>
        </is>
      </c>
      <c r="E2438" s="4" t="inlineStr"/>
      <c r="F2438" s="4" t="inlineStr">
        <is>
          <t>faqs.en.faqs[5]</t>
        </is>
      </c>
      <c r="G2438" s="4" t="inlineStr">
        <is>
          <t>M05@20261028-b94d6a7d</t>
        </is>
      </c>
      <c r="H2438" s="4" t="n">
        <v>1</v>
      </c>
      <c r="I2438" s="4" t="n">
        <v>1</v>
      </c>
      <c r="J2438" s="4" t="inlineStr">
        <is>
          <t>How Much Shall Be The Monthly Maintenance Allowance For A Hosteller Pursuing A Diploma In Professional Education?
The monthly Maintenance Allowance for a Hosteller shall be ₹ 530/-.</t>
        </is>
      </c>
      <c r="K2438" s="4" t="inlineStr">
        <is>
          <t>MS-M05</t>
        </is>
      </c>
      <c r="L2438" s="6" t="n">
        <v>46323</v>
      </c>
      <c r="M2438" s="4" t="inlineStr">
        <is>
          <t>Approved</t>
        </is>
      </c>
      <c r="N2438" s="4" t="inlineStr">
        <is>
          <t>faq</t>
        </is>
      </c>
    </row>
    <row r="2439" ht="54" customHeight="1">
      <c r="A2439" s="8" t="inlineStr">
        <is>
          <t>M05-P0056</t>
        </is>
      </c>
      <c r="B2439" s="8" t="inlineStr">
        <is>
          <t>M05</t>
        </is>
      </c>
      <c r="C2439" s="8" t="inlineStr">
        <is>
          <t>State Post-metric Scholarship For Disabled</t>
        </is>
      </c>
      <c r="D2439" s="8" t="inlineStr">
        <is>
          <t>FAQ</t>
        </is>
      </c>
      <c r="E2439" s="8" t="inlineStr"/>
      <c r="F2439" s="8" t="inlineStr">
        <is>
          <t>faqs.en.faqs[6]</t>
        </is>
      </c>
      <c r="G2439" s="8" t="inlineStr">
        <is>
          <t>M05@20261028-b94d6a7d</t>
        </is>
      </c>
      <c r="H2439" s="8" t="n">
        <v>1</v>
      </c>
      <c r="I2439" s="8" t="n">
        <v>1</v>
      </c>
      <c r="J2439" s="8" t="inlineStr">
        <is>
          <t>How Much Shall Be The Monthly Reader Allowance For A Day Scholar Pursuing A Diploma Course In Medical?
The monthly Reader Allowance for the Day Scholar shall be ₹ 100/-.</t>
        </is>
      </c>
      <c r="K2439" s="8" t="inlineStr">
        <is>
          <t>MS-M05</t>
        </is>
      </c>
      <c r="L2439" s="9" t="n">
        <v>46323</v>
      </c>
      <c r="M2439" s="8" t="inlineStr">
        <is>
          <t>Approved</t>
        </is>
      </c>
      <c r="N2439" s="8" t="inlineStr">
        <is>
          <t>faq</t>
        </is>
      </c>
    </row>
    <row r="2440" ht="40" customHeight="1">
      <c r="A2440" s="4" t="inlineStr">
        <is>
          <t>M05-P0057</t>
        </is>
      </c>
      <c r="B2440" s="4" t="inlineStr">
        <is>
          <t>M05</t>
        </is>
      </c>
      <c r="C2440" s="4" t="inlineStr">
        <is>
          <t>State Post-metric Scholarship For Disabled</t>
        </is>
      </c>
      <c r="D2440" s="4" t="inlineStr">
        <is>
          <t>FAQ</t>
        </is>
      </c>
      <c r="E2440" s="4" t="inlineStr"/>
      <c r="F2440" s="4" t="inlineStr">
        <is>
          <t>faqs.en.faqs[7]</t>
        </is>
      </c>
      <c r="G2440" s="4" t="inlineStr">
        <is>
          <t>M05@20261028-b94d6a7d</t>
        </is>
      </c>
      <c r="H2440" s="4" t="n">
        <v>1</v>
      </c>
      <c r="I2440" s="4" t="n">
        <v>1</v>
      </c>
      <c r="J2440" s="4" t="inlineStr">
        <is>
          <t>How Much Shall Be The Allowance Towards Study Tour Expenditure?
The Allowance towards Study Tour Expenditure shall be ₹ 500/- per annum.</t>
        </is>
      </c>
      <c r="K2440" s="4" t="inlineStr">
        <is>
          <t>MS-M05</t>
        </is>
      </c>
      <c r="L2440" s="6" t="n">
        <v>46323</v>
      </c>
      <c r="M2440" s="4" t="inlineStr">
        <is>
          <t>Approved</t>
        </is>
      </c>
      <c r="N2440" s="4" t="inlineStr">
        <is>
          <t>faq</t>
        </is>
      </c>
    </row>
    <row r="2441" ht="40" customHeight="1">
      <c r="A2441" s="8" t="inlineStr">
        <is>
          <t>M05-P0058</t>
        </is>
      </c>
      <c r="B2441" s="8" t="inlineStr">
        <is>
          <t>M05</t>
        </is>
      </c>
      <c r="C2441" s="8" t="inlineStr">
        <is>
          <t>State Post-metric Scholarship For Disabled</t>
        </is>
      </c>
      <c r="D2441" s="8" t="inlineStr">
        <is>
          <t>FAQ</t>
        </is>
      </c>
      <c r="E2441" s="8" t="inlineStr"/>
      <c r="F2441" s="8" t="inlineStr">
        <is>
          <t>faqs.en.faqs[8]</t>
        </is>
      </c>
      <c r="G2441" s="8" t="inlineStr">
        <is>
          <t>M05@20261028-b94d6a7d</t>
        </is>
      </c>
      <c r="H2441" s="8" t="n">
        <v>1</v>
      </c>
      <c r="I2441" s="8" t="n">
        <v>1</v>
      </c>
      <c r="J2441" s="8" t="inlineStr">
        <is>
          <t>Are There Any Eligibility Criteria Regarding The Percentage Of Disability Of The Applicant?
Yes, the percentage of disability of the applicant should be 40% and above.</t>
        </is>
      </c>
      <c r="K2441" s="8" t="inlineStr">
        <is>
          <t>MS-M05</t>
        </is>
      </c>
      <c r="L2441" s="9" t="n">
        <v>46323</v>
      </c>
      <c r="M2441" s="8" t="inlineStr">
        <is>
          <t>Approved</t>
        </is>
      </c>
      <c r="N2441" s="8" t="inlineStr">
        <is>
          <t>faq</t>
        </is>
      </c>
    </row>
    <row r="2442" ht="40" customHeight="1">
      <c r="A2442" s="4" t="inlineStr">
        <is>
          <t>M05-P0059</t>
        </is>
      </c>
      <c r="B2442" s="4" t="inlineStr">
        <is>
          <t>M05</t>
        </is>
      </c>
      <c r="C2442" s="4" t="inlineStr">
        <is>
          <t>State Post-metric Scholarship For Disabled</t>
        </is>
      </c>
      <c r="D2442" s="4" t="inlineStr">
        <is>
          <t>FAQ</t>
        </is>
      </c>
      <c r="E2442" s="4" t="inlineStr"/>
      <c r="F2442" s="4" t="inlineStr">
        <is>
          <t>faqs.en.faqs[9]</t>
        </is>
      </c>
      <c r="G2442" s="4" t="inlineStr">
        <is>
          <t>M05@20261028-b94d6a7d</t>
        </is>
      </c>
      <c r="H2442" s="4" t="n">
        <v>1</v>
      </c>
      <c r="I2442" s="4" t="n">
        <v>1</v>
      </c>
      <c r="J2442" s="4" t="inlineStr">
        <is>
          <t>Are Orthopedically Handicapped Persons Also Covered In This Scheme?
Yes, this scheme also covers Orthopedically Handicapped Persons.</t>
        </is>
      </c>
      <c r="K2442" s="4" t="inlineStr">
        <is>
          <t>MS-M05</t>
        </is>
      </c>
      <c r="L2442" s="6" t="n">
        <v>46323</v>
      </c>
      <c r="M2442" s="4" t="inlineStr">
        <is>
          <t>Approved</t>
        </is>
      </c>
      <c r="N2442" s="4" t="inlineStr">
        <is>
          <t>faq</t>
        </is>
      </c>
    </row>
    <row r="2443" ht="68" customHeight="1">
      <c r="A2443" s="8" t="inlineStr">
        <is>
          <t>M05-P0060</t>
        </is>
      </c>
      <c r="B2443" s="8" t="inlineStr">
        <is>
          <t>M05</t>
        </is>
      </c>
      <c r="C2443" s="8" t="inlineStr">
        <is>
          <t>State Post-metric Scholarship For Disabled</t>
        </is>
      </c>
      <c r="D2443" s="8" t="inlineStr">
        <is>
          <t>FAQ</t>
        </is>
      </c>
      <c r="E2443" s="8" t="inlineStr"/>
      <c r="F2443" s="8" t="inlineStr">
        <is>
          <t>faqs.en.faqs[10]</t>
        </is>
      </c>
      <c r="G2443" s="8" t="inlineStr">
        <is>
          <t>M05@20261028-b94d6a7d</t>
        </is>
      </c>
      <c r="H2443" s="8" t="n">
        <v>1</v>
      </c>
      <c r="I2443" s="8" t="n">
        <v>1</v>
      </c>
      <c r="J2443" s="8" t="inlineStr">
        <is>
          <t>Is The Residential Certificate / Domicile Certificate Of The State Of Maharashtra, A Mandatory Document For This Scheme?
Yes, the Residential Certificate / Domicile Certificate of the State of Maharashtra is a mandatory document for this scheme.</t>
        </is>
      </c>
      <c r="K2443" s="8" t="inlineStr">
        <is>
          <t>MS-M05</t>
        </is>
      </c>
      <c r="L2443" s="9" t="n">
        <v>46323</v>
      </c>
      <c r="M2443" s="8" t="inlineStr">
        <is>
          <t>Approved</t>
        </is>
      </c>
      <c r="N2443" s="8" t="inlineStr">
        <is>
          <t>faq</t>
        </is>
      </c>
    </row>
    <row r="2444" ht="40" customHeight="1">
      <c r="A2444" s="4" t="inlineStr">
        <is>
          <t>M05-P0061</t>
        </is>
      </c>
      <c r="B2444" s="4" t="inlineStr">
        <is>
          <t>M05</t>
        </is>
      </c>
      <c r="C2444" s="4" t="inlineStr">
        <is>
          <t>State Post-metric Scholarship For Disabled</t>
        </is>
      </c>
      <c r="D2444" s="4" t="inlineStr">
        <is>
          <t>FAQ</t>
        </is>
      </c>
      <c r="E2444" s="4" t="inlineStr"/>
      <c r="F2444" s="4" t="inlineStr">
        <is>
          <t>faqs.en.faqs[11]</t>
        </is>
      </c>
      <c r="G2444" s="4" t="inlineStr">
        <is>
          <t>M05@20261028-b94d6a7d</t>
        </is>
      </c>
      <c r="H2444" s="4" t="n">
        <v>1</v>
      </c>
      <c r="I2444" s="4" t="n">
        <v>1</v>
      </c>
      <c r="J2444" s="4" t="inlineStr">
        <is>
          <t>Can I Reapply To This Scheme If I Am Already Availing The Benefits Of This Scheme?
No, you can not reapply to this scheme if you already have availed of its benefits.</t>
        </is>
      </c>
      <c r="K2444" s="4" t="inlineStr">
        <is>
          <t>MS-M05</t>
        </is>
      </c>
      <c r="L2444" s="6" t="n">
        <v>46323</v>
      </c>
      <c r="M2444" s="4" t="inlineStr">
        <is>
          <t>Approved</t>
        </is>
      </c>
      <c r="N2444" s="4" t="inlineStr">
        <is>
          <t>faq</t>
        </is>
      </c>
    </row>
    <row r="2445" ht="40" customHeight="1">
      <c r="A2445" s="8" t="inlineStr">
        <is>
          <t>M05-P0062</t>
        </is>
      </c>
      <c r="B2445" s="8" t="inlineStr">
        <is>
          <t>M05</t>
        </is>
      </c>
      <c r="C2445" s="8" t="inlineStr">
        <is>
          <t>State Post-metric Scholarship For Disabled</t>
        </is>
      </c>
      <c r="D2445" s="8" t="inlineStr">
        <is>
          <t>FAQ</t>
        </is>
      </c>
      <c r="E2445" s="8" t="inlineStr"/>
      <c r="F2445" s="8" t="inlineStr">
        <is>
          <t>faqs.en.faqs[12]</t>
        </is>
      </c>
      <c r="G2445" s="8" t="inlineStr">
        <is>
          <t>M05@20261028-b94d6a7d</t>
        </is>
      </c>
      <c r="H2445" s="8" t="n">
        <v>1</v>
      </c>
      <c r="I2445" s="8" t="n">
        <v>1</v>
      </c>
      <c r="J2445" s="8" t="inlineStr">
        <is>
          <t>What Is The Full Form Of SJSA?
The full form of SJSA is "Social Justice &amp; Special Assistance".</t>
        </is>
      </c>
      <c r="K2445" s="8" t="inlineStr">
        <is>
          <t>MS-M05</t>
        </is>
      </c>
      <c r="L2445" s="9" t="n">
        <v>46323</v>
      </c>
      <c r="M2445" s="8" t="inlineStr">
        <is>
          <t>Approved</t>
        </is>
      </c>
      <c r="N2445" s="8" t="inlineStr">
        <is>
          <t>faq</t>
        </is>
      </c>
    </row>
    <row r="2446" ht="40" customHeight="1">
      <c r="A2446" s="4" t="inlineStr">
        <is>
          <t>M05-P0063</t>
        </is>
      </c>
      <c r="B2446" s="4" t="inlineStr">
        <is>
          <t>M05</t>
        </is>
      </c>
      <c r="C2446" s="4" t="inlineStr">
        <is>
          <t>State Post-metric Scholarship For Disabled</t>
        </is>
      </c>
      <c r="D2446" s="4" t="inlineStr">
        <is>
          <t>FAQ</t>
        </is>
      </c>
      <c r="E2446" s="4" t="inlineStr"/>
      <c r="F2446" s="4" t="inlineStr">
        <is>
          <t>faqs.en.faqs[13]</t>
        </is>
      </c>
      <c r="G2446" s="4" t="inlineStr">
        <is>
          <t>M05@20261028-b94d6a7d</t>
        </is>
      </c>
      <c r="H2446" s="4" t="n">
        <v>1</v>
      </c>
      <c r="I2446" s="4" t="n">
        <v>1</v>
      </c>
      <c r="J2446" s="4" t="inlineStr">
        <is>
          <t>Is This A State Funded Or A Centrally Funded Scheme?
This is a 100% State Funded scheme.</t>
        </is>
      </c>
      <c r="K2446" s="4" t="inlineStr">
        <is>
          <t>MS-M05</t>
        </is>
      </c>
      <c r="L2446" s="6" t="n">
        <v>46323</v>
      </c>
      <c r="M2446" s="4" t="inlineStr">
        <is>
          <t>Approved</t>
        </is>
      </c>
      <c r="N2446" s="4" t="inlineStr">
        <is>
          <t>faq</t>
        </is>
      </c>
    </row>
    <row r="2447" ht="40" customHeight="1">
      <c r="A2447" s="8" t="inlineStr">
        <is>
          <t>M05-P0064</t>
        </is>
      </c>
      <c r="B2447" s="8" t="inlineStr">
        <is>
          <t>M05</t>
        </is>
      </c>
      <c r="C2447" s="8" t="inlineStr">
        <is>
          <t>State Post-metric Scholarship For Disabled</t>
        </is>
      </c>
      <c r="D2447" s="8" t="inlineStr">
        <is>
          <t>FAQ</t>
        </is>
      </c>
      <c r="E2447" s="8" t="inlineStr"/>
      <c r="F2447" s="8" t="inlineStr">
        <is>
          <t>faqs.en.faqs[14]</t>
        </is>
      </c>
      <c r="G2447" s="8" t="inlineStr">
        <is>
          <t>M05@20261028-b94d6a7d</t>
        </is>
      </c>
      <c r="H2447" s="8" t="n">
        <v>1</v>
      </c>
      <c r="I2447" s="8" t="n">
        <v>1</v>
      </c>
      <c r="J2447" s="8" t="inlineStr">
        <is>
          <t>Is There Any Application Fee?
No, the entire application process is entirely free of cost.</t>
        </is>
      </c>
      <c r="K2447" s="8" t="inlineStr">
        <is>
          <t>MS-M05</t>
        </is>
      </c>
      <c r="L2447" s="9" t="n">
        <v>46323</v>
      </c>
      <c r="M2447" s="8" t="inlineStr">
        <is>
          <t>Approved</t>
        </is>
      </c>
      <c r="N2447" s="8" t="inlineStr">
        <is>
          <t>faq</t>
        </is>
      </c>
    </row>
    <row r="2448" ht="40" customHeight="1">
      <c r="A2448" s="4" t="inlineStr">
        <is>
          <t>M05-P0065</t>
        </is>
      </c>
      <c r="B2448" s="4" t="inlineStr">
        <is>
          <t>M05</t>
        </is>
      </c>
      <c r="C2448" s="4" t="inlineStr">
        <is>
          <t>State Post-metric Scholarship For Disabled</t>
        </is>
      </c>
      <c r="D2448" s="4" t="inlineStr">
        <is>
          <t>FAQ</t>
        </is>
      </c>
      <c r="E2448" s="4" t="inlineStr"/>
      <c r="F2448" s="4" t="inlineStr">
        <is>
          <t>faqs.en.faqs[15]</t>
        </is>
      </c>
      <c r="G2448" s="4" t="inlineStr">
        <is>
          <t>M05@20261028-b94d6a7d</t>
        </is>
      </c>
      <c r="H2448" s="4" t="n">
        <v>1</v>
      </c>
      <c r="I2448" s="4" t="n">
        <v>1</v>
      </c>
      <c r="J2448" s="4" t="inlineStr">
        <is>
          <t>Is There Any Compensation For The Delay In The Disbursal Of The Scheme Benefits?
No, there is no such mention in the scheme guidelines.</t>
        </is>
      </c>
      <c r="K2448" s="4" t="inlineStr">
        <is>
          <t>MS-M05</t>
        </is>
      </c>
      <c r="L2448" s="6" t="n">
        <v>46323</v>
      </c>
      <c r="M2448" s="4" t="inlineStr">
        <is>
          <t>Approved</t>
        </is>
      </c>
      <c r="N2448" s="4" t="inlineStr">
        <is>
          <t>faq</t>
        </is>
      </c>
    </row>
    <row r="2449" ht="40" customHeight="1">
      <c r="A2449" s="8" t="inlineStr">
        <is>
          <t>M05-P0066</t>
        </is>
      </c>
      <c r="B2449" s="8" t="inlineStr">
        <is>
          <t>M05</t>
        </is>
      </c>
      <c r="C2449" s="8" t="inlineStr">
        <is>
          <t>State Post-metric Scholarship For Disabled</t>
        </is>
      </c>
      <c r="D2449" s="8" t="inlineStr">
        <is>
          <t>FAQ</t>
        </is>
      </c>
      <c r="E2449" s="8" t="inlineStr"/>
      <c r="F2449" s="8" t="inlineStr">
        <is>
          <t>faqs.en.faqs[16]</t>
        </is>
      </c>
      <c r="G2449" s="8" t="inlineStr">
        <is>
          <t>M05@20261028-b94d6a7d</t>
        </is>
      </c>
      <c r="H2449" s="8" t="n">
        <v>1</v>
      </c>
      <c r="I2449" s="8" t="n">
        <v>1</v>
      </c>
      <c r="J2449" s="8" t="inlineStr">
        <is>
          <t>How Do I Know If A Field In The Application Form Is Mandatory?
The mandatory fields have an asterisk (*) mark at the end.</t>
        </is>
      </c>
      <c r="K2449" s="8" t="inlineStr">
        <is>
          <t>MS-M05</t>
        </is>
      </c>
      <c r="L2449" s="9" t="n">
        <v>46323</v>
      </c>
      <c r="M2449" s="8" t="inlineStr">
        <is>
          <t>Approved</t>
        </is>
      </c>
      <c r="N2449" s="8" t="inlineStr">
        <is>
          <t>faq</t>
        </is>
      </c>
    </row>
    <row r="2450" ht="68" customHeight="1">
      <c r="A2450" s="4" t="inlineStr">
        <is>
          <t>M05-P0067</t>
        </is>
      </c>
      <c r="B2450" s="4" t="inlineStr">
        <is>
          <t>M05</t>
        </is>
      </c>
      <c r="C2450" s="4" t="inlineStr">
        <is>
          <t>State Post-metric Scholarship For Disabled</t>
        </is>
      </c>
      <c r="D2450" s="4" t="inlineStr">
        <is>
          <t>FAQ</t>
        </is>
      </c>
      <c r="E2450" s="4" t="inlineStr"/>
      <c r="F2450" s="4" t="inlineStr">
        <is>
          <t>faqs.en.faqs[17]</t>
        </is>
      </c>
      <c r="G2450" s="4" t="inlineStr">
        <is>
          <t>M05@20261028-b94d6a7d</t>
        </is>
      </c>
      <c r="H2450" s="4" t="n">
        <v>1</v>
      </c>
      <c r="I2450" s="4" t="n">
        <v>1</v>
      </c>
      <c r="J2450" s="4" t="inlineStr">
        <is>
          <t>Can Applicants From The Neighboring States Gujarat, Madhya Pradesh, Chhattisgarh, Telangana, Etc Also Apply To This Scheme?
No, only the citizens who are permanent residents of the state of Maharashtra are eligible to apply.</t>
        </is>
      </c>
      <c r="K2450" s="4" t="inlineStr">
        <is>
          <t>MS-M05</t>
        </is>
      </c>
      <c r="L2450" s="6" t="n">
        <v>46323</v>
      </c>
      <c r="M2450" s="4" t="inlineStr">
        <is>
          <t>Approved</t>
        </is>
      </c>
      <c r="N2450" s="4" t="inlineStr">
        <is>
          <t>faq</t>
        </is>
      </c>
    </row>
    <row r="2451" ht="54" customHeight="1">
      <c r="A2451" s="8" t="inlineStr">
        <is>
          <t>M05-P0068</t>
        </is>
      </c>
      <c r="B2451" s="8" t="inlineStr">
        <is>
          <t>M05</t>
        </is>
      </c>
      <c r="C2451" s="8" t="inlineStr">
        <is>
          <t>State Post-metric Scholarship For Disabled</t>
        </is>
      </c>
      <c r="D2451" s="8" t="inlineStr">
        <is>
          <t>FAQ</t>
        </is>
      </c>
      <c r="E2451" s="8" t="inlineStr"/>
      <c r="F2451" s="8" t="inlineStr">
        <is>
          <t>faqs.en.faqs[18]</t>
        </is>
      </c>
      <c r="G2451" s="8" t="inlineStr">
        <is>
          <t>M05@20261028-b94d6a7d</t>
        </is>
      </c>
      <c r="H2451" s="8" t="n">
        <v>1</v>
      </c>
      <c r="I2451" s="8" t="n">
        <v>1</v>
      </c>
      <c r="J2451" s="8" t="inlineStr">
        <is>
          <t>Where Can I Find The URL To The Website Of The Dept. Of Social Justice &amp; Special Assistance?
The URL to the official website of the Department of Social Justice &amp; Special Assistance, Government of Maharashtra is - https://sjsa.maharashtra.gov.in/</t>
        </is>
      </c>
      <c r="K2451" s="8" t="inlineStr">
        <is>
          <t>MS-M05</t>
        </is>
      </c>
      <c r="L2451" s="9" t="n">
        <v>46323</v>
      </c>
      <c r="M2451" s="8" t="inlineStr">
        <is>
          <t>Approved</t>
        </is>
      </c>
      <c r="N2451" s="8" t="inlineStr">
        <is>
          <t>faq</t>
        </is>
      </c>
    </row>
    <row r="2452" ht="54" customHeight="1">
      <c r="A2452" s="4" t="inlineStr">
        <is>
          <t>M05-P0069</t>
        </is>
      </c>
      <c r="B2452" s="4" t="inlineStr">
        <is>
          <t>M05</t>
        </is>
      </c>
      <c r="C2452" s="4" t="inlineStr">
        <is>
          <t>State Post-metric Scholarship For Disabled</t>
        </is>
      </c>
      <c r="D2452" s="4" t="inlineStr">
        <is>
          <t>FAQ</t>
        </is>
      </c>
      <c r="E2452" s="4" t="inlineStr"/>
      <c r="F2452" s="4" t="inlineStr">
        <is>
          <t>faqs.en.faqs[19]</t>
        </is>
      </c>
      <c r="G2452" s="4" t="inlineStr">
        <is>
          <t>M05@20261028-b94d6a7d</t>
        </is>
      </c>
      <c r="H2452" s="4" t="n">
        <v>1</v>
      </c>
      <c r="I2452" s="4" t="n">
        <v>1</v>
      </c>
      <c r="J2452" s="4" t="inlineStr">
        <is>
          <t>Where Can I Find The Link To The Scheme Guidelines?
The Scheme Guidelines can be found at this link - https://sjsa.maharashtra.gov.in/en/scheme-category/disability-welfare</t>
        </is>
      </c>
      <c r="K2452" s="4" t="inlineStr">
        <is>
          <t>MS-M05</t>
        </is>
      </c>
      <c r="L2452" s="6" t="n">
        <v>46323</v>
      </c>
      <c r="M2452" s="4" t="inlineStr">
        <is>
          <t>Approved</t>
        </is>
      </c>
      <c r="N2452" s="4" t="inlineStr">
        <is>
          <t>faq</t>
        </is>
      </c>
    </row>
    <row r="2453" ht="68" customHeight="1">
      <c r="A2453" s="8" t="inlineStr">
        <is>
          <t>M05-P0070</t>
        </is>
      </c>
      <c r="B2453" s="8" t="inlineStr">
        <is>
          <t>M05</t>
        </is>
      </c>
      <c r="C2453" s="8" t="inlineStr">
        <is>
          <t>State Post-metric Scholarship For Disabled</t>
        </is>
      </c>
      <c r="D2453" s="8" t="inlineStr">
        <is>
          <t>FAQ</t>
        </is>
      </c>
      <c r="E2453" s="8" t="inlineStr"/>
      <c r="F2453" s="8" t="inlineStr">
        <is>
          <t>faqs.en.faqs[20]</t>
        </is>
      </c>
      <c r="G2453" s="8" t="inlineStr">
        <is>
          <t>M05@20261028-b94d6a7d</t>
        </is>
      </c>
      <c r="H2453" s="8" t="n">
        <v>1</v>
      </c>
      <c r="I2453" s="8" t="n">
        <v>1</v>
      </c>
      <c r="J2453" s="8"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2453" s="8" t="inlineStr">
        <is>
          <t>MS-M05</t>
        </is>
      </c>
      <c r="L2453" s="9" t="n">
        <v>46323</v>
      </c>
      <c r="M2453" s="8" t="inlineStr">
        <is>
          <t>Approved</t>
        </is>
      </c>
      <c r="N2453" s="8" t="inlineStr">
        <is>
          <t>faq</t>
        </is>
      </c>
    </row>
    <row r="2454" ht="54" customHeight="1">
      <c r="A2454" s="4" t="inlineStr">
        <is>
          <t>M05-P0071</t>
        </is>
      </c>
      <c r="B2454" s="4" t="inlineStr">
        <is>
          <t>M05</t>
        </is>
      </c>
      <c r="C2454" s="4" t="inlineStr">
        <is>
          <t>State Post-metric Scholarship For Disabled</t>
        </is>
      </c>
      <c r="D2454" s="4" t="inlineStr">
        <is>
          <t>FAQ</t>
        </is>
      </c>
      <c r="E2454" s="4" t="inlineStr"/>
      <c r="F2454" s="4" t="inlineStr">
        <is>
          <t>faqs.en.faqs[21]</t>
        </is>
      </c>
      <c r="G2454" s="4" t="inlineStr">
        <is>
          <t>M05@20261028-b94d6a7d</t>
        </is>
      </c>
      <c r="H2454" s="4" t="n">
        <v>1</v>
      </c>
      <c r="I2454" s="4" t="n">
        <v>1</v>
      </c>
      <c r="J2454" s="4" t="inlineStr">
        <is>
          <t>Where Can I Find The Addresses Of The District Social Welfare Offices?
The addresses of the District Social Welfare Offices can be found at - https://sjsa.maharashtra.gov.in/en/contacts</t>
        </is>
      </c>
      <c r="K2454" s="4" t="inlineStr">
        <is>
          <t>MS-M05</t>
        </is>
      </c>
      <c r="L2454" s="6" t="n">
        <v>46323</v>
      </c>
      <c r="M2454" s="4" t="inlineStr">
        <is>
          <t>Approved</t>
        </is>
      </c>
      <c r="N2454" s="4" t="inlineStr">
        <is>
          <t>faq</t>
        </is>
      </c>
    </row>
    <row r="2455" ht="54" customHeight="1">
      <c r="A2455" s="8" t="inlineStr">
        <is>
          <t>M05-P0072</t>
        </is>
      </c>
      <c r="B2455" s="8" t="inlineStr">
        <is>
          <t>M05</t>
        </is>
      </c>
      <c r="C2455" s="8" t="inlineStr">
        <is>
          <t>State Post-metric Scholarship For Disabled</t>
        </is>
      </c>
      <c r="D2455" s="8" t="inlineStr">
        <is>
          <t>FAQ</t>
        </is>
      </c>
      <c r="E2455" s="8" t="inlineStr"/>
      <c r="F2455" s="8" t="inlineStr">
        <is>
          <t>faqs.en.faqs[22]</t>
        </is>
      </c>
      <c r="G2455" s="8" t="inlineStr">
        <is>
          <t>M05@20261028-b94d6a7d</t>
        </is>
      </c>
      <c r="H2455" s="8" t="n">
        <v>1</v>
      </c>
      <c r="I2455" s="8" t="n">
        <v>1</v>
      </c>
      <c r="J2455" s="8" t="inlineStr">
        <is>
          <t>Where Can I Post My Grievances Related To This Scheme?
You can post your grievances at the Grievance Redressal Portal by the Govt. of Maharashtra: https://grievances.maharashtra.gov.in/en</t>
        </is>
      </c>
      <c r="K2455" s="8" t="inlineStr">
        <is>
          <t>MS-M05</t>
        </is>
      </c>
      <c r="L2455" s="9" t="n">
        <v>46323</v>
      </c>
      <c r="M2455" s="8" t="inlineStr">
        <is>
          <t>Approved</t>
        </is>
      </c>
      <c r="N2455" s="8" t="inlineStr">
        <is>
          <t>faq</t>
        </is>
      </c>
    </row>
    <row r="2456" ht="40" customHeight="1">
      <c r="A2456" s="4" t="inlineStr">
        <is>
          <t>M05-P0073</t>
        </is>
      </c>
      <c r="B2456" s="4" t="inlineStr">
        <is>
          <t>M05</t>
        </is>
      </c>
      <c r="C2456" s="4" t="inlineStr">
        <is>
          <t>State Post-metric Scholarship For Disabled</t>
        </is>
      </c>
      <c r="D2456" s="4" t="inlineStr">
        <is>
          <t>FAQ</t>
        </is>
      </c>
      <c r="E2456" s="4" t="inlineStr"/>
      <c r="F2456" s="4" t="inlineStr">
        <is>
          <t>faqs.en.faqs[23]</t>
        </is>
      </c>
      <c r="G2456" s="4" t="inlineStr">
        <is>
          <t>M05@20261028-b94d6a7d</t>
        </is>
      </c>
      <c r="H2456" s="4" t="n">
        <v>1</v>
      </c>
      <c r="I2456" s="4" t="n">
        <v>1</v>
      </c>
      <c r="J2456" s="4" t="inlineStr">
        <is>
          <t>Is There An Income-Related Criterion For This Scheme?
No, there is no income-related criterion for this scheme.</t>
        </is>
      </c>
      <c r="K2456" s="4" t="inlineStr">
        <is>
          <t>MS-M05</t>
        </is>
      </c>
      <c r="L2456" s="6" t="n">
        <v>46323</v>
      </c>
      <c r="M2456" s="4" t="inlineStr">
        <is>
          <t>Approved</t>
        </is>
      </c>
      <c r="N2456" s="4" t="inlineStr">
        <is>
          <t>faq</t>
        </is>
      </c>
    </row>
    <row r="2457" ht="54" customHeight="1">
      <c r="A2457" s="8" t="inlineStr">
        <is>
          <t>M05-P0074</t>
        </is>
      </c>
      <c r="B2457" s="8" t="inlineStr">
        <is>
          <t>M05</t>
        </is>
      </c>
      <c r="C2457" s="8" t="inlineStr">
        <is>
          <t>State Post-metric Scholarship For Disabled</t>
        </is>
      </c>
      <c r="D2457" s="8" t="inlineStr">
        <is>
          <t>FAQ</t>
        </is>
      </c>
      <c r="E2457" s="8" t="inlineStr"/>
      <c r="F2457" s="8" t="inlineStr">
        <is>
          <t>faqs.en.faqs[24]</t>
        </is>
      </c>
      <c r="G2457" s="8" t="inlineStr">
        <is>
          <t>M05@20261028-b94d6a7d</t>
        </is>
      </c>
      <c r="H2457" s="8" t="n">
        <v>1</v>
      </c>
      <c r="I2457" s="8" t="n">
        <v>1</v>
      </c>
      <c r="J2457" s="8" t="inlineStr">
        <is>
          <t>Where Can I Find The Format Of The Application Form? Is It Available Online?
You need to visit the District Social Welfare Office and request a hard copy of the format of the application form for the scheme from the concerned authority.</t>
        </is>
      </c>
      <c r="K2457" s="8" t="inlineStr">
        <is>
          <t>MS-M05</t>
        </is>
      </c>
      <c r="L2457" s="9" t="n">
        <v>46323</v>
      </c>
      <c r="M2457" s="8" t="inlineStr">
        <is>
          <t>Approved</t>
        </is>
      </c>
      <c r="N2457" s="8" t="inlineStr">
        <is>
          <t>faq</t>
        </is>
      </c>
    </row>
    <row r="2458" ht="96" customHeight="1">
      <c r="A2458" s="4" t="inlineStr">
        <is>
          <t>M06-P0001</t>
        </is>
      </c>
      <c r="B2458" s="4" t="inlineStr">
        <is>
          <t>M06</t>
        </is>
      </c>
      <c r="C2458" s="4" t="inlineStr">
        <is>
          <t>Homes For Intellectually Impaired Persons</t>
        </is>
      </c>
      <c r="D2458" s="4" t="inlineStr">
        <is>
          <t>Details</t>
        </is>
      </c>
      <c r="E2458" s="4" t="inlineStr"/>
      <c r="F2458" s="4" t="inlineStr">
        <is>
          <t>en.schemeContent.detailedDescription[0]</t>
        </is>
      </c>
      <c r="G2458" s="4" t="inlineStr">
        <is>
          <t>M06@20261028-150cae35</t>
        </is>
      </c>
      <c r="H2458" s="4" t="n">
        <v>1</v>
      </c>
      <c r="I2458" s="4" t="n">
        <v>1</v>
      </c>
      <c r="J2458" s="4" t="inlineStr">
        <is>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 of the district formed under the Juvenile Justice (Care &amp; Protection of Children) Act 2000 and Amendment Act 2006. The numbers of MDC homes are 19 out of which 14 are granted and 5 are non-granted.</t>
        </is>
      </c>
      <c r="K2458" s="4" t="inlineStr">
        <is>
          <t>MS-M06</t>
        </is>
      </c>
      <c r="L2458" s="6" t="n">
        <v>46323</v>
      </c>
      <c r="M2458" s="4" t="inlineStr">
        <is>
          <t>Approved</t>
        </is>
      </c>
      <c r="N2458" s="4" t="inlineStr">
        <is>
          <t>paragraph</t>
        </is>
      </c>
    </row>
    <row r="2459" ht="40" customHeight="1">
      <c r="A2459" s="8" t="inlineStr">
        <is>
          <t>M06-P0002</t>
        </is>
      </c>
      <c r="B2459" s="8" t="inlineStr">
        <is>
          <t>M06</t>
        </is>
      </c>
      <c r="C2459" s="8" t="inlineStr">
        <is>
          <t>Homes For Intellectually Impaired Persons</t>
        </is>
      </c>
      <c r="D2459" s="8" t="inlineStr">
        <is>
          <t>Benefits</t>
        </is>
      </c>
      <c r="E2459" s="8" t="inlineStr"/>
      <c r="F2459" s="8" t="inlineStr">
        <is>
          <t>en.schemeContent.benefits[0].children[0]</t>
        </is>
      </c>
      <c r="G2459" s="8" t="inlineStr">
        <is>
          <t>M06@20261028-150cae35</t>
        </is>
      </c>
      <c r="H2459" s="8" t="n">
        <v>1</v>
      </c>
      <c r="I2459" s="8" t="n">
        <v>1</v>
      </c>
      <c r="J2459" s="8" t="inlineStr">
        <is>
          <t>The Mentally Deficient Children who are in need of care and protection are admitted into shelter homes.</t>
        </is>
      </c>
      <c r="K2459" s="8" t="inlineStr">
        <is>
          <t>MS-M06</t>
        </is>
      </c>
      <c r="L2459" s="9" t="n">
        <v>46323</v>
      </c>
      <c r="M2459" s="8" t="inlineStr">
        <is>
          <t>Approved</t>
        </is>
      </c>
      <c r="N2459" s="8" t="inlineStr">
        <is>
          <t>list_item</t>
        </is>
      </c>
    </row>
    <row r="2460" ht="40" customHeight="1">
      <c r="A2460" s="4" t="inlineStr">
        <is>
          <t>M06-P0003</t>
        </is>
      </c>
      <c r="B2460" s="4" t="inlineStr">
        <is>
          <t>M06</t>
        </is>
      </c>
      <c r="C2460" s="4" t="inlineStr">
        <is>
          <t>Homes For Intellectually Impaired Persons</t>
        </is>
      </c>
      <c r="D2460" s="4" t="inlineStr">
        <is>
          <t>Benefits</t>
        </is>
      </c>
      <c r="E2460" s="4" t="inlineStr"/>
      <c r="F2460" s="4" t="inlineStr">
        <is>
          <t>en.schemeContent.benefits[0].children[1]</t>
        </is>
      </c>
      <c r="G2460" s="4" t="inlineStr">
        <is>
          <t>M06@20261028-150cae35</t>
        </is>
      </c>
      <c r="H2460" s="4" t="n">
        <v>1</v>
      </c>
      <c r="I2460" s="4" t="n">
        <v>1</v>
      </c>
      <c r="J2460" s="4" t="inlineStr">
        <is>
          <t>There are free facilities of food, shelter, and care &amp; protection are provided in these homes.</t>
        </is>
      </c>
      <c r="K2460" s="4" t="inlineStr">
        <is>
          <t>MS-M06</t>
        </is>
      </c>
      <c r="L2460" s="6" t="n">
        <v>46323</v>
      </c>
      <c r="M2460" s="4" t="inlineStr">
        <is>
          <t>Approved</t>
        </is>
      </c>
      <c r="N2460" s="4" t="inlineStr">
        <is>
          <t>list_item</t>
        </is>
      </c>
    </row>
    <row r="2461" ht="40" customHeight="1">
      <c r="A2461" s="8" t="inlineStr">
        <is>
          <t>M06-P0004</t>
        </is>
      </c>
      <c r="B2461" s="8" t="inlineStr">
        <is>
          <t>M06</t>
        </is>
      </c>
      <c r="C2461" s="8" t="inlineStr">
        <is>
          <t>Homes For Intellectually Impaired Persons</t>
        </is>
      </c>
      <c r="D2461" s="8" t="inlineStr">
        <is>
          <t>Eligibility</t>
        </is>
      </c>
      <c r="E2461" s="8" t="inlineStr"/>
      <c r="F2461" s="8" t="inlineStr">
        <is>
          <t>en.eligibilityCriteria.eligibilityDescription[0].children[0]</t>
        </is>
      </c>
      <c r="G2461" s="8" t="inlineStr">
        <is>
          <t>M06@20261028-150cae35</t>
        </is>
      </c>
      <c r="H2461" s="8" t="n">
        <v>1</v>
      </c>
      <c r="I2461" s="8" t="n">
        <v>1</v>
      </c>
      <c r="J2461" s="8" t="inlineStr">
        <is>
          <t>The applicant should be a citizen of India.</t>
        </is>
      </c>
      <c r="K2461" s="8" t="inlineStr">
        <is>
          <t>MS-M06</t>
        </is>
      </c>
      <c r="L2461" s="9" t="n">
        <v>46323</v>
      </c>
      <c r="M2461" s="8" t="inlineStr">
        <is>
          <t>Approved</t>
        </is>
      </c>
      <c r="N2461" s="8" t="inlineStr">
        <is>
          <t>list_item</t>
        </is>
      </c>
    </row>
    <row r="2462" ht="40" customHeight="1">
      <c r="A2462" s="4" t="inlineStr">
        <is>
          <t>M06-P0005</t>
        </is>
      </c>
      <c r="B2462" s="4" t="inlineStr">
        <is>
          <t>M06</t>
        </is>
      </c>
      <c r="C2462" s="4" t="inlineStr">
        <is>
          <t>Homes For Intellectually Impaired Persons</t>
        </is>
      </c>
      <c r="D2462" s="4" t="inlineStr">
        <is>
          <t>Eligibility</t>
        </is>
      </c>
      <c r="E2462" s="4" t="inlineStr"/>
      <c r="F2462" s="4" t="inlineStr">
        <is>
          <t>en.eligibilityCriteria.eligibilityDescription[0].children[1]</t>
        </is>
      </c>
      <c r="G2462" s="4" t="inlineStr">
        <is>
          <t>M06@20261028-150cae35</t>
        </is>
      </c>
      <c r="H2462" s="4" t="n">
        <v>1</v>
      </c>
      <c r="I2462" s="4" t="n">
        <v>1</v>
      </c>
      <c r="J2462" s="4" t="inlineStr">
        <is>
          <t>The applicant should be an orphan.</t>
        </is>
      </c>
      <c r="K2462" s="4" t="inlineStr">
        <is>
          <t>MS-M06</t>
        </is>
      </c>
      <c r="L2462" s="6" t="n">
        <v>46323</v>
      </c>
      <c r="M2462" s="4" t="inlineStr">
        <is>
          <t>Approved</t>
        </is>
      </c>
      <c r="N2462" s="4" t="inlineStr">
        <is>
          <t>list_item</t>
        </is>
      </c>
    </row>
    <row r="2463" ht="40" customHeight="1">
      <c r="A2463" s="8" t="inlineStr">
        <is>
          <t>M06-P0006</t>
        </is>
      </c>
      <c r="B2463" s="8" t="inlineStr">
        <is>
          <t>M06</t>
        </is>
      </c>
      <c r="C2463" s="8" t="inlineStr">
        <is>
          <t>Homes For Intellectually Impaired Persons</t>
        </is>
      </c>
      <c r="D2463" s="8" t="inlineStr">
        <is>
          <t>Eligibility</t>
        </is>
      </c>
      <c r="E2463" s="8" t="inlineStr"/>
      <c r="F2463" s="8" t="inlineStr">
        <is>
          <t>en.eligibilityCriteria.eligibilityDescription[0].children[2]</t>
        </is>
      </c>
      <c r="G2463" s="8" t="inlineStr">
        <is>
          <t>M06@20261028-150cae35</t>
        </is>
      </c>
      <c r="H2463" s="8" t="n">
        <v>1</v>
      </c>
      <c r="I2463" s="8" t="n">
        <v>1</v>
      </c>
      <c r="J2463" s="8" t="inlineStr">
        <is>
          <t>The applicant should be a permanent resident of Maharashtra State.</t>
        </is>
      </c>
      <c r="K2463" s="8" t="inlineStr">
        <is>
          <t>MS-M06</t>
        </is>
      </c>
      <c r="L2463" s="9" t="n">
        <v>46323</v>
      </c>
      <c r="M2463" s="8" t="inlineStr">
        <is>
          <t>Approved</t>
        </is>
      </c>
      <c r="N2463" s="8" t="inlineStr">
        <is>
          <t>list_item</t>
        </is>
      </c>
    </row>
    <row r="2464" ht="40" customHeight="1">
      <c r="A2464" s="4" t="inlineStr">
        <is>
          <t>M06-P0007</t>
        </is>
      </c>
      <c r="B2464" s="4" t="inlineStr">
        <is>
          <t>M06</t>
        </is>
      </c>
      <c r="C2464" s="4" t="inlineStr">
        <is>
          <t>Homes For Intellectually Impaired Persons</t>
        </is>
      </c>
      <c r="D2464" s="4" t="inlineStr">
        <is>
          <t>Eligibility</t>
        </is>
      </c>
      <c r="E2464" s="4" t="inlineStr"/>
      <c r="F2464" s="4" t="inlineStr">
        <is>
          <t>en.eligibilityCriteria.eligibilityDescription[0].children[3]</t>
        </is>
      </c>
      <c r="G2464" s="4" t="inlineStr">
        <is>
          <t>M06@20261028-150cae35</t>
        </is>
      </c>
      <c r="H2464" s="4" t="n">
        <v>1</v>
      </c>
      <c r="I2464" s="4" t="n">
        <v>1</v>
      </c>
      <c r="J2464" s="4" t="inlineStr">
        <is>
          <t>The applicant should be a Mentally Deficient Child (MDC) who is in need of care and protection.</t>
        </is>
      </c>
      <c r="K2464" s="4" t="inlineStr">
        <is>
          <t>MS-M06</t>
        </is>
      </c>
      <c r="L2464" s="6" t="n">
        <v>46323</v>
      </c>
      <c r="M2464" s="4" t="inlineStr">
        <is>
          <t>Approved</t>
        </is>
      </c>
      <c r="N2464" s="4" t="inlineStr">
        <is>
          <t>list_item</t>
        </is>
      </c>
    </row>
    <row r="2465" ht="40" customHeight="1">
      <c r="A2465" s="8" t="inlineStr">
        <is>
          <t>M06-P0008</t>
        </is>
      </c>
      <c r="B2465" s="8" t="inlineStr">
        <is>
          <t>M06</t>
        </is>
      </c>
      <c r="C2465" s="8" t="inlineStr">
        <is>
          <t>Homes For Intellectually Impaired Persons</t>
        </is>
      </c>
      <c r="D2465" s="8" t="inlineStr">
        <is>
          <t>Eligibility</t>
        </is>
      </c>
      <c r="E2465" s="8" t="inlineStr"/>
      <c r="F2465" s="8" t="inlineStr">
        <is>
          <t>en.eligibilityCriteria.eligibilityDescription[0].children[4]</t>
        </is>
      </c>
      <c r="G2465" s="8" t="inlineStr">
        <is>
          <t>M06@20261028-150cae35</t>
        </is>
      </c>
      <c r="H2465" s="8" t="n">
        <v>1</v>
      </c>
      <c r="I2465" s="8" t="n">
        <v>1</v>
      </c>
      <c r="J2465" s="8" t="inlineStr">
        <is>
          <t>The percentage of the disability should be 40% or above.</t>
        </is>
      </c>
      <c r="K2465" s="8" t="inlineStr">
        <is>
          <t>MS-M06</t>
        </is>
      </c>
      <c r="L2465" s="9" t="n">
        <v>46323</v>
      </c>
      <c r="M2465" s="8" t="inlineStr">
        <is>
          <t>Approved</t>
        </is>
      </c>
      <c r="N2465" s="8" t="inlineStr">
        <is>
          <t>list_item</t>
        </is>
      </c>
    </row>
    <row r="2466" ht="40" customHeight="1">
      <c r="A2466" s="4" t="inlineStr">
        <is>
          <t>M06-P0009</t>
        </is>
      </c>
      <c r="B2466" s="4" t="inlineStr">
        <is>
          <t>M06</t>
        </is>
      </c>
      <c r="C2466" s="4" t="inlineStr">
        <is>
          <t>Homes For Intellectually Impaired Persons</t>
        </is>
      </c>
      <c r="D2466" s="4" t="inlineStr">
        <is>
          <t>Applicant documents</t>
        </is>
      </c>
      <c r="E2466" s="4" t="inlineStr"/>
      <c r="F2466" s="4" t="inlineStr">
        <is>
          <t>documents.en.documents_required[0].children[0]</t>
        </is>
      </c>
      <c r="G2466" s="4" t="inlineStr">
        <is>
          <t>M06@20261028-150cae35</t>
        </is>
      </c>
      <c r="H2466" s="4" t="n">
        <v>1</v>
      </c>
      <c r="I2466" s="4" t="n">
        <v>1</v>
      </c>
      <c r="J2466" s="4" t="inlineStr">
        <is>
          <t>Aadhaar Card.</t>
        </is>
      </c>
      <c r="K2466" s="4" t="inlineStr">
        <is>
          <t>MS-M06</t>
        </is>
      </c>
      <c r="L2466" s="6" t="n">
        <v>46323</v>
      </c>
      <c r="M2466" s="4" t="inlineStr">
        <is>
          <t>Approved</t>
        </is>
      </c>
      <c r="N2466" s="4" t="inlineStr">
        <is>
          <t>list_item</t>
        </is>
      </c>
    </row>
    <row r="2467" ht="40" customHeight="1">
      <c r="A2467" s="8" t="inlineStr">
        <is>
          <t>M06-P0010</t>
        </is>
      </c>
      <c r="B2467" s="8" t="inlineStr">
        <is>
          <t>M06</t>
        </is>
      </c>
      <c r="C2467" s="8" t="inlineStr">
        <is>
          <t>Homes For Intellectually Impaired Persons</t>
        </is>
      </c>
      <c r="D2467" s="8" t="inlineStr">
        <is>
          <t>Applicant documents</t>
        </is>
      </c>
      <c r="E2467" s="8" t="inlineStr"/>
      <c r="F2467" s="8" t="inlineStr">
        <is>
          <t>documents.en.documents_required[0].children[1]</t>
        </is>
      </c>
      <c r="G2467" s="8" t="inlineStr">
        <is>
          <t>M06@20261028-150cae35</t>
        </is>
      </c>
      <c r="H2467" s="8" t="n">
        <v>1</v>
      </c>
      <c r="I2467" s="8" t="n">
        <v>1</v>
      </c>
      <c r="J2467" s="8" t="inlineStr">
        <is>
          <t>2-Passport Sized Photograph (Signed Across).</t>
        </is>
      </c>
      <c r="K2467" s="8" t="inlineStr">
        <is>
          <t>MS-M06</t>
        </is>
      </c>
      <c r="L2467" s="9" t="n">
        <v>46323</v>
      </c>
      <c r="M2467" s="8" t="inlineStr">
        <is>
          <t>Approved</t>
        </is>
      </c>
      <c r="N2467" s="8" t="inlineStr">
        <is>
          <t>list_item</t>
        </is>
      </c>
    </row>
    <row r="2468" ht="40" customHeight="1">
      <c r="A2468" s="4" t="inlineStr">
        <is>
          <t>M06-P0011</t>
        </is>
      </c>
      <c r="B2468" s="4" t="inlineStr">
        <is>
          <t>M06</t>
        </is>
      </c>
      <c r="C2468" s="4" t="inlineStr">
        <is>
          <t>Homes For Intellectually Impaired Persons</t>
        </is>
      </c>
      <c r="D2468" s="4" t="inlineStr">
        <is>
          <t>Applicant documents</t>
        </is>
      </c>
      <c r="E2468" s="4" t="inlineStr"/>
      <c r="F2468" s="4" t="inlineStr">
        <is>
          <t>documents.en.documents_required[0].children[2]</t>
        </is>
      </c>
      <c r="G2468" s="4" t="inlineStr">
        <is>
          <t>M06@20261028-150cae35</t>
        </is>
      </c>
      <c r="H2468" s="4" t="n">
        <v>1</v>
      </c>
      <c r="I2468" s="4" t="n">
        <v>1</v>
      </c>
      <c r="J2468" s="4" t="inlineStr">
        <is>
          <t>Proof of Age (Birth Certificate, etc).</t>
        </is>
      </c>
      <c r="K2468" s="4" t="inlineStr">
        <is>
          <t>MS-M06</t>
        </is>
      </c>
      <c r="L2468" s="6" t="n">
        <v>46323</v>
      </c>
      <c r="M2468" s="4" t="inlineStr">
        <is>
          <t>Approved</t>
        </is>
      </c>
      <c r="N2468" s="4" t="inlineStr">
        <is>
          <t>list_item</t>
        </is>
      </c>
    </row>
    <row r="2469" ht="40" customHeight="1">
      <c r="A2469" s="8" t="inlineStr">
        <is>
          <t>M06-P0012</t>
        </is>
      </c>
      <c r="B2469" s="8" t="inlineStr">
        <is>
          <t>M06</t>
        </is>
      </c>
      <c r="C2469" s="8" t="inlineStr">
        <is>
          <t>Homes For Intellectually Impaired Persons</t>
        </is>
      </c>
      <c r="D2469" s="8" t="inlineStr">
        <is>
          <t>Applicant documents</t>
        </is>
      </c>
      <c r="E2469" s="8" t="inlineStr"/>
      <c r="F2469" s="8" t="inlineStr">
        <is>
          <t>documents.en.documents_required[0].children[3]</t>
        </is>
      </c>
      <c r="G2469" s="8" t="inlineStr">
        <is>
          <t>M06@20261028-150cae35</t>
        </is>
      </c>
      <c r="H2469" s="8" t="n">
        <v>1</v>
      </c>
      <c r="I2469" s="8" t="n">
        <v>1</v>
      </c>
      <c r="J2469" s="8" t="inlineStr">
        <is>
          <t>Residential Certificate / Domicile Certificate of the State of Maharashtra.</t>
        </is>
      </c>
      <c r="K2469" s="8" t="inlineStr">
        <is>
          <t>MS-M06</t>
        </is>
      </c>
      <c r="L2469" s="9" t="n">
        <v>46323</v>
      </c>
      <c r="M2469" s="8" t="inlineStr">
        <is>
          <t>Approved</t>
        </is>
      </c>
      <c r="N2469" s="8" t="inlineStr">
        <is>
          <t>list_item</t>
        </is>
      </c>
    </row>
    <row r="2470" ht="40" customHeight="1">
      <c r="A2470" s="4" t="inlineStr">
        <is>
          <t>M06-P0013</t>
        </is>
      </c>
      <c r="B2470" s="4" t="inlineStr">
        <is>
          <t>M06</t>
        </is>
      </c>
      <c r="C2470" s="4" t="inlineStr">
        <is>
          <t>Homes For Intellectually Impaired Persons</t>
        </is>
      </c>
      <c r="D2470" s="4" t="inlineStr">
        <is>
          <t>Applicant documents</t>
        </is>
      </c>
      <c r="E2470" s="4" t="inlineStr"/>
      <c r="F2470" s="4" t="inlineStr">
        <is>
          <t>documents.en.documents_required[0].children[4]</t>
        </is>
      </c>
      <c r="G2470" s="4" t="inlineStr">
        <is>
          <t>M06@20261028-150cae35</t>
        </is>
      </c>
      <c r="H2470" s="4" t="n">
        <v>1</v>
      </c>
      <c r="I2470" s="4" t="n">
        <v>1</v>
      </c>
      <c r="J2470" s="4" t="inlineStr">
        <is>
          <t>Disability Certificate.</t>
        </is>
      </c>
      <c r="K2470" s="4" t="inlineStr">
        <is>
          <t>MS-M06</t>
        </is>
      </c>
      <c r="L2470" s="6" t="n">
        <v>46323</v>
      </c>
      <c r="M2470" s="4" t="inlineStr">
        <is>
          <t>Approved</t>
        </is>
      </c>
      <c r="N2470" s="4" t="inlineStr">
        <is>
          <t>list_item</t>
        </is>
      </c>
    </row>
    <row r="2471" ht="40" customHeight="1">
      <c r="A2471" s="8" t="inlineStr">
        <is>
          <t>M06-P0014</t>
        </is>
      </c>
      <c r="B2471" s="8" t="inlineStr">
        <is>
          <t>M06</t>
        </is>
      </c>
      <c r="C2471" s="8" t="inlineStr">
        <is>
          <t>Homes For Intellectually Impaired Persons</t>
        </is>
      </c>
      <c r="D2471" s="8" t="inlineStr">
        <is>
          <t>Applicant documents</t>
        </is>
      </c>
      <c r="E2471" s="8" t="inlineStr"/>
      <c r="F2471" s="8" t="inlineStr">
        <is>
          <t>documents.en.documents_required[0].children[5]</t>
        </is>
      </c>
      <c r="G2471" s="8" t="inlineStr">
        <is>
          <t>M06@20261028-150cae35</t>
        </is>
      </c>
      <c r="H2471" s="8" t="n">
        <v>1</v>
      </c>
      <c r="I2471" s="8" t="n">
        <v>1</v>
      </c>
      <c r="J2471" s="8" t="inlineStr">
        <is>
          <t>Details of the Bank Account (Bank Name, Branch Name, Address, IFSC, etc).</t>
        </is>
      </c>
      <c r="K2471" s="8" t="inlineStr">
        <is>
          <t>MS-M06</t>
        </is>
      </c>
      <c r="L2471" s="9" t="n">
        <v>46323</v>
      </c>
      <c r="M2471" s="8" t="inlineStr">
        <is>
          <t>Approved</t>
        </is>
      </c>
      <c r="N2471" s="8" t="inlineStr">
        <is>
          <t>list_item</t>
        </is>
      </c>
    </row>
    <row r="2472" ht="40" customHeight="1">
      <c r="A2472" s="4" t="inlineStr">
        <is>
          <t>M06-P0015</t>
        </is>
      </c>
      <c r="B2472" s="4" t="inlineStr">
        <is>
          <t>M06</t>
        </is>
      </c>
      <c r="C2472" s="4" t="inlineStr">
        <is>
          <t>Homes For Intellectually Impaired Persons</t>
        </is>
      </c>
      <c r="D2472" s="4" t="inlineStr">
        <is>
          <t>Applicant documents</t>
        </is>
      </c>
      <c r="E2472" s="4" t="inlineStr"/>
      <c r="F2472" s="4" t="inlineStr">
        <is>
          <t>documents.en.documents_required[0].children[6]</t>
        </is>
      </c>
      <c r="G2472" s="4" t="inlineStr">
        <is>
          <t>M06@20261028-150cae35</t>
        </is>
      </c>
      <c r="H2472" s="4" t="n">
        <v>1</v>
      </c>
      <c r="I2472" s="4" t="n">
        <v>1</v>
      </c>
      <c r="J2472" s="4" t="inlineStr">
        <is>
          <t>Any other document required by the Child Welfare Committee.</t>
        </is>
      </c>
      <c r="K2472" s="4" t="inlineStr">
        <is>
          <t>MS-M06</t>
        </is>
      </c>
      <c r="L2472" s="6" t="n">
        <v>46323</v>
      </c>
      <c r="M2472" s="4" t="inlineStr">
        <is>
          <t>Approved</t>
        </is>
      </c>
      <c r="N2472" s="4" t="inlineStr">
        <is>
          <t>list_item</t>
        </is>
      </c>
    </row>
    <row r="2473" ht="40" customHeight="1">
      <c r="A2473" s="8" t="inlineStr">
        <is>
          <t>M06-P0016</t>
        </is>
      </c>
      <c r="B2473" s="8" t="inlineStr">
        <is>
          <t>M06</t>
        </is>
      </c>
      <c r="C2473" s="8" t="inlineStr">
        <is>
          <t>Homes For Intellectually Impaired Persons</t>
        </is>
      </c>
      <c r="D2473" s="8" t="inlineStr">
        <is>
          <t>Application process</t>
        </is>
      </c>
      <c r="E2473" s="8" t="inlineStr"/>
      <c r="F2473" s="8" t="inlineStr">
        <is>
          <t>en.applicationProcess[0].process[0]</t>
        </is>
      </c>
      <c r="G2473" s="8" t="inlineStr">
        <is>
          <t>M06@20261028-150cae35</t>
        </is>
      </c>
      <c r="H2473" s="8" t="n">
        <v>1</v>
      </c>
      <c r="I2473" s="8" t="n">
        <v>1</v>
      </c>
      <c r="J2473" s="8" t="inlineStr">
        <is>
          <t>Step 1: Visit the Child Welfare Committee, and request a hard copy of the format of the application form for the scheme from the concerned authority.</t>
        </is>
      </c>
      <c r="K2473" s="8" t="inlineStr">
        <is>
          <t>MS-M06</t>
        </is>
      </c>
      <c r="L2473" s="9" t="n">
        <v>46323</v>
      </c>
      <c r="M2473" s="8" t="inlineStr">
        <is>
          <t>Approved</t>
        </is>
      </c>
      <c r="N2473" s="8" t="inlineStr">
        <is>
          <t>paragraph</t>
        </is>
      </c>
    </row>
    <row r="2474" ht="40" customHeight="1">
      <c r="A2474" s="4" t="inlineStr">
        <is>
          <t>M06-P0017</t>
        </is>
      </c>
      <c r="B2474" s="4" t="inlineStr">
        <is>
          <t>M06</t>
        </is>
      </c>
      <c r="C2474" s="4" t="inlineStr">
        <is>
          <t>Homes For Intellectually Impaired Persons</t>
        </is>
      </c>
      <c r="D2474" s="4" t="inlineStr">
        <is>
          <t>Application process</t>
        </is>
      </c>
      <c r="E2474" s="4" t="inlineStr"/>
      <c r="F2474" s="4" t="inlineStr">
        <is>
          <t>en.applicationProcess[0].process[1]</t>
        </is>
      </c>
      <c r="G2474" s="4" t="inlineStr">
        <is>
          <t>M06@20261028-150cae35</t>
        </is>
      </c>
      <c r="H2474" s="4" t="n">
        <v>1</v>
      </c>
      <c r="I2474" s="4" t="n">
        <v>1</v>
      </c>
      <c r="J2474" s="4" t="inlineStr">
        <is>
          <t>Step 2: In the application form, fill in all the mandatory fields, paste the passport-sized photograph (signed across), and attach all the (self-attested) mandatory documents.</t>
        </is>
      </c>
      <c r="K2474" s="4" t="inlineStr">
        <is>
          <t>MS-M06</t>
        </is>
      </c>
      <c r="L2474" s="6" t="n">
        <v>46323</v>
      </c>
      <c r="M2474" s="4" t="inlineStr">
        <is>
          <t>Approved</t>
        </is>
      </c>
      <c r="N2474" s="4" t="inlineStr">
        <is>
          <t>paragraph</t>
        </is>
      </c>
    </row>
    <row r="2475" ht="40" customHeight="1">
      <c r="A2475" s="8" t="inlineStr">
        <is>
          <t>M06-P0018</t>
        </is>
      </c>
      <c r="B2475" s="8" t="inlineStr">
        <is>
          <t>M06</t>
        </is>
      </c>
      <c r="C2475" s="8" t="inlineStr">
        <is>
          <t>Homes For Intellectually Impaired Persons</t>
        </is>
      </c>
      <c r="D2475" s="8" t="inlineStr">
        <is>
          <t>Application process</t>
        </is>
      </c>
      <c r="E2475" s="8" t="inlineStr"/>
      <c r="F2475" s="8" t="inlineStr">
        <is>
          <t>en.applicationProcess[0].process[2]</t>
        </is>
      </c>
      <c r="G2475" s="8" t="inlineStr">
        <is>
          <t>M06@20261028-150cae35</t>
        </is>
      </c>
      <c r="H2475" s="8" t="n">
        <v>1</v>
      </c>
      <c r="I2475" s="8" t="n">
        <v>1</v>
      </c>
      <c r="J2475" s="8" t="inlineStr">
        <is>
          <t>Step 3: Submit the duly filled and signed application form along with the documents at the office of the concerned Child Welfare Committee.</t>
        </is>
      </c>
      <c r="K2475" s="8" t="inlineStr">
        <is>
          <t>MS-M06</t>
        </is>
      </c>
      <c r="L2475" s="9" t="n">
        <v>46323</v>
      </c>
      <c r="M2475" s="8" t="inlineStr">
        <is>
          <t>Approved</t>
        </is>
      </c>
      <c r="N2475" s="8" t="inlineStr">
        <is>
          <t>paragraph</t>
        </is>
      </c>
    </row>
    <row r="2476" ht="40" customHeight="1">
      <c r="A2476" s="4" t="inlineStr">
        <is>
          <t>M06-P0019</t>
        </is>
      </c>
      <c r="B2476" s="4" t="inlineStr">
        <is>
          <t>M06</t>
        </is>
      </c>
      <c r="C2476" s="4" t="inlineStr">
        <is>
          <t>Homes For Intellectually Impaired Persons</t>
        </is>
      </c>
      <c r="D2476" s="4" t="inlineStr">
        <is>
          <t>Application process</t>
        </is>
      </c>
      <c r="E2476" s="4" t="inlineStr"/>
      <c r="F2476" s="4" t="inlineStr">
        <is>
          <t>en.applicationProcess[0].process[3]</t>
        </is>
      </c>
      <c r="G2476" s="4" t="inlineStr">
        <is>
          <t>M06@20261028-150cae35</t>
        </is>
      </c>
      <c r="H2476" s="4" t="n">
        <v>1</v>
      </c>
      <c r="I2476" s="4" t="n">
        <v>1</v>
      </c>
      <c r="J2476" s="4" t="inlineStr">
        <is>
          <t>Step 4: Acquire the receipt/acknowledgment of the successful submission of the application form from the office.</t>
        </is>
      </c>
      <c r="K2476" s="4" t="inlineStr">
        <is>
          <t>MS-M06</t>
        </is>
      </c>
      <c r="L2476" s="6" t="n">
        <v>46323</v>
      </c>
      <c r="M2476" s="4" t="inlineStr">
        <is>
          <t>Approved</t>
        </is>
      </c>
      <c r="N2476" s="4" t="inlineStr">
        <is>
          <t>paragraph</t>
        </is>
      </c>
    </row>
    <row r="2477" ht="40" customHeight="1">
      <c r="A2477" s="8" t="inlineStr">
        <is>
          <t>M06-P0020</t>
        </is>
      </c>
      <c r="B2477" s="8" t="inlineStr">
        <is>
          <t>M06</t>
        </is>
      </c>
      <c r="C2477" s="8" t="inlineStr">
        <is>
          <t>Homes For Intellectually Impaired Persons</t>
        </is>
      </c>
      <c r="D2477" s="8" t="inlineStr">
        <is>
          <t>FAQ</t>
        </is>
      </c>
      <c r="E2477" s="8" t="inlineStr"/>
      <c r="F2477" s="8" t="inlineStr">
        <is>
          <t>faqs.en.faqs[0]</t>
        </is>
      </c>
      <c r="G2477" s="8" t="inlineStr">
        <is>
          <t>M06@20261028-150cae35</t>
        </is>
      </c>
      <c r="H2477" s="8" t="n">
        <v>1</v>
      </c>
      <c r="I2477" s="8" t="n">
        <v>1</v>
      </c>
      <c r="J2477" s="8" t="inlineStr">
        <is>
          <t>What Is The Full Form Of MDC?
The full form of MDC is "Mentally Deficient Children".</t>
        </is>
      </c>
      <c r="K2477" s="8" t="inlineStr">
        <is>
          <t>MS-M06</t>
        </is>
      </c>
      <c r="L2477" s="9" t="n">
        <v>46323</v>
      </c>
      <c r="M2477" s="8" t="inlineStr">
        <is>
          <t>Approved</t>
        </is>
      </c>
      <c r="N2477" s="8" t="inlineStr">
        <is>
          <t>faq</t>
        </is>
      </c>
    </row>
    <row r="2478" ht="54" customHeight="1">
      <c r="A2478" s="4" t="inlineStr">
        <is>
          <t>M06-P0021</t>
        </is>
      </c>
      <c r="B2478" s="4" t="inlineStr">
        <is>
          <t>M06</t>
        </is>
      </c>
      <c r="C2478" s="4" t="inlineStr">
        <is>
          <t>Homes For Intellectually Impaired Persons</t>
        </is>
      </c>
      <c r="D2478" s="4" t="inlineStr">
        <is>
          <t>FAQ</t>
        </is>
      </c>
      <c r="E2478" s="4" t="inlineStr"/>
      <c r="F2478" s="4" t="inlineStr">
        <is>
          <t>faqs.en.faqs[1]</t>
        </is>
      </c>
      <c r="G2478" s="4" t="inlineStr">
        <is>
          <t>M06@20261028-150cae35</t>
        </is>
      </c>
      <c r="H2478" s="4" t="n">
        <v>1</v>
      </c>
      <c r="I2478" s="4" t="n">
        <v>1</v>
      </c>
      <c r="J2478" s="4" t="inlineStr">
        <is>
          <t>In Which Year Did The Juvenile Justice (Care &amp; Protection Of Children) Act Come Into Existence?
The Juvenile Justice (Care &amp; Protection of Children) Act came into existence in the year 2000.</t>
        </is>
      </c>
      <c r="K2478" s="4" t="inlineStr">
        <is>
          <t>MS-M06</t>
        </is>
      </c>
      <c r="L2478" s="6" t="n">
        <v>46323</v>
      </c>
      <c r="M2478" s="4" t="inlineStr">
        <is>
          <t>Approved</t>
        </is>
      </c>
      <c r="N2478" s="4" t="inlineStr">
        <is>
          <t>faq</t>
        </is>
      </c>
    </row>
    <row r="2479" ht="40" customHeight="1">
      <c r="A2479" s="8" t="inlineStr">
        <is>
          <t>M06-P0022</t>
        </is>
      </c>
      <c r="B2479" s="8" t="inlineStr">
        <is>
          <t>M06</t>
        </is>
      </c>
      <c r="C2479" s="8" t="inlineStr">
        <is>
          <t>Homes For Intellectually Impaired Persons</t>
        </is>
      </c>
      <c r="D2479" s="8" t="inlineStr">
        <is>
          <t>FAQ</t>
        </is>
      </c>
      <c r="E2479" s="8" t="inlineStr"/>
      <c r="F2479" s="8" t="inlineStr">
        <is>
          <t>faqs.en.faqs[2]</t>
        </is>
      </c>
      <c r="G2479" s="8" t="inlineStr">
        <is>
          <t>M06@20261028-150cae35</t>
        </is>
      </c>
      <c r="H2479" s="8" t="n">
        <v>1</v>
      </c>
      <c r="I2479" s="8" t="n">
        <v>1</v>
      </c>
      <c r="J2479" s="8" t="inlineStr">
        <is>
          <t>In Which Year Did The Juvenile Justice (Care &amp; Protection Of Children) Act Last Amended?
The Juvenile Justice (Care &amp; Protection of Children) Act was last amended in the year 2006.</t>
        </is>
      </c>
      <c r="K2479" s="8" t="inlineStr">
        <is>
          <t>MS-M06</t>
        </is>
      </c>
      <c r="L2479" s="9" t="n">
        <v>46323</v>
      </c>
      <c r="M2479" s="8" t="inlineStr">
        <is>
          <t>Approved</t>
        </is>
      </c>
      <c r="N2479" s="8" t="inlineStr">
        <is>
          <t>faq</t>
        </is>
      </c>
    </row>
    <row r="2480" ht="40" customHeight="1">
      <c r="A2480" s="4" t="inlineStr">
        <is>
          <t>M06-P0023</t>
        </is>
      </c>
      <c r="B2480" s="4" t="inlineStr">
        <is>
          <t>M06</t>
        </is>
      </c>
      <c r="C2480" s="4" t="inlineStr">
        <is>
          <t>Homes For Intellectually Impaired Persons</t>
        </is>
      </c>
      <c r="D2480" s="4" t="inlineStr">
        <is>
          <t>FAQ</t>
        </is>
      </c>
      <c r="E2480" s="4" t="inlineStr"/>
      <c r="F2480" s="4" t="inlineStr">
        <is>
          <t>faqs.en.faqs[3]</t>
        </is>
      </c>
      <c r="G2480" s="4" t="inlineStr">
        <is>
          <t>M06@20261028-150cae35</t>
        </is>
      </c>
      <c r="H2480" s="4" t="n">
        <v>1</v>
      </c>
      <c r="I2480" s="4" t="n">
        <v>1</v>
      </c>
      <c r="J2480" s="4" t="inlineStr">
        <is>
          <t>Is It Mandatory For The Child To Be An Orphan In Order To Be Eligible For This Scheme?
Yes, in order to be eligible for this scheme, the applicant should be an orphan.</t>
        </is>
      </c>
      <c r="K2480" s="4" t="inlineStr">
        <is>
          <t>MS-M06</t>
        </is>
      </c>
      <c r="L2480" s="6" t="n">
        <v>46323</v>
      </c>
      <c r="M2480" s="4" t="inlineStr">
        <is>
          <t>Approved</t>
        </is>
      </c>
      <c r="N2480" s="4" t="inlineStr">
        <is>
          <t>faq</t>
        </is>
      </c>
    </row>
    <row r="2481" ht="54" customHeight="1">
      <c r="A2481" s="8" t="inlineStr">
        <is>
          <t>M06-P0024</t>
        </is>
      </c>
      <c r="B2481" s="8" t="inlineStr">
        <is>
          <t>M06</t>
        </is>
      </c>
      <c r="C2481" s="8" t="inlineStr">
        <is>
          <t>Homes For Intellectually Impaired Persons</t>
        </is>
      </c>
      <c r="D2481" s="8" t="inlineStr">
        <is>
          <t>FAQ</t>
        </is>
      </c>
      <c r="E2481" s="8" t="inlineStr"/>
      <c r="F2481" s="8" t="inlineStr">
        <is>
          <t>faqs.en.faqs[4]</t>
        </is>
      </c>
      <c r="G2481" s="8" t="inlineStr">
        <is>
          <t>M06@20261028-150cae35</t>
        </is>
      </c>
      <c r="H2481" s="8" t="n">
        <v>1</v>
      </c>
      <c r="I2481" s="8" t="n">
        <v>1</v>
      </c>
      <c r="J2481" s="8" t="inlineStr">
        <is>
          <t>Where Can I Find The List Of All The Child Welfare Committees Of Maharashtra?
The list of all the Child Welfare Committees of Maharashtra can be found at - https://jjis.maharashtra.gov.in/Site/ViewCWCList</t>
        </is>
      </c>
      <c r="K2481" s="8" t="inlineStr">
        <is>
          <t>MS-M06</t>
        </is>
      </c>
      <c r="L2481" s="9" t="n">
        <v>46323</v>
      </c>
      <c r="M2481" s="8" t="inlineStr">
        <is>
          <t>Approved</t>
        </is>
      </c>
      <c r="N2481" s="8" t="inlineStr">
        <is>
          <t>faq</t>
        </is>
      </c>
    </row>
    <row r="2482" ht="40" customHeight="1">
      <c r="A2482" s="4" t="inlineStr">
        <is>
          <t>M06-P0025</t>
        </is>
      </c>
      <c r="B2482" s="4" t="inlineStr">
        <is>
          <t>M06</t>
        </is>
      </c>
      <c r="C2482" s="4" t="inlineStr">
        <is>
          <t>Homes For Intellectually Impaired Persons</t>
        </is>
      </c>
      <c r="D2482" s="4" t="inlineStr">
        <is>
          <t>FAQ</t>
        </is>
      </c>
      <c r="E2482" s="4" t="inlineStr"/>
      <c r="F2482" s="4" t="inlineStr">
        <is>
          <t>faqs.en.faqs[5]</t>
        </is>
      </c>
      <c r="G2482" s="4" t="inlineStr">
        <is>
          <t>M06@20261028-150cae35</t>
        </is>
      </c>
      <c r="H2482" s="4" t="n">
        <v>1</v>
      </c>
      <c r="I2482" s="4" t="n">
        <v>1</v>
      </c>
      <c r="J2482" s="4" t="inlineStr">
        <is>
          <t>How Many MDC Homes Under This Scheme Are Non-Granted?
The numbers of MDC homes are 19 out of which 14 are granted and 5 are non-granted.</t>
        </is>
      </c>
      <c r="K2482" s="4" t="inlineStr">
        <is>
          <t>MS-M06</t>
        </is>
      </c>
      <c r="L2482" s="6" t="n">
        <v>46323</v>
      </c>
      <c r="M2482" s="4" t="inlineStr">
        <is>
          <t>Approved</t>
        </is>
      </c>
      <c r="N2482" s="4" t="inlineStr">
        <is>
          <t>faq</t>
        </is>
      </c>
    </row>
    <row r="2483" ht="40" customHeight="1">
      <c r="A2483" s="8" t="inlineStr">
        <is>
          <t>M06-P0026</t>
        </is>
      </c>
      <c r="B2483" s="8" t="inlineStr">
        <is>
          <t>M06</t>
        </is>
      </c>
      <c r="C2483" s="8" t="inlineStr">
        <is>
          <t>Homes For Intellectually Impaired Persons</t>
        </is>
      </c>
      <c r="D2483" s="8" t="inlineStr">
        <is>
          <t>FAQ</t>
        </is>
      </c>
      <c r="E2483" s="8" t="inlineStr"/>
      <c r="F2483" s="8" t="inlineStr">
        <is>
          <t>faqs.en.faqs[6]</t>
        </is>
      </c>
      <c r="G2483" s="8" t="inlineStr">
        <is>
          <t>M06@20261028-150cae35</t>
        </is>
      </c>
      <c r="H2483" s="8" t="n">
        <v>1</v>
      </c>
      <c r="I2483" s="8" t="n">
        <v>1</v>
      </c>
      <c r="J2483" s="8" t="inlineStr">
        <is>
          <t>What Free Facilities Are Provided In The MDC Homes?
There are free facilities of food, shelter, and care &amp; protection are provided in these homes.</t>
        </is>
      </c>
      <c r="K2483" s="8" t="inlineStr">
        <is>
          <t>MS-M06</t>
        </is>
      </c>
      <c r="L2483" s="9" t="n">
        <v>46323</v>
      </c>
      <c r="M2483" s="8" t="inlineStr">
        <is>
          <t>Approved</t>
        </is>
      </c>
      <c r="N2483" s="8" t="inlineStr">
        <is>
          <t>faq</t>
        </is>
      </c>
    </row>
    <row r="2484" ht="54" customHeight="1">
      <c r="A2484" s="4" t="inlineStr">
        <is>
          <t>M06-P0027</t>
        </is>
      </c>
      <c r="B2484" s="4" t="inlineStr">
        <is>
          <t>M06</t>
        </is>
      </c>
      <c r="C2484" s="4" t="inlineStr">
        <is>
          <t>Homes For Intellectually Impaired Persons</t>
        </is>
      </c>
      <c r="D2484" s="4" t="inlineStr">
        <is>
          <t>FAQ</t>
        </is>
      </c>
      <c r="E2484" s="4" t="inlineStr"/>
      <c r="F2484" s="4" t="inlineStr">
        <is>
          <t>faqs.en.faqs[7]</t>
        </is>
      </c>
      <c r="G2484" s="4" t="inlineStr">
        <is>
          <t>M06@20261028-150cae35</t>
        </is>
      </c>
      <c r="H2484" s="4" t="n">
        <v>1</v>
      </c>
      <c r="I2484" s="4" t="n">
        <v>1</v>
      </c>
      <c r="J2484" s="4" t="inlineStr">
        <is>
          <t>Is It Mandatory For The Child To Be Mentally Deficient In Order To Be Eligible To Apply To This Scheme?
Yes, the applicant should be a Mentally Deficient Child (MDC).</t>
        </is>
      </c>
      <c r="K2484" s="4" t="inlineStr">
        <is>
          <t>MS-M06</t>
        </is>
      </c>
      <c r="L2484" s="6" t="n">
        <v>46323</v>
      </c>
      <c r="M2484" s="4" t="inlineStr">
        <is>
          <t>Approved</t>
        </is>
      </c>
      <c r="N2484" s="4" t="inlineStr">
        <is>
          <t>faq</t>
        </is>
      </c>
    </row>
    <row r="2485" ht="54" customHeight="1">
      <c r="A2485" s="8" t="inlineStr">
        <is>
          <t>M06-P0028</t>
        </is>
      </c>
      <c r="B2485" s="8" t="inlineStr">
        <is>
          <t>M06</t>
        </is>
      </c>
      <c r="C2485" s="8" t="inlineStr">
        <is>
          <t>Homes For Intellectually Impaired Persons</t>
        </is>
      </c>
      <c r="D2485" s="8" t="inlineStr">
        <is>
          <t>FAQ</t>
        </is>
      </c>
      <c r="E2485" s="8" t="inlineStr"/>
      <c r="F2485" s="8" t="inlineStr">
        <is>
          <t>faqs.en.faqs[8]</t>
        </is>
      </c>
      <c r="G2485" s="8" t="inlineStr">
        <is>
          <t>M06@20261028-150cae35</t>
        </is>
      </c>
      <c r="H2485" s="8" t="n">
        <v>1</v>
      </c>
      <c r="I2485" s="8" t="n">
        <v>1</v>
      </c>
      <c r="J2485" s="8" t="inlineStr">
        <is>
          <t>What Are The Objectives Of This Scheme?
In this scheme, Mentally Deficient Children who are in need of care and protection are admitted into shelter homes</t>
        </is>
      </c>
      <c r="K2485" s="8" t="inlineStr">
        <is>
          <t>MS-M06</t>
        </is>
      </c>
      <c r="L2485" s="9" t="n">
        <v>46323</v>
      </c>
      <c r="M2485" s="8" t="inlineStr">
        <is>
          <t>Approved</t>
        </is>
      </c>
      <c r="N2485" s="8" t="inlineStr">
        <is>
          <t>faq</t>
        </is>
      </c>
    </row>
    <row r="2486" ht="54" customHeight="1">
      <c r="A2486" s="4" t="inlineStr">
        <is>
          <t>M06-P0029</t>
        </is>
      </c>
      <c r="B2486" s="4" t="inlineStr">
        <is>
          <t>M06</t>
        </is>
      </c>
      <c r="C2486" s="4" t="inlineStr">
        <is>
          <t>Homes For Intellectually Impaired Persons</t>
        </is>
      </c>
      <c r="D2486" s="4" t="inlineStr">
        <is>
          <t>FAQ</t>
        </is>
      </c>
      <c r="E2486" s="4" t="inlineStr"/>
      <c r="F2486" s="4" t="inlineStr">
        <is>
          <t>faqs.en.faqs[9]</t>
        </is>
      </c>
      <c r="G2486" s="4" t="inlineStr">
        <is>
          <t>M06@20261028-150cae35</t>
        </is>
      </c>
      <c r="H2486" s="4" t="n">
        <v>1</v>
      </c>
      <c r="I2486" s="4" t="n">
        <v>1</v>
      </c>
      <c r="J2486" s="4" t="inlineStr">
        <is>
          <t>Who Are The Target Beneficiaries Of This Scheme?
The target beneficiaries of this scheme are the Mentally Deficient Children who are in need of care and protection.</t>
        </is>
      </c>
      <c r="K2486" s="4" t="inlineStr">
        <is>
          <t>MS-M06</t>
        </is>
      </c>
      <c r="L2486" s="6" t="n">
        <v>46323</v>
      </c>
      <c r="M2486" s="4" t="inlineStr">
        <is>
          <t>Approved</t>
        </is>
      </c>
      <c r="N2486" s="4" t="inlineStr">
        <is>
          <t>faq</t>
        </is>
      </c>
    </row>
    <row r="2487" ht="40" customHeight="1">
      <c r="A2487" s="8" t="inlineStr">
        <is>
          <t>M06-P0030</t>
        </is>
      </c>
      <c r="B2487" s="8" t="inlineStr">
        <is>
          <t>M06</t>
        </is>
      </c>
      <c r="C2487" s="8" t="inlineStr">
        <is>
          <t>Homes For Intellectually Impaired Persons</t>
        </is>
      </c>
      <c r="D2487" s="8" t="inlineStr">
        <is>
          <t>FAQ</t>
        </is>
      </c>
      <c r="E2487" s="8" t="inlineStr"/>
      <c r="F2487" s="8" t="inlineStr">
        <is>
          <t>faqs.en.faqs[10]</t>
        </is>
      </c>
      <c r="G2487" s="8" t="inlineStr">
        <is>
          <t>M06@20261028-150cae35</t>
        </is>
      </c>
      <c r="H2487" s="8" t="n">
        <v>1</v>
      </c>
      <c r="I2487" s="8" t="n">
        <v>1</v>
      </c>
      <c r="J2487" s="8" t="inlineStr">
        <is>
          <t>Are There Any Eligibility Criteria Regarding The Percentage Of Disability Of The Applicant?
Yes, the percentage of disability of the applicant should be 40% and above.</t>
        </is>
      </c>
      <c r="K2487" s="8" t="inlineStr">
        <is>
          <t>MS-M06</t>
        </is>
      </c>
      <c r="L2487" s="9" t="n">
        <v>46323</v>
      </c>
      <c r="M2487" s="8" t="inlineStr">
        <is>
          <t>Approved</t>
        </is>
      </c>
      <c r="N2487" s="8" t="inlineStr">
        <is>
          <t>faq</t>
        </is>
      </c>
    </row>
    <row r="2488" ht="68" customHeight="1">
      <c r="A2488" s="4" t="inlineStr">
        <is>
          <t>M06-P0031</t>
        </is>
      </c>
      <c r="B2488" s="4" t="inlineStr">
        <is>
          <t>M06</t>
        </is>
      </c>
      <c r="C2488" s="4" t="inlineStr">
        <is>
          <t>Homes For Intellectually Impaired Persons</t>
        </is>
      </c>
      <c r="D2488" s="4" t="inlineStr">
        <is>
          <t>FAQ</t>
        </is>
      </c>
      <c r="E2488" s="4" t="inlineStr"/>
      <c r="F2488" s="4" t="inlineStr">
        <is>
          <t>faqs.en.faqs[11]</t>
        </is>
      </c>
      <c r="G2488" s="4" t="inlineStr">
        <is>
          <t>M06@20261028-150cae35</t>
        </is>
      </c>
      <c r="H2488" s="4" t="n">
        <v>1</v>
      </c>
      <c r="I2488" s="4" t="n">
        <v>1</v>
      </c>
      <c r="J2488" s="4" t="inlineStr">
        <is>
          <t>Is The Residential Certificate / Domicile Certificate Of The State Of Maharashtra, A Mandatory Document For This Scheme?
Yes, the Residential Certificate / Domicile Certificate of the State of Maharashtra is a mandatory document for this scheme.</t>
        </is>
      </c>
      <c r="K2488" s="4" t="inlineStr">
        <is>
          <t>MS-M06</t>
        </is>
      </c>
      <c r="L2488" s="6" t="n">
        <v>46323</v>
      </c>
      <c r="M2488" s="4" t="inlineStr">
        <is>
          <t>Approved</t>
        </is>
      </c>
      <c r="N2488" s="4" t="inlineStr">
        <is>
          <t>faq</t>
        </is>
      </c>
    </row>
    <row r="2489" ht="40" customHeight="1">
      <c r="A2489" s="8" t="inlineStr">
        <is>
          <t>M06-P0032</t>
        </is>
      </c>
      <c r="B2489" s="8" t="inlineStr">
        <is>
          <t>M06</t>
        </is>
      </c>
      <c r="C2489" s="8" t="inlineStr">
        <is>
          <t>Homes For Intellectually Impaired Persons</t>
        </is>
      </c>
      <c r="D2489" s="8" t="inlineStr">
        <is>
          <t>FAQ</t>
        </is>
      </c>
      <c r="E2489" s="8" t="inlineStr"/>
      <c r="F2489" s="8" t="inlineStr">
        <is>
          <t>faqs.en.faqs[12]</t>
        </is>
      </c>
      <c r="G2489" s="8" t="inlineStr">
        <is>
          <t>M06@20261028-150cae35</t>
        </is>
      </c>
      <c r="H2489" s="8" t="n">
        <v>1</v>
      </c>
      <c r="I2489" s="8" t="n">
        <v>1</v>
      </c>
      <c r="J2489" s="8" t="inlineStr">
        <is>
          <t>What Is The Full Form Of SJSA?
The full form of SJSA is "Social Justice &amp; Special Assistance".</t>
        </is>
      </c>
      <c r="K2489" s="8" t="inlineStr">
        <is>
          <t>MS-M06</t>
        </is>
      </c>
      <c r="L2489" s="9" t="n">
        <v>46323</v>
      </c>
      <c r="M2489" s="8" t="inlineStr">
        <is>
          <t>Approved</t>
        </is>
      </c>
      <c r="N2489" s="8" t="inlineStr">
        <is>
          <t>faq</t>
        </is>
      </c>
    </row>
    <row r="2490" ht="40" customHeight="1">
      <c r="A2490" s="4" t="inlineStr">
        <is>
          <t>M06-P0033</t>
        </is>
      </c>
      <c r="B2490" s="4" t="inlineStr">
        <is>
          <t>M06</t>
        </is>
      </c>
      <c r="C2490" s="4" t="inlineStr">
        <is>
          <t>Homes For Intellectually Impaired Persons</t>
        </is>
      </c>
      <c r="D2490" s="4" t="inlineStr">
        <is>
          <t>FAQ</t>
        </is>
      </c>
      <c r="E2490" s="4" t="inlineStr"/>
      <c r="F2490" s="4" t="inlineStr">
        <is>
          <t>faqs.en.faqs[13]</t>
        </is>
      </c>
      <c r="G2490" s="4" t="inlineStr">
        <is>
          <t>M06@20261028-150cae35</t>
        </is>
      </c>
      <c r="H2490" s="4" t="n">
        <v>1</v>
      </c>
      <c r="I2490" s="4" t="n">
        <v>1</v>
      </c>
      <c r="J2490" s="4" t="inlineStr">
        <is>
          <t>Is This A State Funded Or A Centrally Funded Scheme?
This is a 100% State Funded scheme.</t>
        </is>
      </c>
      <c r="K2490" s="4" t="inlineStr">
        <is>
          <t>MS-M06</t>
        </is>
      </c>
      <c r="L2490" s="6" t="n">
        <v>46323</v>
      </c>
      <c r="M2490" s="4" t="inlineStr">
        <is>
          <t>Approved</t>
        </is>
      </c>
      <c r="N2490" s="4" t="inlineStr">
        <is>
          <t>faq</t>
        </is>
      </c>
    </row>
    <row r="2491" ht="40" customHeight="1">
      <c r="A2491" s="8" t="inlineStr">
        <is>
          <t>M06-P0034</t>
        </is>
      </c>
      <c r="B2491" s="8" t="inlineStr">
        <is>
          <t>M06</t>
        </is>
      </c>
      <c r="C2491" s="8" t="inlineStr">
        <is>
          <t>Homes For Intellectually Impaired Persons</t>
        </is>
      </c>
      <c r="D2491" s="8" t="inlineStr">
        <is>
          <t>FAQ</t>
        </is>
      </c>
      <c r="E2491" s="8" t="inlineStr"/>
      <c r="F2491" s="8" t="inlineStr">
        <is>
          <t>faqs.en.faqs[14]</t>
        </is>
      </c>
      <c r="G2491" s="8" t="inlineStr">
        <is>
          <t>M06@20261028-150cae35</t>
        </is>
      </c>
      <c r="H2491" s="8" t="n">
        <v>1</v>
      </c>
      <c r="I2491" s="8" t="n">
        <v>1</v>
      </c>
      <c r="J2491" s="8" t="inlineStr">
        <is>
          <t>Is There Any Application Fee?
No, the entire application process is entirely free of cost.</t>
        </is>
      </c>
      <c r="K2491" s="8" t="inlineStr">
        <is>
          <t>MS-M06</t>
        </is>
      </c>
      <c r="L2491" s="9" t="n">
        <v>46323</v>
      </c>
      <c r="M2491" s="8" t="inlineStr">
        <is>
          <t>Approved</t>
        </is>
      </c>
      <c r="N2491" s="8" t="inlineStr">
        <is>
          <t>faq</t>
        </is>
      </c>
    </row>
    <row r="2492" ht="40" customHeight="1">
      <c r="A2492" s="4" t="inlineStr">
        <is>
          <t>M06-P0035</t>
        </is>
      </c>
      <c r="B2492" s="4" t="inlineStr">
        <is>
          <t>M06</t>
        </is>
      </c>
      <c r="C2492" s="4" t="inlineStr">
        <is>
          <t>Homes For Intellectually Impaired Persons</t>
        </is>
      </c>
      <c r="D2492" s="4" t="inlineStr">
        <is>
          <t>FAQ</t>
        </is>
      </c>
      <c r="E2492" s="4" t="inlineStr"/>
      <c r="F2492" s="4" t="inlineStr">
        <is>
          <t>faqs.en.faqs[15]</t>
        </is>
      </c>
      <c r="G2492" s="4" t="inlineStr">
        <is>
          <t>M06@20261028-150cae35</t>
        </is>
      </c>
      <c r="H2492" s="4" t="n">
        <v>1</v>
      </c>
      <c r="I2492" s="4" t="n">
        <v>1</v>
      </c>
      <c r="J2492" s="4" t="inlineStr">
        <is>
          <t>Is There Any Compensation For The Delay In The Disbursal Of The Scheme Benefits?
No, there is no such mention in the scheme guidelines.</t>
        </is>
      </c>
      <c r="K2492" s="4" t="inlineStr">
        <is>
          <t>MS-M06</t>
        </is>
      </c>
      <c r="L2492" s="6" t="n">
        <v>46323</v>
      </c>
      <c r="M2492" s="4" t="inlineStr">
        <is>
          <t>Approved</t>
        </is>
      </c>
      <c r="N2492" s="4" t="inlineStr">
        <is>
          <t>faq</t>
        </is>
      </c>
    </row>
    <row r="2493" ht="40" customHeight="1">
      <c r="A2493" s="8" t="inlineStr">
        <is>
          <t>M06-P0036</t>
        </is>
      </c>
      <c r="B2493" s="8" t="inlineStr">
        <is>
          <t>M06</t>
        </is>
      </c>
      <c r="C2493" s="8" t="inlineStr">
        <is>
          <t>Homes For Intellectually Impaired Persons</t>
        </is>
      </c>
      <c r="D2493" s="8" t="inlineStr">
        <is>
          <t>FAQ</t>
        </is>
      </c>
      <c r="E2493" s="8" t="inlineStr"/>
      <c r="F2493" s="8" t="inlineStr">
        <is>
          <t>faqs.en.faqs[16]</t>
        </is>
      </c>
      <c r="G2493" s="8" t="inlineStr">
        <is>
          <t>M06@20261028-150cae35</t>
        </is>
      </c>
      <c r="H2493" s="8" t="n">
        <v>1</v>
      </c>
      <c r="I2493" s="8" t="n">
        <v>1</v>
      </c>
      <c r="J2493" s="8" t="inlineStr">
        <is>
          <t>How Do I Know If A Field In The Application Form Is Mandatory?
The mandatory fields have an asterisk (*) mark at the end.</t>
        </is>
      </c>
      <c r="K2493" s="8" t="inlineStr">
        <is>
          <t>MS-M06</t>
        </is>
      </c>
      <c r="L2493" s="9" t="n">
        <v>46323</v>
      </c>
      <c r="M2493" s="8" t="inlineStr">
        <is>
          <t>Approved</t>
        </is>
      </c>
      <c r="N2493" s="8" t="inlineStr">
        <is>
          <t>faq</t>
        </is>
      </c>
    </row>
    <row r="2494" ht="68" customHeight="1">
      <c r="A2494" s="4" t="inlineStr">
        <is>
          <t>M06-P0037</t>
        </is>
      </c>
      <c r="B2494" s="4" t="inlineStr">
        <is>
          <t>M06</t>
        </is>
      </c>
      <c r="C2494" s="4" t="inlineStr">
        <is>
          <t>Homes For Intellectually Impaired Persons</t>
        </is>
      </c>
      <c r="D2494" s="4" t="inlineStr">
        <is>
          <t>FAQ</t>
        </is>
      </c>
      <c r="E2494" s="4" t="inlineStr"/>
      <c r="F2494" s="4" t="inlineStr">
        <is>
          <t>faqs.en.faqs[17]</t>
        </is>
      </c>
      <c r="G2494" s="4" t="inlineStr">
        <is>
          <t>M06@20261028-150cae35</t>
        </is>
      </c>
      <c r="H2494" s="4" t="n">
        <v>1</v>
      </c>
      <c r="I2494" s="4" t="n">
        <v>1</v>
      </c>
      <c r="J2494" s="4" t="inlineStr">
        <is>
          <t>Can Applicants From The Neighboring States Gujarat, Madhya Pradesh, Chhattisgarh, Telangana, Etc Also Apply To This Scheme?
No, only the citizens who are permanent residents of the state of Maharashtra are eligible to apply.</t>
        </is>
      </c>
      <c r="K2494" s="4" t="inlineStr">
        <is>
          <t>MS-M06</t>
        </is>
      </c>
      <c r="L2494" s="6" t="n">
        <v>46323</v>
      </c>
      <c r="M2494" s="4" t="inlineStr">
        <is>
          <t>Approved</t>
        </is>
      </c>
      <c r="N2494" s="4" t="inlineStr">
        <is>
          <t>faq</t>
        </is>
      </c>
    </row>
    <row r="2495" ht="54" customHeight="1">
      <c r="A2495" s="8" t="inlineStr">
        <is>
          <t>M06-P0038</t>
        </is>
      </c>
      <c r="B2495" s="8" t="inlineStr">
        <is>
          <t>M06</t>
        </is>
      </c>
      <c r="C2495" s="8" t="inlineStr">
        <is>
          <t>Homes For Intellectually Impaired Persons</t>
        </is>
      </c>
      <c r="D2495" s="8" t="inlineStr">
        <is>
          <t>FAQ</t>
        </is>
      </c>
      <c r="E2495" s="8" t="inlineStr"/>
      <c r="F2495" s="8" t="inlineStr">
        <is>
          <t>faqs.en.faqs[18]</t>
        </is>
      </c>
      <c r="G2495" s="8" t="inlineStr">
        <is>
          <t>M06@20261028-150cae35</t>
        </is>
      </c>
      <c r="H2495" s="8" t="n">
        <v>1</v>
      </c>
      <c r="I2495" s="8" t="n">
        <v>1</v>
      </c>
      <c r="J2495" s="8" t="inlineStr">
        <is>
          <t>Where Can I Find The URL To The Website Of The Dept. Of Social Justice &amp; Special Assistance?
The URL to the official website of the Department of Social Justice &amp; Special Assistance, Government of Maharashtra is - https://sjsa.maharashtra.gov.in/</t>
        </is>
      </c>
      <c r="K2495" s="8" t="inlineStr">
        <is>
          <t>MS-M06</t>
        </is>
      </c>
      <c r="L2495" s="9" t="n">
        <v>46323</v>
      </c>
      <c r="M2495" s="8" t="inlineStr">
        <is>
          <t>Approved</t>
        </is>
      </c>
      <c r="N2495" s="8" t="inlineStr">
        <is>
          <t>faq</t>
        </is>
      </c>
    </row>
    <row r="2496" ht="54" customHeight="1">
      <c r="A2496" s="4" t="inlineStr">
        <is>
          <t>M06-P0039</t>
        </is>
      </c>
      <c r="B2496" s="4" t="inlineStr">
        <is>
          <t>M06</t>
        </is>
      </c>
      <c r="C2496" s="4" t="inlineStr">
        <is>
          <t>Homes For Intellectually Impaired Persons</t>
        </is>
      </c>
      <c r="D2496" s="4" t="inlineStr">
        <is>
          <t>FAQ</t>
        </is>
      </c>
      <c r="E2496" s="4" t="inlineStr"/>
      <c r="F2496" s="4" t="inlineStr">
        <is>
          <t>faqs.en.faqs[19]</t>
        </is>
      </c>
      <c r="G2496" s="4" t="inlineStr">
        <is>
          <t>M06@20261028-150cae35</t>
        </is>
      </c>
      <c r="H2496" s="4" t="n">
        <v>1</v>
      </c>
      <c r="I2496" s="4" t="n">
        <v>1</v>
      </c>
      <c r="J2496" s="4" t="inlineStr">
        <is>
          <t>Where Can I Find The Link To The Scheme Guidelines?
The Scheme Guidelines can be found at this link - https://sjsa.maharashtra.gov.in/en/scheme-category/disability-welfare</t>
        </is>
      </c>
      <c r="K2496" s="4" t="inlineStr">
        <is>
          <t>MS-M06</t>
        </is>
      </c>
      <c r="L2496" s="6" t="n">
        <v>46323</v>
      </c>
      <c r="M2496" s="4" t="inlineStr">
        <is>
          <t>Approved</t>
        </is>
      </c>
      <c r="N2496" s="4" t="inlineStr">
        <is>
          <t>faq</t>
        </is>
      </c>
    </row>
    <row r="2497" ht="68" customHeight="1">
      <c r="A2497" s="8" t="inlineStr">
        <is>
          <t>M06-P0040</t>
        </is>
      </c>
      <c r="B2497" s="8" t="inlineStr">
        <is>
          <t>M06</t>
        </is>
      </c>
      <c r="C2497" s="8" t="inlineStr">
        <is>
          <t>Homes For Intellectually Impaired Persons</t>
        </is>
      </c>
      <c r="D2497" s="8" t="inlineStr">
        <is>
          <t>FAQ</t>
        </is>
      </c>
      <c r="E2497" s="8" t="inlineStr"/>
      <c r="F2497" s="8" t="inlineStr">
        <is>
          <t>faqs.en.faqs[20]</t>
        </is>
      </c>
      <c r="G2497" s="8" t="inlineStr">
        <is>
          <t>M06@20261028-150cae35</t>
        </is>
      </c>
      <c r="H2497" s="8" t="n">
        <v>1</v>
      </c>
      <c r="I2497" s="8" t="n">
        <v>1</v>
      </c>
      <c r="J2497" s="8"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2497" s="8" t="inlineStr">
        <is>
          <t>MS-M06</t>
        </is>
      </c>
      <c r="L2497" s="9" t="n">
        <v>46323</v>
      </c>
      <c r="M2497" s="8" t="inlineStr">
        <is>
          <t>Approved</t>
        </is>
      </c>
      <c r="N2497" s="8" t="inlineStr">
        <is>
          <t>faq</t>
        </is>
      </c>
    </row>
    <row r="2498" ht="54" customHeight="1">
      <c r="A2498" s="4" t="inlineStr">
        <is>
          <t>M06-P0041</t>
        </is>
      </c>
      <c r="B2498" s="4" t="inlineStr">
        <is>
          <t>M06</t>
        </is>
      </c>
      <c r="C2498" s="4" t="inlineStr">
        <is>
          <t>Homes For Intellectually Impaired Persons</t>
        </is>
      </c>
      <c r="D2498" s="4" t="inlineStr">
        <is>
          <t>FAQ</t>
        </is>
      </c>
      <c r="E2498" s="4" t="inlineStr"/>
      <c r="F2498" s="4" t="inlineStr">
        <is>
          <t>faqs.en.faqs[21]</t>
        </is>
      </c>
      <c r="G2498" s="4" t="inlineStr">
        <is>
          <t>M06@20261028-150cae35</t>
        </is>
      </c>
      <c r="H2498" s="4" t="n">
        <v>1</v>
      </c>
      <c r="I2498" s="4" t="n">
        <v>1</v>
      </c>
      <c r="J2498" s="4" t="inlineStr">
        <is>
          <t>Where Can I Find The Addresses Of The District Social Welfare Offices?
The addresses of the District Social Welfare Offices can be found at - https://sjsa.maharashtra.gov.in/en/contacts</t>
        </is>
      </c>
      <c r="K2498" s="4" t="inlineStr">
        <is>
          <t>MS-M06</t>
        </is>
      </c>
      <c r="L2498" s="6" t="n">
        <v>46323</v>
      </c>
      <c r="M2498" s="4" t="inlineStr">
        <is>
          <t>Approved</t>
        </is>
      </c>
      <c r="N2498" s="4" t="inlineStr">
        <is>
          <t>faq</t>
        </is>
      </c>
    </row>
    <row r="2499" ht="54" customHeight="1">
      <c r="A2499" s="8" t="inlineStr">
        <is>
          <t>M06-P0042</t>
        </is>
      </c>
      <c r="B2499" s="8" t="inlineStr">
        <is>
          <t>M06</t>
        </is>
      </c>
      <c r="C2499" s="8" t="inlineStr">
        <is>
          <t>Homes For Intellectually Impaired Persons</t>
        </is>
      </c>
      <c r="D2499" s="8" t="inlineStr">
        <is>
          <t>FAQ</t>
        </is>
      </c>
      <c r="E2499" s="8" t="inlineStr"/>
      <c r="F2499" s="8" t="inlineStr">
        <is>
          <t>faqs.en.faqs[22]</t>
        </is>
      </c>
      <c r="G2499" s="8" t="inlineStr">
        <is>
          <t>M06@20261028-150cae35</t>
        </is>
      </c>
      <c r="H2499" s="8" t="n">
        <v>1</v>
      </c>
      <c r="I2499" s="8" t="n">
        <v>1</v>
      </c>
      <c r="J2499" s="8" t="inlineStr">
        <is>
          <t>Where Can I Post My Grievances Related To This Scheme?
You can post your grievances at the Grievance Redressal Portal by the Govt. of Maharashtra: https://grievances.maharashtra.gov.in/en</t>
        </is>
      </c>
      <c r="K2499" s="8" t="inlineStr">
        <is>
          <t>MS-M06</t>
        </is>
      </c>
      <c r="L2499" s="9" t="n">
        <v>46323</v>
      </c>
      <c r="M2499" s="8" t="inlineStr">
        <is>
          <t>Approved</t>
        </is>
      </c>
      <c r="N2499" s="8" t="inlineStr">
        <is>
          <t>faq</t>
        </is>
      </c>
    </row>
    <row r="2500" ht="40" customHeight="1">
      <c r="A2500" s="4" t="inlineStr">
        <is>
          <t>M06-P0043</t>
        </is>
      </c>
      <c r="B2500" s="4" t="inlineStr">
        <is>
          <t>M06</t>
        </is>
      </c>
      <c r="C2500" s="4" t="inlineStr">
        <is>
          <t>Homes For Intellectually Impaired Persons</t>
        </is>
      </c>
      <c r="D2500" s="4" t="inlineStr">
        <is>
          <t>FAQ</t>
        </is>
      </c>
      <c r="E2500" s="4" t="inlineStr"/>
      <c r="F2500" s="4" t="inlineStr">
        <is>
          <t>faqs.en.faqs[23]</t>
        </is>
      </c>
      <c r="G2500" s="4" t="inlineStr">
        <is>
          <t>M06@20261028-150cae35</t>
        </is>
      </c>
      <c r="H2500" s="4" t="n">
        <v>1</v>
      </c>
      <c r="I2500" s="4" t="n">
        <v>1</v>
      </c>
      <c r="J2500" s="4" t="inlineStr">
        <is>
          <t>Is There An Income-Related Criterion For This Scheme?
No, there is no income-related criterion for this scheme.</t>
        </is>
      </c>
      <c r="K2500" s="4" t="inlineStr">
        <is>
          <t>MS-M06</t>
        </is>
      </c>
      <c r="L2500" s="6" t="n">
        <v>46323</v>
      </c>
      <c r="M2500" s="4" t="inlineStr">
        <is>
          <t>Approved</t>
        </is>
      </c>
      <c r="N2500" s="4" t="inlineStr">
        <is>
          <t>faq</t>
        </is>
      </c>
    </row>
    <row r="2501" ht="54" customHeight="1">
      <c r="A2501" s="8" t="inlineStr">
        <is>
          <t>M06-P0044</t>
        </is>
      </c>
      <c r="B2501" s="8" t="inlineStr">
        <is>
          <t>M06</t>
        </is>
      </c>
      <c r="C2501" s="8" t="inlineStr">
        <is>
          <t>Homes For Intellectually Impaired Persons</t>
        </is>
      </c>
      <c r="D2501" s="8" t="inlineStr">
        <is>
          <t>FAQ</t>
        </is>
      </c>
      <c r="E2501" s="8" t="inlineStr"/>
      <c r="F2501" s="8" t="inlineStr">
        <is>
          <t>faqs.en.faqs[24]</t>
        </is>
      </c>
      <c r="G2501" s="8" t="inlineStr">
        <is>
          <t>M06@20261028-150cae35</t>
        </is>
      </c>
      <c r="H2501" s="8" t="n">
        <v>1</v>
      </c>
      <c r="I2501" s="8" t="n">
        <v>1</v>
      </c>
      <c r="J2501" s="8" t="inlineStr">
        <is>
          <t>Where Can I Find The Format Of The Application Form? Is It Available Online?
You need to visit the District Social Welfare Office and request a hard copy of the format of the application form for the scheme from the concerned authority.</t>
        </is>
      </c>
      <c r="K2501" s="8" t="inlineStr">
        <is>
          <t>MS-M06</t>
        </is>
      </c>
      <c r="L2501" s="9" t="n">
        <v>46323</v>
      </c>
      <c r="M2501" s="8" t="inlineStr">
        <is>
          <t>Approved</t>
        </is>
      </c>
      <c r="N2501" s="8" t="inlineStr">
        <is>
          <t>faq</t>
        </is>
      </c>
    </row>
    <row r="2502" ht="152" customHeight="1">
      <c r="A2502" s="4" t="inlineStr">
        <is>
          <t>M07-P0001</t>
        </is>
      </c>
      <c r="B2502" s="4" t="inlineStr">
        <is>
          <t>M07</t>
        </is>
      </c>
      <c r="C2502" s="4" t="inlineStr">
        <is>
          <t>LIDCOM Gattai Stall Scheme</t>
        </is>
      </c>
      <c r="D2502" s="4" t="inlineStr">
        <is>
          <t>Details</t>
        </is>
      </c>
      <c r="E2502" s="4" t="inlineStr"/>
      <c r="F2502" s="4" t="inlineStr">
        <is>
          <t>en.schemeContent.detailedDescription[0]</t>
        </is>
      </c>
      <c r="G2502" s="4" t="inlineStr">
        <is>
          <t>M07@20261028-8461c67b</t>
        </is>
      </c>
      <c r="H2502" s="4" t="n">
        <v>1</v>
      </c>
      <c r="I2502" s="4" t="n">
        <v>1</v>
      </c>
      <c r="J2502" s="4" t="inlineStr">
        <is>
          <t>Being implemented particularly for the (Scheduled Caste) Charmakar Community, the "Gattai Stall Scheme" is a scheme by the Leather Industries Development Corporation (LIDCOM), Govt. of Maharashtra. This scheme is being implemented for the Roadsides Cobblers. The scheme provides a 100% subsidy for the erection of a Tin Stall of Size 4’ x 5’ x 6.5’ costing ₹16,367/- per stall and ₹500/- incidental charges.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is>
      </c>
      <c r="K2502" s="4" t="inlineStr">
        <is>
          <t>MS-M07</t>
        </is>
      </c>
      <c r="L2502" s="6" t="n">
        <v>46323</v>
      </c>
      <c r="M2502" s="4" t="inlineStr">
        <is>
          <t>Approved</t>
        </is>
      </c>
      <c r="N2502" s="4" t="inlineStr">
        <is>
          <t>paragraph</t>
        </is>
      </c>
    </row>
    <row r="2503" ht="40" customHeight="1">
      <c r="A2503" s="8" t="inlineStr">
        <is>
          <t>M07-P0002</t>
        </is>
      </c>
      <c r="B2503" s="8" t="inlineStr">
        <is>
          <t>M07</t>
        </is>
      </c>
      <c r="C2503" s="8" t="inlineStr">
        <is>
          <t>LIDCOM Gattai Stall Scheme</t>
        </is>
      </c>
      <c r="D2503" s="8" t="inlineStr">
        <is>
          <t>Benefits</t>
        </is>
      </c>
      <c r="E2503" s="8" t="inlineStr"/>
      <c r="F2503" s="8" t="inlineStr">
        <is>
          <t>en.schemeContent.benefits[0].children[0]</t>
        </is>
      </c>
      <c r="G2503" s="8" t="inlineStr">
        <is>
          <t>M07@20261028-8461c67b</t>
        </is>
      </c>
      <c r="H2503" s="8" t="n">
        <v>1</v>
      </c>
      <c r="I2503" s="8" t="n">
        <v>1</v>
      </c>
      <c r="J2503" s="8" t="inlineStr">
        <is>
          <t>The scheme provides a 100% subsidy for the erection of a Tin Stall of Size 4’ x 5’ x 6.5’ costing ₹16,367/- per stall and ₹500/- incidental charges.</t>
        </is>
      </c>
      <c r="K2503" s="8" t="inlineStr">
        <is>
          <t>MS-M07</t>
        </is>
      </c>
      <c r="L2503" s="9" t="n">
        <v>46323</v>
      </c>
      <c r="M2503" s="8" t="inlineStr">
        <is>
          <t>Approved</t>
        </is>
      </c>
      <c r="N2503" s="8" t="inlineStr">
        <is>
          <t>list_item</t>
        </is>
      </c>
    </row>
    <row r="2504" ht="40" customHeight="1">
      <c r="A2504" s="4" t="inlineStr">
        <is>
          <t>M07-P0003</t>
        </is>
      </c>
      <c r="B2504" s="4" t="inlineStr">
        <is>
          <t>M07</t>
        </is>
      </c>
      <c r="C2504" s="4" t="inlineStr">
        <is>
          <t>LIDCOM Gattai Stall Scheme</t>
        </is>
      </c>
      <c r="D2504" s="4" t="inlineStr">
        <is>
          <t>Eligibility</t>
        </is>
      </c>
      <c r="E2504" s="4" t="inlineStr"/>
      <c r="F2504" s="4" t="inlineStr">
        <is>
          <t>en.eligibilityCriteria.eligibilityDescription[0].children[0]</t>
        </is>
      </c>
      <c r="G2504" s="4" t="inlineStr">
        <is>
          <t>M07@20261028-8461c67b</t>
        </is>
      </c>
      <c r="H2504" s="4" t="n">
        <v>1</v>
      </c>
      <c r="I2504" s="4" t="n">
        <v>1</v>
      </c>
      <c r="J2504" s="4" t="inlineStr">
        <is>
          <t>The applicant should be a citizen of India.</t>
        </is>
      </c>
      <c r="K2504" s="4" t="inlineStr">
        <is>
          <t>MS-M07</t>
        </is>
      </c>
      <c r="L2504" s="6" t="n">
        <v>46323</v>
      </c>
      <c r="M2504" s="4" t="inlineStr">
        <is>
          <t>Approved</t>
        </is>
      </c>
      <c r="N2504" s="4" t="inlineStr">
        <is>
          <t>list_item</t>
        </is>
      </c>
    </row>
    <row r="2505" ht="40" customHeight="1">
      <c r="A2505" s="8" t="inlineStr">
        <is>
          <t>M07-P0004</t>
        </is>
      </c>
      <c r="B2505" s="8" t="inlineStr">
        <is>
          <t>M07</t>
        </is>
      </c>
      <c r="C2505" s="8" t="inlineStr">
        <is>
          <t>LIDCOM Gattai Stall Scheme</t>
        </is>
      </c>
      <c r="D2505" s="8" t="inlineStr">
        <is>
          <t>Eligibility</t>
        </is>
      </c>
      <c r="E2505" s="8" t="inlineStr"/>
      <c r="F2505" s="8" t="inlineStr">
        <is>
          <t>en.eligibilityCriteria.eligibilityDescription[0].children[1]</t>
        </is>
      </c>
      <c r="G2505" s="8" t="inlineStr">
        <is>
          <t>M07@20261028-8461c67b</t>
        </is>
      </c>
      <c r="H2505" s="8" t="n">
        <v>1</v>
      </c>
      <c r="I2505" s="8" t="n">
        <v>1</v>
      </c>
      <c r="J2505" s="8" t="inlineStr">
        <is>
          <t>The applicant should be a Roadside Cobbler identified by the Gram Panchayat.</t>
        </is>
      </c>
      <c r="K2505" s="8" t="inlineStr">
        <is>
          <t>MS-M07</t>
        </is>
      </c>
      <c r="L2505" s="9" t="n">
        <v>46323</v>
      </c>
      <c r="M2505" s="8" t="inlineStr">
        <is>
          <t>Approved</t>
        </is>
      </c>
      <c r="N2505" s="8" t="inlineStr">
        <is>
          <t>list_item</t>
        </is>
      </c>
    </row>
    <row r="2506" ht="40" customHeight="1">
      <c r="A2506" s="4" t="inlineStr">
        <is>
          <t>M07-P0005</t>
        </is>
      </c>
      <c r="B2506" s="4" t="inlineStr">
        <is>
          <t>M07</t>
        </is>
      </c>
      <c r="C2506" s="4" t="inlineStr">
        <is>
          <t>LIDCOM Gattai Stall Scheme</t>
        </is>
      </c>
      <c r="D2506" s="4" t="inlineStr">
        <is>
          <t>Eligibility</t>
        </is>
      </c>
      <c r="E2506" s="4" t="inlineStr"/>
      <c r="F2506" s="4" t="inlineStr">
        <is>
          <t>en.eligibilityCriteria.eligibilityDescription[0].children[2]</t>
        </is>
      </c>
      <c r="G2506" s="4" t="inlineStr">
        <is>
          <t>M07@20261028-8461c67b</t>
        </is>
      </c>
      <c r="H2506" s="4" t="n">
        <v>1</v>
      </c>
      <c r="I2506" s="4" t="n">
        <v>1</v>
      </c>
      <c r="J2506" s="4" t="inlineStr">
        <is>
          <t>The applicant should be a permanent resident of Maharashtra State.</t>
        </is>
      </c>
      <c r="K2506" s="4" t="inlineStr">
        <is>
          <t>MS-M07</t>
        </is>
      </c>
      <c r="L2506" s="6" t="n">
        <v>46323</v>
      </c>
      <c r="M2506" s="4" t="inlineStr">
        <is>
          <t>Approved</t>
        </is>
      </c>
      <c r="N2506" s="4" t="inlineStr">
        <is>
          <t>list_item</t>
        </is>
      </c>
    </row>
    <row r="2507" ht="40" customHeight="1">
      <c r="A2507" s="8" t="inlineStr">
        <is>
          <t>M07-P0006</t>
        </is>
      </c>
      <c r="B2507" s="8" t="inlineStr">
        <is>
          <t>M07</t>
        </is>
      </c>
      <c r="C2507" s="8" t="inlineStr">
        <is>
          <t>LIDCOM Gattai Stall Scheme</t>
        </is>
      </c>
      <c r="D2507" s="8" t="inlineStr">
        <is>
          <t>Eligibility</t>
        </is>
      </c>
      <c r="E2507" s="8" t="inlineStr"/>
      <c r="F2507" s="8" t="inlineStr">
        <is>
          <t>en.eligibilityCriteria.eligibilityDescription[0].children[3]</t>
        </is>
      </c>
      <c r="G2507" s="8" t="inlineStr">
        <is>
          <t>M07@20261028-8461c67b</t>
        </is>
      </c>
      <c r="H2507" s="8" t="n">
        <v>1</v>
      </c>
      <c r="I2507" s="8" t="n">
        <v>1</v>
      </c>
      <c r="J2507" s="8" t="inlineStr">
        <is>
          <t>The applicant should be in the 18 to 50 years age group.</t>
        </is>
      </c>
      <c r="K2507" s="8" t="inlineStr">
        <is>
          <t>MS-M07</t>
        </is>
      </c>
      <c r="L2507" s="9" t="n">
        <v>46323</v>
      </c>
      <c r="M2507" s="8" t="inlineStr">
        <is>
          <t>Approved</t>
        </is>
      </c>
      <c r="N2507" s="8" t="inlineStr">
        <is>
          <t>list_item</t>
        </is>
      </c>
    </row>
    <row r="2508" ht="40" customHeight="1">
      <c r="A2508" s="4" t="inlineStr">
        <is>
          <t>M07-P0007</t>
        </is>
      </c>
      <c r="B2508" s="4" t="inlineStr">
        <is>
          <t>M07</t>
        </is>
      </c>
      <c r="C2508" s="4" t="inlineStr">
        <is>
          <t>LIDCOM Gattai Stall Scheme</t>
        </is>
      </c>
      <c r="D2508" s="4" t="inlineStr">
        <is>
          <t>Eligibility</t>
        </is>
      </c>
      <c r="E2508" s="4" t="inlineStr"/>
      <c r="F2508" s="4" t="inlineStr">
        <is>
          <t>en.eligibilityCriteria.eligibilityDescription[0].children[4]</t>
        </is>
      </c>
      <c r="G2508" s="4" t="inlineStr">
        <is>
          <t>M07@20261028-8461c67b</t>
        </is>
      </c>
      <c r="H2508" s="4" t="n">
        <v>1</v>
      </c>
      <c r="I2508" s="4" t="n">
        <v>1</v>
      </c>
      <c r="J2508" s="4" t="inlineStr">
        <is>
          <t>The applicant should be from Charmakar Community only (Dhor, Chambhar, Holar, Mochi, etc.).</t>
        </is>
      </c>
      <c r="K2508" s="4" t="inlineStr">
        <is>
          <t>MS-M07</t>
        </is>
      </c>
      <c r="L2508" s="6" t="n">
        <v>46323</v>
      </c>
      <c r="M2508" s="4" t="inlineStr">
        <is>
          <t>Approved</t>
        </is>
      </c>
      <c r="N2508" s="4" t="inlineStr">
        <is>
          <t>list_item</t>
        </is>
      </c>
    </row>
    <row r="2509" ht="40" customHeight="1">
      <c r="A2509" s="8" t="inlineStr">
        <is>
          <t>M07-P0008</t>
        </is>
      </c>
      <c r="B2509" s="8" t="inlineStr">
        <is>
          <t>M07</t>
        </is>
      </c>
      <c r="C2509" s="8" t="inlineStr">
        <is>
          <t>LIDCOM Gattai Stall Scheme</t>
        </is>
      </c>
      <c r="D2509" s="8" t="inlineStr">
        <is>
          <t>Eligibility</t>
        </is>
      </c>
      <c r="E2509" s="8" t="inlineStr"/>
      <c r="F2509" s="8" t="inlineStr">
        <is>
          <t>en.eligibilityCriteria.eligibilityDescription[0].children[5]</t>
        </is>
      </c>
      <c r="G2509" s="8" t="inlineStr">
        <is>
          <t>M07@20261028-8461c67b</t>
        </is>
      </c>
      <c r="H2509" s="8" t="n">
        <v>1</v>
      </c>
      <c r="I2509" s="8" t="n">
        <v>1</v>
      </c>
      <c r="J2509" s="8" t="inlineStr">
        <is>
          <t>The annual income of the family of the applicant should be less than or equal to ₹1,00,000/-.</t>
        </is>
      </c>
      <c r="K2509" s="8" t="inlineStr">
        <is>
          <t>MS-M07</t>
        </is>
      </c>
      <c r="L2509" s="9" t="n">
        <v>46323</v>
      </c>
      <c r="M2509" s="8" t="inlineStr">
        <is>
          <t>Approved</t>
        </is>
      </c>
      <c r="N2509" s="8" t="inlineStr">
        <is>
          <t>list_item</t>
        </is>
      </c>
    </row>
    <row r="2510" ht="40" customHeight="1">
      <c r="A2510" s="4" t="inlineStr">
        <is>
          <t>M07-P0009</t>
        </is>
      </c>
      <c r="B2510" s="4" t="inlineStr">
        <is>
          <t>M07</t>
        </is>
      </c>
      <c r="C2510" s="4" t="inlineStr">
        <is>
          <t>LIDCOM Gattai Stall Scheme</t>
        </is>
      </c>
      <c r="D2510" s="4" t="inlineStr">
        <is>
          <t>Eligibility</t>
        </is>
      </c>
      <c r="E2510" s="4" t="inlineStr"/>
      <c r="F2510" s="4" t="inlineStr">
        <is>
          <t>en.eligibilityCriteria.eligibilityDescription[0].children[6]</t>
        </is>
      </c>
      <c r="G2510" s="4" t="inlineStr">
        <is>
          <t>M07@20261028-8461c67b</t>
        </is>
      </c>
      <c r="H2510" s="4" t="n">
        <v>1</v>
      </c>
      <c r="I2510" s="4" t="n">
        <v>1</v>
      </c>
      <c r="J2510" s="4" t="inlineStr">
        <is>
          <t>The applicant should have knowledge of the business for which he has applied for the loan.</t>
        </is>
      </c>
      <c r="K2510" s="4" t="inlineStr">
        <is>
          <t>MS-M07</t>
        </is>
      </c>
      <c r="L2510" s="6" t="n">
        <v>46323</v>
      </c>
      <c r="M2510" s="4" t="inlineStr">
        <is>
          <t>Approved</t>
        </is>
      </c>
      <c r="N2510" s="4" t="inlineStr">
        <is>
          <t>list_item</t>
        </is>
      </c>
    </row>
    <row r="2511" ht="40" customHeight="1">
      <c r="A2511" s="8" t="inlineStr">
        <is>
          <t>M07-P0010</t>
        </is>
      </c>
      <c r="B2511" s="8" t="inlineStr">
        <is>
          <t>M07</t>
        </is>
      </c>
      <c r="C2511" s="8" t="inlineStr">
        <is>
          <t>LIDCOM Gattai Stall Scheme</t>
        </is>
      </c>
      <c r="D2511" s="8" t="inlineStr">
        <is>
          <t>Applicant documents</t>
        </is>
      </c>
      <c r="E2511" s="8" t="inlineStr"/>
      <c r="F2511" s="8" t="inlineStr">
        <is>
          <t>documents.en.documents_required[0].children[0]</t>
        </is>
      </c>
      <c r="G2511" s="8" t="inlineStr">
        <is>
          <t>M07@20261028-8461c67b</t>
        </is>
      </c>
      <c r="H2511" s="8" t="n">
        <v>1</v>
      </c>
      <c r="I2511" s="8" t="n">
        <v>1</v>
      </c>
      <c r="J2511" s="8" t="inlineStr">
        <is>
          <t>Aadhaar Card.</t>
        </is>
      </c>
      <c r="K2511" s="8" t="inlineStr">
        <is>
          <t>MS-M07</t>
        </is>
      </c>
      <c r="L2511" s="9" t="n">
        <v>46323</v>
      </c>
      <c r="M2511" s="8" t="inlineStr">
        <is>
          <t>Approved</t>
        </is>
      </c>
      <c r="N2511" s="8" t="inlineStr">
        <is>
          <t>list_item</t>
        </is>
      </c>
    </row>
    <row r="2512" ht="40" customHeight="1">
      <c r="A2512" s="4" t="inlineStr">
        <is>
          <t>M07-P0011</t>
        </is>
      </c>
      <c r="B2512" s="4" t="inlineStr">
        <is>
          <t>M07</t>
        </is>
      </c>
      <c r="C2512" s="4" t="inlineStr">
        <is>
          <t>LIDCOM Gattai Stall Scheme</t>
        </is>
      </c>
      <c r="D2512" s="4" t="inlineStr">
        <is>
          <t>Applicant documents</t>
        </is>
      </c>
      <c r="E2512" s="4" t="inlineStr"/>
      <c r="F2512" s="4" t="inlineStr">
        <is>
          <t>documents.en.documents_required[0].children[1]</t>
        </is>
      </c>
      <c r="G2512" s="4" t="inlineStr">
        <is>
          <t>M07@20261028-8461c67b</t>
        </is>
      </c>
      <c r="H2512" s="4" t="n">
        <v>1</v>
      </c>
      <c r="I2512" s="4" t="n">
        <v>1</v>
      </c>
      <c r="J2512" s="4" t="inlineStr">
        <is>
          <t>Proof of Age (Birth Certificate, Marksheet of Class 10th/12th, etc)</t>
        </is>
      </c>
      <c r="K2512" s="4" t="inlineStr">
        <is>
          <t>MS-M07</t>
        </is>
      </c>
      <c r="L2512" s="6" t="n">
        <v>46323</v>
      </c>
      <c r="M2512" s="4" t="inlineStr">
        <is>
          <t>Approved</t>
        </is>
      </c>
      <c r="N2512" s="4" t="inlineStr">
        <is>
          <t>list_item</t>
        </is>
      </c>
    </row>
    <row r="2513" ht="40" customHeight="1">
      <c r="A2513" s="8" t="inlineStr">
        <is>
          <t>M07-P0012</t>
        </is>
      </c>
      <c r="B2513" s="8" t="inlineStr">
        <is>
          <t>M07</t>
        </is>
      </c>
      <c r="C2513" s="8" t="inlineStr">
        <is>
          <t>LIDCOM Gattai Stall Scheme</t>
        </is>
      </c>
      <c r="D2513" s="8" t="inlineStr">
        <is>
          <t>Applicant documents</t>
        </is>
      </c>
      <c r="E2513" s="8" t="inlineStr"/>
      <c r="F2513" s="8" t="inlineStr">
        <is>
          <t>documents.en.documents_required[0].children[2]</t>
        </is>
      </c>
      <c r="G2513" s="8" t="inlineStr">
        <is>
          <t>M07@20261028-8461c67b</t>
        </is>
      </c>
      <c r="H2513" s="8" t="n">
        <v>1</v>
      </c>
      <c r="I2513" s="8" t="n">
        <v>1</v>
      </c>
      <c r="J2513" s="8" t="inlineStr">
        <is>
          <t>2-Passport Sized Photograph (Signed Across)</t>
        </is>
      </c>
      <c r="K2513" s="8" t="inlineStr">
        <is>
          <t>MS-M07</t>
        </is>
      </c>
      <c r="L2513" s="9" t="n">
        <v>46323</v>
      </c>
      <c r="M2513" s="8" t="inlineStr">
        <is>
          <t>Approved</t>
        </is>
      </c>
      <c r="N2513" s="8" t="inlineStr">
        <is>
          <t>list_item</t>
        </is>
      </c>
    </row>
    <row r="2514" ht="40" customHeight="1">
      <c r="A2514" s="4" t="inlineStr">
        <is>
          <t>M07-P0013</t>
        </is>
      </c>
      <c r="B2514" s="4" t="inlineStr">
        <is>
          <t>M07</t>
        </is>
      </c>
      <c r="C2514" s="4" t="inlineStr">
        <is>
          <t>LIDCOM Gattai Stall Scheme</t>
        </is>
      </c>
      <c r="D2514" s="4" t="inlineStr">
        <is>
          <t>Applicant documents</t>
        </is>
      </c>
      <c r="E2514" s="4" t="inlineStr"/>
      <c r="F2514" s="4" t="inlineStr">
        <is>
          <t>documents.en.documents_required[0].children[3]</t>
        </is>
      </c>
      <c r="G2514" s="4" t="inlineStr">
        <is>
          <t>M07@20261028-8461c67b</t>
        </is>
      </c>
      <c r="H2514" s="4" t="n">
        <v>1</v>
      </c>
      <c r="I2514" s="4" t="n">
        <v>1</v>
      </c>
      <c r="J2514" s="4" t="inlineStr">
        <is>
          <t>Residential Certificate / Domicile Certificate of the State of Maharashtra.</t>
        </is>
      </c>
      <c r="K2514" s="4" t="inlineStr">
        <is>
          <t>MS-M07</t>
        </is>
      </c>
      <c r="L2514" s="6" t="n">
        <v>46323</v>
      </c>
      <c r="M2514" s="4" t="inlineStr">
        <is>
          <t>Approved</t>
        </is>
      </c>
      <c r="N2514" s="4" t="inlineStr">
        <is>
          <t>list_item</t>
        </is>
      </c>
    </row>
    <row r="2515" ht="40" customHeight="1">
      <c r="A2515" s="8" t="inlineStr">
        <is>
          <t>M07-P0014</t>
        </is>
      </c>
      <c r="B2515" s="8" t="inlineStr">
        <is>
          <t>M07</t>
        </is>
      </c>
      <c r="C2515" s="8" t="inlineStr">
        <is>
          <t>LIDCOM Gattai Stall Scheme</t>
        </is>
      </c>
      <c r="D2515" s="8" t="inlineStr">
        <is>
          <t>Applicant documents</t>
        </is>
      </c>
      <c r="E2515" s="8" t="inlineStr"/>
      <c r="F2515" s="8" t="inlineStr">
        <is>
          <t>documents.en.documents_required[0].children[4]</t>
        </is>
      </c>
      <c r="G2515" s="8" t="inlineStr">
        <is>
          <t>M07@20261028-8461c67b</t>
        </is>
      </c>
      <c r="H2515" s="8" t="n">
        <v>1</v>
      </c>
      <c r="I2515" s="8" t="n">
        <v>1</v>
      </c>
      <c r="J2515" s="8" t="inlineStr">
        <is>
          <t>Proof of being a Roadside Cobbler (issued by the Gram Panchayat),</t>
        </is>
      </c>
      <c r="K2515" s="8" t="inlineStr">
        <is>
          <t>MS-M07</t>
        </is>
      </c>
      <c r="L2515" s="9" t="n">
        <v>46323</v>
      </c>
      <c r="M2515" s="8" t="inlineStr">
        <is>
          <t>Approved</t>
        </is>
      </c>
      <c r="N2515" s="8" t="inlineStr">
        <is>
          <t>list_item</t>
        </is>
      </c>
    </row>
    <row r="2516" ht="40" customHeight="1">
      <c r="A2516" s="4" t="inlineStr">
        <is>
          <t>M07-P0015</t>
        </is>
      </c>
      <c r="B2516" s="4" t="inlineStr">
        <is>
          <t>M07</t>
        </is>
      </c>
      <c r="C2516" s="4" t="inlineStr">
        <is>
          <t>LIDCOM Gattai Stall Scheme</t>
        </is>
      </c>
      <c r="D2516" s="4" t="inlineStr">
        <is>
          <t>Applicant documents</t>
        </is>
      </c>
      <c r="E2516" s="4" t="inlineStr"/>
      <c r="F2516" s="4" t="inlineStr">
        <is>
          <t>documents.en.documents_required[0].children[5]</t>
        </is>
      </c>
      <c r="G2516" s="4" t="inlineStr">
        <is>
          <t>M07@20261028-8461c67b</t>
        </is>
      </c>
      <c r="H2516" s="4" t="n">
        <v>1</v>
      </c>
      <c r="I2516" s="4" t="n">
        <v>1</v>
      </c>
      <c r="J2516" s="4" t="inlineStr">
        <is>
          <t>Income Certificate issued by an Authorised Govt.Officer.</t>
        </is>
      </c>
      <c r="K2516" s="4" t="inlineStr">
        <is>
          <t>MS-M07</t>
        </is>
      </c>
      <c r="L2516" s="6" t="n">
        <v>46323</v>
      </c>
      <c r="M2516" s="4" t="inlineStr">
        <is>
          <t>Approved</t>
        </is>
      </c>
      <c r="N2516" s="4" t="inlineStr">
        <is>
          <t>list_item</t>
        </is>
      </c>
    </row>
    <row r="2517" ht="40" customHeight="1">
      <c r="A2517" s="8" t="inlineStr">
        <is>
          <t>M07-P0016</t>
        </is>
      </c>
      <c r="B2517" s="8" t="inlineStr">
        <is>
          <t>M07</t>
        </is>
      </c>
      <c r="C2517" s="8" t="inlineStr">
        <is>
          <t>LIDCOM Gattai Stall Scheme</t>
        </is>
      </c>
      <c r="D2517" s="8" t="inlineStr">
        <is>
          <t>Applicant documents</t>
        </is>
      </c>
      <c r="E2517" s="8" t="inlineStr"/>
      <c r="F2517" s="8" t="inlineStr">
        <is>
          <t>documents.en.documents_required[0].children[6]</t>
        </is>
      </c>
      <c r="G2517" s="8" t="inlineStr">
        <is>
          <t>M07@20261028-8461c67b</t>
        </is>
      </c>
      <c r="H2517" s="8" t="n">
        <v>1</v>
      </c>
      <c r="I2517" s="8" t="n">
        <v>1</v>
      </c>
      <c r="J2517" s="8" t="inlineStr">
        <is>
          <t>Caste Certificate issued by an Authorised Govt.Officer.</t>
        </is>
      </c>
      <c r="K2517" s="8" t="inlineStr">
        <is>
          <t>MS-M07</t>
        </is>
      </c>
      <c r="L2517" s="9" t="n">
        <v>46323</v>
      </c>
      <c r="M2517" s="8" t="inlineStr">
        <is>
          <t>Approved</t>
        </is>
      </c>
      <c r="N2517" s="8" t="inlineStr">
        <is>
          <t>list_item</t>
        </is>
      </c>
    </row>
    <row r="2518" ht="40" customHeight="1">
      <c r="A2518" s="4" t="inlineStr">
        <is>
          <t>M07-P0017</t>
        </is>
      </c>
      <c r="B2518" s="4" t="inlineStr">
        <is>
          <t>M07</t>
        </is>
      </c>
      <c r="C2518" s="4" t="inlineStr">
        <is>
          <t>LIDCOM Gattai Stall Scheme</t>
        </is>
      </c>
      <c r="D2518" s="4" t="inlineStr">
        <is>
          <t>Applicant documents</t>
        </is>
      </c>
      <c r="E2518" s="4" t="inlineStr"/>
      <c r="F2518" s="4" t="inlineStr">
        <is>
          <t>documents.en.documents_required[0].children[7]</t>
        </is>
      </c>
      <c r="G2518" s="4" t="inlineStr">
        <is>
          <t>M07@20261028-8461c67b</t>
        </is>
      </c>
      <c r="H2518" s="4" t="n">
        <v>1</v>
      </c>
      <c r="I2518" s="4" t="n">
        <v>1</v>
      </c>
      <c r="J2518" s="4" t="inlineStr">
        <is>
          <t>Details of the Bank Account (Bank Name, Branch Name, Address, IFSC, etc).</t>
        </is>
      </c>
      <c r="K2518" s="4" t="inlineStr">
        <is>
          <t>MS-M07</t>
        </is>
      </c>
      <c r="L2518" s="6" t="n">
        <v>46323</v>
      </c>
      <c r="M2518" s="4" t="inlineStr">
        <is>
          <t>Approved</t>
        </is>
      </c>
      <c r="N2518" s="4" t="inlineStr">
        <is>
          <t>list_item</t>
        </is>
      </c>
    </row>
    <row r="2519" ht="40" customHeight="1">
      <c r="A2519" s="8" t="inlineStr">
        <is>
          <t>M07-P0018</t>
        </is>
      </c>
      <c r="B2519" s="8" t="inlineStr">
        <is>
          <t>M07</t>
        </is>
      </c>
      <c r="C2519" s="8" t="inlineStr">
        <is>
          <t>LIDCOM Gattai Stall Scheme</t>
        </is>
      </c>
      <c r="D2519" s="8" t="inlineStr">
        <is>
          <t>Applicant documents</t>
        </is>
      </c>
      <c r="E2519" s="8" t="inlineStr"/>
      <c r="F2519" s="8" t="inlineStr">
        <is>
          <t>documents.en.documents_required[0].children[8]</t>
        </is>
      </c>
      <c r="G2519" s="8" t="inlineStr">
        <is>
          <t>M07@20261028-8461c67b</t>
        </is>
      </c>
      <c r="H2519" s="8" t="n">
        <v>1</v>
      </c>
      <c r="I2519" s="8" t="n">
        <v>1</v>
      </c>
      <c r="J2519" s="8" t="inlineStr">
        <is>
          <t>Any other document required by the District Office of LIDCOM.</t>
        </is>
      </c>
      <c r="K2519" s="8" t="inlineStr">
        <is>
          <t>MS-M07</t>
        </is>
      </c>
      <c r="L2519" s="9" t="n">
        <v>46323</v>
      </c>
      <c r="M2519" s="8" t="inlineStr">
        <is>
          <t>Approved</t>
        </is>
      </c>
      <c r="N2519" s="8" t="inlineStr">
        <is>
          <t>list_item</t>
        </is>
      </c>
    </row>
    <row r="2520" ht="40" customHeight="1">
      <c r="A2520" s="4" t="inlineStr">
        <is>
          <t>M07-P0019</t>
        </is>
      </c>
      <c r="B2520" s="4" t="inlineStr">
        <is>
          <t>M07</t>
        </is>
      </c>
      <c r="C2520" s="4" t="inlineStr">
        <is>
          <t>LIDCOM Gattai Stall Scheme</t>
        </is>
      </c>
      <c r="D2520" s="4" t="inlineStr">
        <is>
          <t>Application process</t>
        </is>
      </c>
      <c r="E2520" s="4" t="inlineStr"/>
      <c r="F2520" s="4" t="inlineStr">
        <is>
          <t>en.applicationProcess[0].process[0]</t>
        </is>
      </c>
      <c r="G2520" s="4" t="inlineStr">
        <is>
          <t>M07@20261028-8461c67b</t>
        </is>
      </c>
      <c r="H2520" s="4" t="n">
        <v>1</v>
      </c>
      <c r="I2520" s="4" t="n">
        <v>1</v>
      </c>
      <c r="J2520" s="4" t="inlineStr">
        <is>
          <t>Step 1: Take the format of the application form from the District Office of LIDCOM.</t>
        </is>
      </c>
      <c r="K2520" s="4" t="inlineStr">
        <is>
          <t>MS-M07</t>
        </is>
      </c>
      <c r="L2520" s="6" t="n">
        <v>46323</v>
      </c>
      <c r="M2520" s="4" t="inlineStr">
        <is>
          <t>Approved</t>
        </is>
      </c>
      <c r="N2520" s="4" t="inlineStr">
        <is>
          <t>paragraph</t>
        </is>
      </c>
    </row>
    <row r="2521" ht="40" customHeight="1">
      <c r="A2521" s="8" t="inlineStr">
        <is>
          <t>M07-P0020</t>
        </is>
      </c>
      <c r="B2521" s="8" t="inlineStr">
        <is>
          <t>M07</t>
        </is>
      </c>
      <c r="C2521" s="8" t="inlineStr">
        <is>
          <t>LIDCOM Gattai Stall Scheme</t>
        </is>
      </c>
      <c r="D2521" s="8" t="inlineStr">
        <is>
          <t>Application process</t>
        </is>
      </c>
      <c r="E2521" s="8" t="inlineStr"/>
      <c r="F2521" s="8" t="inlineStr">
        <is>
          <t>en.applicationProcess[0].process[1]</t>
        </is>
      </c>
      <c r="G2521" s="8" t="inlineStr">
        <is>
          <t>M07@20261028-8461c67b</t>
        </is>
      </c>
      <c r="H2521" s="8" t="n">
        <v>1</v>
      </c>
      <c r="I2521" s="8" t="n">
        <v>1</v>
      </c>
      <c r="J2521" s="8" t="inlineStr">
        <is>
          <t>Step 2: Fill in all the mandatory fields, paste the passport-sized photograph (signed across), and attach all the (self-attested) mandatory documents.</t>
        </is>
      </c>
      <c r="K2521" s="8" t="inlineStr">
        <is>
          <t>MS-M07</t>
        </is>
      </c>
      <c r="L2521" s="9" t="n">
        <v>46323</v>
      </c>
      <c r="M2521" s="8" t="inlineStr">
        <is>
          <t>Approved</t>
        </is>
      </c>
      <c r="N2521" s="8" t="inlineStr">
        <is>
          <t>paragraph</t>
        </is>
      </c>
    </row>
    <row r="2522" ht="40" customHeight="1">
      <c r="A2522" s="4" t="inlineStr">
        <is>
          <t>M07-P0021</t>
        </is>
      </c>
      <c r="B2522" s="4" t="inlineStr">
        <is>
          <t>M07</t>
        </is>
      </c>
      <c r="C2522" s="4" t="inlineStr">
        <is>
          <t>LIDCOM Gattai Stall Scheme</t>
        </is>
      </c>
      <c r="D2522" s="4" t="inlineStr">
        <is>
          <t>Application process</t>
        </is>
      </c>
      <c r="E2522" s="4" t="inlineStr"/>
      <c r="F2522" s="4" t="inlineStr">
        <is>
          <t>en.applicationProcess[0].process[2]</t>
        </is>
      </c>
      <c r="G2522" s="4" t="inlineStr">
        <is>
          <t>M07@20261028-8461c67b</t>
        </is>
      </c>
      <c r="H2522" s="4" t="n">
        <v>1</v>
      </c>
      <c r="I2522" s="4" t="n">
        <v>1</v>
      </c>
      <c r="J2522" s="4" t="inlineStr">
        <is>
          <t>Step 3: Submit the duly filled and signed application form along with the documents to the District Office.</t>
        </is>
      </c>
      <c r="K2522" s="4" t="inlineStr">
        <is>
          <t>MS-M07</t>
        </is>
      </c>
      <c r="L2522" s="6" t="n">
        <v>46323</v>
      </c>
      <c r="M2522" s="4" t="inlineStr">
        <is>
          <t>Approved</t>
        </is>
      </c>
      <c r="N2522" s="4" t="inlineStr">
        <is>
          <t>paragraph</t>
        </is>
      </c>
    </row>
    <row r="2523" ht="40" customHeight="1">
      <c r="A2523" s="8" t="inlineStr">
        <is>
          <t>M07-P0022</t>
        </is>
      </c>
      <c r="B2523" s="8" t="inlineStr">
        <is>
          <t>M07</t>
        </is>
      </c>
      <c r="C2523" s="8" t="inlineStr">
        <is>
          <t>LIDCOM Gattai Stall Scheme</t>
        </is>
      </c>
      <c r="D2523" s="8" t="inlineStr">
        <is>
          <t>Application process</t>
        </is>
      </c>
      <c r="E2523" s="8" t="inlineStr"/>
      <c r="F2523" s="8" t="inlineStr">
        <is>
          <t>en.applicationProcess[0].process[3]</t>
        </is>
      </c>
      <c r="G2523" s="8" t="inlineStr">
        <is>
          <t>M07@20261028-8461c67b</t>
        </is>
      </c>
      <c r="H2523" s="8" t="n">
        <v>1</v>
      </c>
      <c r="I2523" s="8" t="n">
        <v>1</v>
      </c>
      <c r="J2523" s="8" t="inlineStr">
        <is>
          <t>Step 4: Acquire the receipt/acknowledgment of the successful submission of the application form from the District Office.</t>
        </is>
      </c>
      <c r="K2523" s="8" t="inlineStr">
        <is>
          <t>MS-M07</t>
        </is>
      </c>
      <c r="L2523" s="9" t="n">
        <v>46323</v>
      </c>
      <c r="M2523" s="8" t="inlineStr">
        <is>
          <t>Approved</t>
        </is>
      </c>
      <c r="N2523" s="8" t="inlineStr">
        <is>
          <t>paragraph</t>
        </is>
      </c>
    </row>
    <row r="2524" ht="54" customHeight="1">
      <c r="A2524" s="4" t="inlineStr">
        <is>
          <t>M07-P0023</t>
        </is>
      </c>
      <c r="B2524" s="4" t="inlineStr">
        <is>
          <t>M07</t>
        </is>
      </c>
      <c r="C2524" s="4" t="inlineStr">
        <is>
          <t>LIDCOM Gattai Stall Scheme</t>
        </is>
      </c>
      <c r="D2524" s="4" t="inlineStr">
        <is>
          <t>FAQ</t>
        </is>
      </c>
      <c r="E2524" s="4" t="inlineStr"/>
      <c r="F2524" s="4" t="inlineStr">
        <is>
          <t>faqs.en.faqs[0]</t>
        </is>
      </c>
      <c r="G2524" s="4" t="inlineStr">
        <is>
          <t>M07@20261028-8461c67b</t>
        </is>
      </c>
      <c r="H2524" s="4" t="n">
        <v>1</v>
      </c>
      <c r="I2524" s="4" t="n">
        <v>1</v>
      </c>
      <c r="J2524" s="4" t="inlineStr">
        <is>
          <t>Who Are The Target Beneficiaries Of This Scheme?
For this scheme, the target beneficiaries are the Roadside Cobblers identified by the Gram Panchayat.</t>
        </is>
      </c>
      <c r="K2524" s="4" t="inlineStr">
        <is>
          <t>MS-M07</t>
        </is>
      </c>
      <c r="L2524" s="6" t="n">
        <v>46323</v>
      </c>
      <c r="M2524" s="4" t="inlineStr">
        <is>
          <t>Approved</t>
        </is>
      </c>
      <c r="N2524" s="4" t="inlineStr">
        <is>
          <t>faq</t>
        </is>
      </c>
    </row>
    <row r="2525" ht="40" customHeight="1">
      <c r="A2525" s="8" t="inlineStr">
        <is>
          <t>M07-P0024</t>
        </is>
      </c>
      <c r="B2525" s="8" t="inlineStr">
        <is>
          <t>M07</t>
        </is>
      </c>
      <c r="C2525" s="8" t="inlineStr">
        <is>
          <t>LIDCOM Gattai Stall Scheme</t>
        </is>
      </c>
      <c r="D2525" s="8" t="inlineStr">
        <is>
          <t>FAQ</t>
        </is>
      </c>
      <c r="E2525" s="8" t="inlineStr"/>
      <c r="F2525" s="8" t="inlineStr">
        <is>
          <t>faqs.en.faqs[1]</t>
        </is>
      </c>
      <c r="G2525" s="8" t="inlineStr">
        <is>
          <t>M07@20261028-8461c67b</t>
        </is>
      </c>
      <c r="H2525" s="8" t="n">
        <v>1</v>
      </c>
      <c r="I2525" s="8" t="n">
        <v>1</v>
      </c>
      <c r="J2525" s="8" t="inlineStr">
        <is>
          <t>What Material Would The Stall Be Made Up Of?
The stall would be made up of Tin metal.</t>
        </is>
      </c>
      <c r="K2525" s="8" t="inlineStr">
        <is>
          <t>MS-M07</t>
        </is>
      </c>
      <c r="L2525" s="9" t="n">
        <v>46323</v>
      </c>
      <c r="M2525" s="8" t="inlineStr">
        <is>
          <t>Approved</t>
        </is>
      </c>
      <c r="N2525" s="8" t="inlineStr">
        <is>
          <t>faq</t>
        </is>
      </c>
    </row>
    <row r="2526" ht="40" customHeight="1">
      <c r="A2526" s="4" t="inlineStr">
        <is>
          <t>M07-P0025</t>
        </is>
      </c>
      <c r="B2526" s="4" t="inlineStr">
        <is>
          <t>M07</t>
        </is>
      </c>
      <c r="C2526" s="4" t="inlineStr">
        <is>
          <t>LIDCOM Gattai Stall Scheme</t>
        </is>
      </c>
      <c r="D2526" s="4" t="inlineStr">
        <is>
          <t>FAQ</t>
        </is>
      </c>
      <c r="E2526" s="4" t="inlineStr"/>
      <c r="F2526" s="4" t="inlineStr">
        <is>
          <t>faqs.en.faqs[2]</t>
        </is>
      </c>
      <c r="G2526" s="4" t="inlineStr">
        <is>
          <t>M07@20261028-8461c67b</t>
        </is>
      </c>
      <c r="H2526" s="4" t="n">
        <v>1</v>
      </c>
      <c r="I2526" s="4" t="n">
        <v>1</v>
      </c>
      <c r="J2526" s="4" t="inlineStr">
        <is>
          <t>What Shall Be The Dimensions Of The Tin Stall Being Erected?
The dimensions of the tin stall being erected will be 4’ x 5’ x 6.5’.</t>
        </is>
      </c>
      <c r="K2526" s="4" t="inlineStr">
        <is>
          <t>MS-M07</t>
        </is>
      </c>
      <c r="L2526" s="6" t="n">
        <v>46323</v>
      </c>
      <c r="M2526" s="4" t="inlineStr">
        <is>
          <t>Approved</t>
        </is>
      </c>
      <c r="N2526" s="4" t="inlineStr">
        <is>
          <t>faq</t>
        </is>
      </c>
    </row>
    <row r="2527" ht="40" customHeight="1">
      <c r="A2527" s="8" t="inlineStr">
        <is>
          <t>M07-P0026</t>
        </is>
      </c>
      <c r="B2527" s="8" t="inlineStr">
        <is>
          <t>M07</t>
        </is>
      </c>
      <c r="C2527" s="8" t="inlineStr">
        <is>
          <t>LIDCOM Gattai Stall Scheme</t>
        </is>
      </c>
      <c r="D2527" s="8" t="inlineStr">
        <is>
          <t>FAQ</t>
        </is>
      </c>
      <c r="E2527" s="8" t="inlineStr"/>
      <c r="F2527" s="8" t="inlineStr">
        <is>
          <t>faqs.en.faqs[3]</t>
        </is>
      </c>
      <c r="G2527" s="8" t="inlineStr">
        <is>
          <t>M07@20261028-8461c67b</t>
        </is>
      </c>
      <c r="H2527" s="8" t="n">
        <v>1</v>
      </c>
      <c r="I2527" s="8" t="n">
        <v>1</v>
      </c>
      <c r="J2527" s="8" t="inlineStr">
        <is>
          <t>What Shall Be The Cost Of The Tin Stall Being Erected?
The cost of the tin stall being erected will be ₹16,367/- per stall.</t>
        </is>
      </c>
      <c r="K2527" s="8" t="inlineStr">
        <is>
          <t>MS-M07</t>
        </is>
      </c>
      <c r="L2527" s="9" t="n">
        <v>46323</v>
      </c>
      <c r="M2527" s="8" t="inlineStr">
        <is>
          <t>Approved</t>
        </is>
      </c>
      <c r="N2527" s="8" t="inlineStr">
        <is>
          <t>faq</t>
        </is>
      </c>
    </row>
    <row r="2528" ht="40" customHeight="1">
      <c r="A2528" s="4" t="inlineStr">
        <is>
          <t>M07-P0027</t>
        </is>
      </c>
      <c r="B2528" s="4" t="inlineStr">
        <is>
          <t>M07</t>
        </is>
      </c>
      <c r="C2528" s="4" t="inlineStr">
        <is>
          <t>LIDCOM Gattai Stall Scheme</t>
        </is>
      </c>
      <c r="D2528" s="4" t="inlineStr">
        <is>
          <t>FAQ</t>
        </is>
      </c>
      <c r="E2528" s="4" t="inlineStr"/>
      <c r="F2528" s="4" t="inlineStr">
        <is>
          <t>faqs.en.faqs[4]</t>
        </is>
      </c>
      <c r="G2528" s="4" t="inlineStr">
        <is>
          <t>M07@20261028-8461c67b</t>
        </is>
      </c>
      <c r="H2528" s="4" t="n">
        <v>1</v>
      </c>
      <c r="I2528" s="4" t="n">
        <v>1</v>
      </c>
      <c r="J2528" s="4" t="inlineStr">
        <is>
          <t>How Much Would Be The Incidental Charges?
The incidental charges would be ₹500/-.</t>
        </is>
      </c>
      <c r="K2528" s="4" t="inlineStr">
        <is>
          <t>MS-M07</t>
        </is>
      </c>
      <c r="L2528" s="6" t="n">
        <v>46323</v>
      </c>
      <c r="M2528" s="4" t="inlineStr">
        <is>
          <t>Approved</t>
        </is>
      </c>
      <c r="N2528" s="4" t="inlineStr">
        <is>
          <t>faq</t>
        </is>
      </c>
    </row>
    <row r="2529" ht="68" customHeight="1">
      <c r="A2529" s="8" t="inlineStr">
        <is>
          <t>M07-P0028</t>
        </is>
      </c>
      <c r="B2529" s="8" t="inlineStr">
        <is>
          <t>M07</t>
        </is>
      </c>
      <c r="C2529" s="8" t="inlineStr">
        <is>
          <t>LIDCOM Gattai Stall Scheme</t>
        </is>
      </c>
      <c r="D2529" s="8" t="inlineStr">
        <is>
          <t>FAQ</t>
        </is>
      </c>
      <c r="E2529" s="8" t="inlineStr"/>
      <c r="F2529" s="8" t="inlineStr">
        <is>
          <t>faqs.en.faqs[5]</t>
        </is>
      </c>
      <c r="G2529" s="8" t="inlineStr">
        <is>
          <t>M07@20261028-8461c67b</t>
        </is>
      </c>
      <c r="H2529" s="8" t="n">
        <v>1</v>
      </c>
      <c r="I2529" s="8" t="n">
        <v>1</v>
      </c>
      <c r="J2529" s="8" t="inlineStr">
        <is>
          <t>What Are The Objectives Of This Scheme?
The main object of this scheme is to implement various schemes to uplift the lifestyle of Charmakars (Dhor, Chambhar, Holar, Mochi, etc.) with an intention to develop them educationally, economically, and socially so as to give them a respectable place in society.</t>
        </is>
      </c>
      <c r="K2529" s="8" t="inlineStr">
        <is>
          <t>MS-M07</t>
        </is>
      </c>
      <c r="L2529" s="9" t="n">
        <v>46323</v>
      </c>
      <c r="M2529" s="8" t="inlineStr">
        <is>
          <t>Approved</t>
        </is>
      </c>
      <c r="N2529" s="8" t="inlineStr">
        <is>
          <t>faq</t>
        </is>
      </c>
    </row>
    <row r="2530" ht="40" customHeight="1">
      <c r="A2530" s="4" t="inlineStr">
        <is>
          <t>M07-P0029</t>
        </is>
      </c>
      <c r="B2530" s="4" t="inlineStr">
        <is>
          <t>M07</t>
        </is>
      </c>
      <c r="C2530" s="4" t="inlineStr">
        <is>
          <t>LIDCOM Gattai Stall Scheme</t>
        </is>
      </c>
      <c r="D2530" s="4" t="inlineStr">
        <is>
          <t>FAQ</t>
        </is>
      </c>
      <c r="E2530" s="4" t="inlineStr"/>
      <c r="F2530" s="4" t="inlineStr">
        <is>
          <t>faqs.en.faqs[6]</t>
        </is>
      </c>
      <c r="G2530" s="4" t="inlineStr">
        <is>
          <t>M07@20261028-8461c67b</t>
        </is>
      </c>
      <c r="H2530" s="4" t="n">
        <v>1</v>
      </c>
      <c r="I2530" s="4" t="n">
        <v>1</v>
      </c>
      <c r="J2530" s="4" t="inlineStr">
        <is>
          <t>What Is The Full Form Of LIDCOM?
The full form of LIDCOM is "Leather Industries Development Corporation".</t>
        </is>
      </c>
      <c r="K2530" s="4" t="inlineStr">
        <is>
          <t>MS-M07</t>
        </is>
      </c>
      <c r="L2530" s="6" t="n">
        <v>46323</v>
      </c>
      <c r="M2530" s="4" t="inlineStr">
        <is>
          <t>Approved</t>
        </is>
      </c>
      <c r="N2530" s="4" t="inlineStr">
        <is>
          <t>faq</t>
        </is>
      </c>
    </row>
    <row r="2531" ht="54" customHeight="1">
      <c r="A2531" s="8" t="inlineStr">
        <is>
          <t>M07-P0030</t>
        </is>
      </c>
      <c r="B2531" s="8" t="inlineStr">
        <is>
          <t>M07</t>
        </is>
      </c>
      <c r="C2531" s="8" t="inlineStr">
        <is>
          <t>LIDCOM Gattai Stall Scheme</t>
        </is>
      </c>
      <c r="D2531" s="8" t="inlineStr">
        <is>
          <t>FAQ</t>
        </is>
      </c>
      <c r="E2531" s="8" t="inlineStr"/>
      <c r="F2531" s="8" t="inlineStr">
        <is>
          <t>faqs.en.faqs[7]</t>
        </is>
      </c>
      <c r="G2531" s="8" t="inlineStr">
        <is>
          <t>M07@20261028-8461c67b</t>
        </is>
      </c>
      <c r="H2531" s="8" t="n">
        <v>1</v>
      </c>
      <c r="I2531" s="8" t="n">
        <v>1</v>
      </c>
      <c r="J2531" s="8" t="inlineStr">
        <is>
          <t>If Required As A Mandatory Document, By Whom Should The Income Certificate And Caste Certificate Be Issued?
The Income Certificate and Caste Certificate should be issued by an Authorised Govt. Officer.</t>
        </is>
      </c>
      <c r="K2531" s="8" t="inlineStr">
        <is>
          <t>MS-M07</t>
        </is>
      </c>
      <c r="L2531" s="9" t="n">
        <v>46323</v>
      </c>
      <c r="M2531" s="8" t="inlineStr">
        <is>
          <t>Approved</t>
        </is>
      </c>
      <c r="N2531" s="8" t="inlineStr">
        <is>
          <t>faq</t>
        </is>
      </c>
    </row>
    <row r="2532" ht="40" customHeight="1">
      <c r="A2532" s="4" t="inlineStr">
        <is>
          <t>M07-P0031</t>
        </is>
      </c>
      <c r="B2532" s="4" t="inlineStr">
        <is>
          <t>M07</t>
        </is>
      </c>
      <c r="C2532" s="4" t="inlineStr">
        <is>
          <t>LIDCOM Gattai Stall Scheme</t>
        </is>
      </c>
      <c r="D2532" s="4" t="inlineStr">
        <is>
          <t>FAQ</t>
        </is>
      </c>
      <c r="E2532" s="4" t="inlineStr"/>
      <c r="F2532" s="4" t="inlineStr">
        <is>
          <t>faqs.en.faqs[8]</t>
        </is>
      </c>
      <c r="G2532" s="4" t="inlineStr">
        <is>
          <t>M07@20261028-8461c67b</t>
        </is>
      </c>
      <c r="H2532" s="4" t="n">
        <v>1</v>
      </c>
      <c r="I2532" s="4" t="n">
        <v>1</v>
      </c>
      <c r="J2532" s="4" t="inlineStr">
        <is>
          <t>Is This A State Funded Or A Centrally Funded Scheme?
This is a 100% State Funded scheme.</t>
        </is>
      </c>
      <c r="K2532" s="4" t="inlineStr">
        <is>
          <t>MS-M07</t>
        </is>
      </c>
      <c r="L2532" s="6" t="n">
        <v>46323</v>
      </c>
      <c r="M2532" s="4" t="inlineStr">
        <is>
          <t>Approved</t>
        </is>
      </c>
      <c r="N2532" s="4" t="inlineStr">
        <is>
          <t>faq</t>
        </is>
      </c>
    </row>
    <row r="2533" ht="68" customHeight="1">
      <c r="A2533" s="8" t="inlineStr">
        <is>
          <t>M07-P0032</t>
        </is>
      </c>
      <c r="B2533" s="8" t="inlineStr">
        <is>
          <t>M07</t>
        </is>
      </c>
      <c r="C2533" s="8" t="inlineStr">
        <is>
          <t>LIDCOM Gattai Stall Scheme</t>
        </is>
      </c>
      <c r="D2533" s="8" t="inlineStr">
        <is>
          <t>FAQ</t>
        </is>
      </c>
      <c r="E2533" s="8" t="inlineStr"/>
      <c r="F2533" s="8" t="inlineStr">
        <is>
          <t>faqs.en.faqs[9]</t>
        </is>
      </c>
      <c r="G2533" s="8" t="inlineStr">
        <is>
          <t>M07@20261028-8461c67b</t>
        </is>
      </c>
      <c r="H2533" s="8" t="n">
        <v>1</v>
      </c>
      <c r="I2533" s="8" t="n">
        <v>1</v>
      </c>
      <c r="J2533" s="8" t="inlineStr">
        <is>
          <t>Can Applicants From The Neighboring States Gujarat, Madhya Pradesh, Chhattisgarh, Telangana, Etc Also Apply To This Scheme?
No, only the citizens who are permanent residents of the state of Maharashtra are eligible to apply.</t>
        </is>
      </c>
      <c r="K2533" s="8" t="inlineStr">
        <is>
          <t>MS-M07</t>
        </is>
      </c>
      <c r="L2533" s="9" t="n">
        <v>46323</v>
      </c>
      <c r="M2533" s="8" t="inlineStr">
        <is>
          <t>Approved</t>
        </is>
      </c>
      <c r="N2533" s="8" t="inlineStr">
        <is>
          <t>faq</t>
        </is>
      </c>
    </row>
    <row r="2534" ht="54" customHeight="1">
      <c r="A2534" s="4" t="inlineStr">
        <is>
          <t>M07-P0033</t>
        </is>
      </c>
      <c r="B2534" s="4" t="inlineStr">
        <is>
          <t>M07</t>
        </is>
      </c>
      <c r="C2534" s="4" t="inlineStr">
        <is>
          <t>LIDCOM Gattai Stall Scheme</t>
        </is>
      </c>
      <c r="D2534" s="4" t="inlineStr">
        <is>
          <t>FAQ</t>
        </is>
      </c>
      <c r="E2534" s="4" t="inlineStr"/>
      <c r="F2534" s="4" t="inlineStr">
        <is>
          <t>faqs.en.faqs[10]</t>
        </is>
      </c>
      <c r="G2534" s="4" t="inlineStr">
        <is>
          <t>M07@20261028-8461c67b</t>
        </is>
      </c>
      <c r="H2534" s="4" t="n">
        <v>1</v>
      </c>
      <c r="I2534" s="4" t="n">
        <v>1</v>
      </c>
      <c r="J2534" s="4" t="inlineStr">
        <is>
          <t>What Are The Sub-Communities Under Charmakars Community?
The following are the sub-communities under Charmakars Community: Dhor, Chambhar, Holar, Mochi, etc.</t>
        </is>
      </c>
      <c r="K2534" s="4" t="inlineStr">
        <is>
          <t>MS-M07</t>
        </is>
      </c>
      <c r="L2534" s="6" t="n">
        <v>46323</v>
      </c>
      <c r="M2534" s="4" t="inlineStr">
        <is>
          <t>Approved</t>
        </is>
      </c>
      <c r="N2534" s="4" t="inlineStr">
        <is>
          <t>faq</t>
        </is>
      </c>
    </row>
    <row r="2535" ht="40" customHeight="1">
      <c r="A2535" s="8" t="inlineStr">
        <is>
          <t>M07-P0034</t>
        </is>
      </c>
      <c r="B2535" s="8" t="inlineStr">
        <is>
          <t>M07</t>
        </is>
      </c>
      <c r="C2535" s="8" t="inlineStr">
        <is>
          <t>LIDCOM Gattai Stall Scheme</t>
        </is>
      </c>
      <c r="D2535" s="8" t="inlineStr">
        <is>
          <t>FAQ</t>
        </is>
      </c>
      <c r="E2535" s="8" t="inlineStr"/>
      <c r="F2535" s="8" t="inlineStr">
        <is>
          <t>faqs.en.faqs[11]</t>
        </is>
      </c>
      <c r="G2535" s="8" t="inlineStr">
        <is>
          <t>M07@20261028-8461c67b</t>
        </is>
      </c>
      <c r="H2535" s="8" t="n">
        <v>1</v>
      </c>
      <c r="I2535" s="8" t="n">
        <v>1</v>
      </c>
      <c r="J2535" s="8" t="inlineStr">
        <is>
          <t>Where Can I Find The URL To The Official Website Of LIDCOM?
The URL to the official website of LIDCOM is - https://www.lidcom.co.in/</t>
        </is>
      </c>
      <c r="K2535" s="8" t="inlineStr">
        <is>
          <t>MS-M07</t>
        </is>
      </c>
      <c r="L2535" s="9" t="n">
        <v>46323</v>
      </c>
      <c r="M2535" s="8" t="inlineStr">
        <is>
          <t>Approved</t>
        </is>
      </c>
      <c r="N2535" s="8" t="inlineStr">
        <is>
          <t>faq</t>
        </is>
      </c>
    </row>
    <row r="2536" ht="54" customHeight="1">
      <c r="A2536" s="4" t="inlineStr">
        <is>
          <t>M07-P0035</t>
        </is>
      </c>
      <c r="B2536" s="4" t="inlineStr">
        <is>
          <t>M07</t>
        </is>
      </c>
      <c r="C2536" s="4" t="inlineStr">
        <is>
          <t>LIDCOM Gattai Stall Scheme</t>
        </is>
      </c>
      <c r="D2536" s="4" t="inlineStr">
        <is>
          <t>FAQ</t>
        </is>
      </c>
      <c r="E2536" s="4" t="inlineStr"/>
      <c r="F2536" s="4" t="inlineStr">
        <is>
          <t>faqs.en.faqs[12]</t>
        </is>
      </c>
      <c r="G2536" s="4" t="inlineStr">
        <is>
          <t>M07@20261028-8461c67b</t>
        </is>
      </c>
      <c r="H2536" s="4" t="n">
        <v>1</v>
      </c>
      <c r="I2536" s="4" t="n">
        <v>1</v>
      </c>
      <c r="J2536" s="4" t="inlineStr">
        <is>
          <t>What Is The Address Of The Managing Director Office Of LIDCOM?
The address of the Managing Director Office of LIDCOM is Bombay Life Building, 5th Floor, 45, Veer Nariman Road, Mumbai - 400 001.</t>
        </is>
      </c>
      <c r="K2536" s="4" t="inlineStr">
        <is>
          <t>MS-M07</t>
        </is>
      </c>
      <c r="L2536" s="6" t="n">
        <v>46323</v>
      </c>
      <c r="M2536" s="4" t="inlineStr">
        <is>
          <t>Approved</t>
        </is>
      </c>
      <c r="N2536" s="4" t="inlineStr">
        <is>
          <t>faq</t>
        </is>
      </c>
    </row>
    <row r="2537" ht="54" customHeight="1">
      <c r="A2537" s="8" t="inlineStr">
        <is>
          <t>M07-P0036</t>
        </is>
      </c>
      <c r="B2537" s="8" t="inlineStr">
        <is>
          <t>M07</t>
        </is>
      </c>
      <c r="C2537" s="8" t="inlineStr">
        <is>
          <t>LIDCOM Gattai Stall Scheme</t>
        </is>
      </c>
      <c r="D2537" s="8" t="inlineStr">
        <is>
          <t>FAQ</t>
        </is>
      </c>
      <c r="E2537" s="8" t="inlineStr"/>
      <c r="F2537" s="8" t="inlineStr">
        <is>
          <t>faqs.en.faqs[13]</t>
        </is>
      </c>
      <c r="G2537" s="8" t="inlineStr">
        <is>
          <t>M07@20261028-8461c67b</t>
        </is>
      </c>
      <c r="H2537" s="8" t="n">
        <v>1</v>
      </c>
      <c r="I2537" s="8" t="n">
        <v>1</v>
      </c>
      <c r="J2537" s="8" t="inlineStr">
        <is>
          <t>Where Can I Find The Addresses Of The Regional Offices And The District Offices Of LIDCOM?
The addresses of the Regional Offices and the District Offices of LIDCOM can be found at - http://www.lidcom.co.in/contact.php</t>
        </is>
      </c>
      <c r="K2537" s="8" t="inlineStr">
        <is>
          <t>MS-M07</t>
        </is>
      </c>
      <c r="L2537" s="9" t="n">
        <v>46323</v>
      </c>
      <c r="M2537" s="8" t="inlineStr">
        <is>
          <t>Approved</t>
        </is>
      </c>
      <c r="N2537" s="8" t="inlineStr">
        <is>
          <t>faq</t>
        </is>
      </c>
    </row>
    <row r="2538" ht="40" customHeight="1">
      <c r="A2538" s="4" t="inlineStr">
        <is>
          <t>M07-P0037</t>
        </is>
      </c>
      <c r="B2538" s="4" t="inlineStr">
        <is>
          <t>M07</t>
        </is>
      </c>
      <c r="C2538" s="4" t="inlineStr">
        <is>
          <t>LIDCOM Gattai Stall Scheme</t>
        </is>
      </c>
      <c r="D2538" s="4" t="inlineStr">
        <is>
          <t>FAQ</t>
        </is>
      </c>
      <c r="E2538" s="4" t="inlineStr"/>
      <c r="F2538" s="4" t="inlineStr">
        <is>
          <t>faqs.en.faqs[14]</t>
        </is>
      </c>
      <c r="G2538" s="4" t="inlineStr">
        <is>
          <t>M07@20261028-8461c67b</t>
        </is>
      </c>
      <c r="H2538" s="4" t="n">
        <v>1</v>
      </c>
      <c r="I2538" s="4" t="n">
        <v>1</v>
      </c>
      <c r="J2538" s="4" t="inlineStr">
        <is>
          <t>Is There A Customer Support Number For LIDCOM?
Yes, the Customer Support Number for LIDCOM is 022-22044186.</t>
        </is>
      </c>
      <c r="K2538" s="4" t="inlineStr">
        <is>
          <t>MS-M07</t>
        </is>
      </c>
      <c r="L2538" s="6" t="n">
        <v>46323</v>
      </c>
      <c r="M2538" s="4" t="inlineStr">
        <is>
          <t>Approved</t>
        </is>
      </c>
      <c r="N2538" s="4" t="inlineStr">
        <is>
          <t>faq</t>
        </is>
      </c>
    </row>
    <row r="2539" ht="40" customHeight="1">
      <c r="A2539" s="8" t="inlineStr">
        <is>
          <t>M07-P0038</t>
        </is>
      </c>
      <c r="B2539" s="8" t="inlineStr">
        <is>
          <t>M07</t>
        </is>
      </c>
      <c r="C2539" s="8" t="inlineStr">
        <is>
          <t>LIDCOM Gattai Stall Scheme</t>
        </is>
      </c>
      <c r="D2539" s="8" t="inlineStr">
        <is>
          <t>FAQ</t>
        </is>
      </c>
      <c r="E2539" s="8" t="inlineStr"/>
      <c r="F2539" s="8" t="inlineStr">
        <is>
          <t>faqs.en.faqs[15]</t>
        </is>
      </c>
      <c r="G2539" s="8" t="inlineStr">
        <is>
          <t>M07@20261028-8461c67b</t>
        </is>
      </c>
      <c r="H2539" s="8" t="n">
        <v>1</v>
      </c>
      <c r="I2539" s="8" t="n">
        <v>1</v>
      </c>
      <c r="J2539" s="8" t="inlineStr">
        <is>
          <t>Is There An Age-Related Criterion For This Scheme?
Yes, the applicant should be in the 18 to 50 years age group.</t>
        </is>
      </c>
      <c r="K2539" s="8" t="inlineStr">
        <is>
          <t>MS-M07</t>
        </is>
      </c>
      <c r="L2539" s="9" t="n">
        <v>46323</v>
      </c>
      <c r="M2539" s="8" t="inlineStr">
        <is>
          <t>Approved</t>
        </is>
      </c>
      <c r="N2539" s="8" t="inlineStr">
        <is>
          <t>faq</t>
        </is>
      </c>
    </row>
    <row r="2540" ht="54" customHeight="1">
      <c r="A2540" s="4" t="inlineStr">
        <is>
          <t>M07-P0039</t>
        </is>
      </c>
      <c r="B2540" s="4" t="inlineStr">
        <is>
          <t>M07</t>
        </is>
      </c>
      <c r="C2540" s="4" t="inlineStr">
        <is>
          <t>LIDCOM Gattai Stall Scheme</t>
        </is>
      </c>
      <c r="D2540" s="4" t="inlineStr">
        <is>
          <t>FAQ</t>
        </is>
      </c>
      <c r="E2540" s="4" t="inlineStr"/>
      <c r="F2540" s="4" t="inlineStr">
        <is>
          <t>faqs.en.faqs[16]</t>
        </is>
      </c>
      <c r="G2540" s="4" t="inlineStr">
        <is>
          <t>M07@20261028-8461c67b</t>
        </is>
      </c>
      <c r="H2540" s="4" t="n">
        <v>1</v>
      </c>
      <c r="I2540" s="4" t="n">
        <v>1</v>
      </c>
      <c r="J2540" s="4" t="inlineStr">
        <is>
          <t>Is There An Income-Related Criterion For This Scheme?
Yes, the annual income of the family of the applicant should be less than or equal to ₹1,00,000/-.</t>
        </is>
      </c>
      <c r="K2540" s="4" t="inlineStr">
        <is>
          <t>MS-M07</t>
        </is>
      </c>
      <c r="L2540" s="6" t="n">
        <v>46323</v>
      </c>
      <c r="M2540" s="4" t="inlineStr">
        <is>
          <t>Approved</t>
        </is>
      </c>
      <c r="N2540" s="4" t="inlineStr">
        <is>
          <t>faq</t>
        </is>
      </c>
    </row>
    <row r="2541" ht="40" customHeight="1">
      <c r="A2541" s="8" t="inlineStr">
        <is>
          <t>M07-P0040</t>
        </is>
      </c>
      <c r="B2541" s="8" t="inlineStr">
        <is>
          <t>M07</t>
        </is>
      </c>
      <c r="C2541" s="8" t="inlineStr">
        <is>
          <t>LIDCOM Gattai Stall Scheme</t>
        </is>
      </c>
      <c r="D2541" s="8" t="inlineStr">
        <is>
          <t>FAQ</t>
        </is>
      </c>
      <c r="E2541" s="8" t="inlineStr"/>
      <c r="F2541" s="8" t="inlineStr">
        <is>
          <t>faqs.en.faqs[17]</t>
        </is>
      </c>
      <c r="G2541" s="8" t="inlineStr">
        <is>
          <t>M07@20261028-8461c67b</t>
        </is>
      </c>
      <c r="H2541" s="8" t="n">
        <v>1</v>
      </c>
      <c r="I2541" s="8" t="n">
        <v>1</v>
      </c>
      <c r="J2541" s="8" t="inlineStr">
        <is>
          <t>Where Can I Find The Format Of The Application Form? Is It Available Online?
The format of the application form is available at the District Offices of LIDCOM.</t>
        </is>
      </c>
      <c r="K2541" s="8" t="inlineStr">
        <is>
          <t>MS-M07</t>
        </is>
      </c>
      <c r="L2541" s="9" t="n">
        <v>46323</v>
      </c>
      <c r="M2541" s="8" t="inlineStr">
        <is>
          <t>Approved</t>
        </is>
      </c>
      <c r="N2541" s="8" t="inlineStr">
        <is>
          <t>faq</t>
        </is>
      </c>
    </row>
    <row r="2542" ht="110" customHeight="1">
      <c r="A2542" s="4" t="inlineStr">
        <is>
          <t>M08-P0001</t>
        </is>
      </c>
      <c r="B2542" s="4" t="inlineStr">
        <is>
          <t>M08</t>
        </is>
      </c>
      <c r="C2542" s="4" t="inlineStr">
        <is>
          <t>Mahila Kisan Yojana (Maharashtra)</t>
        </is>
      </c>
      <c r="D2542" s="4" t="inlineStr">
        <is>
          <t>Details</t>
        </is>
      </c>
      <c r="E2542" s="4" t="inlineStr"/>
      <c r="F2542" s="4" t="inlineStr">
        <is>
          <t>en.schemeContent.detailedDescription[0].children[0].children[0]</t>
        </is>
      </c>
      <c r="G2542" s="4" t="inlineStr">
        <is>
          <t>M08@20261028-c1034a4d</t>
        </is>
      </c>
      <c r="H2542" s="4" t="n">
        <v>1</v>
      </c>
      <c r="I2542" s="4" t="n">
        <v>1</v>
      </c>
      <c r="J2542" s="4" t="inlineStr">
        <is>
          <t>The scheme "Mahila Kisan Yojana" is implemented by the Department of Social Justice &amp; Special Assistance, Government of Maharashtra, in collaboration with the National Scheduled Castes Finance and Development Corporation (NSFDC). The scheme aims to uplift the lifestyle of economically disadvantaged Charmakar communities (such as Dhor, Chambhar, Holar, and Mochi). The scheme promotes educational, economic, and social development to ensure a respectable place in society. Additionally, it supports the production and sale of various types of footwear and leather articles to government departments and the open market.</t>
        </is>
      </c>
      <c r="K2542" s="4" t="inlineStr">
        <is>
          <t>MS-M08</t>
        </is>
      </c>
      <c r="L2542" s="6" t="n">
        <v>46323</v>
      </c>
      <c r="M2542" s="4" t="inlineStr">
        <is>
          <t>Approved</t>
        </is>
      </c>
      <c r="N2542" s="4" t="inlineStr">
        <is>
          <t>paragraph</t>
        </is>
      </c>
    </row>
    <row r="2543" ht="40" customHeight="1">
      <c r="A2543" s="8" t="inlineStr">
        <is>
          <t>M08-P0002</t>
        </is>
      </c>
      <c r="B2543" s="8" t="inlineStr">
        <is>
          <t>M08</t>
        </is>
      </c>
      <c r="C2543" s="8" t="inlineStr">
        <is>
          <t>Mahila Kisan Yojana (Maharashtra)</t>
        </is>
      </c>
      <c r="D2543" s="8" t="inlineStr">
        <is>
          <t>Benefits</t>
        </is>
      </c>
      <c r="E2543" s="8" t="inlineStr"/>
      <c r="F2543" s="8" t="inlineStr">
        <is>
          <t>en.schemeContent.benefits[0]</t>
        </is>
      </c>
      <c r="G2543" s="8" t="inlineStr">
        <is>
          <t>M08@20261028-c1034a4d</t>
        </is>
      </c>
      <c r="H2543" s="8" t="n">
        <v>1</v>
      </c>
      <c r="I2543" s="8" t="n">
        <v>1</v>
      </c>
      <c r="J2543" s="8" t="inlineStr">
        <is>
          <t>Total Loan Amount: The scheme provides financial assistance of ₹50,000 for eligible female beneficiaries.</t>
        </is>
      </c>
      <c r="K2543" s="8" t="inlineStr">
        <is>
          <t>MS-M08</t>
        </is>
      </c>
      <c r="L2543" s="9" t="n">
        <v>46323</v>
      </c>
      <c r="M2543" s="8" t="inlineStr">
        <is>
          <t>Approved</t>
        </is>
      </c>
      <c r="N2543" s="8" t="inlineStr">
        <is>
          <t>paragraph</t>
        </is>
      </c>
    </row>
    <row r="2544" ht="40" customHeight="1">
      <c r="A2544" s="4" t="inlineStr">
        <is>
          <t>M08-P0003</t>
        </is>
      </c>
      <c r="B2544" s="4" t="inlineStr">
        <is>
          <t>M08</t>
        </is>
      </c>
      <c r="C2544" s="4" t="inlineStr">
        <is>
          <t>Mahila Kisan Yojana (Maharashtra)</t>
        </is>
      </c>
      <c r="D2544" s="4" t="inlineStr">
        <is>
          <t>Benefits</t>
        </is>
      </c>
      <c r="E2544" s="4" t="inlineStr"/>
      <c r="F2544" s="4" t="inlineStr">
        <is>
          <t>en.schemeContent.benefits[1]</t>
        </is>
      </c>
      <c r="G2544" s="4" t="inlineStr">
        <is>
          <t>M08@20261028-c1034a4d</t>
        </is>
      </c>
      <c r="H2544" s="4" t="n">
        <v>1</v>
      </c>
      <c r="I2544" s="4" t="n">
        <v>1</v>
      </c>
      <c r="J2544" s="4" t="inlineStr">
        <is>
          <t>Subsidy Provided: A subsidy of ₹10,000 is granted, reducing the effective loan burden on the beneficiary</t>
        </is>
      </c>
      <c r="K2544" s="4" t="inlineStr">
        <is>
          <t>MS-M08</t>
        </is>
      </c>
      <c r="L2544" s="6" t="n">
        <v>46323</v>
      </c>
      <c r="M2544" s="4" t="inlineStr">
        <is>
          <t>Approved</t>
        </is>
      </c>
      <c r="N2544" s="4" t="inlineStr">
        <is>
          <t>paragraph</t>
        </is>
      </c>
    </row>
    <row r="2545" ht="40" customHeight="1">
      <c r="A2545" s="8" t="inlineStr">
        <is>
          <t>M08-P0004</t>
        </is>
      </c>
      <c r="B2545" s="8" t="inlineStr">
        <is>
          <t>M08</t>
        </is>
      </c>
      <c r="C2545" s="8" t="inlineStr">
        <is>
          <t>Mahila Kisan Yojana (Maharashtra)</t>
        </is>
      </c>
      <c r="D2545" s="8" t="inlineStr">
        <is>
          <t>Benefits</t>
        </is>
      </c>
      <c r="E2545" s="8" t="inlineStr"/>
      <c r="F2545" s="8" t="inlineStr">
        <is>
          <t>en.schemeContent.benefits[2]</t>
        </is>
      </c>
      <c r="G2545" s="8" t="inlineStr">
        <is>
          <t>M08@20261028-c1034a4d</t>
        </is>
      </c>
      <c r="H2545" s="8" t="n">
        <v>1</v>
      </c>
      <c r="I2545" s="8" t="n">
        <v>1</v>
      </c>
      <c r="J2545" s="8" t="inlineStr">
        <is>
          <t>Loan Component: The remaining ₹40,000 is provided as a loan with an affordable interest rate of 5% per annum.</t>
        </is>
      </c>
      <c r="K2545" s="8" t="inlineStr">
        <is>
          <t>MS-M08</t>
        </is>
      </c>
      <c r="L2545" s="9" t="n">
        <v>46323</v>
      </c>
      <c r="M2545" s="8" t="inlineStr">
        <is>
          <t>Approved</t>
        </is>
      </c>
      <c r="N2545" s="8" t="inlineStr">
        <is>
          <t>paragraph</t>
        </is>
      </c>
    </row>
    <row r="2546" ht="40" customHeight="1">
      <c r="A2546" s="4" t="inlineStr">
        <is>
          <t>M08-P0005</t>
        </is>
      </c>
      <c r="B2546" s="4" t="inlineStr">
        <is>
          <t>M08</t>
        </is>
      </c>
      <c r="C2546" s="4" t="inlineStr">
        <is>
          <t>Mahila Kisan Yojana (Maharashtra)</t>
        </is>
      </c>
      <c r="D2546" s="4" t="inlineStr">
        <is>
          <t>Eligibility</t>
        </is>
      </c>
      <c r="E2546" s="4" t="inlineStr"/>
      <c r="F2546" s="4" t="inlineStr">
        <is>
          <t>en.eligibilityCriteria.eligibilityDescription[0].children[0]</t>
        </is>
      </c>
      <c r="G2546" s="4" t="inlineStr">
        <is>
          <t>M08@20261028-c1034a4d</t>
        </is>
      </c>
      <c r="H2546" s="4" t="n">
        <v>1</v>
      </c>
      <c r="I2546" s="4" t="n">
        <v>1</v>
      </c>
      <c r="J2546" s="4" t="inlineStr">
        <is>
          <t>The applicant should be a permanent resident of Maharashtra.</t>
        </is>
      </c>
      <c r="K2546" s="4" t="inlineStr">
        <is>
          <t>MS-M08</t>
        </is>
      </c>
      <c r="L2546" s="6" t="n">
        <v>46323</v>
      </c>
      <c r="M2546" s="4" t="inlineStr">
        <is>
          <t>Approved</t>
        </is>
      </c>
      <c r="N2546" s="4" t="inlineStr">
        <is>
          <t>list_item</t>
        </is>
      </c>
    </row>
    <row r="2547" ht="40" customHeight="1">
      <c r="A2547" s="8" t="inlineStr">
        <is>
          <t>M08-P0006</t>
        </is>
      </c>
      <c r="B2547" s="8" t="inlineStr">
        <is>
          <t>M08</t>
        </is>
      </c>
      <c r="C2547" s="8" t="inlineStr">
        <is>
          <t>Mahila Kisan Yojana (Maharashtra)</t>
        </is>
      </c>
      <c r="D2547" s="8" t="inlineStr">
        <is>
          <t>Eligibility</t>
        </is>
      </c>
      <c r="E2547" s="8" t="inlineStr"/>
      <c r="F2547" s="8" t="inlineStr">
        <is>
          <t>en.eligibilityCriteria.eligibilityDescription[0].children[1]</t>
        </is>
      </c>
      <c r="G2547" s="8" t="inlineStr">
        <is>
          <t>M08@20261028-c1034a4d</t>
        </is>
      </c>
      <c r="H2547" s="8" t="n">
        <v>1</v>
      </c>
      <c r="I2547" s="8" t="n">
        <v>1</v>
      </c>
      <c r="J2547" s="8" t="inlineStr">
        <is>
          <t>The applicant should be a female.</t>
        </is>
      </c>
      <c r="K2547" s="8" t="inlineStr">
        <is>
          <t>MS-M08</t>
        </is>
      </c>
      <c r="L2547" s="9" t="n">
        <v>46323</v>
      </c>
      <c r="M2547" s="8" t="inlineStr">
        <is>
          <t>Approved</t>
        </is>
      </c>
      <c r="N2547" s="8" t="inlineStr">
        <is>
          <t>list_item</t>
        </is>
      </c>
    </row>
    <row r="2548" ht="40" customHeight="1">
      <c r="A2548" s="4" t="inlineStr">
        <is>
          <t>M08-P0007</t>
        </is>
      </c>
      <c r="B2548" s="4" t="inlineStr">
        <is>
          <t>M08</t>
        </is>
      </c>
      <c r="C2548" s="4" t="inlineStr">
        <is>
          <t>Mahila Kisan Yojana (Maharashtra)</t>
        </is>
      </c>
      <c r="D2548" s="4" t="inlineStr">
        <is>
          <t>Eligibility</t>
        </is>
      </c>
      <c r="E2548" s="4" t="inlineStr"/>
      <c r="F2548" s="4" t="inlineStr">
        <is>
          <t>en.eligibilityCriteria.eligibilityDescription[0].children[2]</t>
        </is>
      </c>
      <c r="G2548" s="4" t="inlineStr">
        <is>
          <t>M08@20261028-c1034a4d</t>
        </is>
      </c>
      <c r="H2548" s="4" t="n">
        <v>1</v>
      </c>
      <c r="I2548" s="4" t="n">
        <v>1</v>
      </c>
      <c r="J2548" s="4" t="inlineStr">
        <is>
          <t>The applicant should belong to the Charmakar Community.</t>
        </is>
      </c>
      <c r="K2548" s="4" t="inlineStr">
        <is>
          <t>MS-M08</t>
        </is>
      </c>
      <c r="L2548" s="6" t="n">
        <v>46323</v>
      </c>
      <c r="M2548" s="4" t="inlineStr">
        <is>
          <t>Approved</t>
        </is>
      </c>
      <c r="N2548" s="4" t="inlineStr">
        <is>
          <t>list_item</t>
        </is>
      </c>
    </row>
    <row r="2549" ht="40" customHeight="1">
      <c r="A2549" s="8" t="inlineStr">
        <is>
          <t>M08-P0008</t>
        </is>
      </c>
      <c r="B2549" s="8" t="inlineStr">
        <is>
          <t>M08</t>
        </is>
      </c>
      <c r="C2549" s="8" t="inlineStr">
        <is>
          <t>Mahila Kisan Yojana (Maharashtra)</t>
        </is>
      </c>
      <c r="D2549" s="8" t="inlineStr">
        <is>
          <t>Eligibility</t>
        </is>
      </c>
      <c r="E2549" s="8" t="inlineStr"/>
      <c r="F2549" s="8" t="inlineStr">
        <is>
          <t>en.eligibilityCriteria.eligibilityDescription[0].children[3]</t>
        </is>
      </c>
      <c r="G2549" s="8" t="inlineStr">
        <is>
          <t>M08@20261028-c1034a4d</t>
        </is>
      </c>
      <c r="H2549" s="8" t="n">
        <v>1</v>
      </c>
      <c r="I2549" s="8" t="n">
        <v>1</v>
      </c>
      <c r="J2549" s="8" t="inlineStr">
        <is>
          <t>The applicant's age should be between 18 to 50 years.</t>
        </is>
      </c>
      <c r="K2549" s="8" t="inlineStr">
        <is>
          <t>MS-M08</t>
        </is>
      </c>
      <c r="L2549" s="9" t="n">
        <v>46323</v>
      </c>
      <c r="M2549" s="8" t="inlineStr">
        <is>
          <t>Approved</t>
        </is>
      </c>
      <c r="N2549" s="8" t="inlineStr">
        <is>
          <t>list_item</t>
        </is>
      </c>
    </row>
    <row r="2550" ht="40" customHeight="1">
      <c r="A2550" s="4" t="inlineStr">
        <is>
          <t>M08-P0009</t>
        </is>
      </c>
      <c r="B2550" s="4" t="inlineStr">
        <is>
          <t>M08</t>
        </is>
      </c>
      <c r="C2550" s="4" t="inlineStr">
        <is>
          <t>Mahila Kisan Yojana (Maharashtra)</t>
        </is>
      </c>
      <c r="D2550" s="4" t="inlineStr">
        <is>
          <t>Eligibility</t>
        </is>
      </c>
      <c r="E2550" s="4" t="inlineStr"/>
      <c r="F2550" s="4" t="inlineStr">
        <is>
          <t>en.eligibilityCriteria.eligibilityDescription[0].children[4]</t>
        </is>
      </c>
      <c r="G2550" s="4" t="inlineStr">
        <is>
          <t>M08@20261028-c1034a4d</t>
        </is>
      </c>
      <c r="H2550" s="4" t="n">
        <v>1</v>
      </c>
      <c r="I2550" s="4" t="n">
        <v>1</v>
      </c>
      <c r="J2550" s="4" t="inlineStr">
        <is>
          <t>The applicant must have knowledge of the business for which they are applying for a loan.</t>
        </is>
      </c>
      <c r="K2550" s="4" t="inlineStr">
        <is>
          <t>MS-M08</t>
        </is>
      </c>
      <c r="L2550" s="6" t="n">
        <v>46323</v>
      </c>
      <c r="M2550" s="4" t="inlineStr">
        <is>
          <t>Approved</t>
        </is>
      </c>
      <c r="N2550" s="4" t="inlineStr">
        <is>
          <t>list_item</t>
        </is>
      </c>
    </row>
    <row r="2551" ht="40" customHeight="1">
      <c r="A2551" s="8" t="inlineStr">
        <is>
          <t>M08-P0010</t>
        </is>
      </c>
      <c r="B2551" s="8" t="inlineStr">
        <is>
          <t>M08</t>
        </is>
      </c>
      <c r="C2551" s="8" t="inlineStr">
        <is>
          <t>Mahila Kisan Yojana (Maharashtra)</t>
        </is>
      </c>
      <c r="D2551" s="8" t="inlineStr">
        <is>
          <t>Eligibility</t>
        </is>
      </c>
      <c r="E2551" s="8" t="inlineStr"/>
      <c r="F2551" s="8" t="inlineStr">
        <is>
          <t>en.eligibilityCriteria.eligibilityDescription[0].children[5]</t>
        </is>
      </c>
      <c r="G2551" s="8" t="inlineStr">
        <is>
          <t>M08@20261028-c1034a4d</t>
        </is>
      </c>
      <c r="H2551" s="8" t="n">
        <v>1</v>
      </c>
      <c r="I2551" s="8" t="n">
        <v>1</v>
      </c>
      <c r="J2551" s="8" t="inlineStr">
        <is>
          <t>The applicant must have her own name, or joint name with her husband, or her husband’s name (with affidavit) on the 7/12 land extract for agricultural project loans.</t>
        </is>
      </c>
      <c r="K2551" s="8" t="inlineStr">
        <is>
          <t>MS-M08</t>
        </is>
      </c>
      <c r="L2551" s="9" t="n">
        <v>46323</v>
      </c>
      <c r="M2551" s="8" t="inlineStr">
        <is>
          <t>Approved</t>
        </is>
      </c>
      <c r="N2551" s="8" t="inlineStr">
        <is>
          <t>list_item</t>
        </is>
      </c>
    </row>
    <row r="2552" ht="40" customHeight="1">
      <c r="A2552" s="4" t="inlineStr">
        <is>
          <t>M08-P0011</t>
        </is>
      </c>
      <c r="B2552" s="4" t="inlineStr">
        <is>
          <t>M08</t>
        </is>
      </c>
      <c r="C2552" s="4" t="inlineStr">
        <is>
          <t>Mahila Kisan Yojana (Maharashtra)</t>
        </is>
      </c>
      <c r="D2552" s="4" t="inlineStr">
        <is>
          <t>Eligibility</t>
        </is>
      </c>
      <c r="E2552" s="4" t="inlineStr"/>
      <c r="F2552" s="4" t="inlineStr">
        <is>
          <t>en.eligibilityCriteria.eligibilityDescription[0].children[6]</t>
        </is>
      </c>
      <c r="G2552" s="4" t="inlineStr">
        <is>
          <t>M08@20261028-c1034a4d</t>
        </is>
      </c>
      <c r="H2552" s="4" t="n">
        <v>1</v>
      </c>
      <c r="I2552" s="4" t="n">
        <v>1</v>
      </c>
      <c r="J2552" s="4" t="inlineStr">
        <is>
          <t>For the 50% Subsidy Scheme and Margin Money, her annual income must be below the poverty line.</t>
        </is>
      </c>
      <c r="K2552" s="4" t="inlineStr">
        <is>
          <t>MS-M08</t>
        </is>
      </c>
      <c r="L2552" s="6" t="n">
        <v>46323</v>
      </c>
      <c r="M2552" s="4" t="inlineStr">
        <is>
          <t>Approved</t>
        </is>
      </c>
      <c r="N2552" s="4" t="inlineStr">
        <is>
          <t>list_item</t>
        </is>
      </c>
    </row>
    <row r="2553" ht="40" customHeight="1">
      <c r="A2553" s="8" t="inlineStr">
        <is>
          <t>M08-P0012</t>
        </is>
      </c>
      <c r="B2553" s="8" t="inlineStr">
        <is>
          <t>M08</t>
        </is>
      </c>
      <c r="C2553" s="8" t="inlineStr">
        <is>
          <t>Mahila Kisan Yojana (Maharashtra)</t>
        </is>
      </c>
      <c r="D2553" s="8" t="inlineStr">
        <is>
          <t>Eligibility</t>
        </is>
      </c>
      <c r="E2553" s="8" t="inlineStr"/>
      <c r="F2553" s="8" t="inlineStr">
        <is>
          <t>en.eligibilityCriteria.eligibilityDescription[0].children[7]</t>
        </is>
      </c>
      <c r="G2553" s="8" t="inlineStr">
        <is>
          <t>M08@20261028-c1034a4d</t>
        </is>
      </c>
      <c r="H2553" s="8" t="n">
        <v>1</v>
      </c>
      <c r="I2553" s="8" t="n">
        <v>1</v>
      </c>
      <c r="J2553" s="8" t="inlineStr">
        <is>
          <t>For the NSFDC Scheme, the income limit is ₹98,000 for rural areas and ₹1,20,000 for urban areas.</t>
        </is>
      </c>
      <c r="K2553" s="8" t="inlineStr">
        <is>
          <t>MS-M08</t>
        </is>
      </c>
      <c r="L2553" s="9" t="n">
        <v>46323</v>
      </c>
      <c r="M2553" s="8" t="inlineStr">
        <is>
          <t>Approved</t>
        </is>
      </c>
      <c r="N2553" s="8" t="inlineStr">
        <is>
          <t>list_item</t>
        </is>
      </c>
    </row>
    <row r="2554" ht="40" customHeight="1">
      <c r="A2554" s="4" t="inlineStr">
        <is>
          <t>M08-P0013</t>
        </is>
      </c>
      <c r="B2554" s="4" t="inlineStr">
        <is>
          <t>M08</t>
        </is>
      </c>
      <c r="C2554" s="4" t="inlineStr">
        <is>
          <t>Mahila Kisan Yojana (Maharashtra)</t>
        </is>
      </c>
      <c r="D2554" s="4" t="inlineStr">
        <is>
          <t>Applicant documents</t>
        </is>
      </c>
      <c r="E2554" s="4" t="inlineStr"/>
      <c r="F2554" s="4" t="inlineStr">
        <is>
          <t>documents.en.documents_required[0].children[0]</t>
        </is>
      </c>
      <c r="G2554" s="4" t="inlineStr">
        <is>
          <t>M08@20261028-c1034a4d</t>
        </is>
      </c>
      <c r="H2554" s="4" t="n">
        <v>1</v>
      </c>
      <c r="I2554" s="4" t="n">
        <v>1</v>
      </c>
      <c r="J2554" s="4" t="inlineStr">
        <is>
          <t>Completed application form from the LIDCOM District Office.</t>
        </is>
      </c>
      <c r="K2554" s="4" t="inlineStr">
        <is>
          <t>MS-M08</t>
        </is>
      </c>
      <c r="L2554" s="6" t="n">
        <v>46323</v>
      </c>
      <c r="M2554" s="4" t="inlineStr">
        <is>
          <t>Approved</t>
        </is>
      </c>
      <c r="N2554" s="4" t="inlineStr">
        <is>
          <t>list_item</t>
        </is>
      </c>
    </row>
    <row r="2555" ht="40" customHeight="1">
      <c r="A2555" s="8" t="inlineStr">
        <is>
          <t>M08-P0014</t>
        </is>
      </c>
      <c r="B2555" s="8" t="inlineStr">
        <is>
          <t>M08</t>
        </is>
      </c>
      <c r="C2555" s="8" t="inlineStr">
        <is>
          <t>Mahila Kisan Yojana (Maharashtra)</t>
        </is>
      </c>
      <c r="D2555" s="8" t="inlineStr">
        <is>
          <t>Applicant documents</t>
        </is>
      </c>
      <c r="E2555" s="8" t="inlineStr"/>
      <c r="F2555" s="8" t="inlineStr">
        <is>
          <t>documents.en.documents_required[0].children[1]</t>
        </is>
      </c>
      <c r="G2555" s="8" t="inlineStr">
        <is>
          <t>M08@20261028-c1034a4d</t>
        </is>
      </c>
      <c r="H2555" s="8" t="n">
        <v>1</v>
      </c>
      <c r="I2555" s="8" t="n">
        <v>1</v>
      </c>
      <c r="J2555" s="8" t="inlineStr">
        <is>
          <t>Recent passport-size photograph.</t>
        </is>
      </c>
      <c r="K2555" s="8" t="inlineStr">
        <is>
          <t>MS-M08</t>
        </is>
      </c>
      <c r="L2555" s="9" t="n">
        <v>46323</v>
      </c>
      <c r="M2555" s="8" t="inlineStr">
        <is>
          <t>Approved</t>
        </is>
      </c>
      <c r="N2555" s="8" t="inlineStr">
        <is>
          <t>list_item</t>
        </is>
      </c>
    </row>
    <row r="2556" ht="40" customHeight="1">
      <c r="A2556" s="4" t="inlineStr">
        <is>
          <t>M08-P0015</t>
        </is>
      </c>
      <c r="B2556" s="4" t="inlineStr">
        <is>
          <t>M08</t>
        </is>
      </c>
      <c r="C2556" s="4" t="inlineStr">
        <is>
          <t>Mahila Kisan Yojana (Maharashtra)</t>
        </is>
      </c>
      <c r="D2556" s="4" t="inlineStr">
        <is>
          <t>Applicant documents</t>
        </is>
      </c>
      <c r="E2556" s="4" t="inlineStr"/>
      <c r="F2556" s="4" t="inlineStr">
        <is>
          <t>documents.en.documents_required[0].children[2]</t>
        </is>
      </c>
      <c r="G2556" s="4" t="inlineStr">
        <is>
          <t>M08@20261028-c1034a4d</t>
        </is>
      </c>
      <c r="H2556" s="4" t="n">
        <v>1</v>
      </c>
      <c r="I2556" s="4" t="n">
        <v>1</v>
      </c>
      <c r="J2556" s="4" t="inlineStr">
        <is>
          <t>Valid Income Certificate (issued by an authorized government officer).</t>
        </is>
      </c>
      <c r="K2556" s="4" t="inlineStr">
        <is>
          <t>MS-M08</t>
        </is>
      </c>
      <c r="L2556" s="6" t="n">
        <v>46323</v>
      </c>
      <c r="M2556" s="4" t="inlineStr">
        <is>
          <t>Approved</t>
        </is>
      </c>
      <c r="N2556" s="4" t="inlineStr">
        <is>
          <t>list_item</t>
        </is>
      </c>
    </row>
    <row r="2557" ht="40" customHeight="1">
      <c r="A2557" s="8" t="inlineStr">
        <is>
          <t>M08-P0016</t>
        </is>
      </c>
      <c r="B2557" s="8" t="inlineStr">
        <is>
          <t>M08</t>
        </is>
      </c>
      <c r="C2557" s="8" t="inlineStr">
        <is>
          <t>Mahila Kisan Yojana (Maharashtra)</t>
        </is>
      </c>
      <c r="D2557" s="8" t="inlineStr">
        <is>
          <t>Applicant documents</t>
        </is>
      </c>
      <c r="E2557" s="8" t="inlineStr"/>
      <c r="F2557" s="8" t="inlineStr">
        <is>
          <t>documents.en.documents_required[0].children[3]</t>
        </is>
      </c>
      <c r="G2557" s="8" t="inlineStr">
        <is>
          <t>M08@20261028-c1034a4d</t>
        </is>
      </c>
      <c r="H2557" s="8" t="n">
        <v>1</v>
      </c>
      <c r="I2557" s="8" t="n">
        <v>1</v>
      </c>
      <c r="J2557" s="8" t="inlineStr">
        <is>
          <t>Caste Certificate (Charmakar Community).</t>
        </is>
      </c>
      <c r="K2557" s="8" t="inlineStr">
        <is>
          <t>MS-M08</t>
        </is>
      </c>
      <c r="L2557" s="9" t="n">
        <v>46323</v>
      </c>
      <c r="M2557" s="8" t="inlineStr">
        <is>
          <t>Approved</t>
        </is>
      </c>
      <c r="N2557" s="8" t="inlineStr">
        <is>
          <t>list_item</t>
        </is>
      </c>
    </row>
    <row r="2558" ht="40" customHeight="1">
      <c r="A2558" s="4" t="inlineStr">
        <is>
          <t>M08-P0017</t>
        </is>
      </c>
      <c r="B2558" s="4" t="inlineStr">
        <is>
          <t>M08</t>
        </is>
      </c>
      <c r="C2558" s="4" t="inlineStr">
        <is>
          <t>Mahila Kisan Yojana (Maharashtra)</t>
        </is>
      </c>
      <c r="D2558" s="4" t="inlineStr">
        <is>
          <t>Applicant documents</t>
        </is>
      </c>
      <c r="E2558" s="4" t="inlineStr"/>
      <c r="F2558" s="4" t="inlineStr">
        <is>
          <t>documents.en.documents_required[0].children[4]</t>
        </is>
      </c>
      <c r="G2558" s="4" t="inlineStr">
        <is>
          <t>M08@20261028-c1034a4d</t>
        </is>
      </c>
      <c r="H2558" s="4" t="n">
        <v>1</v>
      </c>
      <c r="I2558" s="4" t="n">
        <v>1</v>
      </c>
      <c r="J2558" s="4" t="inlineStr">
        <is>
          <t>Proof of Residence (Maharashtra).</t>
        </is>
      </c>
      <c r="K2558" s="4" t="inlineStr">
        <is>
          <t>MS-M08</t>
        </is>
      </c>
      <c r="L2558" s="6" t="n">
        <v>46323</v>
      </c>
      <c r="M2558" s="4" t="inlineStr">
        <is>
          <t>Approved</t>
        </is>
      </c>
      <c r="N2558" s="4" t="inlineStr">
        <is>
          <t>list_item</t>
        </is>
      </c>
    </row>
    <row r="2559" ht="40" customHeight="1">
      <c r="A2559" s="8" t="inlineStr">
        <is>
          <t>M08-P0018</t>
        </is>
      </c>
      <c r="B2559" s="8" t="inlineStr">
        <is>
          <t>M08</t>
        </is>
      </c>
      <c r="C2559" s="8" t="inlineStr">
        <is>
          <t>Mahila Kisan Yojana (Maharashtra)</t>
        </is>
      </c>
      <c r="D2559" s="8" t="inlineStr">
        <is>
          <t>Applicant documents</t>
        </is>
      </c>
      <c r="E2559" s="8" t="inlineStr"/>
      <c r="F2559" s="8" t="inlineStr">
        <is>
          <t>documents.en.documents_required[0].children[5]</t>
        </is>
      </c>
      <c r="G2559" s="8" t="inlineStr">
        <is>
          <t>M08@20261028-c1034a4d</t>
        </is>
      </c>
      <c r="H2559" s="8" t="n">
        <v>1</v>
      </c>
      <c r="I2559" s="8" t="n">
        <v>1</v>
      </c>
      <c r="J2559" s="8" t="inlineStr">
        <is>
          <t>7/12 Land Extract:</t>
        </is>
      </c>
      <c r="K2559" s="8" t="inlineStr">
        <is>
          <t>MS-M08</t>
        </is>
      </c>
      <c r="L2559" s="9" t="n">
        <v>46323</v>
      </c>
      <c r="M2559" s="8" t="inlineStr">
        <is>
          <t>Approved</t>
        </is>
      </c>
      <c r="N2559" s="8" t="inlineStr">
        <is>
          <t>list_item</t>
        </is>
      </c>
    </row>
    <row r="2560" ht="40" customHeight="1">
      <c r="A2560" s="4" t="inlineStr">
        <is>
          <t>M08-P0019</t>
        </is>
      </c>
      <c r="B2560" s="4" t="inlineStr">
        <is>
          <t>M08</t>
        </is>
      </c>
      <c r="C2560" s="4" t="inlineStr">
        <is>
          <t>Mahila Kisan Yojana (Maharashtra)</t>
        </is>
      </c>
      <c r="D2560" s="4" t="inlineStr">
        <is>
          <t>Applicant documents</t>
        </is>
      </c>
      <c r="E2560" s="4" t="inlineStr"/>
      <c r="F2560" s="4" t="inlineStr">
        <is>
          <t>documents.en.documents_required[0].children[6]</t>
        </is>
      </c>
      <c r="G2560" s="4" t="inlineStr">
        <is>
          <t>M08@20261028-c1034a4d</t>
        </is>
      </c>
      <c r="H2560" s="4" t="n">
        <v>1</v>
      </c>
      <c r="I2560" s="4" t="n">
        <v>1</v>
      </c>
      <c r="J2560" s="4" t="inlineStr">
        <is>
          <t>Applicant’s name, joint name with husband, or husband’s name (with affidavit) for agricultural loans.</t>
        </is>
      </c>
      <c r="K2560" s="4" t="inlineStr">
        <is>
          <t>MS-M08</t>
        </is>
      </c>
      <c r="L2560" s="6" t="n">
        <v>46323</v>
      </c>
      <c r="M2560" s="4" t="inlineStr">
        <is>
          <t>Approved</t>
        </is>
      </c>
      <c r="N2560" s="4" t="inlineStr">
        <is>
          <t>list_item</t>
        </is>
      </c>
    </row>
    <row r="2561" ht="40" customHeight="1">
      <c r="A2561" s="8" t="inlineStr">
        <is>
          <t>M08-P0020</t>
        </is>
      </c>
      <c r="B2561" s="8" t="inlineStr">
        <is>
          <t>M08</t>
        </is>
      </c>
      <c r="C2561" s="8" t="inlineStr">
        <is>
          <t>Mahila Kisan Yojana (Maharashtra)</t>
        </is>
      </c>
      <c r="D2561" s="8" t="inlineStr">
        <is>
          <t>Applicant documents</t>
        </is>
      </c>
      <c r="E2561" s="8" t="inlineStr"/>
      <c r="F2561" s="8" t="inlineStr">
        <is>
          <t>documents.en.documents_required[0].children[7]</t>
        </is>
      </c>
      <c r="G2561" s="8" t="inlineStr">
        <is>
          <t>M08@20261028-c1034a4d</t>
        </is>
      </c>
      <c r="H2561" s="8" t="n">
        <v>1</v>
      </c>
      <c r="I2561" s="8" t="n">
        <v>1</v>
      </c>
      <c r="J2561" s="8" t="inlineStr">
        <is>
          <t>Knowledge or experience proof relevant to the proposed business/project.</t>
        </is>
      </c>
      <c r="K2561" s="8" t="inlineStr">
        <is>
          <t>MS-M08</t>
        </is>
      </c>
      <c r="L2561" s="9" t="n">
        <v>46323</v>
      </c>
      <c r="M2561" s="8" t="inlineStr">
        <is>
          <t>Approved</t>
        </is>
      </c>
      <c r="N2561" s="8" t="inlineStr">
        <is>
          <t>list_item</t>
        </is>
      </c>
    </row>
    <row r="2562" ht="54" customHeight="1">
      <c r="A2562" s="4" t="inlineStr">
        <is>
          <t>M08-P0021</t>
        </is>
      </c>
      <c r="B2562" s="4" t="inlineStr">
        <is>
          <t>M08</t>
        </is>
      </c>
      <c r="C2562" s="4" t="inlineStr">
        <is>
          <t>Mahila Kisan Yojana (Maharashtra)</t>
        </is>
      </c>
      <c r="D2562" s="4" t="inlineStr">
        <is>
          <t>Application process</t>
        </is>
      </c>
      <c r="E2562" s="4" t="inlineStr"/>
      <c r="F2562" s="4" t="inlineStr">
        <is>
          <t>en.applicationProcess[0].process[0]</t>
        </is>
      </c>
      <c r="G2562" s="4" t="inlineStr">
        <is>
          <t>M08@20261028-c1034a4d</t>
        </is>
      </c>
      <c r="H2562" s="4" t="n">
        <v>1</v>
      </c>
      <c r="I2562" s="4" t="n">
        <v>1</v>
      </c>
      <c r="J2562" s="4" t="inlineStr">
        <is>
          <t>Step 1: The interested applicant should visit (during office hours) the District Office of  Leather Industries Development Corporation of Maharashtra (LIDCOM), and request the hard copy of the prescribed format of the application form from the concerned authority.</t>
        </is>
      </c>
      <c r="K2562" s="4" t="inlineStr">
        <is>
          <t>MS-M08</t>
        </is>
      </c>
      <c r="L2562" s="6" t="n">
        <v>46323</v>
      </c>
      <c r="M2562" s="4" t="inlineStr">
        <is>
          <t>Approved</t>
        </is>
      </c>
      <c r="N2562" s="4" t="inlineStr">
        <is>
          <t>paragraph</t>
        </is>
      </c>
    </row>
    <row r="2563" ht="54" customHeight="1">
      <c r="A2563" s="8" t="inlineStr">
        <is>
          <t>M08-P0022</t>
        </is>
      </c>
      <c r="B2563" s="8" t="inlineStr">
        <is>
          <t>M08</t>
        </is>
      </c>
      <c r="C2563" s="8" t="inlineStr">
        <is>
          <t>Mahila Kisan Yojana (Maharashtra)</t>
        </is>
      </c>
      <c r="D2563" s="8" t="inlineStr">
        <is>
          <t>Application process</t>
        </is>
      </c>
      <c r="E2563" s="8" t="inlineStr"/>
      <c r="F2563" s="8" t="inlineStr">
        <is>
          <t>en.applicationProcess[0].process[1]</t>
        </is>
      </c>
      <c r="G2563" s="8" t="inlineStr">
        <is>
          <t>M08@20261028-c1034a4d</t>
        </is>
      </c>
      <c r="H2563" s="8" t="n">
        <v>1</v>
      </c>
      <c r="I2563" s="8" t="n">
        <v>1</v>
      </c>
      <c r="J2563" s="8" t="inlineStr">
        <is>
          <t>Step 2: In the application form, fill in all the mandatory fields, paste the passport-sized photograph (signed across, if required), and attach copies of all the mandatory documents (self-attest, if required).</t>
        </is>
      </c>
      <c r="K2563" s="8" t="inlineStr">
        <is>
          <t>MS-M08</t>
        </is>
      </c>
      <c r="L2563" s="9" t="n">
        <v>46323</v>
      </c>
      <c r="M2563" s="8" t="inlineStr">
        <is>
          <t>Approved</t>
        </is>
      </c>
      <c r="N2563" s="8" t="inlineStr">
        <is>
          <t>paragraph</t>
        </is>
      </c>
    </row>
    <row r="2564" ht="54" customHeight="1">
      <c r="A2564" s="4" t="inlineStr">
        <is>
          <t>M08-P0023</t>
        </is>
      </c>
      <c r="B2564" s="4" t="inlineStr">
        <is>
          <t>M08</t>
        </is>
      </c>
      <c r="C2564" s="4" t="inlineStr">
        <is>
          <t>Mahila Kisan Yojana (Maharashtra)</t>
        </is>
      </c>
      <c r="D2564" s="4" t="inlineStr">
        <is>
          <t>Application process</t>
        </is>
      </c>
      <c r="E2564" s="4" t="inlineStr"/>
      <c r="F2564" s="4" t="inlineStr">
        <is>
          <t>en.applicationProcess[0].process[2]</t>
        </is>
      </c>
      <c r="G2564" s="4" t="inlineStr">
        <is>
          <t>M08@20261028-c1034a4d</t>
        </is>
      </c>
      <c r="H2564" s="4" t="n">
        <v>1</v>
      </c>
      <c r="I2564" s="4" t="n">
        <v>1</v>
      </c>
      <c r="J2564" s="4" t="inlineStr">
        <is>
          <t>Step 3: Submit the duly filled and signed application form along with the documents, within the prescribed period (if any), to the District Office of  Leather Industries Development Corporation of Maharashtra (LIDCOM).</t>
        </is>
      </c>
      <c r="K2564" s="4" t="inlineStr">
        <is>
          <t>MS-M08</t>
        </is>
      </c>
      <c r="L2564" s="6" t="n">
        <v>46323</v>
      </c>
      <c r="M2564" s="4" t="inlineStr">
        <is>
          <t>Approved</t>
        </is>
      </c>
      <c r="N2564" s="4" t="inlineStr">
        <is>
          <t>paragraph</t>
        </is>
      </c>
    </row>
    <row r="2565" ht="54" customHeight="1">
      <c r="A2565" s="8" t="inlineStr">
        <is>
          <t>M08-P0024</t>
        </is>
      </c>
      <c r="B2565" s="8" t="inlineStr">
        <is>
          <t>M08</t>
        </is>
      </c>
      <c r="C2565" s="8" t="inlineStr">
        <is>
          <t>Mahila Kisan Yojana (Maharashtra)</t>
        </is>
      </c>
      <c r="D2565" s="8" t="inlineStr">
        <is>
          <t>Application process</t>
        </is>
      </c>
      <c r="E2565" s="8" t="inlineStr"/>
      <c r="F2565" s="8" t="inlineStr">
        <is>
          <t>en.applicationProcess[0].process[3]</t>
        </is>
      </c>
      <c r="G2565" s="8" t="inlineStr">
        <is>
          <t>M08@20261028-c1034a4d</t>
        </is>
      </c>
      <c r="H2565" s="8" t="n">
        <v>1</v>
      </c>
      <c r="I2565" s="8" t="n">
        <v>1</v>
      </c>
      <c r="J2565" s="8"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K2565" s="8" t="inlineStr">
        <is>
          <t>MS-M08</t>
        </is>
      </c>
      <c r="L2565" s="9" t="n">
        <v>46323</v>
      </c>
      <c r="M2565" s="8" t="inlineStr">
        <is>
          <t>Approved</t>
        </is>
      </c>
      <c r="N2565" s="8" t="inlineStr">
        <is>
          <t>paragraph</t>
        </is>
      </c>
    </row>
    <row r="2566" ht="40" customHeight="1">
      <c r="A2566" s="4" t="inlineStr">
        <is>
          <t>M08-P0025</t>
        </is>
      </c>
      <c r="B2566" s="4" t="inlineStr">
        <is>
          <t>M08</t>
        </is>
      </c>
      <c r="C2566" s="4" t="inlineStr">
        <is>
          <t>Mahila Kisan Yojana (Maharashtra)</t>
        </is>
      </c>
      <c r="D2566" s="4" t="inlineStr">
        <is>
          <t>Application process</t>
        </is>
      </c>
      <c r="E2566" s="4" t="inlineStr"/>
      <c r="F2566" s="4" t="inlineStr">
        <is>
          <t>en.applicationProcess[0].process[4]</t>
        </is>
      </c>
      <c r="G2566" s="4" t="inlineStr">
        <is>
          <t>M08@20261028-c1034a4d</t>
        </is>
      </c>
      <c r="H2566" s="4" t="n">
        <v>1</v>
      </c>
      <c r="I2566" s="4" t="n">
        <v>1</v>
      </c>
      <c r="J2566" s="4" t="inlineStr">
        <is>
          <t>NOTE: Ensure that the application is submitted within the prescribed period, if any.</t>
        </is>
      </c>
      <c r="K2566" s="4" t="inlineStr">
        <is>
          <t>MS-M08</t>
        </is>
      </c>
      <c r="L2566" s="6" t="n">
        <v>46323</v>
      </c>
      <c r="M2566" s="4" t="inlineStr">
        <is>
          <t>Approved</t>
        </is>
      </c>
      <c r="N2566" s="4" t="inlineStr">
        <is>
          <t>paragraph</t>
        </is>
      </c>
    </row>
    <row r="2567" ht="54" customHeight="1">
      <c r="A2567" s="8" t="inlineStr">
        <is>
          <t>M08-P0026</t>
        </is>
      </c>
      <c r="B2567" s="8" t="inlineStr">
        <is>
          <t>M08</t>
        </is>
      </c>
      <c r="C2567" s="8" t="inlineStr">
        <is>
          <t>Mahila Kisan Yojana (Maharashtra)</t>
        </is>
      </c>
      <c r="D2567" s="8" t="inlineStr">
        <is>
          <t>FAQ</t>
        </is>
      </c>
      <c r="E2567" s="8" t="inlineStr"/>
      <c r="F2567" s="8" t="inlineStr">
        <is>
          <t>faqs.en.faqs[0]</t>
        </is>
      </c>
      <c r="G2567" s="8" t="inlineStr">
        <is>
          <t>M08@20261028-c1034a4d</t>
        </is>
      </c>
      <c r="H2567" s="8" t="n">
        <v>1</v>
      </c>
      <c r="I2567" s="8" t="n">
        <v>1</v>
      </c>
      <c r="J2567" s="8" t="inlineStr">
        <is>
          <t>What is the Mahila Kisan Yojana?
It is a scheme aimed at economically empowering the Charmakar community through financial assistance for agricultural projects.</t>
        </is>
      </c>
      <c r="K2567" s="8" t="inlineStr">
        <is>
          <t>MS-M08</t>
        </is>
      </c>
      <c r="L2567" s="9" t="n">
        <v>46323</v>
      </c>
      <c r="M2567" s="8" t="inlineStr">
        <is>
          <t>Approved</t>
        </is>
      </c>
      <c r="N2567" s="8" t="inlineStr">
        <is>
          <t>faq</t>
        </is>
      </c>
    </row>
    <row r="2568" ht="40" customHeight="1">
      <c r="A2568" s="4" t="inlineStr">
        <is>
          <t>M08-P0027</t>
        </is>
      </c>
      <c r="B2568" s="4" t="inlineStr">
        <is>
          <t>M08</t>
        </is>
      </c>
      <c r="C2568" s="4" t="inlineStr">
        <is>
          <t>Mahila Kisan Yojana (Maharashtra)</t>
        </is>
      </c>
      <c r="D2568" s="4" t="inlineStr">
        <is>
          <t>FAQ</t>
        </is>
      </c>
      <c r="E2568" s="4" t="inlineStr"/>
      <c r="F2568" s="4" t="inlineStr">
        <is>
          <t>faqs.en.faqs[1]</t>
        </is>
      </c>
      <c r="G2568" s="4" t="inlineStr">
        <is>
          <t>M08@20261028-c1034a4d</t>
        </is>
      </c>
      <c r="H2568" s="4" t="n">
        <v>1</v>
      </c>
      <c r="I2568" s="4" t="n">
        <v>1</v>
      </c>
      <c r="J2568" s="4" t="inlineStr">
        <is>
          <t>Who can apply for this scheme?
Female beneficiaries of the Charmakar Community aged 18 to 50 years.</t>
        </is>
      </c>
      <c r="K2568" s="4" t="inlineStr">
        <is>
          <t>MS-M08</t>
        </is>
      </c>
      <c r="L2568" s="6" t="n">
        <v>46323</v>
      </c>
      <c r="M2568" s="4" t="inlineStr">
        <is>
          <t>Approved</t>
        </is>
      </c>
      <c r="N2568" s="4" t="inlineStr">
        <is>
          <t>faq</t>
        </is>
      </c>
    </row>
    <row r="2569" ht="40" customHeight="1">
      <c r="A2569" s="8" t="inlineStr">
        <is>
          <t>M08-P0028</t>
        </is>
      </c>
      <c r="B2569" s="8" t="inlineStr">
        <is>
          <t>M08</t>
        </is>
      </c>
      <c r="C2569" s="8" t="inlineStr">
        <is>
          <t>Mahila Kisan Yojana (Maharashtra)</t>
        </is>
      </c>
      <c r="D2569" s="8" t="inlineStr">
        <is>
          <t>FAQ</t>
        </is>
      </c>
      <c r="E2569" s="8" t="inlineStr"/>
      <c r="F2569" s="8" t="inlineStr">
        <is>
          <t>faqs.en.faqs[2]</t>
        </is>
      </c>
      <c r="G2569" s="8" t="inlineStr">
        <is>
          <t>M08@20261028-c1034a4d</t>
        </is>
      </c>
      <c r="H2569" s="8" t="n">
        <v>1</v>
      </c>
      <c r="I2569" s="8" t="n">
        <v>1</v>
      </c>
      <c r="J2569" s="8" t="inlineStr">
        <is>
          <t>What is the total loan amount available under this scheme?
A total loan amount of ₹50,000 is available.</t>
        </is>
      </c>
      <c r="K2569" s="8" t="inlineStr">
        <is>
          <t>MS-M08</t>
        </is>
      </c>
      <c r="L2569" s="9" t="n">
        <v>46323</v>
      </c>
      <c r="M2569" s="8" t="inlineStr">
        <is>
          <t>Approved</t>
        </is>
      </c>
      <c r="N2569" s="8" t="inlineStr">
        <is>
          <t>faq</t>
        </is>
      </c>
    </row>
    <row r="2570" ht="40" customHeight="1">
      <c r="A2570" s="4" t="inlineStr">
        <is>
          <t>M08-P0029</t>
        </is>
      </c>
      <c r="B2570" s="4" t="inlineStr">
        <is>
          <t>M08</t>
        </is>
      </c>
      <c r="C2570" s="4" t="inlineStr">
        <is>
          <t>Mahila Kisan Yojana (Maharashtra)</t>
        </is>
      </c>
      <c r="D2570" s="4" t="inlineStr">
        <is>
          <t>FAQ</t>
        </is>
      </c>
      <c r="E2570" s="4" t="inlineStr"/>
      <c r="F2570" s="4" t="inlineStr">
        <is>
          <t>faqs.en.faqs[3]</t>
        </is>
      </c>
      <c r="G2570" s="4" t="inlineStr">
        <is>
          <t>M08@20261028-c1034a4d</t>
        </is>
      </c>
      <c r="H2570" s="4" t="n">
        <v>1</v>
      </c>
      <c r="I2570" s="4" t="n">
        <v>1</v>
      </c>
      <c r="J2570" s="4" t="inlineStr">
        <is>
          <t>What portion of the loan is subsidized?
₹10,000 of the loan amount is provided as a subsidy.</t>
        </is>
      </c>
      <c r="K2570" s="4" t="inlineStr">
        <is>
          <t>MS-M08</t>
        </is>
      </c>
      <c r="L2570" s="6" t="n">
        <v>46323</v>
      </c>
      <c r="M2570" s="4" t="inlineStr">
        <is>
          <t>Approved</t>
        </is>
      </c>
      <c r="N2570" s="4" t="inlineStr">
        <is>
          <t>faq</t>
        </is>
      </c>
    </row>
    <row r="2571" ht="40" customHeight="1">
      <c r="A2571" s="8" t="inlineStr">
        <is>
          <t>M08-P0030</t>
        </is>
      </c>
      <c r="B2571" s="8" t="inlineStr">
        <is>
          <t>M08</t>
        </is>
      </c>
      <c r="C2571" s="8" t="inlineStr">
        <is>
          <t>Mahila Kisan Yojana (Maharashtra)</t>
        </is>
      </c>
      <c r="D2571" s="8" t="inlineStr">
        <is>
          <t>FAQ</t>
        </is>
      </c>
      <c r="E2571" s="8" t="inlineStr"/>
      <c r="F2571" s="8" t="inlineStr">
        <is>
          <t>faqs.en.faqs[4]</t>
        </is>
      </c>
      <c r="G2571" s="8" t="inlineStr">
        <is>
          <t>M08@20261028-c1034a4d</t>
        </is>
      </c>
      <c r="H2571" s="8" t="n">
        <v>1</v>
      </c>
      <c r="I2571" s="8" t="n">
        <v>1</v>
      </c>
      <c r="J2571" s="8" t="inlineStr">
        <is>
          <t>What is the interest rate on the loan?
The interest rate is set at 5% per annum for the loan component.</t>
        </is>
      </c>
      <c r="K2571" s="8" t="inlineStr">
        <is>
          <t>MS-M08</t>
        </is>
      </c>
      <c r="L2571" s="9" t="n">
        <v>46323</v>
      </c>
      <c r="M2571" s="8" t="inlineStr">
        <is>
          <t>Approved</t>
        </is>
      </c>
      <c r="N2571" s="8" t="inlineStr">
        <is>
          <t>faq</t>
        </is>
      </c>
    </row>
    <row r="2572" ht="54" customHeight="1">
      <c r="A2572" s="4" t="inlineStr">
        <is>
          <t>M08-P0031</t>
        </is>
      </c>
      <c r="B2572" s="4" t="inlineStr">
        <is>
          <t>M08</t>
        </is>
      </c>
      <c r="C2572" s="4" t="inlineStr">
        <is>
          <t>Mahila Kisan Yojana (Maharashtra)</t>
        </is>
      </c>
      <c r="D2572" s="4" t="inlineStr">
        <is>
          <t>FAQ</t>
        </is>
      </c>
      <c r="E2572" s="4" t="inlineStr"/>
      <c r="F2572" s="4" t="inlineStr">
        <is>
          <t>faqs.en.faqs[5]</t>
        </is>
      </c>
      <c r="G2572" s="4" t="inlineStr">
        <is>
          <t>M08@20261028-c1034a4d</t>
        </is>
      </c>
      <c r="H2572" s="4" t="n">
        <v>1</v>
      </c>
      <c r="I2572" s="4" t="n">
        <v>1</v>
      </c>
      <c r="J2572" s="4" t="inlineStr">
        <is>
          <t>What are the income criteria for applicants?
Annual income must be below poverty line for the subsidy scheme, and below ₹98,000 in rural areas or ₹1,20,000 in urban areas for NSFDC Scheme.</t>
        </is>
      </c>
      <c r="K2572" s="4" t="inlineStr">
        <is>
          <t>MS-M08</t>
        </is>
      </c>
      <c r="L2572" s="6" t="n">
        <v>46323</v>
      </c>
      <c r="M2572" s="4" t="inlineStr">
        <is>
          <t>Approved</t>
        </is>
      </c>
      <c r="N2572" s="4" t="inlineStr">
        <is>
          <t>faq</t>
        </is>
      </c>
    </row>
    <row r="2573" ht="40" customHeight="1">
      <c r="A2573" s="8" t="inlineStr">
        <is>
          <t>M08-P0032</t>
        </is>
      </c>
      <c r="B2573" s="8" t="inlineStr">
        <is>
          <t>M08</t>
        </is>
      </c>
      <c r="C2573" s="8" t="inlineStr">
        <is>
          <t>Mahila Kisan Yojana (Maharashtra)</t>
        </is>
      </c>
      <c r="D2573" s="8" t="inlineStr">
        <is>
          <t>FAQ</t>
        </is>
      </c>
      <c r="E2573" s="8" t="inlineStr"/>
      <c r="F2573" s="8" t="inlineStr">
        <is>
          <t>faqs.en.faqs[6]</t>
        </is>
      </c>
      <c r="G2573" s="8" t="inlineStr">
        <is>
          <t>M08@20261028-c1034a4d</t>
        </is>
      </c>
      <c r="H2573" s="8" t="n">
        <v>1</v>
      </c>
      <c r="I2573" s="8" t="n">
        <v>1</v>
      </c>
      <c r="J2573" s="8" t="inlineStr">
        <is>
          <t>What documents are required to apply?
Income Certificate, Caste Certificate, 7/12 land extract, and a completed application form.</t>
        </is>
      </c>
      <c r="K2573" s="8" t="inlineStr">
        <is>
          <t>MS-M08</t>
        </is>
      </c>
      <c r="L2573" s="9" t="n">
        <v>46323</v>
      </c>
      <c r="M2573" s="8" t="inlineStr">
        <is>
          <t>Approved</t>
        </is>
      </c>
      <c r="N2573" s="8" t="inlineStr">
        <is>
          <t>faq</t>
        </is>
      </c>
    </row>
    <row r="2574" ht="40" customHeight="1">
      <c r="A2574" s="4" t="inlineStr">
        <is>
          <t>M08-P0033</t>
        </is>
      </c>
      <c r="B2574" s="4" t="inlineStr">
        <is>
          <t>M08</t>
        </is>
      </c>
      <c r="C2574" s="4" t="inlineStr">
        <is>
          <t>Mahila Kisan Yojana (Maharashtra)</t>
        </is>
      </c>
      <c r="D2574" s="4" t="inlineStr">
        <is>
          <t>FAQ</t>
        </is>
      </c>
      <c r="E2574" s="4" t="inlineStr"/>
      <c r="F2574" s="4" t="inlineStr">
        <is>
          <t>faqs.en.faqs[7]</t>
        </is>
      </c>
      <c r="G2574" s="4" t="inlineStr">
        <is>
          <t>M08@20261028-c1034a4d</t>
        </is>
      </c>
      <c r="H2574" s="4" t="n">
        <v>1</v>
      </c>
      <c r="I2574" s="4" t="n">
        <v>1</v>
      </c>
      <c r="J2574" s="4" t="inlineStr">
        <is>
          <t>Where can I obtain the application form?
The application form can be obtained at the District Office of LIDCOM.</t>
        </is>
      </c>
      <c r="K2574" s="4" t="inlineStr">
        <is>
          <t>MS-M08</t>
        </is>
      </c>
      <c r="L2574" s="6" t="n">
        <v>46323</v>
      </c>
      <c r="M2574" s="4" t="inlineStr">
        <is>
          <t>Approved</t>
        </is>
      </c>
      <c r="N2574" s="4" t="inlineStr">
        <is>
          <t>faq</t>
        </is>
      </c>
    </row>
    <row r="2575" ht="54" customHeight="1">
      <c r="A2575" s="8" t="inlineStr">
        <is>
          <t>M08-P0034</t>
        </is>
      </c>
      <c r="B2575" s="8" t="inlineStr">
        <is>
          <t>M08</t>
        </is>
      </c>
      <c r="C2575" s="8" t="inlineStr">
        <is>
          <t>Mahila Kisan Yojana (Maharashtra)</t>
        </is>
      </c>
      <c r="D2575" s="8" t="inlineStr">
        <is>
          <t>FAQ</t>
        </is>
      </c>
      <c r="E2575" s="8" t="inlineStr"/>
      <c r="F2575" s="8" t="inlineStr">
        <is>
          <t>faqs.en.faqs[8]</t>
        </is>
      </c>
      <c r="G2575" s="8" t="inlineStr">
        <is>
          <t>M08@20261028-c1034a4d</t>
        </is>
      </c>
      <c r="H2575" s="8" t="n">
        <v>1</v>
      </c>
      <c r="I2575" s="8" t="n">
        <v>1</v>
      </c>
      <c r="J2575" s="8" t="inlineStr">
        <is>
          <t>How do I submit my application?
Submit the completed application form along with required documents at the District Office of LIDCOM.</t>
        </is>
      </c>
      <c r="K2575" s="8" t="inlineStr">
        <is>
          <t>MS-M08</t>
        </is>
      </c>
      <c r="L2575" s="9" t="n">
        <v>46323</v>
      </c>
      <c r="M2575" s="8" t="inlineStr">
        <is>
          <t>Approved</t>
        </is>
      </c>
      <c r="N2575" s="8" t="inlineStr">
        <is>
          <t>faq</t>
        </is>
      </c>
    </row>
    <row r="2576" ht="40" customHeight="1">
      <c r="A2576" s="4" t="inlineStr">
        <is>
          <t>M08-P0035</t>
        </is>
      </c>
      <c r="B2576" s="4" t="inlineStr">
        <is>
          <t>M08</t>
        </is>
      </c>
      <c r="C2576" s="4" t="inlineStr">
        <is>
          <t>Mahila Kisan Yojana (Maharashtra)</t>
        </is>
      </c>
      <c r="D2576" s="4" t="inlineStr">
        <is>
          <t>FAQ</t>
        </is>
      </c>
      <c r="E2576" s="4" t="inlineStr"/>
      <c r="F2576" s="4" t="inlineStr">
        <is>
          <t>faqs.en.faqs[9]</t>
        </is>
      </c>
      <c r="G2576" s="4" t="inlineStr">
        <is>
          <t>M08@20261028-c1034a4d</t>
        </is>
      </c>
      <c r="H2576" s="4" t="n">
        <v>1</v>
      </c>
      <c r="I2576" s="4" t="n">
        <v>1</v>
      </c>
      <c r="J2576" s="4" t="inlineStr">
        <is>
          <t>Is there a specific deadline for submitting applications?
Applicants should check with the District Office for any specific deadlines.</t>
        </is>
      </c>
      <c r="K2576" s="4" t="inlineStr">
        <is>
          <t>MS-M08</t>
        </is>
      </c>
      <c r="L2576" s="6" t="n">
        <v>46323</v>
      </c>
      <c r="M2576" s="4" t="inlineStr">
        <is>
          <t>Approved</t>
        </is>
      </c>
      <c r="N2576" s="4" t="inlineStr">
        <is>
          <t>faq</t>
        </is>
      </c>
    </row>
    <row r="2577" ht="40" customHeight="1">
      <c r="A2577" s="8" t="inlineStr">
        <is>
          <t>M08-P0036</t>
        </is>
      </c>
      <c r="B2577" s="8" t="inlineStr">
        <is>
          <t>M08</t>
        </is>
      </c>
      <c r="C2577" s="8" t="inlineStr">
        <is>
          <t>Mahila Kisan Yojana (Maharashtra)</t>
        </is>
      </c>
      <c r="D2577" s="8" t="inlineStr">
        <is>
          <t>FAQ</t>
        </is>
      </c>
      <c r="E2577" s="8" t="inlineStr"/>
      <c r="F2577" s="8" t="inlineStr">
        <is>
          <t>faqs.en.faqs[10]</t>
        </is>
      </c>
      <c r="G2577" s="8" t="inlineStr">
        <is>
          <t>M08@20261028-c1034a4d</t>
        </is>
      </c>
      <c r="H2577" s="8" t="n">
        <v>1</v>
      </c>
      <c r="I2577" s="8" t="n">
        <v>1</v>
      </c>
      <c r="J2577" s="8" t="inlineStr">
        <is>
          <t>What happens after I submit my application?
You will receive an acknowledgment receipt from the District Office.</t>
        </is>
      </c>
      <c r="K2577" s="8" t="inlineStr">
        <is>
          <t>MS-M08</t>
        </is>
      </c>
      <c r="L2577" s="9" t="n">
        <v>46323</v>
      </c>
      <c r="M2577" s="8" t="inlineStr">
        <is>
          <t>Approved</t>
        </is>
      </c>
      <c r="N2577" s="8" t="inlineStr">
        <is>
          <t>faq</t>
        </is>
      </c>
    </row>
    <row r="2578" ht="110" customHeight="1">
      <c r="A2578" s="4" t="inlineStr">
        <is>
          <t>M09-P0001</t>
        </is>
      </c>
      <c r="B2578" s="4" t="inlineStr">
        <is>
          <t>M09</t>
        </is>
      </c>
      <c r="C2578" s="4" t="inlineStr">
        <is>
          <t>Mahila Samridhi Yojana (Maharashtra)</t>
        </is>
      </c>
      <c r="D2578" s="4" t="inlineStr">
        <is>
          <t>Details</t>
        </is>
      </c>
      <c r="E2578" s="4" t="inlineStr"/>
      <c r="F2578" s="4" t="inlineStr">
        <is>
          <t>en.schemeContent.detailedDescription[0].children[0].children[0]</t>
        </is>
      </c>
      <c r="G2578" s="4" t="inlineStr">
        <is>
          <t>M09@20261028-3555bc31</t>
        </is>
      </c>
      <c r="H2578" s="4" t="n">
        <v>1</v>
      </c>
      <c r="I2578" s="4" t="n">
        <v>1</v>
      </c>
      <c r="J2578" s="4" t="inlineStr">
        <is>
          <t>The scheme "Mahila Samridhi Yojana" is administered by the Department of Social Justice &amp; Special Assistance, Government of Maharashtra, and funded by the National Scheduled Castes Finance and Development Corporation (NSFDC). The scheme aims to uplift economically weaker women from the Charmakar Community. The scheme focuses on providing educational, economic, and social development to ensure a respectable position in society for Charmakars (Dhor, Chambhar, Holar, Mochi, etc.). Eligible female beneficiaries from the Charmakar Community are granted loans ranging from ₹25,000/- to ₹50,000/- at a low interest rate of 4% per annum.</t>
        </is>
      </c>
      <c r="K2578" s="4" t="inlineStr">
        <is>
          <t>MS-M09</t>
        </is>
      </c>
      <c r="L2578" s="6" t="n">
        <v>46323</v>
      </c>
      <c r="M2578" s="4" t="inlineStr">
        <is>
          <t>Approved</t>
        </is>
      </c>
      <c r="N2578" s="4" t="inlineStr">
        <is>
          <t>paragraph</t>
        </is>
      </c>
    </row>
    <row r="2579" ht="40" customHeight="1">
      <c r="A2579" s="8" t="inlineStr">
        <is>
          <t>M09-P0002</t>
        </is>
      </c>
      <c r="B2579" s="8" t="inlineStr">
        <is>
          <t>M09</t>
        </is>
      </c>
      <c r="C2579" s="8" t="inlineStr">
        <is>
          <t>Mahila Samridhi Yojana (Maharashtra)</t>
        </is>
      </c>
      <c r="D2579" s="8" t="inlineStr">
        <is>
          <t>Benefits</t>
        </is>
      </c>
      <c r="E2579" s="8" t="inlineStr"/>
      <c r="F2579" s="8" t="inlineStr">
        <is>
          <t>en.schemeContent.benefits[0]</t>
        </is>
      </c>
      <c r="G2579" s="8" t="inlineStr">
        <is>
          <t>M09@20261028-3555bc31</t>
        </is>
      </c>
      <c r="H2579" s="8" t="n">
        <v>1</v>
      </c>
      <c r="I2579" s="8" t="n">
        <v>1</v>
      </c>
      <c r="J2579" s="8" t="inlineStr">
        <is>
          <t>Loan ranging from ₹25,000/- to ₹50,000/- is provided at a low interest rate of 4% per annum.</t>
        </is>
      </c>
      <c r="K2579" s="8" t="inlineStr">
        <is>
          <t>MS-M09</t>
        </is>
      </c>
      <c r="L2579" s="9" t="n">
        <v>46323</v>
      </c>
      <c r="M2579" s="8" t="inlineStr">
        <is>
          <t>Approved</t>
        </is>
      </c>
      <c r="N2579" s="8" t="inlineStr">
        <is>
          <t>paragraph</t>
        </is>
      </c>
    </row>
    <row r="2580" ht="40" customHeight="1">
      <c r="A2580" s="4" t="inlineStr">
        <is>
          <t>M09-P0003</t>
        </is>
      </c>
      <c r="B2580" s="4" t="inlineStr">
        <is>
          <t>M09</t>
        </is>
      </c>
      <c r="C2580" s="4" t="inlineStr">
        <is>
          <t>Mahila Samridhi Yojana (Maharashtra)</t>
        </is>
      </c>
      <c r="D2580" s="4" t="inlineStr">
        <is>
          <t>Eligibility</t>
        </is>
      </c>
      <c r="E2580" s="4" t="inlineStr"/>
      <c r="F2580" s="4" t="inlineStr">
        <is>
          <t>en.eligibilityCriteria.eligibilityDescription[0].children[0]</t>
        </is>
      </c>
      <c r="G2580" s="4" t="inlineStr">
        <is>
          <t>M09@20261028-3555bc31</t>
        </is>
      </c>
      <c r="H2580" s="4" t="n">
        <v>1</v>
      </c>
      <c r="I2580" s="4" t="n">
        <v>1</v>
      </c>
      <c r="J2580" s="4" t="inlineStr">
        <is>
          <t>The applicant should be a female.</t>
        </is>
      </c>
      <c r="K2580" s="4" t="inlineStr">
        <is>
          <t>MS-M09</t>
        </is>
      </c>
      <c r="L2580" s="6" t="n">
        <v>46323</v>
      </c>
      <c r="M2580" s="4" t="inlineStr">
        <is>
          <t>Approved</t>
        </is>
      </c>
      <c r="N2580" s="4" t="inlineStr">
        <is>
          <t>list_item</t>
        </is>
      </c>
    </row>
    <row r="2581" ht="40" customHeight="1">
      <c r="A2581" s="8" t="inlineStr">
        <is>
          <t>M09-P0004</t>
        </is>
      </c>
      <c r="B2581" s="8" t="inlineStr">
        <is>
          <t>M09</t>
        </is>
      </c>
      <c r="C2581" s="8" t="inlineStr">
        <is>
          <t>Mahila Samridhi Yojana (Maharashtra)</t>
        </is>
      </c>
      <c r="D2581" s="8" t="inlineStr">
        <is>
          <t>Eligibility</t>
        </is>
      </c>
      <c r="E2581" s="8" t="inlineStr"/>
      <c r="F2581" s="8" t="inlineStr">
        <is>
          <t>en.eligibilityCriteria.eligibilityDescription[0].children[1]</t>
        </is>
      </c>
      <c r="G2581" s="8" t="inlineStr">
        <is>
          <t>M09@20261028-3555bc31</t>
        </is>
      </c>
      <c r="H2581" s="8" t="n">
        <v>1</v>
      </c>
      <c r="I2581" s="8" t="n">
        <v>1</v>
      </c>
      <c r="J2581" s="8" t="inlineStr">
        <is>
          <t>The applicant should belong to the Charmakar Community.</t>
        </is>
      </c>
      <c r="K2581" s="8" t="inlineStr">
        <is>
          <t>MS-M09</t>
        </is>
      </c>
      <c r="L2581" s="9" t="n">
        <v>46323</v>
      </c>
      <c r="M2581" s="8" t="inlineStr">
        <is>
          <t>Approved</t>
        </is>
      </c>
      <c r="N2581" s="8" t="inlineStr">
        <is>
          <t>list_item</t>
        </is>
      </c>
    </row>
    <row r="2582" ht="40" customHeight="1">
      <c r="A2582" s="4" t="inlineStr">
        <is>
          <t>M09-P0005</t>
        </is>
      </c>
      <c r="B2582" s="4" t="inlineStr">
        <is>
          <t>M09</t>
        </is>
      </c>
      <c r="C2582" s="4" t="inlineStr">
        <is>
          <t>Mahila Samridhi Yojana (Maharashtra)</t>
        </is>
      </c>
      <c r="D2582" s="4" t="inlineStr">
        <is>
          <t>Eligibility</t>
        </is>
      </c>
      <c r="E2582" s="4" t="inlineStr"/>
      <c r="F2582" s="4" t="inlineStr">
        <is>
          <t>en.eligibilityCriteria.eligibilityDescription[0].children[2]</t>
        </is>
      </c>
      <c r="G2582" s="4" t="inlineStr">
        <is>
          <t>M09@20261028-3555bc31</t>
        </is>
      </c>
      <c r="H2582" s="4" t="n">
        <v>1</v>
      </c>
      <c r="I2582" s="4" t="n">
        <v>1</v>
      </c>
      <c r="J2582" s="4" t="inlineStr">
        <is>
          <t>The applicant's age should be between 18 and 50 years.</t>
        </is>
      </c>
      <c r="K2582" s="4" t="inlineStr">
        <is>
          <t>MS-M09</t>
        </is>
      </c>
      <c r="L2582" s="6" t="n">
        <v>46323</v>
      </c>
      <c r="M2582" s="4" t="inlineStr">
        <is>
          <t>Approved</t>
        </is>
      </c>
      <c r="N2582" s="4" t="inlineStr">
        <is>
          <t>list_item</t>
        </is>
      </c>
    </row>
    <row r="2583" ht="40" customHeight="1">
      <c r="A2583" s="8" t="inlineStr">
        <is>
          <t>M09-P0006</t>
        </is>
      </c>
      <c r="B2583" s="8" t="inlineStr">
        <is>
          <t>M09</t>
        </is>
      </c>
      <c r="C2583" s="8" t="inlineStr">
        <is>
          <t>Mahila Samridhi Yojana (Maharashtra)</t>
        </is>
      </c>
      <c r="D2583" s="8" t="inlineStr">
        <is>
          <t>Eligibility</t>
        </is>
      </c>
      <c r="E2583" s="8" t="inlineStr"/>
      <c r="F2583" s="8" t="inlineStr">
        <is>
          <t>en.eligibilityCriteria.eligibilityDescription[0].children[3]</t>
        </is>
      </c>
      <c r="G2583" s="8" t="inlineStr">
        <is>
          <t>M09@20261028-3555bc31</t>
        </is>
      </c>
      <c r="H2583" s="8" t="n">
        <v>1</v>
      </c>
      <c r="I2583" s="8" t="n">
        <v>1</v>
      </c>
      <c r="J2583" s="8" t="inlineStr">
        <is>
          <t>The applicant should be a permanent resident of Maharashtra.</t>
        </is>
      </c>
      <c r="K2583" s="8" t="inlineStr">
        <is>
          <t>MS-M09</t>
        </is>
      </c>
      <c r="L2583" s="9" t="n">
        <v>46323</v>
      </c>
      <c r="M2583" s="8" t="inlineStr">
        <is>
          <t>Approved</t>
        </is>
      </c>
      <c r="N2583" s="8" t="inlineStr">
        <is>
          <t>list_item</t>
        </is>
      </c>
    </row>
    <row r="2584" ht="40" customHeight="1">
      <c r="A2584" s="4" t="inlineStr">
        <is>
          <t>M09-P0007</t>
        </is>
      </c>
      <c r="B2584" s="4" t="inlineStr">
        <is>
          <t>M09</t>
        </is>
      </c>
      <c r="C2584" s="4" t="inlineStr">
        <is>
          <t>Mahila Samridhi Yojana (Maharashtra)</t>
        </is>
      </c>
      <c r="D2584" s="4" t="inlineStr">
        <is>
          <t>Eligibility</t>
        </is>
      </c>
      <c r="E2584" s="4" t="inlineStr"/>
      <c r="F2584" s="4" t="inlineStr">
        <is>
          <t>en.eligibilityCriteria.eligibilityDescription[0].children[4]</t>
        </is>
      </c>
      <c r="G2584" s="4" t="inlineStr">
        <is>
          <t>M09@20261028-3555bc31</t>
        </is>
      </c>
      <c r="H2584" s="4" t="n">
        <v>1</v>
      </c>
      <c r="I2584" s="4" t="n">
        <v>1</v>
      </c>
      <c r="J2584" s="4" t="inlineStr">
        <is>
          <t>The applicant must have knowledge of the business for which the loan is being applied.</t>
        </is>
      </c>
      <c r="K2584" s="4" t="inlineStr">
        <is>
          <t>MS-M09</t>
        </is>
      </c>
      <c r="L2584" s="6" t="n">
        <v>46323</v>
      </c>
      <c r="M2584" s="4" t="inlineStr">
        <is>
          <t>Approved</t>
        </is>
      </c>
      <c r="N2584" s="4" t="inlineStr">
        <is>
          <t>list_item</t>
        </is>
      </c>
    </row>
    <row r="2585" ht="40" customHeight="1">
      <c r="A2585" s="8" t="inlineStr">
        <is>
          <t>M09-P0008</t>
        </is>
      </c>
      <c r="B2585" s="8" t="inlineStr">
        <is>
          <t>M09</t>
        </is>
      </c>
      <c r="C2585" s="8" t="inlineStr">
        <is>
          <t>Mahila Samridhi Yojana (Maharashtra)</t>
        </is>
      </c>
      <c r="D2585" s="8" t="inlineStr">
        <is>
          <t>Eligibility</t>
        </is>
      </c>
      <c r="E2585" s="8" t="inlineStr"/>
      <c r="F2585" s="8" t="inlineStr">
        <is>
          <t>en.eligibilityCriteria.eligibilityDescription[0].children[5]</t>
        </is>
      </c>
      <c r="G2585" s="8" t="inlineStr">
        <is>
          <t>M09@20261028-3555bc31</t>
        </is>
      </c>
      <c r="H2585" s="8" t="n">
        <v>1</v>
      </c>
      <c r="I2585" s="8" t="n">
        <v>1</v>
      </c>
      <c r="J2585" s="8" t="inlineStr">
        <is>
          <t>For the 50% Subsidy Scheme and Margin Money, the applicant's annual income must be below the poverty line.</t>
        </is>
      </c>
      <c r="K2585" s="8" t="inlineStr">
        <is>
          <t>MS-M09</t>
        </is>
      </c>
      <c r="L2585" s="9" t="n">
        <v>46323</v>
      </c>
      <c r="M2585" s="8" t="inlineStr">
        <is>
          <t>Approved</t>
        </is>
      </c>
      <c r="N2585" s="8" t="inlineStr">
        <is>
          <t>list_item</t>
        </is>
      </c>
    </row>
    <row r="2586" ht="40" customHeight="1">
      <c r="A2586" s="4" t="inlineStr">
        <is>
          <t>M09-P0009</t>
        </is>
      </c>
      <c r="B2586" s="4" t="inlineStr">
        <is>
          <t>M09</t>
        </is>
      </c>
      <c r="C2586" s="4" t="inlineStr">
        <is>
          <t>Mahila Samridhi Yojana (Maharashtra)</t>
        </is>
      </c>
      <c r="D2586" s="4" t="inlineStr">
        <is>
          <t>Eligibility</t>
        </is>
      </c>
      <c r="E2586" s="4" t="inlineStr"/>
      <c r="F2586" s="4" t="inlineStr">
        <is>
          <t>en.eligibilityCriteria.eligibilityDescription[0].children[6]</t>
        </is>
      </c>
      <c r="G2586" s="4" t="inlineStr">
        <is>
          <t>M09@20261028-3555bc31</t>
        </is>
      </c>
      <c r="H2586" s="4" t="n">
        <v>1</v>
      </c>
      <c r="I2586" s="4" t="n">
        <v>1</v>
      </c>
      <c r="J2586" s="4" t="inlineStr">
        <is>
          <t>For the NSFDC Scheme, the applicant's annual income should be below ₹98,000 for rural areas and ₹1,20,000 for urban areas.</t>
        </is>
      </c>
      <c r="K2586" s="4" t="inlineStr">
        <is>
          <t>MS-M09</t>
        </is>
      </c>
      <c r="L2586" s="6" t="n">
        <v>46323</v>
      </c>
      <c r="M2586" s="4" t="inlineStr">
        <is>
          <t>Approved</t>
        </is>
      </c>
      <c r="N2586" s="4" t="inlineStr">
        <is>
          <t>list_item</t>
        </is>
      </c>
    </row>
    <row r="2587" ht="40" customHeight="1">
      <c r="A2587" s="8" t="inlineStr">
        <is>
          <t>M09-P0010</t>
        </is>
      </c>
      <c r="B2587" s="8" t="inlineStr">
        <is>
          <t>M09</t>
        </is>
      </c>
      <c r="C2587" s="8" t="inlineStr">
        <is>
          <t>Mahila Samridhi Yojana (Maharashtra)</t>
        </is>
      </c>
      <c r="D2587" s="8" t="inlineStr">
        <is>
          <t>Eligibility</t>
        </is>
      </c>
      <c r="E2587" s="8" t="inlineStr">
        <is>
          <t>Relaxation/Preference/Priority</t>
        </is>
      </c>
      <c r="F2587" s="8" t="inlineStr">
        <is>
          <t>en.eligibilityCriteria.eligibilityDescription[1]</t>
        </is>
      </c>
      <c r="G2587" s="8" t="inlineStr">
        <is>
          <t>M09@20261028-3555bc31</t>
        </is>
      </c>
      <c r="H2587" s="8" t="n">
        <v>1</v>
      </c>
      <c r="I2587" s="8" t="n">
        <v>1</v>
      </c>
      <c r="J2587" s="8" t="inlineStr">
        <is>
          <t>Relaxation/Preference/Priority</t>
        </is>
      </c>
      <c r="K2587" s="8" t="inlineStr">
        <is>
          <t>MS-M09</t>
        </is>
      </c>
      <c r="L2587" s="9" t="n">
        <v>46323</v>
      </c>
      <c r="M2587" s="8" t="inlineStr">
        <is>
          <t>Approved</t>
        </is>
      </c>
      <c r="N2587" s="8" t="inlineStr">
        <is>
          <t>paragraph</t>
        </is>
      </c>
    </row>
    <row r="2588" ht="40" customHeight="1">
      <c r="A2588" s="4" t="inlineStr">
        <is>
          <t>M09-P0011</t>
        </is>
      </c>
      <c r="B2588" s="4" t="inlineStr">
        <is>
          <t>M09</t>
        </is>
      </c>
      <c r="C2588" s="4" t="inlineStr">
        <is>
          <t>Mahila Samridhi Yojana (Maharashtra)</t>
        </is>
      </c>
      <c r="D2588" s="4" t="inlineStr">
        <is>
          <t>Eligibility</t>
        </is>
      </c>
      <c r="E2588" s="4" t="inlineStr">
        <is>
          <t>Relaxation/Preference/Priority</t>
        </is>
      </c>
      <c r="F2588" s="4" t="inlineStr">
        <is>
          <t>en.eligibilityCriteria.eligibilityDescription[2]</t>
        </is>
      </c>
      <c r="G2588" s="4" t="inlineStr">
        <is>
          <t>M09@20261028-3555bc31</t>
        </is>
      </c>
      <c r="H2588" s="4" t="n">
        <v>1</v>
      </c>
      <c r="I2588" s="4" t="n">
        <v>1</v>
      </c>
      <c r="J2588" s="4" t="inlineStr">
        <is>
          <t>Widows and divorcees are given priority.</t>
        </is>
      </c>
      <c r="K2588" s="4" t="inlineStr">
        <is>
          <t>MS-M09</t>
        </is>
      </c>
      <c r="L2588" s="6" t="n">
        <v>46323</v>
      </c>
      <c r="M2588" s="4" t="inlineStr">
        <is>
          <t>Approved</t>
        </is>
      </c>
      <c r="N2588" s="4" t="inlineStr">
        <is>
          <t>paragraph</t>
        </is>
      </c>
    </row>
    <row r="2589" ht="40" customHeight="1">
      <c r="A2589" s="8" t="inlineStr">
        <is>
          <t>M09-P0012</t>
        </is>
      </c>
      <c r="B2589" s="8" t="inlineStr">
        <is>
          <t>M09</t>
        </is>
      </c>
      <c r="C2589" s="8" t="inlineStr">
        <is>
          <t>Mahila Samridhi Yojana (Maharashtra)</t>
        </is>
      </c>
      <c r="D2589" s="8" t="inlineStr">
        <is>
          <t>Applicant documents</t>
        </is>
      </c>
      <c r="E2589" s="8" t="inlineStr"/>
      <c r="F2589" s="8" t="inlineStr">
        <is>
          <t>documents.en.documents_required[0]</t>
        </is>
      </c>
      <c r="G2589" s="8" t="inlineStr">
        <is>
          <t>M09@20261028-3555bc31</t>
        </is>
      </c>
      <c r="H2589" s="8" t="n">
        <v>1</v>
      </c>
      <c r="I2589" s="8" t="n">
        <v>1</v>
      </c>
      <c r="J2589" s="8" t="inlineStr">
        <is>
          <t>The applicant must provide an income and caste certificate issued by an authorized government officer.</t>
        </is>
      </c>
      <c r="K2589" s="8" t="inlineStr">
        <is>
          <t>MS-M09</t>
        </is>
      </c>
      <c r="L2589" s="9" t="n">
        <v>46323</v>
      </c>
      <c r="M2589" s="8" t="inlineStr">
        <is>
          <t>Approved</t>
        </is>
      </c>
      <c r="N2589" s="8" t="inlineStr">
        <is>
          <t>paragraph</t>
        </is>
      </c>
    </row>
    <row r="2590" ht="54" customHeight="1">
      <c r="A2590" s="4" t="inlineStr">
        <is>
          <t>M09-P0013</t>
        </is>
      </c>
      <c r="B2590" s="4" t="inlineStr">
        <is>
          <t>M09</t>
        </is>
      </c>
      <c r="C2590" s="4" t="inlineStr">
        <is>
          <t>Mahila Samridhi Yojana (Maharashtra)</t>
        </is>
      </c>
      <c r="D2590" s="4" t="inlineStr">
        <is>
          <t>Application process</t>
        </is>
      </c>
      <c r="E2590" s="4" t="inlineStr"/>
      <c r="F2590" s="4" t="inlineStr">
        <is>
          <t>en.applicationProcess[0].process[0]</t>
        </is>
      </c>
      <c r="G2590" s="4" t="inlineStr">
        <is>
          <t>M09@20261028-3555bc31</t>
        </is>
      </c>
      <c r="H2590" s="4" t="n">
        <v>1</v>
      </c>
      <c r="I2590" s="4" t="n">
        <v>1</v>
      </c>
      <c r="J2590" s="4" t="inlineStr">
        <is>
          <t>Step 1: The interested applicant should visit (during office hours) the District Office of LIDCOM and request the hard copy of the prescribed format of the application form from the concerned authority.</t>
        </is>
      </c>
      <c r="K2590" s="4" t="inlineStr">
        <is>
          <t>MS-M09</t>
        </is>
      </c>
      <c r="L2590" s="6" t="n">
        <v>46323</v>
      </c>
      <c r="M2590" s="4" t="inlineStr">
        <is>
          <t>Approved</t>
        </is>
      </c>
      <c r="N2590" s="4" t="inlineStr">
        <is>
          <t>paragraph</t>
        </is>
      </c>
    </row>
    <row r="2591" ht="54" customHeight="1">
      <c r="A2591" s="8" t="inlineStr">
        <is>
          <t>M09-P0014</t>
        </is>
      </c>
      <c r="B2591" s="8" t="inlineStr">
        <is>
          <t>M09</t>
        </is>
      </c>
      <c r="C2591" s="8" t="inlineStr">
        <is>
          <t>Mahila Samridhi Yojana (Maharashtra)</t>
        </is>
      </c>
      <c r="D2591" s="8" t="inlineStr">
        <is>
          <t>Application process</t>
        </is>
      </c>
      <c r="E2591" s="8" t="inlineStr"/>
      <c r="F2591" s="8" t="inlineStr">
        <is>
          <t>en.applicationProcess[0].process[1]</t>
        </is>
      </c>
      <c r="G2591" s="8" t="inlineStr">
        <is>
          <t>M09@20261028-3555bc31</t>
        </is>
      </c>
      <c r="H2591" s="8" t="n">
        <v>1</v>
      </c>
      <c r="I2591" s="8" t="n">
        <v>1</v>
      </c>
      <c r="J2591" s="8" t="inlineStr">
        <is>
          <t>Step 2: In the application form, fill in all the mandatory fields, paste the passport-sized photograph (signed across, if required), and attach copies of all the mandatory documents (self-attest, if required).</t>
        </is>
      </c>
      <c r="K2591" s="8" t="inlineStr">
        <is>
          <t>MS-M09</t>
        </is>
      </c>
      <c r="L2591" s="9" t="n">
        <v>46323</v>
      </c>
      <c r="M2591" s="8" t="inlineStr">
        <is>
          <t>Approved</t>
        </is>
      </c>
      <c r="N2591" s="8" t="inlineStr">
        <is>
          <t>paragraph</t>
        </is>
      </c>
    </row>
    <row r="2592" ht="40" customHeight="1">
      <c r="A2592" s="4" t="inlineStr">
        <is>
          <t>M09-P0015</t>
        </is>
      </c>
      <c r="B2592" s="4" t="inlineStr">
        <is>
          <t>M09</t>
        </is>
      </c>
      <c r="C2592" s="4" t="inlineStr">
        <is>
          <t>Mahila Samridhi Yojana (Maharashtra)</t>
        </is>
      </c>
      <c r="D2592" s="4" t="inlineStr">
        <is>
          <t>Application process</t>
        </is>
      </c>
      <c r="E2592" s="4" t="inlineStr"/>
      <c r="F2592" s="4" t="inlineStr">
        <is>
          <t>en.applicationProcess[0].process[2]</t>
        </is>
      </c>
      <c r="G2592" s="4" t="inlineStr">
        <is>
          <t>M09@20261028-3555bc31</t>
        </is>
      </c>
      <c r="H2592" s="4" t="n">
        <v>1</v>
      </c>
      <c r="I2592" s="4" t="n">
        <v>1</v>
      </c>
      <c r="J2592" s="4" t="inlineStr">
        <is>
          <t>Step 3: Submit the duly filled and signed application form along with the documents, within the prescribed period (if any), to the District Office of LIDCOM.</t>
        </is>
      </c>
      <c r="K2592" s="4" t="inlineStr">
        <is>
          <t>MS-M09</t>
        </is>
      </c>
      <c r="L2592" s="6" t="n">
        <v>46323</v>
      </c>
      <c r="M2592" s="4" t="inlineStr">
        <is>
          <t>Approved</t>
        </is>
      </c>
      <c r="N2592" s="4" t="inlineStr">
        <is>
          <t>paragraph</t>
        </is>
      </c>
    </row>
    <row r="2593" ht="54" customHeight="1">
      <c r="A2593" s="8" t="inlineStr">
        <is>
          <t>M09-P0016</t>
        </is>
      </c>
      <c r="B2593" s="8" t="inlineStr">
        <is>
          <t>M09</t>
        </is>
      </c>
      <c r="C2593" s="8" t="inlineStr">
        <is>
          <t>Mahila Samridhi Yojana (Maharashtra)</t>
        </is>
      </c>
      <c r="D2593" s="8" t="inlineStr">
        <is>
          <t>Application process</t>
        </is>
      </c>
      <c r="E2593" s="8" t="inlineStr"/>
      <c r="F2593" s="8" t="inlineStr">
        <is>
          <t>en.applicationProcess[0].process[3]</t>
        </is>
      </c>
      <c r="G2593" s="8" t="inlineStr">
        <is>
          <t>M09@20261028-3555bc31</t>
        </is>
      </c>
      <c r="H2593" s="8" t="n">
        <v>1</v>
      </c>
      <c r="I2593" s="8" t="n">
        <v>1</v>
      </c>
      <c r="J2593" s="8"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K2593" s="8" t="inlineStr">
        <is>
          <t>MS-M09</t>
        </is>
      </c>
      <c r="L2593" s="9" t="n">
        <v>46323</v>
      </c>
      <c r="M2593" s="8" t="inlineStr">
        <is>
          <t>Approved</t>
        </is>
      </c>
      <c r="N2593" s="8" t="inlineStr">
        <is>
          <t>paragraph</t>
        </is>
      </c>
    </row>
    <row r="2594" ht="40" customHeight="1">
      <c r="A2594" s="4" t="inlineStr">
        <is>
          <t>M09-P0017</t>
        </is>
      </c>
      <c r="B2594" s="4" t="inlineStr">
        <is>
          <t>M09</t>
        </is>
      </c>
      <c r="C2594" s="4" t="inlineStr">
        <is>
          <t>Mahila Samridhi Yojana (Maharashtra)</t>
        </is>
      </c>
      <c r="D2594" s="4" t="inlineStr">
        <is>
          <t>Application process</t>
        </is>
      </c>
      <c r="E2594" s="4" t="inlineStr"/>
      <c r="F2594" s="4" t="inlineStr">
        <is>
          <t>en.applicationProcess[0].process[4]</t>
        </is>
      </c>
      <c r="G2594" s="4" t="inlineStr">
        <is>
          <t>M09@20261028-3555bc31</t>
        </is>
      </c>
      <c r="H2594" s="4" t="n">
        <v>1</v>
      </c>
      <c r="I2594" s="4" t="n">
        <v>1</v>
      </c>
      <c r="J2594" s="4" t="inlineStr">
        <is>
          <t>NOTE: Ensure that the application is submitted within the prescribed period, if any.</t>
        </is>
      </c>
      <c r="K2594" s="4" t="inlineStr">
        <is>
          <t>MS-M09</t>
        </is>
      </c>
      <c r="L2594" s="6" t="n">
        <v>46323</v>
      </c>
      <c r="M2594" s="4" t="inlineStr">
        <is>
          <t>Approved</t>
        </is>
      </c>
      <c r="N2594" s="4" t="inlineStr">
        <is>
          <t>paragraph</t>
        </is>
      </c>
    </row>
    <row r="2595" ht="54" customHeight="1">
      <c r="A2595" s="8" t="inlineStr">
        <is>
          <t>M09-P0018</t>
        </is>
      </c>
      <c r="B2595" s="8" t="inlineStr">
        <is>
          <t>M09</t>
        </is>
      </c>
      <c r="C2595" s="8" t="inlineStr">
        <is>
          <t>Mahila Samridhi Yojana (Maharashtra)</t>
        </is>
      </c>
      <c r="D2595" s="8" t="inlineStr">
        <is>
          <t>FAQ</t>
        </is>
      </c>
      <c r="E2595" s="8" t="inlineStr"/>
      <c r="F2595" s="8" t="inlineStr">
        <is>
          <t>faqs.en.faqs[0]</t>
        </is>
      </c>
      <c r="G2595" s="8" t="inlineStr">
        <is>
          <t>M09@20261028-3555bc31</t>
        </is>
      </c>
      <c r="H2595" s="8" t="n">
        <v>1</v>
      </c>
      <c r="I2595" s="8" t="n">
        <v>1</v>
      </c>
      <c r="J2595" s="8" t="inlineStr">
        <is>
          <t>What is the primary focus of the Mahila Samridhi Yojana in terms of community development?
The scheme primarily focuses on enhancing the socio-economic standing of the Charmakar community by promoting self-reliance through financial assistance.</t>
        </is>
      </c>
      <c r="K2595" s="8" t="inlineStr">
        <is>
          <t>MS-M09</t>
        </is>
      </c>
      <c r="L2595" s="9" t="n">
        <v>46323</v>
      </c>
      <c r="M2595" s="8" t="inlineStr">
        <is>
          <t>Approved</t>
        </is>
      </c>
      <c r="N2595" s="8" t="inlineStr">
        <is>
          <t>faq</t>
        </is>
      </c>
    </row>
    <row r="2596" ht="54" customHeight="1">
      <c r="A2596" s="4" t="inlineStr">
        <is>
          <t>M09-P0019</t>
        </is>
      </c>
      <c r="B2596" s="4" t="inlineStr">
        <is>
          <t>M09</t>
        </is>
      </c>
      <c r="C2596" s="4" t="inlineStr">
        <is>
          <t>Mahila Samridhi Yojana (Maharashtra)</t>
        </is>
      </c>
      <c r="D2596" s="4" t="inlineStr">
        <is>
          <t>FAQ</t>
        </is>
      </c>
      <c r="E2596" s="4" t="inlineStr"/>
      <c r="F2596" s="4" t="inlineStr">
        <is>
          <t>faqs.en.faqs[1]</t>
        </is>
      </c>
      <c r="G2596" s="4" t="inlineStr">
        <is>
          <t>M09@20261028-3555bc31</t>
        </is>
      </c>
      <c r="H2596" s="4" t="n">
        <v>1</v>
      </c>
      <c r="I2596" s="4" t="n">
        <v>1</v>
      </c>
      <c r="J2596" s="4" t="inlineStr">
        <is>
          <t>Is there any financial cap on the subsidies or benefits provided under the scheme?
Yes, loans are capped between ₹25,000 and ₹50,000 per beneficiary, with a low-interest rate of 4% per annum.</t>
        </is>
      </c>
      <c r="K2596" s="4" t="inlineStr">
        <is>
          <t>MS-M09</t>
        </is>
      </c>
      <c r="L2596" s="6" t="n">
        <v>46323</v>
      </c>
      <c r="M2596" s="4" t="inlineStr">
        <is>
          <t>Approved</t>
        </is>
      </c>
      <c r="N2596" s="4" t="inlineStr">
        <is>
          <t>faq</t>
        </is>
      </c>
    </row>
    <row r="2597" ht="54" customHeight="1">
      <c r="A2597" s="8" t="inlineStr">
        <is>
          <t>M09-P0020</t>
        </is>
      </c>
      <c r="B2597" s="8" t="inlineStr">
        <is>
          <t>M09</t>
        </is>
      </c>
      <c r="C2597" s="8" t="inlineStr">
        <is>
          <t>Mahila Samridhi Yojana (Maharashtra)</t>
        </is>
      </c>
      <c r="D2597" s="8" t="inlineStr">
        <is>
          <t>FAQ</t>
        </is>
      </c>
      <c r="E2597" s="8" t="inlineStr"/>
      <c r="F2597" s="8" t="inlineStr">
        <is>
          <t>faqs.en.faqs[2]</t>
        </is>
      </c>
      <c r="G2597" s="8" t="inlineStr">
        <is>
          <t>M09@20261028-3555bc31</t>
        </is>
      </c>
      <c r="H2597" s="8" t="n">
        <v>1</v>
      </c>
      <c r="I2597" s="8" t="n">
        <v>1</v>
      </c>
      <c r="J2597" s="8" t="inlineStr">
        <is>
          <t>Can male members of the Charmakar community apply under this scheme?
No, the Mahila Samridhi Yojana is specifically designed to provide financial assistance to female members of the Charmakar community.</t>
        </is>
      </c>
      <c r="K2597" s="8" t="inlineStr">
        <is>
          <t>MS-M09</t>
        </is>
      </c>
      <c r="L2597" s="9" t="n">
        <v>46323</v>
      </c>
      <c r="M2597" s="8" t="inlineStr">
        <is>
          <t>Approved</t>
        </is>
      </c>
      <c r="N2597" s="8" t="inlineStr">
        <is>
          <t>faq</t>
        </is>
      </c>
    </row>
    <row r="2598" ht="82" customHeight="1">
      <c r="A2598" s="4" t="inlineStr">
        <is>
          <t>M09-P0021</t>
        </is>
      </c>
      <c r="B2598" s="4" t="inlineStr">
        <is>
          <t>M09</t>
        </is>
      </c>
      <c r="C2598" s="4" t="inlineStr">
        <is>
          <t>Mahila Samridhi Yojana (Maharashtra)</t>
        </is>
      </c>
      <c r="D2598" s="4" t="inlineStr">
        <is>
          <t>FAQ</t>
        </is>
      </c>
      <c r="E2598" s="4" t="inlineStr"/>
      <c r="F2598" s="4" t="inlineStr">
        <is>
          <t>faqs.en.faqs[3]</t>
        </is>
      </c>
      <c r="G2598" s="4" t="inlineStr">
        <is>
          <t>M09@20261028-3555bc31</t>
        </is>
      </c>
      <c r="H2598" s="4" t="n">
        <v>1</v>
      </c>
      <c r="I2598" s="4" t="n">
        <v>1</v>
      </c>
      <c r="J2598" s="4" t="inlineStr">
        <is>
          <t>How does the Mahila Samridhi Yojana contribute to the socio-economic development of its beneficiaries?
By offering financial assistance at a low-interest rate and prioritising socially disadvantaged categories such as widows and divorcees, the scheme enables economic independence and enhances the quality of life for beneficiaries.</t>
        </is>
      </c>
      <c r="K2598" s="4" t="inlineStr">
        <is>
          <t>MS-M09</t>
        </is>
      </c>
      <c r="L2598" s="6" t="n">
        <v>46323</v>
      </c>
      <c r="M2598" s="4" t="inlineStr">
        <is>
          <t>Approved</t>
        </is>
      </c>
      <c r="N2598" s="4" t="inlineStr">
        <is>
          <t>faq</t>
        </is>
      </c>
    </row>
    <row r="2599" ht="68" customHeight="1">
      <c r="A2599" s="8" t="inlineStr">
        <is>
          <t>M09-P0022</t>
        </is>
      </c>
      <c r="B2599" s="8" t="inlineStr">
        <is>
          <t>M09</t>
        </is>
      </c>
      <c r="C2599" s="8" t="inlineStr">
        <is>
          <t>Mahila Samridhi Yojana (Maharashtra)</t>
        </is>
      </c>
      <c r="D2599" s="8" t="inlineStr">
        <is>
          <t>FAQ</t>
        </is>
      </c>
      <c r="E2599" s="8" t="inlineStr"/>
      <c r="F2599" s="8" t="inlineStr">
        <is>
          <t>faqs.en.faqs[4]</t>
        </is>
      </c>
      <c r="G2599" s="8" t="inlineStr">
        <is>
          <t>M09@20261028-3555bc31</t>
        </is>
      </c>
      <c r="H2599" s="8" t="n">
        <v>1</v>
      </c>
      <c r="I2599" s="8" t="n">
        <v>1</v>
      </c>
      <c r="J2599" s="8" t="inlineStr">
        <is>
          <t>Is there any training or skill development assistance provided under the Mahila Samridhi Yojana?
No specific training is mentioned in the scheme guidelines, but applicants are expected to have prior knowledge of the business they wish to pursue.</t>
        </is>
      </c>
      <c r="K2599" s="8" t="inlineStr">
        <is>
          <t>MS-M09</t>
        </is>
      </c>
      <c r="L2599" s="9" t="n">
        <v>46323</v>
      </c>
      <c r="M2599" s="8" t="inlineStr">
        <is>
          <t>Approved</t>
        </is>
      </c>
      <c r="N2599" s="8" t="inlineStr">
        <is>
          <t>faq</t>
        </is>
      </c>
    </row>
    <row r="2600" ht="68" customHeight="1">
      <c r="A2600" s="4" t="inlineStr">
        <is>
          <t>M09-P0023</t>
        </is>
      </c>
      <c r="B2600" s="4" t="inlineStr">
        <is>
          <t>M09</t>
        </is>
      </c>
      <c r="C2600" s="4" t="inlineStr">
        <is>
          <t>Mahila Samridhi Yojana (Maharashtra)</t>
        </is>
      </c>
      <c r="D2600" s="4" t="inlineStr">
        <is>
          <t>FAQ</t>
        </is>
      </c>
      <c r="E2600" s="4" t="inlineStr"/>
      <c r="F2600" s="4" t="inlineStr">
        <is>
          <t>faqs.en.faqs[5]</t>
        </is>
      </c>
      <c r="G2600" s="4" t="inlineStr">
        <is>
          <t>M09@20261028-3555bc31</t>
        </is>
      </c>
      <c r="H2600" s="4" t="n">
        <v>1</v>
      </c>
      <c r="I2600" s="4" t="n">
        <v>1</v>
      </c>
      <c r="J2600" s="4" t="inlineStr">
        <is>
          <t>What role does the Leather Industries Development Corporation of Maharashtra (LIDCOM) play in this scheme?
LIDCOM oversees the distribution of application forms, processing of applications, and facilitation of financial assistance for eligible beneficiaries.</t>
        </is>
      </c>
      <c r="K2600" s="4" t="inlineStr">
        <is>
          <t>MS-M09</t>
        </is>
      </c>
      <c r="L2600" s="6" t="n">
        <v>46323</v>
      </c>
      <c r="M2600" s="4" t="inlineStr">
        <is>
          <t>Approved</t>
        </is>
      </c>
      <c r="N2600" s="4" t="inlineStr">
        <is>
          <t>faq</t>
        </is>
      </c>
    </row>
    <row r="2601" ht="54" customHeight="1">
      <c r="A2601" s="8" t="inlineStr">
        <is>
          <t>M09-P0024</t>
        </is>
      </c>
      <c r="B2601" s="8" t="inlineStr">
        <is>
          <t>M09</t>
        </is>
      </c>
      <c r="C2601" s="8" t="inlineStr">
        <is>
          <t>Mahila Samridhi Yojana (Maharashtra)</t>
        </is>
      </c>
      <c r="D2601" s="8" t="inlineStr">
        <is>
          <t>FAQ</t>
        </is>
      </c>
      <c r="E2601" s="8" t="inlineStr"/>
      <c r="F2601" s="8" t="inlineStr">
        <is>
          <t>faqs.en.faqs[6]</t>
        </is>
      </c>
      <c r="G2601" s="8" t="inlineStr">
        <is>
          <t>M09@20261028-3555bc31</t>
        </is>
      </c>
      <c r="H2601" s="8" t="n">
        <v>1</v>
      </c>
      <c r="I2601" s="8" t="n">
        <v>1</v>
      </c>
      <c r="J2601" s="8" t="inlineStr">
        <is>
          <t>Does the Mahila Samridhi Yojana assist in the production and sale of goods?
Yes, the scheme supports the production of footwear and leather articles, which are either supplied to government departments or sold in the open market.</t>
        </is>
      </c>
      <c r="K2601" s="8" t="inlineStr">
        <is>
          <t>MS-M09</t>
        </is>
      </c>
      <c r="L2601" s="9" t="n">
        <v>46323</v>
      </c>
      <c r="M2601" s="8" t="inlineStr">
        <is>
          <t>Approved</t>
        </is>
      </c>
      <c r="N2601" s="8" t="inlineStr">
        <is>
          <t>faq</t>
        </is>
      </c>
    </row>
    <row r="2602" ht="54" customHeight="1">
      <c r="A2602" s="4" t="inlineStr">
        <is>
          <t>M09-P0025</t>
        </is>
      </c>
      <c r="B2602" s="4" t="inlineStr">
        <is>
          <t>M09</t>
        </is>
      </c>
      <c r="C2602" s="4" t="inlineStr">
        <is>
          <t>Mahila Samridhi Yojana (Maharashtra)</t>
        </is>
      </c>
      <c r="D2602" s="4" t="inlineStr">
        <is>
          <t>FAQ</t>
        </is>
      </c>
      <c r="E2602" s="4" t="inlineStr"/>
      <c r="F2602" s="4" t="inlineStr">
        <is>
          <t>faqs.en.faqs[7]</t>
        </is>
      </c>
      <c r="G2602" s="4" t="inlineStr">
        <is>
          <t>M09@20261028-3555bc31</t>
        </is>
      </c>
      <c r="H2602" s="4" t="n">
        <v>1</v>
      </c>
      <c r="I2602" s="4" t="n">
        <v>1</v>
      </c>
      <c r="J2602" s="4" t="inlineStr">
        <is>
          <t>Where can eligible applicants obtain the application form for the Mahila Samridhi Yojana?
The application form is available at the District Office of the Leather Industries Development Corporation of Maharashtra (LIDCOM).</t>
        </is>
      </c>
      <c r="K2602" s="4" t="inlineStr">
        <is>
          <t>MS-M09</t>
        </is>
      </c>
      <c r="L2602" s="6" t="n">
        <v>46323</v>
      </c>
      <c r="M2602" s="4" t="inlineStr">
        <is>
          <t>Approved</t>
        </is>
      </c>
      <c r="N2602" s="4" t="inlineStr">
        <is>
          <t>faq</t>
        </is>
      </c>
    </row>
    <row r="2603" ht="68" customHeight="1">
      <c r="A2603" s="8" t="inlineStr">
        <is>
          <t>M09-P0026</t>
        </is>
      </c>
      <c r="B2603" s="8" t="inlineStr">
        <is>
          <t>M09</t>
        </is>
      </c>
      <c r="C2603" s="8" t="inlineStr">
        <is>
          <t>Mahila Samridhi Yojana (Maharashtra)</t>
        </is>
      </c>
      <c r="D2603" s="8" t="inlineStr">
        <is>
          <t>FAQ</t>
        </is>
      </c>
      <c r="E2603" s="8" t="inlineStr"/>
      <c r="F2603" s="8" t="inlineStr">
        <is>
          <t>faqs.en.faqs[8]</t>
        </is>
      </c>
      <c r="G2603" s="8" t="inlineStr">
        <is>
          <t>M09@20261028-3555bc31</t>
        </is>
      </c>
      <c r="H2603" s="8" t="n">
        <v>1</v>
      </c>
      <c r="I2603" s="8" t="n">
        <v>1</v>
      </c>
      <c r="J2603" s="8" t="inlineStr">
        <is>
          <t>Are there any special priorities for certain categories of beneficiaries under the Mahila Samridhi Yojana?
Yes, special priority is given to widows and divorcees within the Charmakar community when providing financial assistance.</t>
        </is>
      </c>
      <c r="K2603" s="8" t="inlineStr">
        <is>
          <t>MS-M09</t>
        </is>
      </c>
      <c r="L2603" s="9" t="n">
        <v>46323</v>
      </c>
      <c r="M2603" s="8" t="inlineStr">
        <is>
          <t>Approved</t>
        </is>
      </c>
      <c r="N2603" s="8" t="inlineStr">
        <is>
          <t>faq</t>
        </is>
      </c>
    </row>
    <row r="2604" ht="68" customHeight="1">
      <c r="A2604" s="4" t="inlineStr">
        <is>
          <t>M09-P0027</t>
        </is>
      </c>
      <c r="B2604" s="4" t="inlineStr">
        <is>
          <t>M09</t>
        </is>
      </c>
      <c r="C2604" s="4" t="inlineStr">
        <is>
          <t>Mahila Samridhi Yojana (Maharashtra)</t>
        </is>
      </c>
      <c r="D2604" s="4" t="inlineStr">
        <is>
          <t>FAQ</t>
        </is>
      </c>
      <c r="E2604" s="4" t="inlineStr"/>
      <c r="F2604" s="4" t="inlineStr">
        <is>
          <t>faqs.en.faqs[9]</t>
        </is>
      </c>
      <c r="G2604" s="4" t="inlineStr">
        <is>
          <t>M09@20261028-3555bc31</t>
        </is>
      </c>
      <c r="H2604" s="4" t="n">
        <v>1</v>
      </c>
      <c r="I2604" s="4" t="n">
        <v>1</v>
      </c>
      <c r="J2604" s="4" t="inlineStr">
        <is>
          <t>What kind of financial assistance is provided to beneficiaries under the Mahila Samridhi Yojana?
Loans ranging from ₹25,000 to ₹50,000 are provided to eligible beneficiaries at an interest rate of 4% per annum.</t>
        </is>
      </c>
      <c r="K2604" s="4" t="inlineStr">
        <is>
          <t>MS-M09</t>
        </is>
      </c>
      <c r="L2604" s="6" t="n">
        <v>46323</v>
      </c>
      <c r="M2604" s="4" t="inlineStr">
        <is>
          <t>Approved</t>
        </is>
      </c>
      <c r="N2604" s="4" t="inlineStr">
        <is>
          <t>faq</t>
        </is>
      </c>
    </row>
    <row r="2605" ht="54" customHeight="1">
      <c r="A2605" s="8" t="inlineStr">
        <is>
          <t>M09-P0028</t>
        </is>
      </c>
      <c r="B2605" s="8" t="inlineStr">
        <is>
          <t>M09</t>
        </is>
      </c>
      <c r="C2605" s="8" t="inlineStr">
        <is>
          <t>Mahila Samridhi Yojana (Maharashtra)</t>
        </is>
      </c>
      <c r="D2605" s="8" t="inlineStr">
        <is>
          <t>FAQ</t>
        </is>
      </c>
      <c r="E2605" s="8" t="inlineStr"/>
      <c r="F2605" s="8" t="inlineStr">
        <is>
          <t>faqs.en.faqs[10]</t>
        </is>
      </c>
      <c r="G2605" s="8" t="inlineStr">
        <is>
          <t>M09@20261028-3555bc31</t>
        </is>
      </c>
      <c r="H2605" s="8" t="n">
        <v>1</v>
      </c>
      <c r="I2605" s="8" t="n">
        <v>1</v>
      </c>
      <c r="J2605" s="8" t="inlineStr">
        <is>
          <t>Is there a specific age range for applicants to be eligible for the scheme?
Yes, applicants must be between 18 and 50 years of age to apply for benefits under the Mahila Samridhi Yojana.</t>
        </is>
      </c>
      <c r="K2605" s="8" t="inlineStr">
        <is>
          <t>MS-M09</t>
        </is>
      </c>
      <c r="L2605" s="9" t="n">
        <v>46323</v>
      </c>
      <c r="M2605" s="8" t="inlineStr">
        <is>
          <t>Approved</t>
        </is>
      </c>
      <c r="N2605" s="8" t="inlineStr">
        <is>
          <t>faq</t>
        </is>
      </c>
    </row>
    <row r="2606" ht="54" customHeight="1">
      <c r="A2606" s="4" t="inlineStr">
        <is>
          <t>M09-P0029</t>
        </is>
      </c>
      <c r="B2606" s="4" t="inlineStr">
        <is>
          <t>M09</t>
        </is>
      </c>
      <c r="C2606" s="4" t="inlineStr">
        <is>
          <t>Mahila Samridhi Yojana (Maharashtra)</t>
        </is>
      </c>
      <c r="D2606" s="4" t="inlineStr">
        <is>
          <t>FAQ</t>
        </is>
      </c>
      <c r="E2606" s="4" t="inlineStr"/>
      <c r="F2606" s="4" t="inlineStr">
        <is>
          <t>faqs.en.faqs[11]</t>
        </is>
      </c>
      <c r="G2606" s="4" t="inlineStr">
        <is>
          <t>M09@20261028-3555bc31</t>
        </is>
      </c>
      <c r="H2606" s="4" t="n">
        <v>1</v>
      </c>
      <c r="I2606" s="4" t="n">
        <v>1</v>
      </c>
      <c r="J2606" s="4" t="inlineStr">
        <is>
          <t>Are there any specific business requirements for applicants under this scheme?
Yes, applicants must possess adequate knowledge about the business for which they are seeking financial assistance under the scheme.</t>
        </is>
      </c>
      <c r="K2606" s="4" t="inlineStr">
        <is>
          <t>MS-M09</t>
        </is>
      </c>
      <c r="L2606" s="6" t="n">
        <v>46323</v>
      </c>
      <c r="M2606" s="4" t="inlineStr">
        <is>
          <t>Approved</t>
        </is>
      </c>
      <c r="N2606" s="4" t="inlineStr">
        <is>
          <t>faq</t>
        </is>
      </c>
    </row>
    <row r="2607" ht="54" customHeight="1">
      <c r="A2607" s="8" t="inlineStr">
        <is>
          <t>M09-P0030</t>
        </is>
      </c>
      <c r="B2607" s="8" t="inlineStr">
        <is>
          <t>M09</t>
        </is>
      </c>
      <c r="C2607" s="8" t="inlineStr">
        <is>
          <t>Mahila Samridhi Yojana (Maharashtra)</t>
        </is>
      </c>
      <c r="D2607" s="8" t="inlineStr">
        <is>
          <t>FAQ</t>
        </is>
      </c>
      <c r="E2607" s="8" t="inlineStr"/>
      <c r="F2607" s="8" t="inlineStr">
        <is>
          <t>faqs.en.faqs[12]</t>
        </is>
      </c>
      <c r="G2607" s="8" t="inlineStr">
        <is>
          <t>M09@20261028-3555bc31</t>
        </is>
      </c>
      <c r="H2607" s="8" t="n">
        <v>1</v>
      </c>
      <c r="I2607" s="8" t="n">
        <v>1</v>
      </c>
      <c r="J2607" s="8" t="inlineStr">
        <is>
          <t>What proof of eligibility needs to be submitted while applying for the Mahila Samridhi Yojana?
Applicants need to submit income and caste certificates issued by an authorised government officer and provide proof of permanent residency in Maharashtra.</t>
        </is>
      </c>
      <c r="K2607" s="8" t="inlineStr">
        <is>
          <t>MS-M09</t>
        </is>
      </c>
      <c r="L2607" s="9" t="n">
        <v>46323</v>
      </c>
      <c r="M2607" s="8" t="inlineStr">
        <is>
          <t>Approved</t>
        </is>
      </c>
      <c r="N2607" s="8" t="inlineStr">
        <is>
          <t>faq</t>
        </is>
      </c>
    </row>
    <row r="2608" ht="68" customHeight="1">
      <c r="A2608" s="4" t="inlineStr">
        <is>
          <t>M09-P0031</t>
        </is>
      </c>
      <c r="B2608" s="4" t="inlineStr">
        <is>
          <t>M09</t>
        </is>
      </c>
      <c r="C2608" s="4" t="inlineStr">
        <is>
          <t>Mahila Samridhi Yojana (Maharashtra)</t>
        </is>
      </c>
      <c r="D2608" s="4" t="inlineStr">
        <is>
          <t>FAQ</t>
        </is>
      </c>
      <c r="E2608" s="4" t="inlineStr"/>
      <c r="F2608" s="4" t="inlineStr">
        <is>
          <t>faqs.en.faqs[13]</t>
        </is>
      </c>
      <c r="G2608" s="4" t="inlineStr">
        <is>
          <t>M09@20261028-3555bc31</t>
        </is>
      </c>
      <c r="H2608" s="4" t="n">
        <v>1</v>
      </c>
      <c r="I2608" s="4" t="n">
        <v>1</v>
      </c>
      <c r="J2608" s="4" t="inlineStr">
        <is>
          <t>What are the income limits for applicants to qualify for the Mahila Samridhi Yojana in rural and urban areas?
To qualify for the scheme, applicants' annual income must be below ₹98,000 in rural areas and below ₹1,20,000 in urban areas.</t>
        </is>
      </c>
      <c r="K2608" s="4" t="inlineStr">
        <is>
          <t>MS-M09</t>
        </is>
      </c>
      <c r="L2608" s="6" t="n">
        <v>46323</v>
      </c>
      <c r="M2608" s="4" t="inlineStr">
        <is>
          <t>Approved</t>
        </is>
      </c>
      <c r="N2608" s="4" t="inlineStr">
        <is>
          <t>faq</t>
        </is>
      </c>
    </row>
    <row r="2609" ht="96" customHeight="1">
      <c r="A2609" s="8" t="inlineStr">
        <is>
          <t>M10-P0001</t>
        </is>
      </c>
      <c r="B2609" s="8" t="inlineStr">
        <is>
          <t>M10</t>
        </is>
      </c>
      <c r="C2609" s="8" t="inlineStr">
        <is>
          <t>Financial Assistance For Aids And Appliances For Disabled Persons</t>
        </is>
      </c>
      <c r="D2609" s="8" t="inlineStr">
        <is>
          <t>Details</t>
        </is>
      </c>
      <c r="E2609" s="8" t="inlineStr"/>
      <c r="F2609" s="8" t="inlineStr">
        <is>
          <t>en.schemeContent.detailedDescription[0]</t>
        </is>
      </c>
      <c r="G2609" s="8" t="inlineStr">
        <is>
          <t>M10@20261028-72a47e36</t>
        </is>
      </c>
      <c r="H2609" s="8" t="n">
        <v>1</v>
      </c>
      <c r="I2609" s="8" t="n">
        <v>1</v>
      </c>
      <c r="J2609" s="8" t="inlineStr">
        <is>
          <t>The "Financial Assistance for Aids and Appliances for Disabled Persons" is a scheme by the Department of Social Justice &amp; Special Assistance, Govt. of Maharashtra. The objective of this scheme is to provide assistance to Persons with Disabilities (PwDs) for the purchase of aids and appliances as per their age group and the type of disability. Only citizens who are permanent residents of the state of Maharashtra are eligible to apply for this scheme. This scheme is 100% funded by the Govt. of Maharashtra.</t>
        </is>
      </c>
      <c r="K2609" s="8" t="inlineStr">
        <is>
          <t>MS-M10</t>
        </is>
      </c>
      <c r="L2609" s="9" t="n">
        <v>46323</v>
      </c>
      <c r="M2609" s="8" t="inlineStr">
        <is>
          <t>Approved</t>
        </is>
      </c>
      <c r="N2609" s="8" t="inlineStr">
        <is>
          <t>paragraph</t>
        </is>
      </c>
    </row>
    <row r="2610" ht="40" customHeight="1">
      <c r="A2610" s="4" t="inlineStr">
        <is>
          <t>M10-P0002</t>
        </is>
      </c>
      <c r="B2610" s="4" t="inlineStr">
        <is>
          <t>M10</t>
        </is>
      </c>
      <c r="C2610" s="4" t="inlineStr">
        <is>
          <t>Financial Assistance For Aids And Appliances For Disabled Persons</t>
        </is>
      </c>
      <c r="D2610" s="4" t="inlineStr">
        <is>
          <t>Benefits</t>
        </is>
      </c>
      <c r="E2610" s="4" t="inlineStr"/>
      <c r="F2610" s="4" t="inlineStr">
        <is>
          <t>en.schemeContent.benefits[0].children[0]</t>
        </is>
      </c>
      <c r="G2610" s="4" t="inlineStr">
        <is>
          <t>M10@20261028-72a47e36</t>
        </is>
      </c>
      <c r="H2610" s="4" t="n">
        <v>1</v>
      </c>
      <c r="I2610" s="4" t="n">
        <v>1</v>
      </c>
      <c r="J2610" s="4" t="inlineStr">
        <is>
          <t>For Hearing Handicapped: Hearing Aids.</t>
        </is>
      </c>
      <c r="K2610" s="4" t="inlineStr">
        <is>
          <t>MS-M10</t>
        </is>
      </c>
      <c r="L2610" s="6" t="n">
        <v>46323</v>
      </c>
      <c r="M2610" s="4" t="inlineStr">
        <is>
          <t>Approved</t>
        </is>
      </c>
      <c r="N2610" s="4" t="inlineStr">
        <is>
          <t>list_item</t>
        </is>
      </c>
    </row>
    <row r="2611" ht="40" customHeight="1">
      <c r="A2611" s="8" t="inlineStr">
        <is>
          <t>M10-P0003</t>
        </is>
      </c>
      <c r="B2611" s="8" t="inlineStr">
        <is>
          <t>M10</t>
        </is>
      </c>
      <c r="C2611" s="8" t="inlineStr">
        <is>
          <t>Financial Assistance For Aids And Appliances For Disabled Persons</t>
        </is>
      </c>
      <c r="D2611" s="8" t="inlineStr">
        <is>
          <t>Benefits</t>
        </is>
      </c>
      <c r="E2611" s="8" t="inlineStr"/>
      <c r="F2611" s="8" t="inlineStr">
        <is>
          <t>en.schemeContent.benefits[0].children[1]</t>
        </is>
      </c>
      <c r="G2611" s="8" t="inlineStr">
        <is>
          <t>M10@20261028-72a47e36</t>
        </is>
      </c>
      <c r="H2611" s="8" t="n">
        <v>1</v>
      </c>
      <c r="I2611" s="8" t="n">
        <v>1</v>
      </c>
      <c r="J2611" s="8" t="inlineStr">
        <is>
          <t>For Orthopedically Handicapped: Crutches, Tricycles, Calipers, Wheel Chair.</t>
        </is>
      </c>
      <c r="K2611" s="8" t="inlineStr">
        <is>
          <t>MS-M10</t>
        </is>
      </c>
      <c r="L2611" s="9" t="n">
        <v>46323</v>
      </c>
      <c r="M2611" s="8" t="inlineStr">
        <is>
          <t>Approved</t>
        </is>
      </c>
      <c r="N2611" s="8" t="inlineStr">
        <is>
          <t>list_item</t>
        </is>
      </c>
    </row>
    <row r="2612" ht="40" customHeight="1">
      <c r="A2612" s="4" t="inlineStr">
        <is>
          <t>M10-P0004</t>
        </is>
      </c>
      <c r="B2612" s="4" t="inlineStr">
        <is>
          <t>M10</t>
        </is>
      </c>
      <c r="C2612" s="4" t="inlineStr">
        <is>
          <t>Financial Assistance For Aids And Appliances For Disabled Persons</t>
        </is>
      </c>
      <c r="D2612" s="4" t="inlineStr">
        <is>
          <t>Benefits</t>
        </is>
      </c>
      <c r="E2612" s="4" t="inlineStr"/>
      <c r="F2612" s="4" t="inlineStr">
        <is>
          <t>en.schemeContent.benefits[0].children[2]</t>
        </is>
      </c>
      <c r="G2612" s="4" t="inlineStr">
        <is>
          <t>M10@20261028-72a47e36</t>
        </is>
      </c>
      <c r="H2612" s="4" t="n">
        <v>1</v>
      </c>
      <c r="I2612" s="4" t="n">
        <v>1</v>
      </c>
      <c r="J2612" s="4" t="inlineStr">
        <is>
          <t>For Visually Handicapped: Tape Recorders and Blank Cassettes for Education Purposes Up to Cost of ₹3,000/-.</t>
        </is>
      </c>
      <c r="K2612" s="4" t="inlineStr">
        <is>
          <t>MS-M10</t>
        </is>
      </c>
      <c r="L2612" s="6" t="n">
        <v>46323</v>
      </c>
      <c r="M2612" s="4" t="inlineStr">
        <is>
          <t>Approved</t>
        </is>
      </c>
      <c r="N2612" s="4" t="inlineStr">
        <is>
          <t>list_item</t>
        </is>
      </c>
    </row>
    <row r="2613" ht="40" customHeight="1">
      <c r="A2613" s="8" t="inlineStr">
        <is>
          <t>M10-P0005</t>
        </is>
      </c>
      <c r="B2613" s="8" t="inlineStr">
        <is>
          <t>M10</t>
        </is>
      </c>
      <c r="C2613" s="8" t="inlineStr">
        <is>
          <t>Financial Assistance For Aids And Appliances For Disabled Persons</t>
        </is>
      </c>
      <c r="D2613" s="8" t="inlineStr">
        <is>
          <t>Eligibility</t>
        </is>
      </c>
      <c r="E2613" s="8" t="inlineStr"/>
      <c r="F2613" s="8" t="inlineStr">
        <is>
          <t>en.eligibilityCriteria.eligibilityDescription[0].children[0]</t>
        </is>
      </c>
      <c r="G2613" s="8" t="inlineStr">
        <is>
          <t>M10@20261028-72a47e36</t>
        </is>
      </c>
      <c r="H2613" s="8" t="n">
        <v>1</v>
      </c>
      <c r="I2613" s="8" t="n">
        <v>1</v>
      </c>
      <c r="J2613" s="8" t="inlineStr">
        <is>
          <t>The applicant should be a citizen of India.</t>
        </is>
      </c>
      <c r="K2613" s="8" t="inlineStr">
        <is>
          <t>MS-M10</t>
        </is>
      </c>
      <c r="L2613" s="9" t="n">
        <v>46323</v>
      </c>
      <c r="M2613" s="8" t="inlineStr">
        <is>
          <t>Approved</t>
        </is>
      </c>
      <c r="N2613" s="8" t="inlineStr">
        <is>
          <t>list_item</t>
        </is>
      </c>
    </row>
    <row r="2614" ht="40" customHeight="1">
      <c r="A2614" s="4" t="inlineStr">
        <is>
          <t>M10-P0006</t>
        </is>
      </c>
      <c r="B2614" s="4" t="inlineStr">
        <is>
          <t>M10</t>
        </is>
      </c>
      <c r="C2614" s="4" t="inlineStr">
        <is>
          <t>Financial Assistance For Aids And Appliances For Disabled Persons</t>
        </is>
      </c>
      <c r="D2614" s="4" t="inlineStr">
        <is>
          <t>Eligibility</t>
        </is>
      </c>
      <c r="E2614" s="4" t="inlineStr"/>
      <c r="F2614" s="4" t="inlineStr">
        <is>
          <t>en.eligibilityCriteria.eligibilityDescription[0].children[1]</t>
        </is>
      </c>
      <c r="G2614" s="4" t="inlineStr">
        <is>
          <t>M10@20261028-72a47e36</t>
        </is>
      </c>
      <c r="H2614" s="4" t="n">
        <v>1</v>
      </c>
      <c r="I2614" s="4" t="n">
        <v>1</v>
      </c>
      <c r="J2614" s="4" t="inlineStr">
        <is>
          <t>The applicant should be a permanent resident of Maharashtra State.</t>
        </is>
      </c>
      <c r="K2614" s="4" t="inlineStr">
        <is>
          <t>MS-M10</t>
        </is>
      </c>
      <c r="L2614" s="6" t="n">
        <v>46323</v>
      </c>
      <c r="M2614" s="4" t="inlineStr">
        <is>
          <t>Approved</t>
        </is>
      </c>
      <c r="N2614" s="4" t="inlineStr">
        <is>
          <t>list_item</t>
        </is>
      </c>
    </row>
    <row r="2615" ht="40" customHeight="1">
      <c r="A2615" s="8" t="inlineStr">
        <is>
          <t>M10-P0007</t>
        </is>
      </c>
      <c r="B2615" s="8" t="inlineStr">
        <is>
          <t>M10</t>
        </is>
      </c>
      <c r="C2615" s="8" t="inlineStr">
        <is>
          <t>Financial Assistance For Aids And Appliances For Disabled Persons</t>
        </is>
      </c>
      <c r="D2615" s="8" t="inlineStr">
        <is>
          <t>Eligibility</t>
        </is>
      </c>
      <c r="E2615" s="8" t="inlineStr"/>
      <c r="F2615" s="8" t="inlineStr">
        <is>
          <t>en.eligibilityCriteria.eligibilityDescription[0].children[2]</t>
        </is>
      </c>
      <c r="G2615" s="8" t="inlineStr">
        <is>
          <t>M10@20261028-72a47e36</t>
        </is>
      </c>
      <c r="H2615" s="8" t="n">
        <v>1</v>
      </c>
      <c r="I2615" s="8" t="n">
        <v>1</v>
      </c>
      <c r="J2615" s="8" t="inlineStr">
        <is>
          <t>The applicant should be a Person with Disability (Visually Handicapped, Low Vision, Hearing Impaired, Orthopedically Handicapped, etc).</t>
        </is>
      </c>
      <c r="K2615" s="8" t="inlineStr">
        <is>
          <t>MS-M10</t>
        </is>
      </c>
      <c r="L2615" s="9" t="n">
        <v>46323</v>
      </c>
      <c r="M2615" s="8" t="inlineStr">
        <is>
          <t>Approved</t>
        </is>
      </c>
      <c r="N2615" s="8" t="inlineStr">
        <is>
          <t>list_item</t>
        </is>
      </c>
    </row>
    <row r="2616" ht="40" customHeight="1">
      <c r="A2616" s="4" t="inlineStr">
        <is>
          <t>M10-P0008</t>
        </is>
      </c>
      <c r="B2616" s="4" t="inlineStr">
        <is>
          <t>M10</t>
        </is>
      </c>
      <c r="C2616" s="4" t="inlineStr">
        <is>
          <t>Financial Assistance For Aids And Appliances For Disabled Persons</t>
        </is>
      </c>
      <c r="D2616" s="4" t="inlineStr">
        <is>
          <t>Eligibility</t>
        </is>
      </c>
      <c r="E2616" s="4" t="inlineStr"/>
      <c r="F2616" s="4" t="inlineStr">
        <is>
          <t>en.eligibilityCriteria.eligibilityDescription[0].children[3]</t>
        </is>
      </c>
      <c r="G2616" s="4" t="inlineStr">
        <is>
          <t>M10@20261028-72a47e36</t>
        </is>
      </c>
      <c r="H2616" s="4" t="n">
        <v>1</v>
      </c>
      <c r="I2616" s="4" t="n">
        <v>1</v>
      </c>
      <c r="J2616" s="4" t="inlineStr">
        <is>
          <t>The percentage of the disability should be 40% or above.</t>
        </is>
      </c>
      <c r="K2616" s="4" t="inlineStr">
        <is>
          <t>MS-M10</t>
        </is>
      </c>
      <c r="L2616" s="6" t="n">
        <v>46323</v>
      </c>
      <c r="M2616" s="4" t="inlineStr">
        <is>
          <t>Approved</t>
        </is>
      </c>
      <c r="N2616" s="4" t="inlineStr">
        <is>
          <t>list_item</t>
        </is>
      </c>
    </row>
    <row r="2617" ht="40" customHeight="1">
      <c r="A2617" s="8" t="inlineStr">
        <is>
          <t>M10-P0009</t>
        </is>
      </c>
      <c r="B2617" s="8" t="inlineStr">
        <is>
          <t>M10</t>
        </is>
      </c>
      <c r="C2617" s="8" t="inlineStr">
        <is>
          <t>Financial Assistance For Aids And Appliances For Disabled Persons</t>
        </is>
      </c>
      <c r="D2617" s="8" t="inlineStr">
        <is>
          <t>Eligibility</t>
        </is>
      </c>
      <c r="E2617" s="8" t="inlineStr"/>
      <c r="F2617" s="8" t="inlineStr">
        <is>
          <t>en.eligibilityCriteria.eligibilityDescription[0].children[4]</t>
        </is>
      </c>
      <c r="G2617" s="8" t="inlineStr">
        <is>
          <t>M10@20261028-72a47e36</t>
        </is>
      </c>
      <c r="H2617" s="8" t="n">
        <v>1</v>
      </c>
      <c r="I2617" s="8" t="n">
        <v>1</v>
      </c>
      <c r="J2617" s="8" t="inlineStr">
        <is>
          <t>For financial assistance of 100% of the cost of the aids and appliances, the monthly income of the applicant should be less than ₹1,500/-.</t>
        </is>
      </c>
      <c r="K2617" s="8" t="inlineStr">
        <is>
          <t>MS-M10</t>
        </is>
      </c>
      <c r="L2617" s="9" t="n">
        <v>46323</v>
      </c>
      <c r="M2617" s="8" t="inlineStr">
        <is>
          <t>Approved</t>
        </is>
      </c>
      <c r="N2617" s="8" t="inlineStr">
        <is>
          <t>list_item</t>
        </is>
      </c>
    </row>
    <row r="2618" ht="40" customHeight="1">
      <c r="A2618" s="4" t="inlineStr">
        <is>
          <t>M10-P0010</t>
        </is>
      </c>
      <c r="B2618" s="4" t="inlineStr">
        <is>
          <t>M10</t>
        </is>
      </c>
      <c r="C2618" s="4" t="inlineStr">
        <is>
          <t>Financial Assistance For Aids And Appliances For Disabled Persons</t>
        </is>
      </c>
      <c r="D2618" s="4" t="inlineStr">
        <is>
          <t>Eligibility</t>
        </is>
      </c>
      <c r="E2618" s="4" t="inlineStr"/>
      <c r="F2618" s="4" t="inlineStr">
        <is>
          <t>en.eligibilityCriteria.eligibilityDescription[0].children[5]</t>
        </is>
      </c>
      <c r="G2618" s="4" t="inlineStr">
        <is>
          <t>M10@20261028-72a47e36</t>
        </is>
      </c>
      <c r="H2618" s="4" t="n">
        <v>1</v>
      </c>
      <c r="I2618" s="4" t="n">
        <v>1</v>
      </c>
      <c r="J2618" s="4" t="inlineStr">
        <is>
          <t>For financial assistance of 50% of the cost of the aids and appliances, the monthly income of the applicant should be between ₹1,500/- to ₹2,000/-.</t>
        </is>
      </c>
      <c r="K2618" s="4" t="inlineStr">
        <is>
          <t>MS-M10</t>
        </is>
      </c>
      <c r="L2618" s="6" t="n">
        <v>46323</v>
      </c>
      <c r="M2618" s="4" t="inlineStr">
        <is>
          <t>Approved</t>
        </is>
      </c>
      <c r="N2618" s="4" t="inlineStr">
        <is>
          <t>list_item</t>
        </is>
      </c>
    </row>
    <row r="2619" ht="40" customHeight="1">
      <c r="A2619" s="8" t="inlineStr">
        <is>
          <t>M10-P0011</t>
        </is>
      </c>
      <c r="B2619" s="8" t="inlineStr">
        <is>
          <t>M10</t>
        </is>
      </c>
      <c r="C2619" s="8" t="inlineStr">
        <is>
          <t>Financial Assistance For Aids And Appliances For Disabled Persons</t>
        </is>
      </c>
      <c r="D2619" s="8" t="inlineStr">
        <is>
          <t>Applicant documents</t>
        </is>
      </c>
      <c r="E2619" s="8" t="inlineStr"/>
      <c r="F2619" s="8" t="inlineStr">
        <is>
          <t>documents.en.documents_required[0].children[0]</t>
        </is>
      </c>
      <c r="G2619" s="8" t="inlineStr">
        <is>
          <t>M10@20261028-72a47e36</t>
        </is>
      </c>
      <c r="H2619" s="8" t="n">
        <v>1</v>
      </c>
      <c r="I2619" s="8" t="n">
        <v>1</v>
      </c>
      <c r="J2619" s="8" t="inlineStr">
        <is>
          <t>Aadhaar Card.</t>
        </is>
      </c>
      <c r="K2619" s="8" t="inlineStr">
        <is>
          <t>MS-M10</t>
        </is>
      </c>
      <c r="L2619" s="9" t="n">
        <v>46323</v>
      </c>
      <c r="M2619" s="8" t="inlineStr">
        <is>
          <t>Approved</t>
        </is>
      </c>
      <c r="N2619" s="8" t="inlineStr">
        <is>
          <t>list_item</t>
        </is>
      </c>
    </row>
    <row r="2620" ht="40" customHeight="1">
      <c r="A2620" s="4" t="inlineStr">
        <is>
          <t>M10-P0012</t>
        </is>
      </c>
      <c r="B2620" s="4" t="inlineStr">
        <is>
          <t>M10</t>
        </is>
      </c>
      <c r="C2620" s="4" t="inlineStr">
        <is>
          <t>Financial Assistance For Aids And Appliances For Disabled Persons</t>
        </is>
      </c>
      <c r="D2620" s="4" t="inlineStr">
        <is>
          <t>Applicant documents</t>
        </is>
      </c>
      <c r="E2620" s="4" t="inlineStr"/>
      <c r="F2620" s="4" t="inlineStr">
        <is>
          <t>documents.en.documents_required[0].children[1]</t>
        </is>
      </c>
      <c r="G2620" s="4" t="inlineStr">
        <is>
          <t>M10@20261028-72a47e36</t>
        </is>
      </c>
      <c r="H2620" s="4" t="n">
        <v>1</v>
      </c>
      <c r="I2620" s="4" t="n">
        <v>1</v>
      </c>
      <c r="J2620" s="4" t="inlineStr">
        <is>
          <t>Proof of Age (Birth Certificate, Marksheet of Class 10th/12th, etc).</t>
        </is>
      </c>
      <c r="K2620" s="4" t="inlineStr">
        <is>
          <t>MS-M10</t>
        </is>
      </c>
      <c r="L2620" s="6" t="n">
        <v>46323</v>
      </c>
      <c r="M2620" s="4" t="inlineStr">
        <is>
          <t>Approved</t>
        </is>
      </c>
      <c r="N2620" s="4" t="inlineStr">
        <is>
          <t>list_item</t>
        </is>
      </c>
    </row>
    <row r="2621" ht="40" customHeight="1">
      <c r="A2621" s="8" t="inlineStr">
        <is>
          <t>M10-P0013</t>
        </is>
      </c>
      <c r="B2621" s="8" t="inlineStr">
        <is>
          <t>M10</t>
        </is>
      </c>
      <c r="C2621" s="8" t="inlineStr">
        <is>
          <t>Financial Assistance For Aids And Appliances For Disabled Persons</t>
        </is>
      </c>
      <c r="D2621" s="8" t="inlineStr">
        <is>
          <t>Applicant documents</t>
        </is>
      </c>
      <c r="E2621" s="8" t="inlineStr"/>
      <c r="F2621" s="8" t="inlineStr">
        <is>
          <t>documents.en.documents_required[0].children[2]</t>
        </is>
      </c>
      <c r="G2621" s="8" t="inlineStr">
        <is>
          <t>M10@20261028-72a47e36</t>
        </is>
      </c>
      <c r="H2621" s="8" t="n">
        <v>1</v>
      </c>
      <c r="I2621" s="8" t="n">
        <v>1</v>
      </c>
      <c r="J2621" s="8" t="inlineStr">
        <is>
          <t>2-Passport Sized Photograph (Signed Across).</t>
        </is>
      </c>
      <c r="K2621" s="8" t="inlineStr">
        <is>
          <t>MS-M10</t>
        </is>
      </c>
      <c r="L2621" s="9" t="n">
        <v>46323</v>
      </c>
      <c r="M2621" s="8" t="inlineStr">
        <is>
          <t>Approved</t>
        </is>
      </c>
      <c r="N2621" s="8" t="inlineStr">
        <is>
          <t>list_item</t>
        </is>
      </c>
    </row>
    <row r="2622" ht="40" customHeight="1">
      <c r="A2622" s="4" t="inlineStr">
        <is>
          <t>M10-P0014</t>
        </is>
      </c>
      <c r="B2622" s="4" t="inlineStr">
        <is>
          <t>M10</t>
        </is>
      </c>
      <c r="C2622" s="4" t="inlineStr">
        <is>
          <t>Financial Assistance For Aids And Appliances For Disabled Persons</t>
        </is>
      </c>
      <c r="D2622" s="4" t="inlineStr">
        <is>
          <t>Applicant documents</t>
        </is>
      </c>
      <c r="E2622" s="4" t="inlineStr"/>
      <c r="F2622" s="4" t="inlineStr">
        <is>
          <t>documents.en.documents_required[0].children[3]</t>
        </is>
      </c>
      <c r="G2622" s="4" t="inlineStr">
        <is>
          <t>M10@20261028-72a47e36</t>
        </is>
      </c>
      <c r="H2622" s="4" t="n">
        <v>1</v>
      </c>
      <c r="I2622" s="4" t="n">
        <v>1</v>
      </c>
      <c r="J2622" s="4" t="inlineStr">
        <is>
          <t>Residential Certificate / Domicile Certificate of the State of Maharashtra.</t>
        </is>
      </c>
      <c r="K2622" s="4" t="inlineStr">
        <is>
          <t>MS-M10</t>
        </is>
      </c>
      <c r="L2622" s="6" t="n">
        <v>46323</v>
      </c>
      <c r="M2622" s="4" t="inlineStr">
        <is>
          <t>Approved</t>
        </is>
      </c>
      <c r="N2622" s="4" t="inlineStr">
        <is>
          <t>list_item</t>
        </is>
      </c>
    </row>
    <row r="2623" ht="40" customHeight="1">
      <c r="A2623" s="8" t="inlineStr">
        <is>
          <t>M10-P0015</t>
        </is>
      </c>
      <c r="B2623" s="8" t="inlineStr">
        <is>
          <t>M10</t>
        </is>
      </c>
      <c r="C2623" s="8" t="inlineStr">
        <is>
          <t>Financial Assistance For Aids And Appliances For Disabled Persons</t>
        </is>
      </c>
      <c r="D2623" s="8" t="inlineStr">
        <is>
          <t>Applicant documents</t>
        </is>
      </c>
      <c r="E2623" s="8" t="inlineStr"/>
      <c r="F2623" s="8" t="inlineStr">
        <is>
          <t>documents.en.documents_required[0].children[4]</t>
        </is>
      </c>
      <c r="G2623" s="8" t="inlineStr">
        <is>
          <t>M10@20261028-72a47e36</t>
        </is>
      </c>
      <c r="H2623" s="8" t="n">
        <v>1</v>
      </c>
      <c r="I2623" s="8" t="n">
        <v>1</v>
      </c>
      <c r="J2623" s="8" t="inlineStr">
        <is>
          <t>Disability Certificate.</t>
        </is>
      </c>
      <c r="K2623" s="8" t="inlineStr">
        <is>
          <t>MS-M10</t>
        </is>
      </c>
      <c r="L2623" s="9" t="n">
        <v>46323</v>
      </c>
      <c r="M2623" s="8" t="inlineStr">
        <is>
          <t>Approved</t>
        </is>
      </c>
      <c r="N2623" s="8" t="inlineStr">
        <is>
          <t>list_item</t>
        </is>
      </c>
    </row>
    <row r="2624" ht="40" customHeight="1">
      <c r="A2624" s="4" t="inlineStr">
        <is>
          <t>M10-P0016</t>
        </is>
      </c>
      <c r="B2624" s="4" t="inlineStr">
        <is>
          <t>M10</t>
        </is>
      </c>
      <c r="C2624" s="4" t="inlineStr">
        <is>
          <t>Financial Assistance For Aids And Appliances For Disabled Persons</t>
        </is>
      </c>
      <c r="D2624" s="4" t="inlineStr">
        <is>
          <t>Applicant documents</t>
        </is>
      </c>
      <c r="E2624" s="4" t="inlineStr"/>
      <c r="F2624" s="4" t="inlineStr">
        <is>
          <t>documents.en.documents_required[0].children[5]</t>
        </is>
      </c>
      <c r="G2624" s="4" t="inlineStr">
        <is>
          <t>M10@20261028-72a47e36</t>
        </is>
      </c>
      <c r="H2624" s="4" t="n">
        <v>1</v>
      </c>
      <c r="I2624" s="4" t="n">
        <v>1</v>
      </c>
      <c r="J2624" s="4" t="inlineStr">
        <is>
          <t>Details of the Bank Account (Bank Name, Branch Name, Address, IFSC, etc).</t>
        </is>
      </c>
      <c r="K2624" s="4" t="inlineStr">
        <is>
          <t>MS-M10</t>
        </is>
      </c>
      <c r="L2624" s="6" t="n">
        <v>46323</v>
      </c>
      <c r="M2624" s="4" t="inlineStr">
        <is>
          <t>Approved</t>
        </is>
      </c>
      <c r="N2624" s="4" t="inlineStr">
        <is>
          <t>list_item</t>
        </is>
      </c>
    </row>
    <row r="2625" ht="40" customHeight="1">
      <c r="A2625" s="8" t="inlineStr">
        <is>
          <t>M10-P0017</t>
        </is>
      </c>
      <c r="B2625" s="8" t="inlineStr">
        <is>
          <t>M10</t>
        </is>
      </c>
      <c r="C2625" s="8" t="inlineStr">
        <is>
          <t>Financial Assistance For Aids And Appliances For Disabled Persons</t>
        </is>
      </c>
      <c r="D2625" s="8" t="inlineStr">
        <is>
          <t>Applicant documents</t>
        </is>
      </c>
      <c r="E2625" s="8" t="inlineStr"/>
      <c r="F2625" s="8" t="inlineStr">
        <is>
          <t>documents.en.documents_required[0].children[6]</t>
        </is>
      </c>
      <c r="G2625" s="8" t="inlineStr">
        <is>
          <t>M10@20261028-72a47e36</t>
        </is>
      </c>
      <c r="H2625" s="8" t="n">
        <v>1</v>
      </c>
      <c r="I2625" s="8" t="n">
        <v>1</v>
      </c>
      <c r="J2625" s="8" t="inlineStr">
        <is>
          <t>Any other document required by the District Social Welfare Office.</t>
        </is>
      </c>
      <c r="K2625" s="8" t="inlineStr">
        <is>
          <t>MS-M10</t>
        </is>
      </c>
      <c r="L2625" s="9" t="n">
        <v>46323</v>
      </c>
      <c r="M2625" s="8" t="inlineStr">
        <is>
          <t>Approved</t>
        </is>
      </c>
      <c r="N2625" s="8" t="inlineStr">
        <is>
          <t>list_item</t>
        </is>
      </c>
    </row>
    <row r="2626" ht="40" customHeight="1">
      <c r="A2626" s="4" t="inlineStr">
        <is>
          <t>M10-P0018</t>
        </is>
      </c>
      <c r="B2626" s="4" t="inlineStr">
        <is>
          <t>M10</t>
        </is>
      </c>
      <c r="C2626" s="4" t="inlineStr">
        <is>
          <t>Financial Assistance For Aids And Appliances For Disabled Persons</t>
        </is>
      </c>
      <c r="D2626" s="4" t="inlineStr">
        <is>
          <t>Application process</t>
        </is>
      </c>
      <c r="E2626" s="4" t="inlineStr"/>
      <c r="F2626" s="4" t="inlineStr">
        <is>
          <t>en.applicationProcess[0].process[0]</t>
        </is>
      </c>
      <c r="G2626" s="4" t="inlineStr">
        <is>
          <t>M10@20261028-72a47e36</t>
        </is>
      </c>
      <c r="H2626" s="4" t="n">
        <v>1</v>
      </c>
      <c r="I2626" s="4" t="n">
        <v>1</v>
      </c>
      <c r="J2626" s="4" t="inlineStr">
        <is>
          <t>Step 1: Visit the District Social Welfare Office, and request a hard copy of the format of the application form for the scheme from the concerned authority.</t>
        </is>
      </c>
      <c r="K2626" s="4" t="inlineStr">
        <is>
          <t>MS-M10</t>
        </is>
      </c>
      <c r="L2626" s="6" t="n">
        <v>46323</v>
      </c>
      <c r="M2626" s="4" t="inlineStr">
        <is>
          <t>Approved</t>
        </is>
      </c>
      <c r="N2626" s="4" t="inlineStr">
        <is>
          <t>paragraph</t>
        </is>
      </c>
    </row>
    <row r="2627" ht="40" customHeight="1">
      <c r="A2627" s="8" t="inlineStr">
        <is>
          <t>M10-P0019</t>
        </is>
      </c>
      <c r="B2627" s="8" t="inlineStr">
        <is>
          <t>M10</t>
        </is>
      </c>
      <c r="C2627" s="8" t="inlineStr">
        <is>
          <t>Financial Assistance For Aids And Appliances For Disabled Persons</t>
        </is>
      </c>
      <c r="D2627" s="8" t="inlineStr">
        <is>
          <t>Application process</t>
        </is>
      </c>
      <c r="E2627" s="8" t="inlineStr"/>
      <c r="F2627" s="8" t="inlineStr">
        <is>
          <t>en.applicationProcess[0].process[1]</t>
        </is>
      </c>
      <c r="G2627" s="8" t="inlineStr">
        <is>
          <t>M10@20261028-72a47e36</t>
        </is>
      </c>
      <c r="H2627" s="8" t="n">
        <v>1</v>
      </c>
      <c r="I2627" s="8" t="n">
        <v>1</v>
      </c>
      <c r="J2627" s="8" t="inlineStr">
        <is>
          <t>Step 2: In the application form, fill in all the mandatory fields, paste the passport-sized photograph (signed across), and attach all the (self-attested) mandatory documents.</t>
        </is>
      </c>
      <c r="K2627" s="8" t="inlineStr">
        <is>
          <t>MS-M10</t>
        </is>
      </c>
      <c r="L2627" s="9" t="n">
        <v>46323</v>
      </c>
      <c r="M2627" s="8" t="inlineStr">
        <is>
          <t>Approved</t>
        </is>
      </c>
      <c r="N2627" s="8" t="inlineStr">
        <is>
          <t>paragraph</t>
        </is>
      </c>
    </row>
    <row r="2628" ht="40" customHeight="1">
      <c r="A2628" s="4" t="inlineStr">
        <is>
          <t>M10-P0020</t>
        </is>
      </c>
      <c r="B2628" s="4" t="inlineStr">
        <is>
          <t>M10</t>
        </is>
      </c>
      <c r="C2628" s="4" t="inlineStr">
        <is>
          <t>Financial Assistance For Aids And Appliances For Disabled Persons</t>
        </is>
      </c>
      <c r="D2628" s="4" t="inlineStr">
        <is>
          <t>Application process</t>
        </is>
      </c>
      <c r="E2628" s="4" t="inlineStr"/>
      <c r="F2628" s="4" t="inlineStr">
        <is>
          <t>en.applicationProcess[0].process[2]</t>
        </is>
      </c>
      <c r="G2628" s="4" t="inlineStr">
        <is>
          <t>M10@20261028-72a47e36</t>
        </is>
      </c>
      <c r="H2628" s="4" t="n">
        <v>1</v>
      </c>
      <c r="I2628" s="4" t="n">
        <v>1</v>
      </c>
      <c r="J2628" s="4" t="inlineStr">
        <is>
          <t>Step 3: Submit the duly filled and signed application form along with the documents to the Assistant Commissioner, District Social Welfare Office.</t>
        </is>
      </c>
      <c r="K2628" s="4" t="inlineStr">
        <is>
          <t>MS-M10</t>
        </is>
      </c>
      <c r="L2628" s="6" t="n">
        <v>46323</v>
      </c>
      <c r="M2628" s="4" t="inlineStr">
        <is>
          <t>Approved</t>
        </is>
      </c>
      <c r="N2628" s="4" t="inlineStr">
        <is>
          <t>paragraph</t>
        </is>
      </c>
    </row>
    <row r="2629" ht="40" customHeight="1">
      <c r="A2629" s="8" t="inlineStr">
        <is>
          <t>M10-P0021</t>
        </is>
      </c>
      <c r="B2629" s="8" t="inlineStr">
        <is>
          <t>M10</t>
        </is>
      </c>
      <c r="C2629" s="8" t="inlineStr">
        <is>
          <t>Financial Assistance For Aids And Appliances For Disabled Persons</t>
        </is>
      </c>
      <c r="D2629" s="8" t="inlineStr">
        <is>
          <t>Application process</t>
        </is>
      </c>
      <c r="E2629" s="8" t="inlineStr"/>
      <c r="F2629" s="8" t="inlineStr">
        <is>
          <t>en.applicationProcess[0].process[3]</t>
        </is>
      </c>
      <c r="G2629" s="8" t="inlineStr">
        <is>
          <t>M10@20261028-72a47e36</t>
        </is>
      </c>
      <c r="H2629" s="8" t="n">
        <v>1</v>
      </c>
      <c r="I2629" s="8" t="n">
        <v>1</v>
      </c>
      <c r="J2629" s="8" t="inlineStr">
        <is>
          <t>Step 4: Acquire the receipt/acknowledgment of the successful submission of the application form from the District Social Welfare Office.</t>
        </is>
      </c>
      <c r="K2629" s="8" t="inlineStr">
        <is>
          <t>MS-M10</t>
        </is>
      </c>
      <c r="L2629" s="9" t="n">
        <v>46323</v>
      </c>
      <c r="M2629" s="8" t="inlineStr">
        <is>
          <t>Approved</t>
        </is>
      </c>
      <c r="N2629" s="8" t="inlineStr">
        <is>
          <t>paragraph</t>
        </is>
      </c>
    </row>
    <row r="2630" ht="54" customHeight="1">
      <c r="A2630" s="4" t="inlineStr">
        <is>
          <t>M10-P0022</t>
        </is>
      </c>
      <c r="B2630" s="4" t="inlineStr">
        <is>
          <t>M10</t>
        </is>
      </c>
      <c r="C2630" s="4" t="inlineStr">
        <is>
          <t>Financial Assistance For Aids And Appliances For Disabled Persons</t>
        </is>
      </c>
      <c r="D2630" s="4" t="inlineStr">
        <is>
          <t>FAQ</t>
        </is>
      </c>
      <c r="E2630" s="4" t="inlineStr"/>
      <c r="F2630" s="4" t="inlineStr">
        <is>
          <t>faqs.en.faqs[0]</t>
        </is>
      </c>
      <c r="G2630" s="4" t="inlineStr">
        <is>
          <t>M10@20261028-72a47e36</t>
        </is>
      </c>
      <c r="H2630" s="4" t="n">
        <v>1</v>
      </c>
      <c r="I2630" s="4" t="n">
        <v>1</v>
      </c>
      <c r="J2630" s="4" t="inlineStr">
        <is>
          <t>What Are The Objectives Of This Scheme?
The objective of this scheme is to provide assistance to Persons with Disabilities (PwDs) for the purchase of aids and appliances as per their age group and the type of disability.</t>
        </is>
      </c>
      <c r="K2630" s="4" t="inlineStr">
        <is>
          <t>MS-M10</t>
        </is>
      </c>
      <c r="L2630" s="6" t="n">
        <v>46323</v>
      </c>
      <c r="M2630" s="4" t="inlineStr">
        <is>
          <t>Approved</t>
        </is>
      </c>
      <c r="N2630" s="4" t="inlineStr">
        <is>
          <t>faq</t>
        </is>
      </c>
    </row>
    <row r="2631" ht="54" customHeight="1">
      <c r="A2631" s="8" t="inlineStr">
        <is>
          <t>M10-P0023</t>
        </is>
      </c>
      <c r="B2631" s="8" t="inlineStr">
        <is>
          <t>M10</t>
        </is>
      </c>
      <c r="C2631" s="8" t="inlineStr">
        <is>
          <t>Financial Assistance For Aids And Appliances For Disabled Persons</t>
        </is>
      </c>
      <c r="D2631" s="8" t="inlineStr">
        <is>
          <t>FAQ</t>
        </is>
      </c>
      <c r="E2631" s="8" t="inlineStr"/>
      <c r="F2631" s="8" t="inlineStr">
        <is>
          <t>faqs.en.faqs[1]</t>
        </is>
      </c>
      <c r="G2631" s="8" t="inlineStr">
        <is>
          <t>M10@20261028-72a47e36</t>
        </is>
      </c>
      <c r="H2631" s="8" t="n">
        <v>1</v>
      </c>
      <c r="I2631" s="8" t="n">
        <v>1</v>
      </c>
      <c r="J2631" s="8" t="inlineStr">
        <is>
          <t>For What Purposes Can The Amount Of The Financial Assistance Be Utilized?
The amount of financial assistance can be utilized towards the purchase of aids and appliances for Persons with Disabilities (PwDs).</t>
        </is>
      </c>
      <c r="K2631" s="8" t="inlineStr">
        <is>
          <t>MS-M10</t>
        </is>
      </c>
      <c r="L2631" s="9" t="n">
        <v>46323</v>
      </c>
      <c r="M2631" s="8" t="inlineStr">
        <is>
          <t>Approved</t>
        </is>
      </c>
      <c r="N2631" s="8" t="inlineStr">
        <is>
          <t>faq</t>
        </is>
      </c>
    </row>
    <row r="2632" ht="40" customHeight="1">
      <c r="A2632" s="4" t="inlineStr">
        <is>
          <t>M10-P0024</t>
        </is>
      </c>
      <c r="B2632" s="4" t="inlineStr">
        <is>
          <t>M10</t>
        </is>
      </c>
      <c r="C2632" s="4" t="inlineStr">
        <is>
          <t>Financial Assistance For Aids And Appliances For Disabled Persons</t>
        </is>
      </c>
      <c r="D2632" s="4" t="inlineStr">
        <is>
          <t>FAQ</t>
        </is>
      </c>
      <c r="E2632" s="4" t="inlineStr"/>
      <c r="F2632" s="4" t="inlineStr">
        <is>
          <t>faqs.en.faqs[2]</t>
        </is>
      </c>
      <c r="G2632" s="4" t="inlineStr">
        <is>
          <t>M10@20261028-72a47e36</t>
        </is>
      </c>
      <c r="H2632" s="4" t="n">
        <v>1</v>
      </c>
      <c r="I2632" s="4" t="n">
        <v>1</v>
      </c>
      <c r="J2632" s="4" t="inlineStr">
        <is>
          <t>What Aids/Appliances Are Provided To The Orthopedically Handicapped?
Crutches, Tricycles, Calipers, and Wheel Chair are provided to the Orthopedically Handicapped.</t>
        </is>
      </c>
      <c r="K2632" s="4" t="inlineStr">
        <is>
          <t>MS-M10</t>
        </is>
      </c>
      <c r="L2632" s="6" t="n">
        <v>46323</v>
      </c>
      <c r="M2632" s="4" t="inlineStr">
        <is>
          <t>Approved</t>
        </is>
      </c>
      <c r="N2632" s="4" t="inlineStr">
        <is>
          <t>faq</t>
        </is>
      </c>
    </row>
    <row r="2633" ht="54" customHeight="1">
      <c r="A2633" s="8" t="inlineStr">
        <is>
          <t>M10-P0025</t>
        </is>
      </c>
      <c r="B2633" s="8" t="inlineStr">
        <is>
          <t>M10</t>
        </is>
      </c>
      <c r="C2633" s="8" t="inlineStr">
        <is>
          <t>Financial Assistance For Aids And Appliances For Disabled Persons</t>
        </is>
      </c>
      <c r="D2633" s="8" t="inlineStr">
        <is>
          <t>FAQ</t>
        </is>
      </c>
      <c r="E2633" s="8" t="inlineStr"/>
      <c r="F2633" s="8" t="inlineStr">
        <is>
          <t>faqs.en.faqs[3]</t>
        </is>
      </c>
      <c r="G2633" s="8" t="inlineStr">
        <is>
          <t>M10@20261028-72a47e36</t>
        </is>
      </c>
      <c r="H2633" s="8" t="n">
        <v>1</v>
      </c>
      <c r="I2633" s="8" t="n">
        <v>1</v>
      </c>
      <c r="J2633" s="8" t="inlineStr">
        <is>
          <t>What Aids/Appliances Are Provided To The Visually Handicapped?
Tape Recorders and Blank Cassettes for Education Purposes Up to a Cost of ₹3,000/- are provided to the Visually Handicapped.</t>
        </is>
      </c>
      <c r="K2633" s="8" t="inlineStr">
        <is>
          <t>MS-M10</t>
        </is>
      </c>
      <c r="L2633" s="9" t="n">
        <v>46323</v>
      </c>
      <c r="M2633" s="8" t="inlineStr">
        <is>
          <t>Approved</t>
        </is>
      </c>
      <c r="N2633" s="8" t="inlineStr">
        <is>
          <t>faq</t>
        </is>
      </c>
    </row>
    <row r="2634" ht="40" customHeight="1">
      <c r="A2634" s="4" t="inlineStr">
        <is>
          <t>M10-P0026</t>
        </is>
      </c>
      <c r="B2634" s="4" t="inlineStr">
        <is>
          <t>M10</t>
        </is>
      </c>
      <c r="C2634" s="4" t="inlineStr">
        <is>
          <t>Financial Assistance For Aids And Appliances For Disabled Persons</t>
        </is>
      </c>
      <c r="D2634" s="4" t="inlineStr">
        <is>
          <t>FAQ</t>
        </is>
      </c>
      <c r="E2634" s="4" t="inlineStr"/>
      <c r="F2634" s="4" t="inlineStr">
        <is>
          <t>faqs.en.faqs[4]</t>
        </is>
      </c>
      <c r="G2634" s="4" t="inlineStr">
        <is>
          <t>M10@20261028-72a47e36</t>
        </is>
      </c>
      <c r="H2634" s="4" t="n">
        <v>1</v>
      </c>
      <c r="I2634" s="4" t="n">
        <v>1</v>
      </c>
      <c r="J2634" s="4" t="inlineStr">
        <is>
          <t>What Aids/Appliances Are Provided To The Hearing Handicapped?
Hearing Aids are provided to the Hearing Handicapped.</t>
        </is>
      </c>
      <c r="K2634" s="4" t="inlineStr">
        <is>
          <t>MS-M10</t>
        </is>
      </c>
      <c r="L2634" s="6" t="n">
        <v>46323</v>
      </c>
      <c r="M2634" s="4" t="inlineStr">
        <is>
          <t>Approved</t>
        </is>
      </c>
      <c r="N2634" s="4" t="inlineStr">
        <is>
          <t>faq</t>
        </is>
      </c>
    </row>
    <row r="2635" ht="40" customHeight="1">
      <c r="A2635" s="8" t="inlineStr">
        <is>
          <t>M10-P0027</t>
        </is>
      </c>
      <c r="B2635" s="8" t="inlineStr">
        <is>
          <t>M10</t>
        </is>
      </c>
      <c r="C2635" s="8" t="inlineStr">
        <is>
          <t>Financial Assistance For Aids And Appliances For Disabled Persons</t>
        </is>
      </c>
      <c r="D2635" s="8" t="inlineStr">
        <is>
          <t>FAQ</t>
        </is>
      </c>
      <c r="E2635" s="8" t="inlineStr"/>
      <c r="F2635" s="8" t="inlineStr">
        <is>
          <t>faqs.en.faqs[5]</t>
        </is>
      </c>
      <c r="G2635" s="8" t="inlineStr">
        <is>
          <t>M10@20261028-72a47e36</t>
        </is>
      </c>
      <c r="H2635" s="8" t="n">
        <v>1</v>
      </c>
      <c r="I2635" s="8" t="n">
        <v>1</v>
      </c>
      <c r="J2635" s="8" t="inlineStr">
        <is>
          <t>Who Are The Target Beneficiaries Of This Scheme?
The target beneficiaries of this scheme are Persons with Disabilities (PwDs).</t>
        </is>
      </c>
      <c r="K2635" s="8" t="inlineStr">
        <is>
          <t>MS-M10</t>
        </is>
      </c>
      <c r="L2635" s="9" t="n">
        <v>46323</v>
      </c>
      <c r="M2635" s="8" t="inlineStr">
        <is>
          <t>Approved</t>
        </is>
      </c>
      <c r="N2635" s="8" t="inlineStr">
        <is>
          <t>faq</t>
        </is>
      </c>
    </row>
    <row r="2636" ht="40" customHeight="1">
      <c r="A2636" s="4" t="inlineStr">
        <is>
          <t>M10-P0028</t>
        </is>
      </c>
      <c r="B2636" s="4" t="inlineStr">
        <is>
          <t>M10</t>
        </is>
      </c>
      <c r="C2636" s="4" t="inlineStr">
        <is>
          <t>Financial Assistance For Aids And Appliances For Disabled Persons</t>
        </is>
      </c>
      <c r="D2636" s="4" t="inlineStr">
        <is>
          <t>FAQ</t>
        </is>
      </c>
      <c r="E2636" s="4" t="inlineStr"/>
      <c r="F2636" s="4" t="inlineStr">
        <is>
          <t>faqs.en.faqs[6]</t>
        </is>
      </c>
      <c r="G2636" s="4" t="inlineStr">
        <is>
          <t>M10@20261028-72a47e36</t>
        </is>
      </c>
      <c r="H2636" s="4" t="n">
        <v>1</v>
      </c>
      <c r="I2636" s="4" t="n">
        <v>1</v>
      </c>
      <c r="J2636" s="4" t="inlineStr">
        <is>
          <t>Are There Any Eligibility Criteria Regarding The Percentage Of Disability Of The Applicant?
Yes, the percentage of disability of the applicant should be 40% and above.</t>
        </is>
      </c>
      <c r="K2636" s="4" t="inlineStr">
        <is>
          <t>MS-M10</t>
        </is>
      </c>
      <c r="L2636" s="6" t="n">
        <v>46323</v>
      </c>
      <c r="M2636" s="4" t="inlineStr">
        <is>
          <t>Approved</t>
        </is>
      </c>
      <c r="N2636" s="4" t="inlineStr">
        <is>
          <t>faq</t>
        </is>
      </c>
    </row>
    <row r="2637" ht="40" customHeight="1">
      <c r="A2637" s="8" t="inlineStr">
        <is>
          <t>M10-P0029</t>
        </is>
      </c>
      <c r="B2637" s="8" t="inlineStr">
        <is>
          <t>M10</t>
        </is>
      </c>
      <c r="C2637" s="8" t="inlineStr">
        <is>
          <t>Financial Assistance For Aids And Appliances For Disabled Persons</t>
        </is>
      </c>
      <c r="D2637" s="8" t="inlineStr">
        <is>
          <t>FAQ</t>
        </is>
      </c>
      <c r="E2637" s="8" t="inlineStr"/>
      <c r="F2637" s="8" t="inlineStr">
        <is>
          <t>faqs.en.faqs[7]</t>
        </is>
      </c>
      <c r="G2637" s="8" t="inlineStr">
        <is>
          <t>M10@20261028-72a47e36</t>
        </is>
      </c>
      <c r="H2637" s="8" t="n">
        <v>1</v>
      </c>
      <c r="I2637" s="8" t="n">
        <v>1</v>
      </c>
      <c r="J2637" s="8" t="inlineStr">
        <is>
          <t>Are Orthopedically Handicapped Persons Also Covered In This Scheme?
Yes, this scheme also covers Orthopedically Handicapped Persons.</t>
        </is>
      </c>
      <c r="K2637" s="8" t="inlineStr">
        <is>
          <t>MS-M10</t>
        </is>
      </c>
      <c r="L2637" s="9" t="n">
        <v>46323</v>
      </c>
      <c r="M2637" s="8" t="inlineStr">
        <is>
          <t>Approved</t>
        </is>
      </c>
      <c r="N2637" s="8" t="inlineStr">
        <is>
          <t>faq</t>
        </is>
      </c>
    </row>
    <row r="2638" ht="68" customHeight="1">
      <c r="A2638" s="4" t="inlineStr">
        <is>
          <t>M10-P0030</t>
        </is>
      </c>
      <c r="B2638" s="4" t="inlineStr">
        <is>
          <t>M10</t>
        </is>
      </c>
      <c r="C2638" s="4" t="inlineStr">
        <is>
          <t>Financial Assistance For Aids And Appliances For Disabled Persons</t>
        </is>
      </c>
      <c r="D2638" s="4" t="inlineStr">
        <is>
          <t>FAQ</t>
        </is>
      </c>
      <c r="E2638" s="4" t="inlineStr"/>
      <c r="F2638" s="4" t="inlineStr">
        <is>
          <t>faqs.en.faqs[8]</t>
        </is>
      </c>
      <c r="G2638" s="4" t="inlineStr">
        <is>
          <t>M10@20261028-72a47e36</t>
        </is>
      </c>
      <c r="H2638" s="4" t="n">
        <v>1</v>
      </c>
      <c r="I2638" s="4" t="n">
        <v>1</v>
      </c>
      <c r="J2638" s="4" t="inlineStr">
        <is>
          <t>Is The Residential Certificate / Domicile Certificate Of The State Of Maharashtra, A Mandatory Document For This Scheme?
Yes, the Residential Certificate / Domicile Certificate of the State of Maharashtra is a mandatory document for this scheme.</t>
        </is>
      </c>
      <c r="K2638" s="4" t="inlineStr">
        <is>
          <t>MS-M10</t>
        </is>
      </c>
      <c r="L2638" s="6" t="n">
        <v>46323</v>
      </c>
      <c r="M2638" s="4" t="inlineStr">
        <is>
          <t>Approved</t>
        </is>
      </c>
      <c r="N2638" s="4" t="inlineStr">
        <is>
          <t>faq</t>
        </is>
      </c>
    </row>
    <row r="2639" ht="40" customHeight="1">
      <c r="A2639" s="8" t="inlineStr">
        <is>
          <t>M10-P0031</t>
        </is>
      </c>
      <c r="B2639" s="8" t="inlineStr">
        <is>
          <t>M10</t>
        </is>
      </c>
      <c r="C2639" s="8" t="inlineStr">
        <is>
          <t>Financial Assistance For Aids And Appliances For Disabled Persons</t>
        </is>
      </c>
      <c r="D2639" s="8" t="inlineStr">
        <is>
          <t>FAQ</t>
        </is>
      </c>
      <c r="E2639" s="8" t="inlineStr"/>
      <c r="F2639" s="8" t="inlineStr">
        <is>
          <t>faqs.en.faqs[9]</t>
        </is>
      </c>
      <c r="G2639" s="8" t="inlineStr">
        <is>
          <t>M10@20261028-72a47e36</t>
        </is>
      </c>
      <c r="H2639" s="8" t="n">
        <v>1</v>
      </c>
      <c r="I2639" s="8" t="n">
        <v>1</v>
      </c>
      <c r="J2639" s="8" t="inlineStr">
        <is>
          <t>Can I Reapply To This Scheme If I Am Already Availing The Benefits Of This Scheme?
No, you can not reapply to this scheme if you already have availed of its benefits.</t>
        </is>
      </c>
      <c r="K2639" s="8" t="inlineStr">
        <is>
          <t>MS-M10</t>
        </is>
      </c>
      <c r="L2639" s="9" t="n">
        <v>46323</v>
      </c>
      <c r="M2639" s="8" t="inlineStr">
        <is>
          <t>Approved</t>
        </is>
      </c>
      <c r="N2639" s="8" t="inlineStr">
        <is>
          <t>faq</t>
        </is>
      </c>
    </row>
    <row r="2640" ht="40" customHeight="1">
      <c r="A2640" s="4" t="inlineStr">
        <is>
          <t>M10-P0032</t>
        </is>
      </c>
      <c r="B2640" s="4" t="inlineStr">
        <is>
          <t>M10</t>
        </is>
      </c>
      <c r="C2640" s="4" t="inlineStr">
        <is>
          <t>Financial Assistance For Aids And Appliances For Disabled Persons</t>
        </is>
      </c>
      <c r="D2640" s="4" t="inlineStr">
        <is>
          <t>FAQ</t>
        </is>
      </c>
      <c r="E2640" s="4" t="inlineStr"/>
      <c r="F2640" s="4" t="inlineStr">
        <is>
          <t>faqs.en.faqs[10]</t>
        </is>
      </c>
      <c r="G2640" s="4" t="inlineStr">
        <is>
          <t>M10@20261028-72a47e36</t>
        </is>
      </c>
      <c r="H2640" s="4" t="n">
        <v>1</v>
      </c>
      <c r="I2640" s="4" t="n">
        <v>1</v>
      </c>
      <c r="J2640" s="4" t="inlineStr">
        <is>
          <t>What Is The Full Form Of SJSA?
The full form of SJSA is "Social Justice &amp; Special Assistance".</t>
        </is>
      </c>
      <c r="K2640" s="4" t="inlineStr">
        <is>
          <t>MS-M10</t>
        </is>
      </c>
      <c r="L2640" s="6" t="n">
        <v>46323</v>
      </c>
      <c r="M2640" s="4" t="inlineStr">
        <is>
          <t>Approved</t>
        </is>
      </c>
      <c r="N2640" s="4" t="inlineStr">
        <is>
          <t>faq</t>
        </is>
      </c>
    </row>
    <row r="2641" ht="40" customHeight="1">
      <c r="A2641" s="8" t="inlineStr">
        <is>
          <t>M10-P0033</t>
        </is>
      </c>
      <c r="B2641" s="8" t="inlineStr">
        <is>
          <t>M10</t>
        </is>
      </c>
      <c r="C2641" s="8" t="inlineStr">
        <is>
          <t>Financial Assistance For Aids And Appliances For Disabled Persons</t>
        </is>
      </c>
      <c r="D2641" s="8" t="inlineStr">
        <is>
          <t>FAQ</t>
        </is>
      </c>
      <c r="E2641" s="8" t="inlineStr"/>
      <c r="F2641" s="8" t="inlineStr">
        <is>
          <t>faqs.en.faqs[11]</t>
        </is>
      </c>
      <c r="G2641" s="8" t="inlineStr">
        <is>
          <t>M10@20261028-72a47e36</t>
        </is>
      </c>
      <c r="H2641" s="8" t="n">
        <v>1</v>
      </c>
      <c r="I2641" s="8" t="n">
        <v>1</v>
      </c>
      <c r="J2641" s="8" t="inlineStr">
        <is>
          <t>Is There Any Application Fee?
No, the entire application process is entirely free of cost.</t>
        </is>
      </c>
      <c r="K2641" s="8" t="inlineStr">
        <is>
          <t>MS-M10</t>
        </is>
      </c>
      <c r="L2641" s="9" t="n">
        <v>46323</v>
      </c>
      <c r="M2641" s="8" t="inlineStr">
        <is>
          <t>Approved</t>
        </is>
      </c>
      <c r="N2641" s="8" t="inlineStr">
        <is>
          <t>faq</t>
        </is>
      </c>
    </row>
    <row r="2642" ht="40" customHeight="1">
      <c r="A2642" s="4" t="inlineStr">
        <is>
          <t>M10-P0034</t>
        </is>
      </c>
      <c r="B2642" s="4" t="inlineStr">
        <is>
          <t>M10</t>
        </is>
      </c>
      <c r="C2642" s="4" t="inlineStr">
        <is>
          <t>Financial Assistance For Aids And Appliances For Disabled Persons</t>
        </is>
      </c>
      <c r="D2642" s="4" t="inlineStr">
        <is>
          <t>FAQ</t>
        </is>
      </c>
      <c r="E2642" s="4" t="inlineStr"/>
      <c r="F2642" s="4" t="inlineStr">
        <is>
          <t>faqs.en.faqs[12]</t>
        </is>
      </c>
      <c r="G2642" s="4" t="inlineStr">
        <is>
          <t>M10@20261028-72a47e36</t>
        </is>
      </c>
      <c r="H2642" s="4" t="n">
        <v>1</v>
      </c>
      <c r="I2642" s="4" t="n">
        <v>1</v>
      </c>
      <c r="J2642" s="4" t="inlineStr">
        <is>
          <t>Is There Any Compensation For The Delay In The Disbursal Of The Scheme Benefits?
No, there is no such mention in the scheme guidelines.</t>
        </is>
      </c>
      <c r="K2642" s="4" t="inlineStr">
        <is>
          <t>MS-M10</t>
        </is>
      </c>
      <c r="L2642" s="6" t="n">
        <v>46323</v>
      </c>
      <c r="M2642" s="4" t="inlineStr">
        <is>
          <t>Approved</t>
        </is>
      </c>
      <c r="N2642" s="4" t="inlineStr">
        <is>
          <t>faq</t>
        </is>
      </c>
    </row>
    <row r="2643" ht="40" customHeight="1">
      <c r="A2643" s="8" t="inlineStr">
        <is>
          <t>M10-P0035</t>
        </is>
      </c>
      <c r="B2643" s="8" t="inlineStr">
        <is>
          <t>M10</t>
        </is>
      </c>
      <c r="C2643" s="8" t="inlineStr">
        <is>
          <t>Financial Assistance For Aids And Appliances For Disabled Persons</t>
        </is>
      </c>
      <c r="D2643" s="8" t="inlineStr">
        <is>
          <t>FAQ</t>
        </is>
      </c>
      <c r="E2643" s="8" t="inlineStr"/>
      <c r="F2643" s="8" t="inlineStr">
        <is>
          <t>faqs.en.faqs[13]</t>
        </is>
      </c>
      <c r="G2643" s="8" t="inlineStr">
        <is>
          <t>M10@20261028-72a47e36</t>
        </is>
      </c>
      <c r="H2643" s="8" t="n">
        <v>1</v>
      </c>
      <c r="I2643" s="8" t="n">
        <v>1</v>
      </c>
      <c r="J2643" s="8" t="inlineStr">
        <is>
          <t>How Do I Know If A Field In The Application Form Is Mandatory?
The mandatory fields have an asterisk (*) mark at the end.</t>
        </is>
      </c>
      <c r="K2643" s="8" t="inlineStr">
        <is>
          <t>MS-M10</t>
        </is>
      </c>
      <c r="L2643" s="9" t="n">
        <v>46323</v>
      </c>
      <c r="M2643" s="8" t="inlineStr">
        <is>
          <t>Approved</t>
        </is>
      </c>
      <c r="N2643" s="8" t="inlineStr">
        <is>
          <t>faq</t>
        </is>
      </c>
    </row>
    <row r="2644" ht="68" customHeight="1">
      <c r="A2644" s="4" t="inlineStr">
        <is>
          <t>M10-P0036</t>
        </is>
      </c>
      <c r="B2644" s="4" t="inlineStr">
        <is>
          <t>M10</t>
        </is>
      </c>
      <c r="C2644" s="4" t="inlineStr">
        <is>
          <t>Financial Assistance For Aids And Appliances For Disabled Persons</t>
        </is>
      </c>
      <c r="D2644" s="4" t="inlineStr">
        <is>
          <t>FAQ</t>
        </is>
      </c>
      <c r="E2644" s="4" t="inlineStr"/>
      <c r="F2644" s="4" t="inlineStr">
        <is>
          <t>faqs.en.faqs[14]</t>
        </is>
      </c>
      <c r="G2644" s="4" t="inlineStr">
        <is>
          <t>M10@20261028-72a47e36</t>
        </is>
      </c>
      <c r="H2644" s="4" t="n">
        <v>1</v>
      </c>
      <c r="I2644" s="4" t="n">
        <v>1</v>
      </c>
      <c r="J2644" s="4" t="inlineStr">
        <is>
          <t>Can Applicants From The Neighboring States Gujarat, Madhya Pradesh, Chhattisgarh, Telangana, Etc Also Apply To This Scheme?
No, only the citizens who are permanent residents of the state of Maharashtra are eligible to apply.</t>
        </is>
      </c>
      <c r="K2644" s="4" t="inlineStr">
        <is>
          <t>MS-M10</t>
        </is>
      </c>
      <c r="L2644" s="6" t="n">
        <v>46323</v>
      </c>
      <c r="M2644" s="4" t="inlineStr">
        <is>
          <t>Approved</t>
        </is>
      </c>
      <c r="N2644" s="4" t="inlineStr">
        <is>
          <t>faq</t>
        </is>
      </c>
    </row>
    <row r="2645" ht="54" customHeight="1">
      <c r="A2645" s="8" t="inlineStr">
        <is>
          <t>M10-P0037</t>
        </is>
      </c>
      <c r="B2645" s="8" t="inlineStr">
        <is>
          <t>M10</t>
        </is>
      </c>
      <c r="C2645" s="8" t="inlineStr">
        <is>
          <t>Financial Assistance For Aids And Appliances For Disabled Persons</t>
        </is>
      </c>
      <c r="D2645" s="8" t="inlineStr">
        <is>
          <t>FAQ</t>
        </is>
      </c>
      <c r="E2645" s="8" t="inlineStr"/>
      <c r="F2645" s="8" t="inlineStr">
        <is>
          <t>faqs.en.faqs[15]</t>
        </is>
      </c>
      <c r="G2645" s="8" t="inlineStr">
        <is>
          <t>M10@20261028-72a47e36</t>
        </is>
      </c>
      <c r="H2645" s="8" t="n">
        <v>1</v>
      </c>
      <c r="I2645" s="8" t="n">
        <v>1</v>
      </c>
      <c r="J2645" s="8" t="inlineStr">
        <is>
          <t>Where Can I Find The URL To The Website Of The Dept. Of Social Justice &amp; Special Assistance?
The URL to the official website of the Department of Social Justice &amp; Special Assistance, Government of Maharashtra is - https://sjsa.maharashtra.gov.in/</t>
        </is>
      </c>
      <c r="K2645" s="8" t="inlineStr">
        <is>
          <t>MS-M10</t>
        </is>
      </c>
      <c r="L2645" s="9" t="n">
        <v>46323</v>
      </c>
      <c r="M2645" s="8" t="inlineStr">
        <is>
          <t>Approved</t>
        </is>
      </c>
      <c r="N2645" s="8" t="inlineStr">
        <is>
          <t>faq</t>
        </is>
      </c>
    </row>
    <row r="2646" ht="54" customHeight="1">
      <c r="A2646" s="4" t="inlineStr">
        <is>
          <t>M10-P0038</t>
        </is>
      </c>
      <c r="B2646" s="4" t="inlineStr">
        <is>
          <t>M10</t>
        </is>
      </c>
      <c r="C2646" s="4" t="inlineStr">
        <is>
          <t>Financial Assistance For Aids And Appliances For Disabled Persons</t>
        </is>
      </c>
      <c r="D2646" s="4" t="inlineStr">
        <is>
          <t>FAQ</t>
        </is>
      </c>
      <c r="E2646" s="4" t="inlineStr"/>
      <c r="F2646" s="4" t="inlineStr">
        <is>
          <t>faqs.en.faqs[16]</t>
        </is>
      </c>
      <c r="G2646" s="4" t="inlineStr">
        <is>
          <t>M10@20261028-72a47e36</t>
        </is>
      </c>
      <c r="H2646" s="4" t="n">
        <v>1</v>
      </c>
      <c r="I2646" s="4" t="n">
        <v>1</v>
      </c>
      <c r="J2646" s="4" t="inlineStr">
        <is>
          <t>Where Can I Find The Link To The Scheme Guidelines?
The Scheme Guidelines can be found at this link - https://sjsa.maharashtra.gov.in/en/scheme-category/disability-welfare</t>
        </is>
      </c>
      <c r="K2646" s="4" t="inlineStr">
        <is>
          <t>MS-M10</t>
        </is>
      </c>
      <c r="L2646" s="6" t="n">
        <v>46323</v>
      </c>
      <c r="M2646" s="4" t="inlineStr">
        <is>
          <t>Approved</t>
        </is>
      </c>
      <c r="N2646" s="4" t="inlineStr">
        <is>
          <t>faq</t>
        </is>
      </c>
    </row>
    <row r="2647" ht="68" customHeight="1">
      <c r="A2647" s="8" t="inlineStr">
        <is>
          <t>M10-P0039</t>
        </is>
      </c>
      <c r="B2647" s="8" t="inlineStr">
        <is>
          <t>M10</t>
        </is>
      </c>
      <c r="C2647" s="8" t="inlineStr">
        <is>
          <t>Financial Assistance For Aids And Appliances For Disabled Persons</t>
        </is>
      </c>
      <c r="D2647" s="8" t="inlineStr">
        <is>
          <t>FAQ</t>
        </is>
      </c>
      <c r="E2647" s="8" t="inlineStr"/>
      <c r="F2647" s="8" t="inlineStr">
        <is>
          <t>faqs.en.faqs[17]</t>
        </is>
      </c>
      <c r="G2647" s="8" t="inlineStr">
        <is>
          <t>M10@20261028-72a47e36</t>
        </is>
      </c>
      <c r="H2647" s="8" t="n">
        <v>1</v>
      </c>
      <c r="I2647" s="8" t="n">
        <v>1</v>
      </c>
      <c r="J2647" s="8"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2647" s="8" t="inlineStr">
        <is>
          <t>MS-M10</t>
        </is>
      </c>
      <c r="L2647" s="9" t="n">
        <v>46323</v>
      </c>
      <c r="M2647" s="8" t="inlineStr">
        <is>
          <t>Approved</t>
        </is>
      </c>
      <c r="N2647" s="8" t="inlineStr">
        <is>
          <t>faq</t>
        </is>
      </c>
    </row>
    <row r="2648" ht="54" customHeight="1">
      <c r="A2648" s="4" t="inlineStr">
        <is>
          <t>M10-P0040</t>
        </is>
      </c>
      <c r="B2648" s="4" t="inlineStr">
        <is>
          <t>M10</t>
        </is>
      </c>
      <c r="C2648" s="4" t="inlineStr">
        <is>
          <t>Financial Assistance For Aids And Appliances For Disabled Persons</t>
        </is>
      </c>
      <c r="D2648" s="4" t="inlineStr">
        <is>
          <t>FAQ</t>
        </is>
      </c>
      <c r="E2648" s="4" t="inlineStr"/>
      <c r="F2648" s="4" t="inlineStr">
        <is>
          <t>faqs.en.faqs[18]</t>
        </is>
      </c>
      <c r="G2648" s="4" t="inlineStr">
        <is>
          <t>M10@20261028-72a47e36</t>
        </is>
      </c>
      <c r="H2648" s="4" t="n">
        <v>1</v>
      </c>
      <c r="I2648" s="4" t="n">
        <v>1</v>
      </c>
      <c r="J2648" s="4" t="inlineStr">
        <is>
          <t>Where Can I Find The Addresses Of The District Social Welfare Offices?
The addresses of the District Social Welfare Offices can be found at - https://sjsa.maharashtra.gov.in/en/contacts</t>
        </is>
      </c>
      <c r="K2648" s="4" t="inlineStr">
        <is>
          <t>MS-M10</t>
        </is>
      </c>
      <c r="L2648" s="6" t="n">
        <v>46323</v>
      </c>
      <c r="M2648" s="4" t="inlineStr">
        <is>
          <t>Approved</t>
        </is>
      </c>
      <c r="N2648" s="4" t="inlineStr">
        <is>
          <t>faq</t>
        </is>
      </c>
    </row>
    <row r="2649" ht="54" customHeight="1">
      <c r="A2649" s="8" t="inlineStr">
        <is>
          <t>M10-P0041</t>
        </is>
      </c>
      <c r="B2649" s="8" t="inlineStr">
        <is>
          <t>M10</t>
        </is>
      </c>
      <c r="C2649" s="8" t="inlineStr">
        <is>
          <t>Financial Assistance For Aids And Appliances For Disabled Persons</t>
        </is>
      </c>
      <c r="D2649" s="8" t="inlineStr">
        <is>
          <t>FAQ</t>
        </is>
      </c>
      <c r="E2649" s="8" t="inlineStr"/>
      <c r="F2649" s="8" t="inlineStr">
        <is>
          <t>faqs.en.faqs[19]</t>
        </is>
      </c>
      <c r="G2649" s="8" t="inlineStr">
        <is>
          <t>M10@20261028-72a47e36</t>
        </is>
      </c>
      <c r="H2649" s="8" t="n">
        <v>1</v>
      </c>
      <c r="I2649" s="8" t="n">
        <v>1</v>
      </c>
      <c r="J2649" s="8" t="inlineStr">
        <is>
          <t>Where Can I Post My Grievances Related To This Scheme?
You can post your grievances at the Grievance Redressal Portal by the Govt. of Maharashtra: https://grievances.maharashtra.gov.in/en</t>
        </is>
      </c>
      <c r="K2649" s="8" t="inlineStr">
        <is>
          <t>MS-M10</t>
        </is>
      </c>
      <c r="L2649" s="9" t="n">
        <v>46323</v>
      </c>
      <c r="M2649" s="8" t="inlineStr">
        <is>
          <t>Approved</t>
        </is>
      </c>
      <c r="N2649" s="8" t="inlineStr">
        <is>
          <t>faq</t>
        </is>
      </c>
    </row>
    <row r="2650" ht="40" customHeight="1">
      <c r="A2650" s="4" t="inlineStr">
        <is>
          <t>M10-P0042</t>
        </is>
      </c>
      <c r="B2650" s="4" t="inlineStr">
        <is>
          <t>M10</t>
        </is>
      </c>
      <c r="C2650" s="4" t="inlineStr">
        <is>
          <t>Financial Assistance For Aids And Appliances For Disabled Persons</t>
        </is>
      </c>
      <c r="D2650" s="4" t="inlineStr">
        <is>
          <t>FAQ</t>
        </is>
      </c>
      <c r="E2650" s="4" t="inlineStr"/>
      <c r="F2650" s="4" t="inlineStr">
        <is>
          <t>faqs.en.faqs[20]</t>
        </is>
      </c>
      <c r="G2650" s="4" t="inlineStr">
        <is>
          <t>M10@20261028-72a47e36</t>
        </is>
      </c>
      <c r="H2650" s="4" t="n">
        <v>1</v>
      </c>
      <c r="I2650" s="4" t="n">
        <v>1</v>
      </c>
      <c r="J2650" s="4" t="inlineStr">
        <is>
          <t>Is There An Income-Related Criterion For This Scheme?
No, there is no income-related criterion for this scheme.</t>
        </is>
      </c>
      <c r="K2650" s="4" t="inlineStr">
        <is>
          <t>MS-M10</t>
        </is>
      </c>
      <c r="L2650" s="6" t="n">
        <v>46323</v>
      </c>
      <c r="M2650" s="4" t="inlineStr">
        <is>
          <t>Approved</t>
        </is>
      </c>
      <c r="N2650" s="4" t="inlineStr">
        <is>
          <t>faq</t>
        </is>
      </c>
    </row>
    <row r="2651" ht="54" customHeight="1">
      <c r="A2651" s="8" t="inlineStr">
        <is>
          <t>M10-P0043</t>
        </is>
      </c>
      <c r="B2651" s="8" t="inlineStr">
        <is>
          <t>M10</t>
        </is>
      </c>
      <c r="C2651" s="8" t="inlineStr">
        <is>
          <t>Financial Assistance For Aids And Appliances For Disabled Persons</t>
        </is>
      </c>
      <c r="D2651" s="8" t="inlineStr">
        <is>
          <t>FAQ</t>
        </is>
      </c>
      <c r="E2651" s="8" t="inlineStr"/>
      <c r="F2651" s="8" t="inlineStr">
        <is>
          <t>faqs.en.faqs[21]</t>
        </is>
      </c>
      <c r="G2651" s="8" t="inlineStr">
        <is>
          <t>M10@20261028-72a47e36</t>
        </is>
      </c>
      <c r="H2651" s="8" t="n">
        <v>1</v>
      </c>
      <c r="I2651" s="8" t="n">
        <v>1</v>
      </c>
      <c r="J2651" s="8" t="inlineStr">
        <is>
          <t>Where Can I Find The Format Of The Application Form? Is It Available Online?
You need to visit the District Social Welfare Office and request a hard copy of the format of the application form for the scheme from the concerned authority.</t>
        </is>
      </c>
      <c r="K2651" s="8" t="inlineStr">
        <is>
          <t>MS-M10</t>
        </is>
      </c>
      <c r="L2651" s="9" t="n">
        <v>46323</v>
      </c>
      <c r="M2651" s="8" t="inlineStr">
        <is>
          <t>Approved</t>
        </is>
      </c>
      <c r="N2651" s="8" t="inlineStr">
        <is>
          <t>faq</t>
        </is>
      </c>
    </row>
    <row r="2652" ht="96" customHeight="1">
      <c r="A2652" s="4" t="inlineStr">
        <is>
          <t>M11-P0001</t>
        </is>
      </c>
      <c r="B2652" s="4" t="inlineStr">
        <is>
          <t>M11</t>
        </is>
      </c>
      <c r="C2652" s="4" t="inlineStr">
        <is>
          <t>Financial Assistance To Disabled For Self Employment</t>
        </is>
      </c>
      <c r="D2652" s="4" t="inlineStr">
        <is>
          <t>Details</t>
        </is>
      </c>
      <c r="E2652" s="4" t="inlineStr"/>
      <c r="F2652" s="4" t="inlineStr">
        <is>
          <t>en.schemeContent.detailedDescription[0]</t>
        </is>
      </c>
      <c r="G2652" s="4" t="inlineStr">
        <is>
          <t>M11@20261028-8915f15c</t>
        </is>
      </c>
      <c r="H2652" s="4" t="n">
        <v>1</v>
      </c>
      <c r="I2652" s="4" t="n">
        <v>1</v>
      </c>
      <c r="J2652" s="4" t="inlineStr">
        <is>
          <t>The "Financial Assistance to Disabled for Self Employment" is a scheme by the Department of Social Justice &amp; Special Assistance, Govt. of Maharashtra. The objective of this scheme is to facilitate the self-employment of unemployed disabled persons. Under this scheme, financial assistance is provided to persons with disabilities for self-employment, small-scale business, and agro-based project. Only citizens who are permanent residents of the state of Maharashtra are eligible to apply for this scheme. This scheme is 100% funded by the Govt. of Maharashtra.</t>
        </is>
      </c>
      <c r="K2652" s="4" t="inlineStr">
        <is>
          <t>MS-M11</t>
        </is>
      </c>
      <c r="L2652" s="6" t="n">
        <v>46323</v>
      </c>
      <c r="M2652" s="4" t="inlineStr">
        <is>
          <t>Approved</t>
        </is>
      </c>
      <c r="N2652" s="4" t="inlineStr">
        <is>
          <t>paragraph</t>
        </is>
      </c>
    </row>
    <row r="2653" ht="40" customHeight="1">
      <c r="A2653" s="8" t="inlineStr">
        <is>
          <t>M11-P0002</t>
        </is>
      </c>
      <c r="B2653" s="8" t="inlineStr">
        <is>
          <t>M11</t>
        </is>
      </c>
      <c r="C2653" s="8" t="inlineStr">
        <is>
          <t>Financial Assistance To Disabled For Self Employment</t>
        </is>
      </c>
      <c r="D2653" s="8" t="inlineStr">
        <is>
          <t>Benefits</t>
        </is>
      </c>
      <c r="E2653" s="8" t="inlineStr"/>
      <c r="F2653" s="8" t="inlineStr">
        <is>
          <t>en.schemeContent.benefits[0].children[0]</t>
        </is>
      </c>
      <c r="G2653" s="8" t="inlineStr">
        <is>
          <t>M11@20261028-8915f15c</t>
        </is>
      </c>
      <c r="H2653" s="8" t="n">
        <v>1</v>
      </c>
      <c r="I2653" s="8" t="n">
        <v>1</v>
      </c>
      <c r="J2653" s="8" t="inlineStr">
        <is>
          <t>Financial Assistance of up to ₹1,50,000/- is provided. 80% loan amount is provided by the Nationalized Bank.</t>
        </is>
      </c>
      <c r="K2653" s="8" t="inlineStr">
        <is>
          <t>MS-M11</t>
        </is>
      </c>
      <c r="L2653" s="9" t="n">
        <v>46323</v>
      </c>
      <c r="M2653" s="8" t="inlineStr">
        <is>
          <t>Approved</t>
        </is>
      </c>
      <c r="N2653" s="8" t="inlineStr">
        <is>
          <t>list_item</t>
        </is>
      </c>
    </row>
    <row r="2654" ht="40" customHeight="1">
      <c r="A2654" s="4" t="inlineStr">
        <is>
          <t>M11-P0003</t>
        </is>
      </c>
      <c r="B2654" s="4" t="inlineStr">
        <is>
          <t>M11</t>
        </is>
      </c>
      <c r="C2654" s="4" t="inlineStr">
        <is>
          <t>Financial Assistance To Disabled For Self Employment</t>
        </is>
      </c>
      <c r="D2654" s="4" t="inlineStr">
        <is>
          <t>Benefits</t>
        </is>
      </c>
      <c r="E2654" s="4" t="inlineStr"/>
      <c r="F2654" s="4" t="inlineStr">
        <is>
          <t>en.schemeContent.benefits[0].children[1]</t>
        </is>
      </c>
      <c r="G2654" s="4" t="inlineStr">
        <is>
          <t>M11@20261028-8915f15c</t>
        </is>
      </c>
      <c r="H2654" s="4" t="n">
        <v>1</v>
      </c>
      <c r="I2654" s="4" t="n">
        <v>1</v>
      </c>
      <c r="J2654" s="4" t="inlineStr">
        <is>
          <t>20% subsidy of up to ₹30,000/- is provided by the Department of Social Justice &amp; Special Assistance.</t>
        </is>
      </c>
      <c r="K2654" s="4" t="inlineStr">
        <is>
          <t>MS-M11</t>
        </is>
      </c>
      <c r="L2654" s="6" t="n">
        <v>46323</v>
      </c>
      <c r="M2654" s="4" t="inlineStr">
        <is>
          <t>Approved</t>
        </is>
      </c>
      <c r="N2654" s="4" t="inlineStr">
        <is>
          <t>list_item</t>
        </is>
      </c>
    </row>
    <row r="2655" ht="40" customHeight="1">
      <c r="A2655" s="8" t="inlineStr">
        <is>
          <t>M11-P0004</t>
        </is>
      </c>
      <c r="B2655" s="8" t="inlineStr">
        <is>
          <t>M11</t>
        </is>
      </c>
      <c r="C2655" s="8" t="inlineStr">
        <is>
          <t>Financial Assistance To Disabled For Self Employment</t>
        </is>
      </c>
      <c r="D2655" s="8" t="inlineStr">
        <is>
          <t>Eligibility</t>
        </is>
      </c>
      <c r="E2655" s="8" t="inlineStr"/>
      <c r="F2655" s="8" t="inlineStr">
        <is>
          <t>en.eligibilityCriteria.eligibilityDescription[0].children[0]</t>
        </is>
      </c>
      <c r="G2655" s="8" t="inlineStr">
        <is>
          <t>M11@20261028-8915f15c</t>
        </is>
      </c>
      <c r="H2655" s="8" t="n">
        <v>1</v>
      </c>
      <c r="I2655" s="8" t="n">
        <v>1</v>
      </c>
      <c r="J2655" s="8" t="inlineStr">
        <is>
          <t>The applicant should be a citizen of India.</t>
        </is>
      </c>
      <c r="K2655" s="8" t="inlineStr">
        <is>
          <t>MS-M11</t>
        </is>
      </c>
      <c r="L2655" s="9" t="n">
        <v>46323</v>
      </c>
      <c r="M2655" s="8" t="inlineStr">
        <is>
          <t>Approved</t>
        </is>
      </c>
      <c r="N2655" s="8" t="inlineStr">
        <is>
          <t>list_item</t>
        </is>
      </c>
    </row>
    <row r="2656" ht="40" customHeight="1">
      <c r="A2656" s="4" t="inlineStr">
        <is>
          <t>M11-P0005</t>
        </is>
      </c>
      <c r="B2656" s="4" t="inlineStr">
        <is>
          <t>M11</t>
        </is>
      </c>
      <c r="C2656" s="4" t="inlineStr">
        <is>
          <t>Financial Assistance To Disabled For Self Employment</t>
        </is>
      </c>
      <c r="D2656" s="4" t="inlineStr">
        <is>
          <t>Eligibility</t>
        </is>
      </c>
      <c r="E2656" s="4" t="inlineStr"/>
      <c r="F2656" s="4" t="inlineStr">
        <is>
          <t>en.eligibilityCriteria.eligibilityDescription[0].children[1]</t>
        </is>
      </c>
      <c r="G2656" s="4" t="inlineStr">
        <is>
          <t>M11@20261028-8915f15c</t>
        </is>
      </c>
      <c r="H2656" s="4" t="n">
        <v>1</v>
      </c>
      <c r="I2656" s="4" t="n">
        <v>1</v>
      </c>
      <c r="J2656" s="4" t="inlineStr">
        <is>
          <t>The applicant should be a permanent resident of Maharashtra State.</t>
        </is>
      </c>
      <c r="K2656" s="4" t="inlineStr">
        <is>
          <t>MS-M11</t>
        </is>
      </c>
      <c r="L2656" s="6" t="n">
        <v>46323</v>
      </c>
      <c r="M2656" s="4" t="inlineStr">
        <is>
          <t>Approved</t>
        </is>
      </c>
      <c r="N2656" s="4" t="inlineStr">
        <is>
          <t>list_item</t>
        </is>
      </c>
    </row>
    <row r="2657" ht="40" customHeight="1">
      <c r="A2657" s="8" t="inlineStr">
        <is>
          <t>M11-P0006</t>
        </is>
      </c>
      <c r="B2657" s="8" t="inlineStr">
        <is>
          <t>M11</t>
        </is>
      </c>
      <c r="C2657" s="8" t="inlineStr">
        <is>
          <t>Financial Assistance To Disabled For Self Employment</t>
        </is>
      </c>
      <c r="D2657" s="8" t="inlineStr">
        <is>
          <t>Eligibility</t>
        </is>
      </c>
      <c r="E2657" s="8" t="inlineStr"/>
      <c r="F2657" s="8" t="inlineStr">
        <is>
          <t>en.eligibilityCriteria.eligibilityDescription[0].children[2]</t>
        </is>
      </c>
      <c r="G2657" s="8" t="inlineStr">
        <is>
          <t>M11@20261028-8915f15c</t>
        </is>
      </c>
      <c r="H2657" s="8" t="n">
        <v>1</v>
      </c>
      <c r="I2657" s="8" t="n">
        <v>1</v>
      </c>
      <c r="J2657" s="8" t="inlineStr">
        <is>
          <t>The applicant should be a Person with Disability (Visually Handicapped, Low Vision, Hearing Impaired, Orthopedically Handicapped, etc).</t>
        </is>
      </c>
      <c r="K2657" s="8" t="inlineStr">
        <is>
          <t>MS-M11</t>
        </is>
      </c>
      <c r="L2657" s="9" t="n">
        <v>46323</v>
      </c>
      <c r="M2657" s="8" t="inlineStr">
        <is>
          <t>Approved</t>
        </is>
      </c>
      <c r="N2657" s="8" t="inlineStr">
        <is>
          <t>list_item</t>
        </is>
      </c>
    </row>
    <row r="2658" ht="40" customHeight="1">
      <c r="A2658" s="4" t="inlineStr">
        <is>
          <t>M11-P0007</t>
        </is>
      </c>
      <c r="B2658" s="4" t="inlineStr">
        <is>
          <t>M11</t>
        </is>
      </c>
      <c r="C2658" s="4" t="inlineStr">
        <is>
          <t>Financial Assistance To Disabled For Self Employment</t>
        </is>
      </c>
      <c r="D2658" s="4" t="inlineStr">
        <is>
          <t>Eligibility</t>
        </is>
      </c>
      <c r="E2658" s="4" t="inlineStr"/>
      <c r="F2658" s="4" t="inlineStr">
        <is>
          <t>en.eligibilityCriteria.eligibilityDescription[0].children[3]</t>
        </is>
      </c>
      <c r="G2658" s="4" t="inlineStr">
        <is>
          <t>M11@20261028-8915f15c</t>
        </is>
      </c>
      <c r="H2658" s="4" t="n">
        <v>1</v>
      </c>
      <c r="I2658" s="4" t="n">
        <v>1</v>
      </c>
      <c r="J2658" s="4" t="inlineStr">
        <is>
          <t>The percentage of the disability should be 40% or above.</t>
        </is>
      </c>
      <c r="K2658" s="4" t="inlineStr">
        <is>
          <t>MS-M11</t>
        </is>
      </c>
      <c r="L2658" s="6" t="n">
        <v>46323</v>
      </c>
      <c r="M2658" s="4" t="inlineStr">
        <is>
          <t>Approved</t>
        </is>
      </c>
      <c r="N2658" s="4" t="inlineStr">
        <is>
          <t>list_item</t>
        </is>
      </c>
    </row>
    <row r="2659" ht="40" customHeight="1">
      <c r="A2659" s="8" t="inlineStr">
        <is>
          <t>M11-P0008</t>
        </is>
      </c>
      <c r="B2659" s="8" t="inlineStr">
        <is>
          <t>M11</t>
        </is>
      </c>
      <c r="C2659" s="8" t="inlineStr">
        <is>
          <t>Financial Assistance To Disabled For Self Employment</t>
        </is>
      </c>
      <c r="D2659" s="8" t="inlineStr">
        <is>
          <t>Eligibility</t>
        </is>
      </c>
      <c r="E2659" s="8" t="inlineStr"/>
      <c r="F2659" s="8" t="inlineStr">
        <is>
          <t>en.eligibilityCriteria.eligibilityDescription[0].children[4]</t>
        </is>
      </c>
      <c r="G2659" s="8" t="inlineStr">
        <is>
          <t>M11@20261028-8915f15c</t>
        </is>
      </c>
      <c r="H2659" s="8" t="n">
        <v>1</v>
      </c>
      <c r="I2659" s="8" t="n">
        <v>1</v>
      </c>
      <c r="J2659" s="8" t="inlineStr">
        <is>
          <t>The applicant should be in the 18 to 50 years age group.</t>
        </is>
      </c>
      <c r="K2659" s="8" t="inlineStr">
        <is>
          <t>MS-M11</t>
        </is>
      </c>
      <c r="L2659" s="9" t="n">
        <v>46323</v>
      </c>
      <c r="M2659" s="8" t="inlineStr">
        <is>
          <t>Approved</t>
        </is>
      </c>
      <c r="N2659" s="8" t="inlineStr">
        <is>
          <t>list_item</t>
        </is>
      </c>
    </row>
    <row r="2660" ht="40" customHeight="1">
      <c r="A2660" s="4" t="inlineStr">
        <is>
          <t>M11-P0009</t>
        </is>
      </c>
      <c r="B2660" s="4" t="inlineStr">
        <is>
          <t>M11</t>
        </is>
      </c>
      <c r="C2660" s="4" t="inlineStr">
        <is>
          <t>Financial Assistance To Disabled For Self Employment</t>
        </is>
      </c>
      <c r="D2660" s="4" t="inlineStr">
        <is>
          <t>Eligibility</t>
        </is>
      </c>
      <c r="E2660" s="4" t="inlineStr"/>
      <c r="F2660" s="4" t="inlineStr">
        <is>
          <t>en.eligibilityCriteria.eligibilityDescription[0].children[5]</t>
        </is>
      </c>
      <c r="G2660" s="4" t="inlineStr">
        <is>
          <t>M11@20261028-8915f15c</t>
        </is>
      </c>
      <c r="H2660" s="4" t="n">
        <v>1</v>
      </c>
      <c r="I2660" s="4" t="n">
        <v>1</v>
      </c>
      <c r="J2660" s="4" t="inlineStr">
        <is>
          <t>The annual income of the applicant should be less than ₹1,00,000/-.</t>
        </is>
      </c>
      <c r="K2660" s="4" t="inlineStr">
        <is>
          <t>MS-M11</t>
        </is>
      </c>
      <c r="L2660" s="6" t="n">
        <v>46323</v>
      </c>
      <c r="M2660" s="4" t="inlineStr">
        <is>
          <t>Approved</t>
        </is>
      </c>
      <c r="N2660" s="4" t="inlineStr">
        <is>
          <t>list_item</t>
        </is>
      </c>
    </row>
    <row r="2661" ht="40" customHeight="1">
      <c r="A2661" s="8" t="inlineStr">
        <is>
          <t>M11-P0010</t>
        </is>
      </c>
      <c r="B2661" s="8" t="inlineStr">
        <is>
          <t>M11</t>
        </is>
      </c>
      <c r="C2661" s="8" t="inlineStr">
        <is>
          <t>Financial Assistance To Disabled For Self Employment</t>
        </is>
      </c>
      <c r="D2661" s="8" t="inlineStr">
        <is>
          <t>Applicant documents</t>
        </is>
      </c>
      <c r="E2661" s="8" t="inlineStr"/>
      <c r="F2661" s="8" t="inlineStr">
        <is>
          <t>documents.en.documents_required[0].children[0]</t>
        </is>
      </c>
      <c r="G2661" s="8" t="inlineStr">
        <is>
          <t>M11@20261028-8915f15c</t>
        </is>
      </c>
      <c r="H2661" s="8" t="n">
        <v>1</v>
      </c>
      <c r="I2661" s="8" t="n">
        <v>1</v>
      </c>
      <c r="J2661" s="8" t="inlineStr">
        <is>
          <t>Aadhaar Card.</t>
        </is>
      </c>
      <c r="K2661" s="8" t="inlineStr">
        <is>
          <t>MS-M11</t>
        </is>
      </c>
      <c r="L2661" s="9" t="n">
        <v>46323</v>
      </c>
      <c r="M2661" s="8" t="inlineStr">
        <is>
          <t>Approved</t>
        </is>
      </c>
      <c r="N2661" s="8" t="inlineStr">
        <is>
          <t>list_item</t>
        </is>
      </c>
    </row>
    <row r="2662" ht="40" customHeight="1">
      <c r="A2662" s="4" t="inlineStr">
        <is>
          <t>M11-P0011</t>
        </is>
      </c>
      <c r="B2662" s="4" t="inlineStr">
        <is>
          <t>M11</t>
        </is>
      </c>
      <c r="C2662" s="4" t="inlineStr">
        <is>
          <t>Financial Assistance To Disabled For Self Employment</t>
        </is>
      </c>
      <c r="D2662" s="4" t="inlineStr">
        <is>
          <t>Applicant documents</t>
        </is>
      </c>
      <c r="E2662" s="4" t="inlineStr"/>
      <c r="F2662" s="4" t="inlineStr">
        <is>
          <t>documents.en.documents_required[0].children[1]</t>
        </is>
      </c>
      <c r="G2662" s="4" t="inlineStr">
        <is>
          <t>M11@20261028-8915f15c</t>
        </is>
      </c>
      <c r="H2662" s="4" t="n">
        <v>1</v>
      </c>
      <c r="I2662" s="4" t="n">
        <v>1</v>
      </c>
      <c r="J2662" s="4" t="inlineStr">
        <is>
          <t>Proof of Age (Birth Certificate, Marksheet of Class 10th/12th, etc).</t>
        </is>
      </c>
      <c r="K2662" s="4" t="inlineStr">
        <is>
          <t>MS-M11</t>
        </is>
      </c>
      <c r="L2662" s="6" t="n">
        <v>46323</v>
      </c>
      <c r="M2662" s="4" t="inlineStr">
        <is>
          <t>Approved</t>
        </is>
      </c>
      <c r="N2662" s="4" t="inlineStr">
        <is>
          <t>list_item</t>
        </is>
      </c>
    </row>
    <row r="2663" ht="40" customHeight="1">
      <c r="A2663" s="8" t="inlineStr">
        <is>
          <t>M11-P0012</t>
        </is>
      </c>
      <c r="B2663" s="8" t="inlineStr">
        <is>
          <t>M11</t>
        </is>
      </c>
      <c r="C2663" s="8" t="inlineStr">
        <is>
          <t>Financial Assistance To Disabled For Self Employment</t>
        </is>
      </c>
      <c r="D2663" s="8" t="inlineStr">
        <is>
          <t>Applicant documents</t>
        </is>
      </c>
      <c r="E2663" s="8" t="inlineStr"/>
      <c r="F2663" s="8" t="inlineStr">
        <is>
          <t>documents.en.documents_required[0].children[2]</t>
        </is>
      </c>
      <c r="G2663" s="8" t="inlineStr">
        <is>
          <t>M11@20261028-8915f15c</t>
        </is>
      </c>
      <c r="H2663" s="8" t="n">
        <v>1</v>
      </c>
      <c r="I2663" s="8" t="n">
        <v>1</v>
      </c>
      <c r="J2663" s="8" t="inlineStr">
        <is>
          <t>2-Passport Sized Photograph (Signed Across).</t>
        </is>
      </c>
      <c r="K2663" s="8" t="inlineStr">
        <is>
          <t>MS-M11</t>
        </is>
      </c>
      <c r="L2663" s="9" t="n">
        <v>46323</v>
      </c>
      <c r="M2663" s="8" t="inlineStr">
        <is>
          <t>Approved</t>
        </is>
      </c>
      <c r="N2663" s="8" t="inlineStr">
        <is>
          <t>list_item</t>
        </is>
      </c>
    </row>
    <row r="2664" ht="40" customHeight="1">
      <c r="A2664" s="4" t="inlineStr">
        <is>
          <t>M11-P0013</t>
        </is>
      </c>
      <c r="B2664" s="4" t="inlineStr">
        <is>
          <t>M11</t>
        </is>
      </c>
      <c r="C2664" s="4" t="inlineStr">
        <is>
          <t>Financial Assistance To Disabled For Self Employment</t>
        </is>
      </c>
      <c r="D2664" s="4" t="inlineStr">
        <is>
          <t>Applicant documents</t>
        </is>
      </c>
      <c r="E2664" s="4" t="inlineStr"/>
      <c r="F2664" s="4" t="inlineStr">
        <is>
          <t>documents.en.documents_required[0].children[3]</t>
        </is>
      </c>
      <c r="G2664" s="4" t="inlineStr">
        <is>
          <t>M11@20261028-8915f15c</t>
        </is>
      </c>
      <c r="H2664" s="4" t="n">
        <v>1</v>
      </c>
      <c r="I2664" s="4" t="n">
        <v>1</v>
      </c>
      <c r="J2664" s="4" t="inlineStr">
        <is>
          <t>Residential Certificate / Domicile Certificate of the State of Maharashtra.</t>
        </is>
      </c>
      <c r="K2664" s="4" t="inlineStr">
        <is>
          <t>MS-M11</t>
        </is>
      </c>
      <c r="L2664" s="6" t="n">
        <v>46323</v>
      </c>
      <c r="M2664" s="4" t="inlineStr">
        <is>
          <t>Approved</t>
        </is>
      </c>
      <c r="N2664" s="4" t="inlineStr">
        <is>
          <t>list_item</t>
        </is>
      </c>
    </row>
    <row r="2665" ht="40" customHeight="1">
      <c r="A2665" s="8" t="inlineStr">
        <is>
          <t>M11-P0014</t>
        </is>
      </c>
      <c r="B2665" s="8" t="inlineStr">
        <is>
          <t>M11</t>
        </is>
      </c>
      <c r="C2665" s="8" t="inlineStr">
        <is>
          <t>Financial Assistance To Disabled For Self Employment</t>
        </is>
      </c>
      <c r="D2665" s="8" t="inlineStr">
        <is>
          <t>Applicant documents</t>
        </is>
      </c>
      <c r="E2665" s="8" t="inlineStr"/>
      <c r="F2665" s="8" t="inlineStr">
        <is>
          <t>documents.en.documents_required[0].children[4]</t>
        </is>
      </c>
      <c r="G2665" s="8" t="inlineStr">
        <is>
          <t>M11@20261028-8915f15c</t>
        </is>
      </c>
      <c r="H2665" s="8" t="n">
        <v>1</v>
      </c>
      <c r="I2665" s="8" t="n">
        <v>1</v>
      </c>
      <c r="J2665" s="8" t="inlineStr">
        <is>
          <t>Disability Certificate.</t>
        </is>
      </c>
      <c r="K2665" s="8" t="inlineStr">
        <is>
          <t>MS-M11</t>
        </is>
      </c>
      <c r="L2665" s="9" t="n">
        <v>46323</v>
      </c>
      <c r="M2665" s="8" t="inlineStr">
        <is>
          <t>Approved</t>
        </is>
      </c>
      <c r="N2665" s="8" t="inlineStr">
        <is>
          <t>list_item</t>
        </is>
      </c>
    </row>
    <row r="2666" ht="40" customHeight="1">
      <c r="A2666" s="4" t="inlineStr">
        <is>
          <t>M11-P0015</t>
        </is>
      </c>
      <c r="B2666" s="4" t="inlineStr">
        <is>
          <t>M11</t>
        </is>
      </c>
      <c r="C2666" s="4" t="inlineStr">
        <is>
          <t>Financial Assistance To Disabled For Self Employment</t>
        </is>
      </c>
      <c r="D2666" s="4" t="inlineStr">
        <is>
          <t>Applicant documents</t>
        </is>
      </c>
      <c r="E2666" s="4" t="inlineStr"/>
      <c r="F2666" s="4" t="inlineStr">
        <is>
          <t>documents.en.documents_required[0].children[5]</t>
        </is>
      </c>
      <c r="G2666" s="4" t="inlineStr">
        <is>
          <t>M11@20261028-8915f15c</t>
        </is>
      </c>
      <c r="H2666" s="4" t="n">
        <v>1</v>
      </c>
      <c r="I2666" s="4" t="n">
        <v>1</v>
      </c>
      <c r="J2666" s="4" t="inlineStr">
        <is>
          <t>Income Certificate.</t>
        </is>
      </c>
      <c r="K2666" s="4" t="inlineStr">
        <is>
          <t>MS-M11</t>
        </is>
      </c>
      <c r="L2666" s="6" t="n">
        <v>46323</v>
      </c>
      <c r="M2666" s="4" t="inlineStr">
        <is>
          <t>Approved</t>
        </is>
      </c>
      <c r="N2666" s="4" t="inlineStr">
        <is>
          <t>list_item</t>
        </is>
      </c>
    </row>
    <row r="2667" ht="40" customHeight="1">
      <c r="A2667" s="8" t="inlineStr">
        <is>
          <t>M11-P0016</t>
        </is>
      </c>
      <c r="B2667" s="8" t="inlineStr">
        <is>
          <t>M11</t>
        </is>
      </c>
      <c r="C2667" s="8" t="inlineStr">
        <is>
          <t>Financial Assistance To Disabled For Self Employment</t>
        </is>
      </c>
      <c r="D2667" s="8" t="inlineStr">
        <is>
          <t>Applicant documents</t>
        </is>
      </c>
      <c r="E2667" s="8" t="inlineStr"/>
      <c r="F2667" s="8" t="inlineStr">
        <is>
          <t>documents.en.documents_required[0].children[6]</t>
        </is>
      </c>
      <c r="G2667" s="8" t="inlineStr">
        <is>
          <t>M11@20261028-8915f15c</t>
        </is>
      </c>
      <c r="H2667" s="8" t="n">
        <v>1</v>
      </c>
      <c r="I2667" s="8" t="n">
        <v>1</v>
      </c>
      <c r="J2667" s="8" t="inlineStr">
        <is>
          <t>Details of the Bank Account (Bank Name, Branch Name, Address, IFSC, etc).</t>
        </is>
      </c>
      <c r="K2667" s="8" t="inlineStr">
        <is>
          <t>MS-M11</t>
        </is>
      </c>
      <c r="L2667" s="9" t="n">
        <v>46323</v>
      </c>
      <c r="M2667" s="8" t="inlineStr">
        <is>
          <t>Approved</t>
        </is>
      </c>
      <c r="N2667" s="8" t="inlineStr">
        <is>
          <t>list_item</t>
        </is>
      </c>
    </row>
    <row r="2668" ht="40" customHeight="1">
      <c r="A2668" s="4" t="inlineStr">
        <is>
          <t>M11-P0017</t>
        </is>
      </c>
      <c r="B2668" s="4" t="inlineStr">
        <is>
          <t>M11</t>
        </is>
      </c>
      <c r="C2668" s="4" t="inlineStr">
        <is>
          <t>Financial Assistance To Disabled For Self Employment</t>
        </is>
      </c>
      <c r="D2668" s="4" t="inlineStr">
        <is>
          <t>Applicant documents</t>
        </is>
      </c>
      <c r="E2668" s="4" t="inlineStr"/>
      <c r="F2668" s="4" t="inlineStr">
        <is>
          <t>documents.en.documents_required[0].children[7]</t>
        </is>
      </c>
      <c r="G2668" s="4" t="inlineStr">
        <is>
          <t>M11@20261028-8915f15c</t>
        </is>
      </c>
      <c r="H2668" s="4" t="n">
        <v>1</v>
      </c>
      <c r="I2668" s="4" t="n">
        <v>1</v>
      </c>
      <c r="J2668" s="4" t="inlineStr">
        <is>
          <t>Any other document required by the District Social Welfare Office.</t>
        </is>
      </c>
      <c r="K2668" s="4" t="inlineStr">
        <is>
          <t>MS-M11</t>
        </is>
      </c>
      <c r="L2668" s="6" t="n">
        <v>46323</v>
      </c>
      <c r="M2668" s="4" t="inlineStr">
        <is>
          <t>Approved</t>
        </is>
      </c>
      <c r="N2668" s="4" t="inlineStr">
        <is>
          <t>list_item</t>
        </is>
      </c>
    </row>
    <row r="2669" ht="40" customHeight="1">
      <c r="A2669" s="8" t="inlineStr">
        <is>
          <t>M11-P0018</t>
        </is>
      </c>
      <c r="B2669" s="8" t="inlineStr">
        <is>
          <t>M11</t>
        </is>
      </c>
      <c r="C2669" s="8" t="inlineStr">
        <is>
          <t>Financial Assistance To Disabled For Self Employment</t>
        </is>
      </c>
      <c r="D2669" s="8" t="inlineStr">
        <is>
          <t>Application process</t>
        </is>
      </c>
      <c r="E2669" s="8" t="inlineStr"/>
      <c r="F2669" s="8" t="inlineStr">
        <is>
          <t>en.applicationProcess[0].process[0]</t>
        </is>
      </c>
      <c r="G2669" s="8" t="inlineStr">
        <is>
          <t>M11@20261028-8915f15c</t>
        </is>
      </c>
      <c r="H2669" s="8" t="n">
        <v>1</v>
      </c>
      <c r="I2669" s="8" t="n">
        <v>1</v>
      </c>
      <c r="J2669" s="8" t="inlineStr">
        <is>
          <t>Step 1: Visit the District Social Welfare Office, and request a hard copy of the format of the application form for the scheme from the concerned authority.</t>
        </is>
      </c>
      <c r="K2669" s="8" t="inlineStr">
        <is>
          <t>MS-M11</t>
        </is>
      </c>
      <c r="L2669" s="9" t="n">
        <v>46323</v>
      </c>
      <c r="M2669" s="8" t="inlineStr">
        <is>
          <t>Approved</t>
        </is>
      </c>
      <c r="N2669" s="8" t="inlineStr">
        <is>
          <t>paragraph</t>
        </is>
      </c>
    </row>
    <row r="2670" ht="40" customHeight="1">
      <c r="A2670" s="4" t="inlineStr">
        <is>
          <t>M11-P0019</t>
        </is>
      </c>
      <c r="B2670" s="4" t="inlineStr">
        <is>
          <t>M11</t>
        </is>
      </c>
      <c r="C2670" s="4" t="inlineStr">
        <is>
          <t>Financial Assistance To Disabled For Self Employment</t>
        </is>
      </c>
      <c r="D2670" s="4" t="inlineStr">
        <is>
          <t>Application process</t>
        </is>
      </c>
      <c r="E2670" s="4" t="inlineStr"/>
      <c r="F2670" s="4" t="inlineStr">
        <is>
          <t>en.applicationProcess[0].process[1]</t>
        </is>
      </c>
      <c r="G2670" s="4" t="inlineStr">
        <is>
          <t>M11@20261028-8915f15c</t>
        </is>
      </c>
      <c r="H2670" s="4" t="n">
        <v>1</v>
      </c>
      <c r="I2670" s="4" t="n">
        <v>1</v>
      </c>
      <c r="J2670" s="4" t="inlineStr">
        <is>
          <t>Step 2: In the application form, fill in all the mandatory fields, paste the passport-sized photograph (signed across), and attach all the (self-attested) mandatory documents.</t>
        </is>
      </c>
      <c r="K2670" s="4" t="inlineStr">
        <is>
          <t>MS-M11</t>
        </is>
      </c>
      <c r="L2670" s="6" t="n">
        <v>46323</v>
      </c>
      <c r="M2670" s="4" t="inlineStr">
        <is>
          <t>Approved</t>
        </is>
      </c>
      <c r="N2670" s="4" t="inlineStr">
        <is>
          <t>paragraph</t>
        </is>
      </c>
    </row>
    <row r="2671" ht="40" customHeight="1">
      <c r="A2671" s="8" t="inlineStr">
        <is>
          <t>M11-P0020</t>
        </is>
      </c>
      <c r="B2671" s="8" t="inlineStr">
        <is>
          <t>M11</t>
        </is>
      </c>
      <c r="C2671" s="8" t="inlineStr">
        <is>
          <t>Financial Assistance To Disabled For Self Employment</t>
        </is>
      </c>
      <c r="D2671" s="8" t="inlineStr">
        <is>
          <t>Application process</t>
        </is>
      </c>
      <c r="E2671" s="8" t="inlineStr"/>
      <c r="F2671" s="8" t="inlineStr">
        <is>
          <t>en.applicationProcess[0].process[2]</t>
        </is>
      </c>
      <c r="G2671" s="8" t="inlineStr">
        <is>
          <t>M11@20261028-8915f15c</t>
        </is>
      </c>
      <c r="H2671" s="8" t="n">
        <v>1</v>
      </c>
      <c r="I2671" s="8" t="n">
        <v>1</v>
      </c>
      <c r="J2671" s="8" t="inlineStr">
        <is>
          <t>Step 3: Submit the duly filled and signed application form along with the documents to the Assistant Commissioner, District Social Welfare Office.</t>
        </is>
      </c>
      <c r="K2671" s="8" t="inlineStr">
        <is>
          <t>MS-M11</t>
        </is>
      </c>
      <c r="L2671" s="9" t="n">
        <v>46323</v>
      </c>
      <c r="M2671" s="8" t="inlineStr">
        <is>
          <t>Approved</t>
        </is>
      </c>
      <c r="N2671" s="8" t="inlineStr">
        <is>
          <t>paragraph</t>
        </is>
      </c>
    </row>
    <row r="2672" ht="40" customHeight="1">
      <c r="A2672" s="4" t="inlineStr">
        <is>
          <t>M11-P0021</t>
        </is>
      </c>
      <c r="B2672" s="4" t="inlineStr">
        <is>
          <t>M11</t>
        </is>
      </c>
      <c r="C2672" s="4" t="inlineStr">
        <is>
          <t>Financial Assistance To Disabled For Self Employment</t>
        </is>
      </c>
      <c r="D2672" s="4" t="inlineStr">
        <is>
          <t>Application process</t>
        </is>
      </c>
      <c r="E2672" s="4" t="inlineStr"/>
      <c r="F2672" s="4" t="inlineStr">
        <is>
          <t>en.applicationProcess[0].process[3]</t>
        </is>
      </c>
      <c r="G2672" s="4" t="inlineStr">
        <is>
          <t>M11@20261028-8915f15c</t>
        </is>
      </c>
      <c r="H2672" s="4" t="n">
        <v>1</v>
      </c>
      <c r="I2672" s="4" t="n">
        <v>1</v>
      </c>
      <c r="J2672" s="4" t="inlineStr">
        <is>
          <t>Step 4: Acquire the receipt/acknowledgment of the successful submission of the application form from the District Social Welfare Office.</t>
        </is>
      </c>
      <c r="K2672" s="4" t="inlineStr">
        <is>
          <t>MS-M11</t>
        </is>
      </c>
      <c r="L2672" s="6" t="n">
        <v>46323</v>
      </c>
      <c r="M2672" s="4" t="inlineStr">
        <is>
          <t>Approved</t>
        </is>
      </c>
      <c r="N2672" s="4" t="inlineStr">
        <is>
          <t>paragraph</t>
        </is>
      </c>
    </row>
    <row r="2673" ht="40" customHeight="1">
      <c r="A2673" s="8" t="inlineStr">
        <is>
          <t>M11-P0022</t>
        </is>
      </c>
      <c r="B2673" s="8" t="inlineStr">
        <is>
          <t>M11</t>
        </is>
      </c>
      <c r="C2673" s="8" t="inlineStr">
        <is>
          <t>Financial Assistance To Disabled For Self Employment</t>
        </is>
      </c>
      <c r="D2673" s="8" t="inlineStr">
        <is>
          <t>FAQ</t>
        </is>
      </c>
      <c r="E2673" s="8" t="inlineStr"/>
      <c r="F2673" s="8" t="inlineStr">
        <is>
          <t>faqs.en.faqs[0]</t>
        </is>
      </c>
      <c r="G2673" s="8" t="inlineStr">
        <is>
          <t>M11@20261028-8915f15c</t>
        </is>
      </c>
      <c r="H2673" s="8" t="n">
        <v>1</v>
      </c>
      <c r="I2673" s="8" t="n">
        <v>1</v>
      </c>
      <c r="J2673" s="8" t="inlineStr">
        <is>
          <t>What Percentage Of The Amount Of The Loan Is Provided By The Nationalized Bank?
80% loan amount is provided by the Nationalized Bank.</t>
        </is>
      </c>
      <c r="K2673" s="8" t="inlineStr">
        <is>
          <t>MS-M11</t>
        </is>
      </c>
      <c r="L2673" s="9" t="n">
        <v>46323</v>
      </c>
      <c r="M2673" s="8" t="inlineStr">
        <is>
          <t>Approved</t>
        </is>
      </c>
      <c r="N2673" s="8" t="inlineStr">
        <is>
          <t>faq</t>
        </is>
      </c>
    </row>
    <row r="2674" ht="54" customHeight="1">
      <c r="A2674" s="4" t="inlineStr">
        <is>
          <t>M11-P0023</t>
        </is>
      </c>
      <c r="B2674" s="4" t="inlineStr">
        <is>
          <t>M11</t>
        </is>
      </c>
      <c r="C2674" s="4" t="inlineStr">
        <is>
          <t>Financial Assistance To Disabled For Self Employment</t>
        </is>
      </c>
      <c r="D2674" s="4" t="inlineStr">
        <is>
          <t>FAQ</t>
        </is>
      </c>
      <c r="E2674" s="4" t="inlineStr"/>
      <c r="F2674" s="4" t="inlineStr">
        <is>
          <t>faqs.en.faqs[1]</t>
        </is>
      </c>
      <c r="G2674" s="4" t="inlineStr">
        <is>
          <t>M11@20261028-8915f15c</t>
        </is>
      </c>
      <c r="H2674" s="4" t="n">
        <v>1</v>
      </c>
      <c r="I2674" s="4" t="n">
        <v>1</v>
      </c>
      <c r="J2674" s="4" t="inlineStr">
        <is>
          <t>What Percentage Of The Subsidy Will Be Provided By The Department?
20% subsidy of up to ₹30,000/- is provided by the Department of Social Justice &amp; Special Assistance.</t>
        </is>
      </c>
      <c r="K2674" s="4" t="inlineStr">
        <is>
          <t>MS-M11</t>
        </is>
      </c>
      <c r="L2674" s="6" t="n">
        <v>46323</v>
      </c>
      <c r="M2674" s="4" t="inlineStr">
        <is>
          <t>Approved</t>
        </is>
      </c>
      <c r="N2674" s="4" t="inlineStr">
        <is>
          <t>faq</t>
        </is>
      </c>
    </row>
    <row r="2675" ht="68" customHeight="1">
      <c r="A2675" s="8" t="inlineStr">
        <is>
          <t>M11-P0024</t>
        </is>
      </c>
      <c r="B2675" s="8" t="inlineStr">
        <is>
          <t>M11</t>
        </is>
      </c>
      <c r="C2675" s="8" t="inlineStr">
        <is>
          <t>Financial Assistance To Disabled For Self Employment</t>
        </is>
      </c>
      <c r="D2675" s="8" t="inlineStr">
        <is>
          <t>FAQ</t>
        </is>
      </c>
      <c r="E2675" s="8" t="inlineStr"/>
      <c r="F2675" s="8" t="inlineStr">
        <is>
          <t>faqs.en.faqs[2]</t>
        </is>
      </c>
      <c r="G2675" s="8" t="inlineStr">
        <is>
          <t>M11@20261028-8915f15c</t>
        </is>
      </c>
      <c r="H2675" s="8" t="n">
        <v>1</v>
      </c>
      <c r="I2675" s="8" t="n">
        <v>1</v>
      </c>
      <c r="J2675" s="8" t="inlineStr">
        <is>
          <t>What Are The Objectives Of This Scheme?
The objective of this scheme is to facilitate the self-employment of unemployed disabled persons. Under this scheme, financial assistance is provided to persons with disabilities for self-employment, small-scale business, and agro-based project.</t>
        </is>
      </c>
      <c r="K2675" s="8" t="inlineStr">
        <is>
          <t>MS-M11</t>
        </is>
      </c>
      <c r="L2675" s="9" t="n">
        <v>46323</v>
      </c>
      <c r="M2675" s="8" t="inlineStr">
        <is>
          <t>Approved</t>
        </is>
      </c>
      <c r="N2675" s="8" t="inlineStr">
        <is>
          <t>faq</t>
        </is>
      </c>
    </row>
    <row r="2676" ht="54" customHeight="1">
      <c r="A2676" s="4" t="inlineStr">
        <is>
          <t>M11-P0025</t>
        </is>
      </c>
      <c r="B2676" s="4" t="inlineStr">
        <is>
          <t>M11</t>
        </is>
      </c>
      <c r="C2676" s="4" t="inlineStr">
        <is>
          <t>Financial Assistance To Disabled For Self Employment</t>
        </is>
      </c>
      <c r="D2676" s="4" t="inlineStr">
        <is>
          <t>FAQ</t>
        </is>
      </c>
      <c r="E2676" s="4" t="inlineStr"/>
      <c r="F2676" s="4" t="inlineStr">
        <is>
          <t>faqs.en.faqs[3]</t>
        </is>
      </c>
      <c r="G2676" s="4" t="inlineStr">
        <is>
          <t>M11@20261028-8915f15c</t>
        </is>
      </c>
      <c r="H2676" s="4" t="n">
        <v>1</v>
      </c>
      <c r="I2676" s="4" t="n">
        <v>1</v>
      </c>
      <c r="J2676" s="4" t="inlineStr">
        <is>
          <t>For What Purposes Can The Amount Of The Financial Assistance Be Utilized?
The amount of financial assistance can be utilized towards self-employment, small-scale business, and agro-based project.</t>
        </is>
      </c>
      <c r="K2676" s="4" t="inlineStr">
        <is>
          <t>MS-M11</t>
        </is>
      </c>
      <c r="L2676" s="6" t="n">
        <v>46323</v>
      </c>
      <c r="M2676" s="4" t="inlineStr">
        <is>
          <t>Approved</t>
        </is>
      </c>
      <c r="N2676" s="4" t="inlineStr">
        <is>
          <t>faq</t>
        </is>
      </c>
    </row>
    <row r="2677" ht="54" customHeight="1">
      <c r="A2677" s="8" t="inlineStr">
        <is>
          <t>M11-P0026</t>
        </is>
      </c>
      <c r="B2677" s="8" t="inlineStr">
        <is>
          <t>M11</t>
        </is>
      </c>
      <c r="C2677" s="8" t="inlineStr">
        <is>
          <t>Financial Assistance To Disabled For Self Employment</t>
        </is>
      </c>
      <c r="D2677" s="8" t="inlineStr">
        <is>
          <t>FAQ</t>
        </is>
      </c>
      <c r="E2677" s="8" t="inlineStr"/>
      <c r="F2677" s="8" t="inlineStr">
        <is>
          <t>faqs.en.faqs[4]</t>
        </is>
      </c>
      <c r="G2677" s="8" t="inlineStr">
        <is>
          <t>M11@20261028-8915f15c</t>
        </is>
      </c>
      <c r="H2677" s="8" t="n">
        <v>1</v>
      </c>
      <c r="I2677" s="8" t="n">
        <v>1</v>
      </c>
      <c r="J2677" s="8" t="inlineStr">
        <is>
          <t>What Is The Maximum Amount Of Financial Assistance That One Can Receive Through This Scheme?
The maximum amount of financial assistance that one can receive through this scheme is ₹1,50,000/-.</t>
        </is>
      </c>
      <c r="K2677" s="8" t="inlineStr">
        <is>
          <t>MS-M11</t>
        </is>
      </c>
      <c r="L2677" s="9" t="n">
        <v>46323</v>
      </c>
      <c r="M2677" s="8" t="inlineStr">
        <is>
          <t>Approved</t>
        </is>
      </c>
      <c r="N2677" s="8" t="inlineStr">
        <is>
          <t>faq</t>
        </is>
      </c>
    </row>
    <row r="2678" ht="40" customHeight="1">
      <c r="A2678" s="4" t="inlineStr">
        <is>
          <t>M11-P0027</t>
        </is>
      </c>
      <c r="B2678" s="4" t="inlineStr">
        <is>
          <t>M11</t>
        </is>
      </c>
      <c r="C2678" s="4" t="inlineStr">
        <is>
          <t>Financial Assistance To Disabled For Self Employment</t>
        </is>
      </c>
      <c r="D2678" s="4" t="inlineStr">
        <is>
          <t>FAQ</t>
        </is>
      </c>
      <c r="E2678" s="4" t="inlineStr"/>
      <c r="F2678" s="4" t="inlineStr">
        <is>
          <t>faqs.en.faqs[5]</t>
        </is>
      </c>
      <c r="G2678" s="4" t="inlineStr">
        <is>
          <t>M11@20261028-8915f15c</t>
        </is>
      </c>
      <c r="H2678" s="4" t="n">
        <v>1</v>
      </c>
      <c r="I2678" s="4" t="n">
        <v>1</v>
      </c>
      <c r="J2678" s="4" t="inlineStr">
        <is>
          <t>Who Are The Target Beneficiaries Of This Scheme?
The target beneficiaries of this scheme are Persons with Disabilities (PwDs).</t>
        </is>
      </c>
      <c r="K2678" s="4" t="inlineStr">
        <is>
          <t>MS-M11</t>
        </is>
      </c>
      <c r="L2678" s="6" t="n">
        <v>46323</v>
      </c>
      <c r="M2678" s="4" t="inlineStr">
        <is>
          <t>Approved</t>
        </is>
      </c>
      <c r="N2678" s="4" t="inlineStr">
        <is>
          <t>faq</t>
        </is>
      </c>
    </row>
    <row r="2679" ht="40" customHeight="1">
      <c r="A2679" s="8" t="inlineStr">
        <is>
          <t>M11-P0028</t>
        </is>
      </c>
      <c r="B2679" s="8" t="inlineStr">
        <is>
          <t>M11</t>
        </is>
      </c>
      <c r="C2679" s="8" t="inlineStr">
        <is>
          <t>Financial Assistance To Disabled For Self Employment</t>
        </is>
      </c>
      <c r="D2679" s="8" t="inlineStr">
        <is>
          <t>FAQ</t>
        </is>
      </c>
      <c r="E2679" s="8" t="inlineStr"/>
      <c r="F2679" s="8" t="inlineStr">
        <is>
          <t>faqs.en.faqs[6]</t>
        </is>
      </c>
      <c r="G2679" s="8" t="inlineStr">
        <is>
          <t>M11@20261028-8915f15c</t>
        </is>
      </c>
      <c r="H2679" s="8" t="n">
        <v>1</v>
      </c>
      <c r="I2679" s="8" t="n">
        <v>1</v>
      </c>
      <c r="J2679" s="8" t="inlineStr">
        <is>
          <t>Are There Any Eligibility Criteria Regarding The Percentage Of Disability Of The Applicant?
Yes, the percentage of disability of the applicant should be 40% and above.</t>
        </is>
      </c>
      <c r="K2679" s="8" t="inlineStr">
        <is>
          <t>MS-M11</t>
        </is>
      </c>
      <c r="L2679" s="9" t="n">
        <v>46323</v>
      </c>
      <c r="M2679" s="8" t="inlineStr">
        <is>
          <t>Approved</t>
        </is>
      </c>
      <c r="N2679" s="8" t="inlineStr">
        <is>
          <t>faq</t>
        </is>
      </c>
    </row>
    <row r="2680" ht="40" customHeight="1">
      <c r="A2680" s="4" t="inlineStr">
        <is>
          <t>M11-P0029</t>
        </is>
      </c>
      <c r="B2680" s="4" t="inlineStr">
        <is>
          <t>M11</t>
        </is>
      </c>
      <c r="C2680" s="4" t="inlineStr">
        <is>
          <t>Financial Assistance To Disabled For Self Employment</t>
        </is>
      </c>
      <c r="D2680" s="4" t="inlineStr">
        <is>
          <t>FAQ</t>
        </is>
      </c>
      <c r="E2680" s="4" t="inlineStr"/>
      <c r="F2680" s="4" t="inlineStr">
        <is>
          <t>faqs.en.faqs[7]</t>
        </is>
      </c>
      <c r="G2680" s="4" t="inlineStr">
        <is>
          <t>M11@20261028-8915f15c</t>
        </is>
      </c>
      <c r="H2680" s="4" t="n">
        <v>1</v>
      </c>
      <c r="I2680" s="4" t="n">
        <v>1</v>
      </c>
      <c r="J2680" s="4" t="inlineStr">
        <is>
          <t>Are Orthopedically Handicapped Persons Also Covered In This Scheme?
Yes, this scheme also covers Orthopedically Handicapped Persons.</t>
        </is>
      </c>
      <c r="K2680" s="4" t="inlineStr">
        <is>
          <t>MS-M11</t>
        </is>
      </c>
      <c r="L2680" s="6" t="n">
        <v>46323</v>
      </c>
      <c r="M2680" s="4" t="inlineStr">
        <is>
          <t>Approved</t>
        </is>
      </c>
      <c r="N2680" s="4" t="inlineStr">
        <is>
          <t>faq</t>
        </is>
      </c>
    </row>
    <row r="2681" ht="68" customHeight="1">
      <c r="A2681" s="8" t="inlineStr">
        <is>
          <t>M11-P0030</t>
        </is>
      </c>
      <c r="B2681" s="8" t="inlineStr">
        <is>
          <t>M11</t>
        </is>
      </c>
      <c r="C2681" s="8" t="inlineStr">
        <is>
          <t>Financial Assistance To Disabled For Self Employment</t>
        </is>
      </c>
      <c r="D2681" s="8" t="inlineStr">
        <is>
          <t>FAQ</t>
        </is>
      </c>
      <c r="E2681" s="8" t="inlineStr"/>
      <c r="F2681" s="8" t="inlineStr">
        <is>
          <t>faqs.en.faqs[8]</t>
        </is>
      </c>
      <c r="G2681" s="8" t="inlineStr">
        <is>
          <t>M11@20261028-8915f15c</t>
        </is>
      </c>
      <c r="H2681" s="8" t="n">
        <v>1</v>
      </c>
      <c r="I2681" s="8" t="n">
        <v>1</v>
      </c>
      <c r="J2681" s="8" t="inlineStr">
        <is>
          <t>Is The Residential Certificate / Domicile Certificate Of The State Of Maharashtra, A Mandatory Document For This Scheme?
Yes, the Residential Certificate / Domicile Certificate of the State of Maharashtra is a mandatory document for this scheme.</t>
        </is>
      </c>
      <c r="K2681" s="8" t="inlineStr">
        <is>
          <t>MS-M11</t>
        </is>
      </c>
      <c r="L2681" s="9" t="n">
        <v>46323</v>
      </c>
      <c r="M2681" s="8" t="inlineStr">
        <is>
          <t>Approved</t>
        </is>
      </c>
      <c r="N2681" s="8" t="inlineStr">
        <is>
          <t>faq</t>
        </is>
      </c>
    </row>
    <row r="2682" ht="40" customHeight="1">
      <c r="A2682" s="4" t="inlineStr">
        <is>
          <t>M11-P0031</t>
        </is>
      </c>
      <c r="B2682" s="4" t="inlineStr">
        <is>
          <t>M11</t>
        </is>
      </c>
      <c r="C2682" s="4" t="inlineStr">
        <is>
          <t>Financial Assistance To Disabled For Self Employment</t>
        </is>
      </c>
      <c r="D2682" s="4" t="inlineStr">
        <is>
          <t>FAQ</t>
        </is>
      </c>
      <c r="E2682" s="4" t="inlineStr"/>
      <c r="F2682" s="4" t="inlineStr">
        <is>
          <t>faqs.en.faqs[9]</t>
        </is>
      </c>
      <c r="G2682" s="4" t="inlineStr">
        <is>
          <t>M11@20261028-8915f15c</t>
        </is>
      </c>
      <c r="H2682" s="4" t="n">
        <v>1</v>
      </c>
      <c r="I2682" s="4" t="n">
        <v>1</v>
      </c>
      <c r="J2682" s="4" t="inlineStr">
        <is>
          <t>Can I Reapply To This Scheme If I Am Already Availing The Benefits Of This Scheme?
No, you can not reapply to this scheme if you already have availed of its benefits.</t>
        </is>
      </c>
      <c r="K2682" s="4" t="inlineStr">
        <is>
          <t>MS-M11</t>
        </is>
      </c>
      <c r="L2682" s="6" t="n">
        <v>46323</v>
      </c>
      <c r="M2682" s="4" t="inlineStr">
        <is>
          <t>Approved</t>
        </is>
      </c>
      <c r="N2682" s="4" t="inlineStr">
        <is>
          <t>faq</t>
        </is>
      </c>
    </row>
    <row r="2683" ht="40" customHeight="1">
      <c r="A2683" s="8" t="inlineStr">
        <is>
          <t>M11-P0032</t>
        </is>
      </c>
      <c r="B2683" s="8" t="inlineStr">
        <is>
          <t>M11</t>
        </is>
      </c>
      <c r="C2683" s="8" t="inlineStr">
        <is>
          <t>Financial Assistance To Disabled For Self Employment</t>
        </is>
      </c>
      <c r="D2683" s="8" t="inlineStr">
        <is>
          <t>FAQ</t>
        </is>
      </c>
      <c r="E2683" s="8" t="inlineStr"/>
      <c r="F2683" s="8" t="inlineStr">
        <is>
          <t>faqs.en.faqs[10]</t>
        </is>
      </c>
      <c r="G2683" s="8" t="inlineStr">
        <is>
          <t>M11@20261028-8915f15c</t>
        </is>
      </c>
      <c r="H2683" s="8" t="n">
        <v>1</v>
      </c>
      <c r="I2683" s="8" t="n">
        <v>1</v>
      </c>
      <c r="J2683" s="8" t="inlineStr">
        <is>
          <t>What Is The Full Form Of SJSA?
The full form of SJSA is "Social Justice &amp; Special Assistance".</t>
        </is>
      </c>
      <c r="K2683" s="8" t="inlineStr">
        <is>
          <t>MS-M11</t>
        </is>
      </c>
      <c r="L2683" s="9" t="n">
        <v>46323</v>
      </c>
      <c r="M2683" s="8" t="inlineStr">
        <is>
          <t>Approved</t>
        </is>
      </c>
      <c r="N2683" s="8" t="inlineStr">
        <is>
          <t>faq</t>
        </is>
      </c>
    </row>
    <row r="2684" ht="40" customHeight="1">
      <c r="A2684" s="4" t="inlineStr">
        <is>
          <t>M11-P0033</t>
        </is>
      </c>
      <c r="B2684" s="4" t="inlineStr">
        <is>
          <t>M11</t>
        </is>
      </c>
      <c r="C2684" s="4" t="inlineStr">
        <is>
          <t>Financial Assistance To Disabled For Self Employment</t>
        </is>
      </c>
      <c r="D2684" s="4" t="inlineStr">
        <is>
          <t>FAQ</t>
        </is>
      </c>
      <c r="E2684" s="4" t="inlineStr"/>
      <c r="F2684" s="4" t="inlineStr">
        <is>
          <t>faqs.en.faqs[11]</t>
        </is>
      </c>
      <c r="G2684" s="4" t="inlineStr">
        <is>
          <t>M11@20261028-8915f15c</t>
        </is>
      </c>
      <c r="H2684" s="4" t="n">
        <v>1</v>
      </c>
      <c r="I2684" s="4" t="n">
        <v>1</v>
      </c>
      <c r="J2684" s="4" t="inlineStr">
        <is>
          <t>Is This A State Funded Or A Centrally Funded Scheme?
This is a 100% State Funded scheme.</t>
        </is>
      </c>
      <c r="K2684" s="4" t="inlineStr">
        <is>
          <t>MS-M11</t>
        </is>
      </c>
      <c r="L2684" s="6" t="n">
        <v>46323</v>
      </c>
      <c r="M2684" s="4" t="inlineStr">
        <is>
          <t>Approved</t>
        </is>
      </c>
      <c r="N2684" s="4" t="inlineStr">
        <is>
          <t>faq</t>
        </is>
      </c>
    </row>
    <row r="2685" ht="40" customHeight="1">
      <c r="A2685" s="8" t="inlineStr">
        <is>
          <t>M11-P0034</t>
        </is>
      </c>
      <c r="B2685" s="8" t="inlineStr">
        <is>
          <t>M11</t>
        </is>
      </c>
      <c r="C2685" s="8" t="inlineStr">
        <is>
          <t>Financial Assistance To Disabled For Self Employment</t>
        </is>
      </c>
      <c r="D2685" s="8" t="inlineStr">
        <is>
          <t>FAQ</t>
        </is>
      </c>
      <c r="E2685" s="8" t="inlineStr"/>
      <c r="F2685" s="8" t="inlineStr">
        <is>
          <t>faqs.en.faqs[12]</t>
        </is>
      </c>
      <c r="G2685" s="8" t="inlineStr">
        <is>
          <t>M11@20261028-8915f15c</t>
        </is>
      </c>
      <c r="H2685" s="8" t="n">
        <v>1</v>
      </c>
      <c r="I2685" s="8" t="n">
        <v>1</v>
      </c>
      <c r="J2685" s="8" t="inlineStr">
        <is>
          <t>Is There Any Application Fee?
No, the entire application process is entirely free of cost.</t>
        </is>
      </c>
      <c r="K2685" s="8" t="inlineStr">
        <is>
          <t>MS-M11</t>
        </is>
      </c>
      <c r="L2685" s="9" t="n">
        <v>46323</v>
      </c>
      <c r="M2685" s="8" t="inlineStr">
        <is>
          <t>Approved</t>
        </is>
      </c>
      <c r="N2685" s="8" t="inlineStr">
        <is>
          <t>faq</t>
        </is>
      </c>
    </row>
    <row r="2686" ht="40" customHeight="1">
      <c r="A2686" s="4" t="inlineStr">
        <is>
          <t>M11-P0035</t>
        </is>
      </c>
      <c r="B2686" s="4" t="inlineStr">
        <is>
          <t>M11</t>
        </is>
      </c>
      <c r="C2686" s="4" t="inlineStr">
        <is>
          <t>Financial Assistance To Disabled For Self Employment</t>
        </is>
      </c>
      <c r="D2686" s="4" t="inlineStr">
        <is>
          <t>FAQ</t>
        </is>
      </c>
      <c r="E2686" s="4" t="inlineStr"/>
      <c r="F2686" s="4" t="inlineStr">
        <is>
          <t>faqs.en.faqs[13]</t>
        </is>
      </c>
      <c r="G2686" s="4" t="inlineStr">
        <is>
          <t>M11@20261028-8915f15c</t>
        </is>
      </c>
      <c r="H2686" s="4" t="n">
        <v>1</v>
      </c>
      <c r="I2686" s="4" t="n">
        <v>1</v>
      </c>
      <c r="J2686" s="4" t="inlineStr">
        <is>
          <t>Is There Any Compensation For The Delay In The Disbursal Of The Scheme Benefits?
No, there is no such mention in the scheme guidelines.</t>
        </is>
      </c>
      <c r="K2686" s="4" t="inlineStr">
        <is>
          <t>MS-M11</t>
        </is>
      </c>
      <c r="L2686" s="6" t="n">
        <v>46323</v>
      </c>
      <c r="M2686" s="4" t="inlineStr">
        <is>
          <t>Approved</t>
        </is>
      </c>
      <c r="N2686" s="4" t="inlineStr">
        <is>
          <t>faq</t>
        </is>
      </c>
    </row>
    <row r="2687" ht="40" customHeight="1">
      <c r="A2687" s="8" t="inlineStr">
        <is>
          <t>M11-P0036</t>
        </is>
      </c>
      <c r="B2687" s="8" t="inlineStr">
        <is>
          <t>M11</t>
        </is>
      </c>
      <c r="C2687" s="8" t="inlineStr">
        <is>
          <t>Financial Assistance To Disabled For Self Employment</t>
        </is>
      </c>
      <c r="D2687" s="8" t="inlineStr">
        <is>
          <t>FAQ</t>
        </is>
      </c>
      <c r="E2687" s="8" t="inlineStr"/>
      <c r="F2687" s="8" t="inlineStr">
        <is>
          <t>faqs.en.faqs[14]</t>
        </is>
      </c>
      <c r="G2687" s="8" t="inlineStr">
        <is>
          <t>M11@20261028-8915f15c</t>
        </is>
      </c>
      <c r="H2687" s="8" t="n">
        <v>1</v>
      </c>
      <c r="I2687" s="8" t="n">
        <v>1</v>
      </c>
      <c r="J2687" s="8" t="inlineStr">
        <is>
          <t>How Do I Know If A Field In The Application Form Is Mandatory?
The mandatory fields have an asterisk (*) mark at the end.</t>
        </is>
      </c>
      <c r="K2687" s="8" t="inlineStr">
        <is>
          <t>MS-M11</t>
        </is>
      </c>
      <c r="L2687" s="9" t="n">
        <v>46323</v>
      </c>
      <c r="M2687" s="8" t="inlineStr">
        <is>
          <t>Approved</t>
        </is>
      </c>
      <c r="N2687" s="8" t="inlineStr">
        <is>
          <t>faq</t>
        </is>
      </c>
    </row>
    <row r="2688" ht="68" customHeight="1">
      <c r="A2688" s="4" t="inlineStr">
        <is>
          <t>M11-P0037</t>
        </is>
      </c>
      <c r="B2688" s="4" t="inlineStr">
        <is>
          <t>M11</t>
        </is>
      </c>
      <c r="C2688" s="4" t="inlineStr">
        <is>
          <t>Financial Assistance To Disabled For Self Employment</t>
        </is>
      </c>
      <c r="D2688" s="4" t="inlineStr">
        <is>
          <t>FAQ</t>
        </is>
      </c>
      <c r="E2688" s="4" t="inlineStr"/>
      <c r="F2688" s="4" t="inlineStr">
        <is>
          <t>faqs.en.faqs[15]</t>
        </is>
      </c>
      <c r="G2688" s="4" t="inlineStr">
        <is>
          <t>M11@20261028-8915f15c</t>
        </is>
      </c>
      <c r="H2688" s="4" t="n">
        <v>1</v>
      </c>
      <c r="I2688" s="4" t="n">
        <v>1</v>
      </c>
      <c r="J2688" s="4" t="inlineStr">
        <is>
          <t>Can Applicants From The Neighboring States Gujarat, Madhya Pradesh, Chhattisgarh, Telangana, Etc Also Apply To This Scheme?
No, only the citizens who are permanent residents of the state of Maharashtra are eligible to apply.</t>
        </is>
      </c>
      <c r="K2688" s="4" t="inlineStr">
        <is>
          <t>MS-M11</t>
        </is>
      </c>
      <c r="L2688" s="6" t="n">
        <v>46323</v>
      </c>
      <c r="M2688" s="4" t="inlineStr">
        <is>
          <t>Approved</t>
        </is>
      </c>
      <c r="N2688" s="4" t="inlineStr">
        <is>
          <t>faq</t>
        </is>
      </c>
    </row>
    <row r="2689" ht="54" customHeight="1">
      <c r="A2689" s="8" t="inlineStr">
        <is>
          <t>M11-P0038</t>
        </is>
      </c>
      <c r="B2689" s="8" t="inlineStr">
        <is>
          <t>M11</t>
        </is>
      </c>
      <c r="C2689" s="8" t="inlineStr">
        <is>
          <t>Financial Assistance To Disabled For Self Employment</t>
        </is>
      </c>
      <c r="D2689" s="8" t="inlineStr">
        <is>
          <t>FAQ</t>
        </is>
      </c>
      <c r="E2689" s="8" t="inlineStr"/>
      <c r="F2689" s="8" t="inlineStr">
        <is>
          <t>faqs.en.faqs[16]</t>
        </is>
      </c>
      <c r="G2689" s="8" t="inlineStr">
        <is>
          <t>M11@20261028-8915f15c</t>
        </is>
      </c>
      <c r="H2689" s="8" t="n">
        <v>1</v>
      </c>
      <c r="I2689" s="8" t="n">
        <v>1</v>
      </c>
      <c r="J2689" s="8" t="inlineStr">
        <is>
          <t>Where Can I Find The URL To The Website Of The Dept. Of Social Justice &amp; Special Assistance?
The URL to the official website of the Department of Social Justice &amp; Special Assistance, Government of Maharashtra is - https://sjsa.maharashtra.gov.in/</t>
        </is>
      </c>
      <c r="K2689" s="8" t="inlineStr">
        <is>
          <t>MS-M11</t>
        </is>
      </c>
      <c r="L2689" s="9" t="n">
        <v>46323</v>
      </c>
      <c r="M2689" s="8" t="inlineStr">
        <is>
          <t>Approved</t>
        </is>
      </c>
      <c r="N2689" s="8" t="inlineStr">
        <is>
          <t>faq</t>
        </is>
      </c>
    </row>
    <row r="2690" ht="54" customHeight="1">
      <c r="A2690" s="4" t="inlineStr">
        <is>
          <t>M11-P0039</t>
        </is>
      </c>
      <c r="B2690" s="4" t="inlineStr">
        <is>
          <t>M11</t>
        </is>
      </c>
      <c r="C2690" s="4" t="inlineStr">
        <is>
          <t>Financial Assistance To Disabled For Self Employment</t>
        </is>
      </c>
      <c r="D2690" s="4" t="inlineStr">
        <is>
          <t>FAQ</t>
        </is>
      </c>
      <c r="E2690" s="4" t="inlineStr"/>
      <c r="F2690" s="4" t="inlineStr">
        <is>
          <t>faqs.en.faqs[17]</t>
        </is>
      </c>
      <c r="G2690" s="4" t="inlineStr">
        <is>
          <t>M11@20261028-8915f15c</t>
        </is>
      </c>
      <c r="H2690" s="4" t="n">
        <v>1</v>
      </c>
      <c r="I2690" s="4" t="n">
        <v>1</v>
      </c>
      <c r="J2690" s="4" t="inlineStr">
        <is>
          <t>Where Can I Find The Link To The Scheme Guidelines?
The Scheme Guidelines can be found at this link - https://sjsa.maharashtra.gov.in/en/scheme-category/disability-welfare</t>
        </is>
      </c>
      <c r="K2690" s="4" t="inlineStr">
        <is>
          <t>MS-M11</t>
        </is>
      </c>
      <c r="L2690" s="6" t="n">
        <v>46323</v>
      </c>
      <c r="M2690" s="4" t="inlineStr">
        <is>
          <t>Approved</t>
        </is>
      </c>
      <c r="N2690" s="4" t="inlineStr">
        <is>
          <t>faq</t>
        </is>
      </c>
    </row>
    <row r="2691" ht="68" customHeight="1">
      <c r="A2691" s="8" t="inlineStr">
        <is>
          <t>M11-P0040</t>
        </is>
      </c>
      <c r="B2691" s="8" t="inlineStr">
        <is>
          <t>M11</t>
        </is>
      </c>
      <c r="C2691" s="8" t="inlineStr">
        <is>
          <t>Financial Assistance To Disabled For Self Employment</t>
        </is>
      </c>
      <c r="D2691" s="8" t="inlineStr">
        <is>
          <t>FAQ</t>
        </is>
      </c>
      <c r="E2691" s="8" t="inlineStr"/>
      <c r="F2691" s="8" t="inlineStr">
        <is>
          <t>faqs.en.faqs[18]</t>
        </is>
      </c>
      <c r="G2691" s="8" t="inlineStr">
        <is>
          <t>M11@20261028-8915f15c</t>
        </is>
      </c>
      <c r="H2691" s="8" t="n">
        <v>1</v>
      </c>
      <c r="I2691" s="8" t="n">
        <v>1</v>
      </c>
      <c r="J2691" s="8"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2691" s="8" t="inlineStr">
        <is>
          <t>MS-M11</t>
        </is>
      </c>
      <c r="L2691" s="9" t="n">
        <v>46323</v>
      </c>
      <c r="M2691" s="8" t="inlineStr">
        <is>
          <t>Approved</t>
        </is>
      </c>
      <c r="N2691" s="8" t="inlineStr">
        <is>
          <t>faq</t>
        </is>
      </c>
    </row>
    <row r="2692" ht="54" customHeight="1">
      <c r="A2692" s="4" t="inlineStr">
        <is>
          <t>M11-P0041</t>
        </is>
      </c>
      <c r="B2692" s="4" t="inlineStr">
        <is>
          <t>M11</t>
        </is>
      </c>
      <c r="C2692" s="4" t="inlineStr">
        <is>
          <t>Financial Assistance To Disabled For Self Employment</t>
        </is>
      </c>
      <c r="D2692" s="4" t="inlineStr">
        <is>
          <t>FAQ</t>
        </is>
      </c>
      <c r="E2692" s="4" t="inlineStr"/>
      <c r="F2692" s="4" t="inlineStr">
        <is>
          <t>faqs.en.faqs[19]</t>
        </is>
      </c>
      <c r="G2692" s="4" t="inlineStr">
        <is>
          <t>M11@20261028-8915f15c</t>
        </is>
      </c>
      <c r="H2692" s="4" t="n">
        <v>1</v>
      </c>
      <c r="I2692" s="4" t="n">
        <v>1</v>
      </c>
      <c r="J2692" s="4" t="inlineStr">
        <is>
          <t>Where Can I Find The Addresses Of The District Social Welfare Offices?
The addresses of the District Social Welfare Offices can be found at - https://sjsa.maharashtra.gov.in/en/contacts</t>
        </is>
      </c>
      <c r="K2692" s="4" t="inlineStr">
        <is>
          <t>MS-M11</t>
        </is>
      </c>
      <c r="L2692" s="6" t="n">
        <v>46323</v>
      </c>
      <c r="M2692" s="4" t="inlineStr">
        <is>
          <t>Approved</t>
        </is>
      </c>
      <c r="N2692" s="4" t="inlineStr">
        <is>
          <t>faq</t>
        </is>
      </c>
    </row>
    <row r="2693" ht="54" customHeight="1">
      <c r="A2693" s="8" t="inlineStr">
        <is>
          <t>M11-P0042</t>
        </is>
      </c>
      <c r="B2693" s="8" t="inlineStr">
        <is>
          <t>M11</t>
        </is>
      </c>
      <c r="C2693" s="8" t="inlineStr">
        <is>
          <t>Financial Assistance To Disabled For Self Employment</t>
        </is>
      </c>
      <c r="D2693" s="8" t="inlineStr">
        <is>
          <t>FAQ</t>
        </is>
      </c>
      <c r="E2693" s="8" t="inlineStr"/>
      <c r="F2693" s="8" t="inlineStr">
        <is>
          <t>faqs.en.faqs[20]</t>
        </is>
      </c>
      <c r="G2693" s="8" t="inlineStr">
        <is>
          <t>M11@20261028-8915f15c</t>
        </is>
      </c>
      <c r="H2693" s="8" t="n">
        <v>1</v>
      </c>
      <c r="I2693" s="8" t="n">
        <v>1</v>
      </c>
      <c r="J2693" s="8" t="inlineStr">
        <is>
          <t>Where Can I Post My Grievances Related To This Scheme?
You can post your grievances at the Grievance Redressal Portal by the Govt. of Maharashtra: https://grievances.maharashtra.gov.in/en</t>
        </is>
      </c>
      <c r="K2693" s="8" t="inlineStr">
        <is>
          <t>MS-M11</t>
        </is>
      </c>
      <c r="L2693" s="9" t="n">
        <v>46323</v>
      </c>
      <c r="M2693" s="8" t="inlineStr">
        <is>
          <t>Approved</t>
        </is>
      </c>
      <c r="N2693" s="8" t="inlineStr">
        <is>
          <t>faq</t>
        </is>
      </c>
    </row>
    <row r="2694" ht="40" customHeight="1">
      <c r="A2694" s="4" t="inlineStr">
        <is>
          <t>M11-P0043</t>
        </is>
      </c>
      <c r="B2694" s="4" t="inlineStr">
        <is>
          <t>M11</t>
        </is>
      </c>
      <c r="C2694" s="4" t="inlineStr">
        <is>
          <t>Financial Assistance To Disabled For Self Employment</t>
        </is>
      </c>
      <c r="D2694" s="4" t="inlineStr">
        <is>
          <t>FAQ</t>
        </is>
      </c>
      <c r="E2694" s="4" t="inlineStr"/>
      <c r="F2694" s="4" t="inlineStr">
        <is>
          <t>faqs.en.faqs[21]</t>
        </is>
      </c>
      <c r="G2694" s="4" t="inlineStr">
        <is>
          <t>M11@20261028-8915f15c</t>
        </is>
      </c>
      <c r="H2694" s="4" t="n">
        <v>1</v>
      </c>
      <c r="I2694" s="4" t="n">
        <v>1</v>
      </c>
      <c r="J2694" s="4" t="inlineStr">
        <is>
          <t>Is There An Income-Related Criterion For This Scheme?
No, there is no income-related criterion for this scheme.</t>
        </is>
      </c>
      <c r="K2694" s="4" t="inlineStr">
        <is>
          <t>MS-M11</t>
        </is>
      </c>
      <c r="L2694" s="6" t="n">
        <v>46323</v>
      </c>
      <c r="M2694" s="4" t="inlineStr">
        <is>
          <t>Approved</t>
        </is>
      </c>
      <c r="N2694" s="4" t="inlineStr">
        <is>
          <t>faq</t>
        </is>
      </c>
    </row>
    <row r="2695" ht="54" customHeight="1">
      <c r="A2695" s="8" t="inlineStr">
        <is>
          <t>M11-P0044</t>
        </is>
      </c>
      <c r="B2695" s="8" t="inlineStr">
        <is>
          <t>M11</t>
        </is>
      </c>
      <c r="C2695" s="8" t="inlineStr">
        <is>
          <t>Financial Assistance To Disabled For Self Employment</t>
        </is>
      </c>
      <c r="D2695" s="8" t="inlineStr">
        <is>
          <t>FAQ</t>
        </is>
      </c>
      <c r="E2695" s="8" t="inlineStr"/>
      <c r="F2695" s="8" t="inlineStr">
        <is>
          <t>faqs.en.faqs[22]</t>
        </is>
      </c>
      <c r="G2695" s="8" t="inlineStr">
        <is>
          <t>M11@20261028-8915f15c</t>
        </is>
      </c>
      <c r="H2695" s="8" t="n">
        <v>1</v>
      </c>
      <c r="I2695" s="8" t="n">
        <v>1</v>
      </c>
      <c r="J2695" s="8" t="inlineStr">
        <is>
          <t>Where Can I Find The Format Of The Application Form? Is It Available Online?
You need to visit the District Social Welfare Office and request a hard copy of the format of the application form for the scheme from the concerned authority.</t>
        </is>
      </c>
      <c r="K2695" s="8" t="inlineStr">
        <is>
          <t>MS-M11</t>
        </is>
      </c>
      <c r="L2695" s="9" t="n">
        <v>46323</v>
      </c>
      <c r="M2695" s="8" t="inlineStr">
        <is>
          <t>Approved</t>
        </is>
      </c>
      <c r="N2695" s="8" t="inlineStr">
        <is>
          <t>faq</t>
        </is>
      </c>
    </row>
    <row r="2696" ht="68" customHeight="1">
      <c r="A2696" s="4" t="inlineStr">
        <is>
          <t>M12-P0001</t>
        </is>
      </c>
      <c r="B2696" s="4" t="inlineStr">
        <is>
          <t>M12</t>
        </is>
      </c>
      <c r="C2696" s="4" t="inlineStr">
        <is>
          <t>Ramai Awas (Gharkul) Scheme for SC &amp; Nav-Buddha (Urban and Rural)</t>
        </is>
      </c>
      <c r="D2696" s="4" t="inlineStr">
        <is>
          <t>Details</t>
        </is>
      </c>
      <c r="E2696" s="4" t="inlineStr"/>
      <c r="F2696" s="4" t="inlineStr">
        <is>
          <t>en.schemeContent.detailedDescription[0]</t>
        </is>
      </c>
      <c r="G2696" s="4" t="inlineStr">
        <is>
          <t>M12@20261028-70d4cb3b</t>
        </is>
      </c>
      <c r="H2696" s="4" t="n">
        <v>1</v>
      </c>
      <c r="I2696" s="4" t="n">
        <v>1</v>
      </c>
      <c r="J2696" s="4" t="inlineStr">
        <is>
          <t>The scheme "Ramai Awas (Gharkul) Scheme for SC &amp; Nav-Buddha (Urban and Rural)" is a housing scheme by the Department of Social Justice &amp; Special Assistance of the Government of Maharashtra. The scheme aims to raise the standard of living of the individuals from the Scheduled Caste and Nav-Buddha communities residing in rural &amp; urban areas of Maharashtra.</t>
        </is>
      </c>
      <c r="K2696" s="4" t="inlineStr">
        <is>
          <t>MS-M12</t>
        </is>
      </c>
      <c r="L2696" s="6" t="n">
        <v>46323</v>
      </c>
      <c r="M2696" s="4" t="inlineStr">
        <is>
          <t>Approved</t>
        </is>
      </c>
      <c r="N2696" s="4" t="inlineStr">
        <is>
          <t>paragraph</t>
        </is>
      </c>
    </row>
    <row r="2697" ht="40" customHeight="1">
      <c r="A2697" s="8" t="inlineStr">
        <is>
          <t>M12-P0002</t>
        </is>
      </c>
      <c r="B2697" s="8" t="inlineStr">
        <is>
          <t>M12</t>
        </is>
      </c>
      <c r="C2697" s="8" t="inlineStr">
        <is>
          <t>Ramai Awas (Gharkul) Scheme for SC &amp; Nav-Buddha (Urban and Rural)</t>
        </is>
      </c>
      <c r="D2697" s="8" t="inlineStr">
        <is>
          <t>Benefits</t>
        </is>
      </c>
      <c r="E2697" s="8" t="inlineStr"/>
      <c r="F2697" s="8" t="inlineStr">
        <is>
          <t>en.schemeContent.benefits[0]</t>
        </is>
      </c>
      <c r="G2697" s="8" t="inlineStr">
        <is>
          <t>M12@20261028-70d4cb3b</t>
        </is>
      </c>
      <c r="H2697" s="8" t="n">
        <v>1</v>
      </c>
      <c r="I2697" s="8" t="n">
        <v>1</v>
      </c>
      <c r="J2697" s="8" t="inlineStr">
        <is>
          <t>The benefits vary with the area that the beneficiary resides in -</t>
        </is>
      </c>
      <c r="K2697" s="8" t="inlineStr">
        <is>
          <t>MS-M12</t>
        </is>
      </c>
      <c r="L2697" s="9" t="n">
        <v>46323</v>
      </c>
      <c r="M2697" s="8" t="inlineStr">
        <is>
          <t>Approved</t>
        </is>
      </c>
      <c r="N2697" s="8" t="inlineStr">
        <is>
          <t>paragraph</t>
        </is>
      </c>
    </row>
    <row r="2698" ht="40" customHeight="1">
      <c r="A2698" s="4" t="inlineStr">
        <is>
          <t>M12-P0003</t>
        </is>
      </c>
      <c r="B2698" s="4" t="inlineStr">
        <is>
          <t>M12</t>
        </is>
      </c>
      <c r="C2698" s="4" t="inlineStr">
        <is>
          <t>Ramai Awas (Gharkul) Scheme for SC &amp; Nav-Buddha (Urban and Rural)</t>
        </is>
      </c>
      <c r="D2698" s="4" t="inlineStr">
        <is>
          <t>Benefits</t>
        </is>
      </c>
      <c r="E2698" s="4" t="inlineStr"/>
      <c r="F2698" s="4" t="inlineStr">
        <is>
          <t>en.schemeContent.benefits[1].children[0]</t>
        </is>
      </c>
      <c r="G2698" s="4" t="inlineStr">
        <is>
          <t>M12@20261028-70d4cb3b</t>
        </is>
      </c>
      <c r="H2698" s="4" t="n">
        <v>1</v>
      </c>
      <c r="I2698" s="4" t="n">
        <v>1</v>
      </c>
      <c r="J2698" s="4" t="inlineStr">
        <is>
          <t>Rural Area: ₹ 1,00,000/- (Beneficiary's share is Nil)</t>
        </is>
      </c>
      <c r="K2698" s="4" t="inlineStr">
        <is>
          <t>MS-M12</t>
        </is>
      </c>
      <c r="L2698" s="6" t="n">
        <v>46323</v>
      </c>
      <c r="M2698" s="4" t="inlineStr">
        <is>
          <t>Approved</t>
        </is>
      </c>
      <c r="N2698" s="4" t="inlineStr">
        <is>
          <t>list_item</t>
        </is>
      </c>
    </row>
    <row r="2699" ht="40" customHeight="1">
      <c r="A2699" s="8" t="inlineStr">
        <is>
          <t>M12-P0004</t>
        </is>
      </c>
      <c r="B2699" s="8" t="inlineStr">
        <is>
          <t>M12</t>
        </is>
      </c>
      <c r="C2699" s="8" t="inlineStr">
        <is>
          <t>Ramai Awas (Gharkul) Scheme for SC &amp; Nav-Buddha (Urban and Rural)</t>
        </is>
      </c>
      <c r="D2699" s="8" t="inlineStr">
        <is>
          <t>Benefits</t>
        </is>
      </c>
      <c r="E2699" s="8" t="inlineStr"/>
      <c r="F2699" s="8" t="inlineStr">
        <is>
          <t>en.schemeContent.benefits[1].children[1]</t>
        </is>
      </c>
      <c r="G2699" s="8" t="inlineStr">
        <is>
          <t>M12@20261028-70d4cb3b</t>
        </is>
      </c>
      <c r="H2699" s="8" t="n">
        <v>1</v>
      </c>
      <c r="I2699" s="8" t="n">
        <v>1</v>
      </c>
      <c r="J2699" s="8" t="inlineStr">
        <is>
          <t>Municipal Area: ₹ 1,50,000/- (Beneficiary's share is 7.5%)</t>
        </is>
      </c>
      <c r="K2699" s="8" t="inlineStr">
        <is>
          <t>MS-M12</t>
        </is>
      </c>
      <c r="L2699" s="9" t="n">
        <v>46323</v>
      </c>
      <c r="M2699" s="8" t="inlineStr">
        <is>
          <t>Approved</t>
        </is>
      </c>
      <c r="N2699" s="8" t="inlineStr">
        <is>
          <t>list_item</t>
        </is>
      </c>
    </row>
    <row r="2700" ht="40" customHeight="1">
      <c r="A2700" s="4" t="inlineStr">
        <is>
          <t>M12-P0005</t>
        </is>
      </c>
      <c r="B2700" s="4" t="inlineStr">
        <is>
          <t>M12</t>
        </is>
      </c>
      <c r="C2700" s="4" t="inlineStr">
        <is>
          <t>Ramai Awas (Gharkul) Scheme for SC &amp; Nav-Buddha (Urban and Rural)</t>
        </is>
      </c>
      <c r="D2700" s="4" t="inlineStr">
        <is>
          <t>Benefits</t>
        </is>
      </c>
      <c r="E2700" s="4" t="inlineStr"/>
      <c r="F2700" s="4" t="inlineStr">
        <is>
          <t>en.schemeContent.benefits[1].children[2]</t>
        </is>
      </c>
      <c r="G2700" s="4" t="inlineStr">
        <is>
          <t>M12@20261028-70d4cb3b</t>
        </is>
      </c>
      <c r="H2700" s="4" t="n">
        <v>1</v>
      </c>
      <c r="I2700" s="4" t="n">
        <v>1</v>
      </c>
      <c r="J2700" s="4" t="inlineStr">
        <is>
          <t>Municipal Corporation: ₹ 2,00,000/- (Beneficiary's share is 10%)</t>
        </is>
      </c>
      <c r="K2700" s="4" t="inlineStr">
        <is>
          <t>MS-M12</t>
        </is>
      </c>
      <c r="L2700" s="6" t="n">
        <v>46323</v>
      </c>
      <c r="M2700" s="4" t="inlineStr">
        <is>
          <t>Approved</t>
        </is>
      </c>
      <c r="N2700" s="4" t="inlineStr">
        <is>
          <t>list_item</t>
        </is>
      </c>
    </row>
    <row r="2701" ht="40" customHeight="1">
      <c r="A2701" s="8" t="inlineStr">
        <is>
          <t>M12-P0006</t>
        </is>
      </c>
      <c r="B2701" s="8" t="inlineStr">
        <is>
          <t>M12</t>
        </is>
      </c>
      <c r="C2701" s="8" t="inlineStr">
        <is>
          <t>Ramai Awas (Gharkul) Scheme for SC &amp; Nav-Buddha (Urban and Rural)</t>
        </is>
      </c>
      <c r="D2701" s="8" t="inlineStr">
        <is>
          <t>Eligibility</t>
        </is>
      </c>
      <c r="E2701" s="8" t="inlineStr"/>
      <c r="F2701" s="8" t="inlineStr">
        <is>
          <t>en.eligibilityCriteria.eligibilityDescription[0]</t>
        </is>
      </c>
      <c r="G2701" s="8" t="inlineStr">
        <is>
          <t>M12@20261028-70d4cb3b</t>
        </is>
      </c>
      <c r="H2701" s="8" t="n">
        <v>1</v>
      </c>
      <c r="I2701" s="8" t="n">
        <v>1</v>
      </c>
      <c r="J2701" s="8" t="inlineStr">
        <is>
          <t>1. The applicant should have lived for 15 years in Maharashtra.</t>
        </is>
      </c>
      <c r="K2701" s="8" t="inlineStr">
        <is>
          <t>MS-M12</t>
        </is>
      </c>
      <c r="L2701" s="9" t="n">
        <v>46323</v>
      </c>
      <c r="M2701" s="8" t="inlineStr">
        <is>
          <t>Approved</t>
        </is>
      </c>
      <c r="N2701" s="8" t="inlineStr">
        <is>
          <t>paragraph</t>
        </is>
      </c>
    </row>
    <row r="2702" ht="40" customHeight="1">
      <c r="A2702" s="4" t="inlineStr">
        <is>
          <t>M12-P0007</t>
        </is>
      </c>
      <c r="B2702" s="4" t="inlineStr">
        <is>
          <t>M12</t>
        </is>
      </c>
      <c r="C2702" s="4" t="inlineStr">
        <is>
          <t>Ramai Awas (Gharkul) Scheme for SC &amp; Nav-Buddha (Urban and Rural)</t>
        </is>
      </c>
      <c r="D2702" s="4" t="inlineStr">
        <is>
          <t>Eligibility</t>
        </is>
      </c>
      <c r="E2702" s="4" t="inlineStr"/>
      <c r="F2702" s="4" t="inlineStr">
        <is>
          <t>en.eligibilityCriteria.eligibilityDescription[1]</t>
        </is>
      </c>
      <c r="G2702" s="4" t="inlineStr">
        <is>
          <t>M12@20261028-70d4cb3b</t>
        </is>
      </c>
      <c r="H2702" s="4" t="n">
        <v>1</v>
      </c>
      <c r="I2702" s="4" t="n">
        <v>1</v>
      </c>
      <c r="J2702" s="4" t="inlineStr">
        <is>
          <t>2. The applicant's annual income limit is as under -</t>
        </is>
      </c>
      <c r="K2702" s="4" t="inlineStr">
        <is>
          <t>MS-M12</t>
        </is>
      </c>
      <c r="L2702" s="6" t="n">
        <v>46323</v>
      </c>
      <c r="M2702" s="4" t="inlineStr">
        <is>
          <t>Approved</t>
        </is>
      </c>
      <c r="N2702" s="4" t="inlineStr">
        <is>
          <t>paragraph</t>
        </is>
      </c>
    </row>
    <row r="2703" ht="40" customHeight="1">
      <c r="A2703" s="8" t="inlineStr">
        <is>
          <t>M12-P0008</t>
        </is>
      </c>
      <c r="B2703" s="8" t="inlineStr">
        <is>
          <t>M12</t>
        </is>
      </c>
      <c r="C2703" s="8" t="inlineStr">
        <is>
          <t>Ramai Awas (Gharkul) Scheme for SC &amp; Nav-Buddha (Urban and Rural)</t>
        </is>
      </c>
      <c r="D2703" s="8" t="inlineStr">
        <is>
          <t>Eligibility</t>
        </is>
      </c>
      <c r="E2703" s="8" t="inlineStr"/>
      <c r="F2703" s="8" t="inlineStr">
        <is>
          <t>en.eligibilityCriteria.eligibilityDescription[2].children[0]</t>
        </is>
      </c>
      <c r="G2703" s="8" t="inlineStr">
        <is>
          <t>M12@20261028-70d4cb3b</t>
        </is>
      </c>
      <c r="H2703" s="8" t="n">
        <v>1</v>
      </c>
      <c r="I2703" s="8" t="n">
        <v>1</v>
      </c>
      <c r="J2703" s="8" t="inlineStr">
        <is>
          <t>For Rural Area, ₹1,00,000/- per annum.</t>
        </is>
      </c>
      <c r="K2703" s="8" t="inlineStr">
        <is>
          <t>MS-M12</t>
        </is>
      </c>
      <c r="L2703" s="9" t="n">
        <v>46323</v>
      </c>
      <c r="M2703" s="8" t="inlineStr">
        <is>
          <t>Approved</t>
        </is>
      </c>
      <c r="N2703" s="8" t="inlineStr">
        <is>
          <t>list_item</t>
        </is>
      </c>
    </row>
    <row r="2704" ht="40" customHeight="1">
      <c r="A2704" s="4" t="inlineStr">
        <is>
          <t>M12-P0009</t>
        </is>
      </c>
      <c r="B2704" s="4" t="inlineStr">
        <is>
          <t>M12</t>
        </is>
      </c>
      <c r="C2704" s="4" t="inlineStr">
        <is>
          <t>Ramai Awas (Gharkul) Scheme for SC &amp; Nav-Buddha (Urban and Rural)</t>
        </is>
      </c>
      <c r="D2704" s="4" t="inlineStr">
        <is>
          <t>Eligibility</t>
        </is>
      </c>
      <c r="E2704" s="4" t="inlineStr"/>
      <c r="F2704" s="4" t="inlineStr">
        <is>
          <t>en.eligibilityCriteria.eligibilityDescription[2].children[1]</t>
        </is>
      </c>
      <c r="G2704" s="4" t="inlineStr">
        <is>
          <t>M12@20261028-70d4cb3b</t>
        </is>
      </c>
      <c r="H2704" s="4" t="n">
        <v>1</v>
      </c>
      <c r="I2704" s="4" t="n">
        <v>1</v>
      </c>
      <c r="J2704" s="4" t="inlineStr">
        <is>
          <t>For Municipal Area, ₹1,50,000/- per annum.</t>
        </is>
      </c>
      <c r="K2704" s="4" t="inlineStr">
        <is>
          <t>MS-M12</t>
        </is>
      </c>
      <c r="L2704" s="6" t="n">
        <v>46323</v>
      </c>
      <c r="M2704" s="4" t="inlineStr">
        <is>
          <t>Approved</t>
        </is>
      </c>
      <c r="N2704" s="4" t="inlineStr">
        <is>
          <t>list_item</t>
        </is>
      </c>
    </row>
    <row r="2705" ht="40" customHeight="1">
      <c r="A2705" s="8" t="inlineStr">
        <is>
          <t>M12-P0010</t>
        </is>
      </c>
      <c r="B2705" s="8" t="inlineStr">
        <is>
          <t>M12</t>
        </is>
      </c>
      <c r="C2705" s="8" t="inlineStr">
        <is>
          <t>Ramai Awas (Gharkul) Scheme for SC &amp; Nav-Buddha (Urban and Rural)</t>
        </is>
      </c>
      <c r="D2705" s="8" t="inlineStr">
        <is>
          <t>Eligibility</t>
        </is>
      </c>
      <c r="E2705" s="8" t="inlineStr"/>
      <c r="F2705" s="8" t="inlineStr">
        <is>
          <t>en.eligibilityCriteria.eligibilityDescription[2].children[2]</t>
        </is>
      </c>
      <c r="G2705" s="8" t="inlineStr">
        <is>
          <t>M12@20261028-70d4cb3b</t>
        </is>
      </c>
      <c r="H2705" s="8" t="n">
        <v>1</v>
      </c>
      <c r="I2705" s="8" t="n">
        <v>1</v>
      </c>
      <c r="J2705" s="8" t="inlineStr">
        <is>
          <t>For Municipal Corporation, ₹2,00,000/- per annum.</t>
        </is>
      </c>
      <c r="K2705" s="8" t="inlineStr">
        <is>
          <t>MS-M12</t>
        </is>
      </c>
      <c r="L2705" s="9" t="n">
        <v>46323</v>
      </c>
      <c r="M2705" s="8" t="inlineStr">
        <is>
          <t>Approved</t>
        </is>
      </c>
      <c r="N2705" s="8" t="inlineStr">
        <is>
          <t>list_item</t>
        </is>
      </c>
    </row>
    <row r="2706" ht="40" customHeight="1">
      <c r="A2706" s="4" t="inlineStr">
        <is>
          <t>M12-P0011</t>
        </is>
      </c>
      <c r="B2706" s="4" t="inlineStr">
        <is>
          <t>M12</t>
        </is>
      </c>
      <c r="C2706" s="4" t="inlineStr">
        <is>
          <t>Ramai Awas (Gharkul) Scheme for SC &amp; Nav-Buddha (Urban and Rural)</t>
        </is>
      </c>
      <c r="D2706" s="4" t="inlineStr">
        <is>
          <t>Eligibility</t>
        </is>
      </c>
      <c r="E2706" s="4" t="inlineStr"/>
      <c r="F2706" s="4" t="inlineStr">
        <is>
          <t>en.eligibilityCriteria.eligibilityDescription[3]</t>
        </is>
      </c>
      <c r="G2706" s="4" t="inlineStr">
        <is>
          <t>M12@20261028-70d4cb3b</t>
        </is>
      </c>
      <c r="H2706" s="4" t="n">
        <v>1</v>
      </c>
      <c r="I2706" s="4" t="n">
        <v>1</v>
      </c>
      <c r="J2706" s="4" t="inlineStr">
        <is>
          <t>3. Only one person in the family will get the benefit.</t>
        </is>
      </c>
      <c r="K2706" s="4" t="inlineStr">
        <is>
          <t>MS-M12</t>
        </is>
      </c>
      <c r="L2706" s="6" t="n">
        <v>46323</v>
      </c>
      <c r="M2706" s="4" t="inlineStr">
        <is>
          <t>Approved</t>
        </is>
      </c>
      <c r="N2706" s="4" t="inlineStr">
        <is>
          <t>paragraph</t>
        </is>
      </c>
    </row>
    <row r="2707" ht="40" customHeight="1">
      <c r="A2707" s="8" t="inlineStr">
        <is>
          <t>M12-P0012</t>
        </is>
      </c>
      <c r="B2707" s="8" t="inlineStr">
        <is>
          <t>M12</t>
        </is>
      </c>
      <c r="C2707" s="8" t="inlineStr">
        <is>
          <t>Ramai Awas (Gharkul) Scheme for SC &amp; Nav-Buddha (Urban and Rural)</t>
        </is>
      </c>
      <c r="D2707" s="8" t="inlineStr">
        <is>
          <t>Eligibility</t>
        </is>
      </c>
      <c r="E2707" s="8" t="inlineStr"/>
      <c r="F2707" s="8" t="inlineStr">
        <is>
          <t>en.eligibilityCriteria.eligibilityDescription[4]</t>
        </is>
      </c>
      <c r="G2707" s="8" t="inlineStr">
        <is>
          <t>M12@20261028-70d4cb3b</t>
        </is>
      </c>
      <c r="H2707" s="8" t="n">
        <v>1</v>
      </c>
      <c r="I2707" s="8" t="n">
        <v>1</v>
      </c>
      <c r="J2707" s="8" t="inlineStr">
        <is>
          <t>4. The applicant should have his/her own land</t>
        </is>
      </c>
      <c r="K2707" s="8" t="inlineStr">
        <is>
          <t>MS-M12</t>
        </is>
      </c>
      <c r="L2707" s="9" t="n">
        <v>46323</v>
      </c>
      <c r="M2707" s="8" t="inlineStr">
        <is>
          <t>Approved</t>
        </is>
      </c>
      <c r="N2707" s="8" t="inlineStr">
        <is>
          <t>paragraph</t>
        </is>
      </c>
    </row>
    <row r="2708" ht="40" customHeight="1">
      <c r="A2708" s="4" t="inlineStr">
        <is>
          <t>M12-P0013</t>
        </is>
      </c>
      <c r="B2708" s="4" t="inlineStr">
        <is>
          <t>M12</t>
        </is>
      </c>
      <c r="C2708" s="4" t="inlineStr">
        <is>
          <t>Ramai Awas (Gharkul) Scheme for SC &amp; Nav-Buddha (Urban and Rural)</t>
        </is>
      </c>
      <c r="D2708" s="4" t="inlineStr">
        <is>
          <t>Eligibility</t>
        </is>
      </c>
      <c r="E2708" s="4" t="inlineStr"/>
      <c r="F2708" s="4" t="inlineStr">
        <is>
          <t>en.eligibilityCriteria.eligibilityDescription[5]</t>
        </is>
      </c>
      <c r="G2708" s="4" t="inlineStr">
        <is>
          <t>M12@20261028-70d4cb3b</t>
        </is>
      </c>
      <c r="H2708" s="4" t="n">
        <v>1</v>
      </c>
      <c r="I2708" s="4" t="n">
        <v>1</v>
      </c>
      <c r="J2708" s="4" t="inlineStr">
        <is>
          <t>5. The applicant should not be receiving the benefits of any other housing scheme of the Government.</t>
        </is>
      </c>
      <c r="K2708" s="4" t="inlineStr">
        <is>
          <t>MS-M12</t>
        </is>
      </c>
      <c r="L2708" s="6" t="n">
        <v>46323</v>
      </c>
      <c r="M2708" s="4" t="inlineStr">
        <is>
          <t>Approved</t>
        </is>
      </c>
      <c r="N2708" s="4" t="inlineStr">
        <is>
          <t>paragraph</t>
        </is>
      </c>
    </row>
    <row r="2709" ht="40" customHeight="1">
      <c r="A2709" s="8" t="inlineStr">
        <is>
          <t>M12-P0014</t>
        </is>
      </c>
      <c r="B2709" s="8" t="inlineStr">
        <is>
          <t>M12</t>
        </is>
      </c>
      <c r="C2709" s="8" t="inlineStr">
        <is>
          <t>Ramai Awas (Gharkul) Scheme for SC &amp; Nav-Buddha (Urban and Rural)</t>
        </is>
      </c>
      <c r="D2709" s="8" t="inlineStr">
        <is>
          <t>Eligibility</t>
        </is>
      </c>
      <c r="E2709" s="8" t="inlineStr"/>
      <c r="F2709" s="8" t="inlineStr">
        <is>
          <t>en.eligibilityCriteria.eligibilityDescription[6].children[0]</t>
        </is>
      </c>
      <c r="G2709" s="8" t="inlineStr">
        <is>
          <t>M12@20261028-70d4cb3b</t>
        </is>
      </c>
      <c r="H2709" s="8" t="n">
        <v>1</v>
      </c>
      <c r="I2709" s="8" t="n">
        <v>1</v>
      </c>
      <c r="J2709" s="8" t="inlineStr">
        <is>
          <t>Reservation/Relaxation/Priority</t>
        </is>
      </c>
      <c r="K2709" s="8" t="inlineStr">
        <is>
          <t>MS-M12</t>
        </is>
      </c>
      <c r="L2709" s="9" t="n">
        <v>46323</v>
      </c>
      <c r="M2709" s="8" t="inlineStr">
        <is>
          <t>Approved</t>
        </is>
      </c>
      <c r="N2709" s="8" t="inlineStr">
        <is>
          <t>text</t>
        </is>
      </c>
    </row>
    <row r="2710" ht="40" customHeight="1">
      <c r="A2710" s="4" t="inlineStr">
        <is>
          <t>M12-P0015</t>
        </is>
      </c>
      <c r="B2710" s="4" t="inlineStr">
        <is>
          <t>M12</t>
        </is>
      </c>
      <c r="C2710" s="4" t="inlineStr">
        <is>
          <t>Ramai Awas (Gharkul) Scheme for SC &amp; Nav-Buddha (Urban and Rural)</t>
        </is>
      </c>
      <c r="D2710" s="4" t="inlineStr">
        <is>
          <t>Eligibility</t>
        </is>
      </c>
      <c r="E2710" s="4" t="inlineStr"/>
      <c r="F2710" s="4" t="inlineStr">
        <is>
          <t>en.eligibilityCriteria.eligibilityDescription[7]</t>
        </is>
      </c>
      <c r="G2710" s="4" t="inlineStr">
        <is>
          <t>M12@20261028-70d4cb3b</t>
        </is>
      </c>
      <c r="H2710" s="4" t="n">
        <v>1</v>
      </c>
      <c r="I2710" s="4" t="n">
        <v>1</v>
      </c>
      <c r="J2710" s="4" t="inlineStr">
        <is>
          <t>Priority will be given to applicants from the Below Poverty Line (BPL).</t>
        </is>
      </c>
      <c r="K2710" s="4" t="inlineStr">
        <is>
          <t>MS-M12</t>
        </is>
      </c>
      <c r="L2710" s="6" t="n">
        <v>46323</v>
      </c>
      <c r="M2710" s="4" t="inlineStr">
        <is>
          <t>Approved</t>
        </is>
      </c>
      <c r="N2710" s="4" t="inlineStr">
        <is>
          <t>paragraph</t>
        </is>
      </c>
    </row>
    <row r="2711" ht="40" customHeight="1">
      <c r="A2711" s="8" t="inlineStr">
        <is>
          <t>M12-P0016</t>
        </is>
      </c>
      <c r="B2711" s="8" t="inlineStr">
        <is>
          <t>M12</t>
        </is>
      </c>
      <c r="C2711" s="8" t="inlineStr">
        <is>
          <t>Ramai Awas (Gharkul) Scheme for SC &amp; Nav-Buddha (Urban and Rural)</t>
        </is>
      </c>
      <c r="D2711" s="8" t="inlineStr">
        <is>
          <t>Applicant documents</t>
        </is>
      </c>
      <c r="E2711" s="8" t="inlineStr"/>
      <c r="F2711" s="8" t="inlineStr">
        <is>
          <t>documents.en.documents_required[0].children[0]</t>
        </is>
      </c>
      <c r="G2711" s="8" t="inlineStr">
        <is>
          <t>M12@20261028-70d4cb3b</t>
        </is>
      </c>
      <c r="H2711" s="8" t="n">
        <v>1</v>
      </c>
      <c r="I2711" s="8" t="n">
        <v>1</v>
      </c>
      <c r="J2711" s="8" t="inlineStr">
        <is>
          <t>Residential / Domicile Certificate.</t>
        </is>
      </c>
      <c r="K2711" s="8" t="inlineStr">
        <is>
          <t>MS-M12</t>
        </is>
      </c>
      <c r="L2711" s="9" t="n">
        <v>46323</v>
      </c>
      <c r="M2711" s="8" t="inlineStr">
        <is>
          <t>Approved</t>
        </is>
      </c>
      <c r="N2711" s="8" t="inlineStr">
        <is>
          <t>list_item</t>
        </is>
      </c>
    </row>
    <row r="2712" ht="40" customHeight="1">
      <c r="A2712" s="4" t="inlineStr">
        <is>
          <t>M12-P0017</t>
        </is>
      </c>
      <c r="B2712" s="4" t="inlineStr">
        <is>
          <t>M12</t>
        </is>
      </c>
      <c r="C2712" s="4" t="inlineStr">
        <is>
          <t>Ramai Awas (Gharkul) Scheme for SC &amp; Nav-Buddha (Urban and Rural)</t>
        </is>
      </c>
      <c r="D2712" s="4" t="inlineStr">
        <is>
          <t>Applicant documents</t>
        </is>
      </c>
      <c r="E2712" s="4" t="inlineStr"/>
      <c r="F2712" s="4" t="inlineStr">
        <is>
          <t>documents.en.documents_required[0].children[1]</t>
        </is>
      </c>
      <c r="G2712" s="4" t="inlineStr">
        <is>
          <t>M12@20261028-70d4cb3b</t>
        </is>
      </c>
      <c r="H2712" s="4" t="n">
        <v>1</v>
      </c>
      <c r="I2712" s="4" t="n">
        <v>1</v>
      </c>
      <c r="J2712" s="4" t="inlineStr">
        <is>
          <t>Caste Certificate.</t>
        </is>
      </c>
      <c r="K2712" s="4" t="inlineStr">
        <is>
          <t>MS-M12</t>
        </is>
      </c>
      <c r="L2712" s="6" t="n">
        <v>46323</v>
      </c>
      <c r="M2712" s="4" t="inlineStr">
        <is>
          <t>Approved</t>
        </is>
      </c>
      <c r="N2712" s="4" t="inlineStr">
        <is>
          <t>list_item</t>
        </is>
      </c>
    </row>
    <row r="2713" ht="40" customHeight="1">
      <c r="A2713" s="8" t="inlineStr">
        <is>
          <t>M12-P0018</t>
        </is>
      </c>
      <c r="B2713" s="8" t="inlineStr">
        <is>
          <t>M12</t>
        </is>
      </c>
      <c r="C2713" s="8" t="inlineStr">
        <is>
          <t>Ramai Awas (Gharkul) Scheme for SC &amp; Nav-Buddha (Urban and Rural)</t>
        </is>
      </c>
      <c r="D2713" s="8" t="inlineStr">
        <is>
          <t>Applicant documents</t>
        </is>
      </c>
      <c r="E2713" s="8" t="inlineStr"/>
      <c r="F2713" s="8" t="inlineStr">
        <is>
          <t>documents.en.documents_required[0].children[2]</t>
        </is>
      </c>
      <c r="G2713" s="8" t="inlineStr">
        <is>
          <t>M12@20261028-70d4cb3b</t>
        </is>
      </c>
      <c r="H2713" s="8" t="n">
        <v>1</v>
      </c>
      <c r="I2713" s="8" t="n">
        <v>1</v>
      </c>
      <c r="J2713" s="8" t="inlineStr">
        <is>
          <t>Aadhaar Card</t>
        </is>
      </c>
      <c r="K2713" s="8" t="inlineStr">
        <is>
          <t>MS-M12</t>
        </is>
      </c>
      <c r="L2713" s="9" t="n">
        <v>46323</v>
      </c>
      <c r="M2713" s="8" t="inlineStr">
        <is>
          <t>Approved</t>
        </is>
      </c>
      <c r="N2713" s="8" t="inlineStr">
        <is>
          <t>list_item</t>
        </is>
      </c>
    </row>
    <row r="2714" ht="40" customHeight="1">
      <c r="A2714" s="4" t="inlineStr">
        <is>
          <t>M12-P0019</t>
        </is>
      </c>
      <c r="B2714" s="4" t="inlineStr">
        <is>
          <t>M12</t>
        </is>
      </c>
      <c r="C2714" s="4" t="inlineStr">
        <is>
          <t>Ramai Awas (Gharkul) Scheme for SC &amp; Nav-Buddha (Urban and Rural)</t>
        </is>
      </c>
      <c r="D2714" s="4" t="inlineStr">
        <is>
          <t>Applicant documents</t>
        </is>
      </c>
      <c r="E2714" s="4" t="inlineStr"/>
      <c r="F2714" s="4" t="inlineStr">
        <is>
          <t>documents.en.documents_required[0].children[3]</t>
        </is>
      </c>
      <c r="G2714" s="4" t="inlineStr">
        <is>
          <t>M12@20261028-70d4cb3b</t>
        </is>
      </c>
      <c r="H2714" s="4" t="n">
        <v>1</v>
      </c>
      <c r="I2714" s="4" t="n">
        <v>1</v>
      </c>
      <c r="J2714" s="4" t="inlineStr">
        <is>
          <t>Address Proof.</t>
        </is>
      </c>
      <c r="K2714" s="4" t="inlineStr">
        <is>
          <t>MS-M12</t>
        </is>
      </c>
      <c r="L2714" s="6" t="n">
        <v>46323</v>
      </c>
      <c r="M2714" s="4" t="inlineStr">
        <is>
          <t>Approved</t>
        </is>
      </c>
      <c r="N2714" s="4" t="inlineStr">
        <is>
          <t>list_item</t>
        </is>
      </c>
    </row>
    <row r="2715" ht="40" customHeight="1">
      <c r="A2715" s="8" t="inlineStr">
        <is>
          <t>M12-P0020</t>
        </is>
      </c>
      <c r="B2715" s="8" t="inlineStr">
        <is>
          <t>M12</t>
        </is>
      </c>
      <c r="C2715" s="8" t="inlineStr">
        <is>
          <t>Ramai Awas (Gharkul) Scheme for SC &amp; Nav-Buddha (Urban and Rural)</t>
        </is>
      </c>
      <c r="D2715" s="8" t="inlineStr">
        <is>
          <t>Applicant documents</t>
        </is>
      </c>
      <c r="E2715" s="8" t="inlineStr"/>
      <c r="F2715" s="8" t="inlineStr">
        <is>
          <t>documents.en.documents_required[0].children[4]</t>
        </is>
      </c>
      <c r="G2715" s="8" t="inlineStr">
        <is>
          <t>M12@20261028-70d4cb3b</t>
        </is>
      </c>
      <c r="H2715" s="8" t="n">
        <v>1</v>
      </c>
      <c r="I2715" s="8" t="n">
        <v>1</v>
      </c>
      <c r="J2715" s="8" t="inlineStr">
        <is>
          <t>Identity Card.</t>
        </is>
      </c>
      <c r="K2715" s="8" t="inlineStr">
        <is>
          <t>MS-M12</t>
        </is>
      </c>
      <c r="L2715" s="9" t="n">
        <v>46323</v>
      </c>
      <c r="M2715" s="8" t="inlineStr">
        <is>
          <t>Approved</t>
        </is>
      </c>
      <c r="N2715" s="8" t="inlineStr">
        <is>
          <t>list_item</t>
        </is>
      </c>
    </row>
    <row r="2716" ht="40" customHeight="1">
      <c r="A2716" s="4" t="inlineStr">
        <is>
          <t>M12-P0021</t>
        </is>
      </c>
      <c r="B2716" s="4" t="inlineStr">
        <is>
          <t>M12</t>
        </is>
      </c>
      <c r="C2716" s="4" t="inlineStr">
        <is>
          <t>Ramai Awas (Gharkul) Scheme for SC &amp; Nav-Buddha (Urban and Rural)</t>
        </is>
      </c>
      <c r="D2716" s="4" t="inlineStr">
        <is>
          <t>Applicant documents</t>
        </is>
      </c>
      <c r="E2716" s="4" t="inlineStr"/>
      <c r="F2716" s="4" t="inlineStr">
        <is>
          <t>documents.en.documents_required[0].children[5]</t>
        </is>
      </c>
      <c r="G2716" s="4" t="inlineStr">
        <is>
          <t>M12@20261028-70d4cb3b</t>
        </is>
      </c>
      <c r="H2716" s="4" t="n">
        <v>1</v>
      </c>
      <c r="I2716" s="4" t="n">
        <v>1</v>
      </c>
      <c r="J2716" s="4" t="inlineStr">
        <is>
          <t>Passport Size Photo.</t>
        </is>
      </c>
      <c r="K2716" s="4" t="inlineStr">
        <is>
          <t>MS-M12</t>
        </is>
      </c>
      <c r="L2716" s="6" t="n">
        <v>46323</v>
      </c>
      <c r="M2716" s="4" t="inlineStr">
        <is>
          <t>Approved</t>
        </is>
      </c>
      <c r="N2716" s="4" t="inlineStr">
        <is>
          <t>list_item</t>
        </is>
      </c>
    </row>
    <row r="2717" ht="54" customHeight="1">
      <c r="A2717" s="8" t="inlineStr">
        <is>
          <t>M12-P0022</t>
        </is>
      </c>
      <c r="B2717" s="8" t="inlineStr">
        <is>
          <t>M12</t>
        </is>
      </c>
      <c r="C2717" s="8" t="inlineStr">
        <is>
          <t>Ramai Awas (Gharkul) Scheme for SC &amp; Nav-Buddha (Urban and Rural)</t>
        </is>
      </c>
      <c r="D2717" s="8" t="inlineStr">
        <is>
          <t>Application process</t>
        </is>
      </c>
      <c r="E2717" s="8" t="inlineStr"/>
      <c r="F2717" s="8" t="inlineStr">
        <is>
          <t>en.applicationProcess[0].process[0]</t>
        </is>
      </c>
      <c r="G2717" s="8" t="inlineStr">
        <is>
          <t>M12@20261028-70d4cb3b</t>
        </is>
      </c>
      <c r="H2717" s="8" t="n">
        <v>1</v>
      </c>
      <c r="I2717" s="8" t="n">
        <v>1</v>
      </c>
      <c r="J2717" s="8" t="inlineStr">
        <is>
          <t>Step 1: The interested applicant should visit (during office hours) one of the following officers and request a hard copy of the prescribed format of the application form from the concerned authority -</t>
        </is>
      </c>
      <c r="K2717" s="8" t="inlineStr">
        <is>
          <t>MS-M12</t>
        </is>
      </c>
      <c r="L2717" s="9" t="n">
        <v>46323</v>
      </c>
      <c r="M2717" s="8" t="inlineStr">
        <is>
          <t>Approved</t>
        </is>
      </c>
      <c r="N2717" s="8" t="inlineStr">
        <is>
          <t>paragraph</t>
        </is>
      </c>
    </row>
    <row r="2718" ht="40" customHeight="1">
      <c r="A2718" s="4" t="inlineStr">
        <is>
          <t>M12-P0023</t>
        </is>
      </c>
      <c r="B2718" s="4" t="inlineStr">
        <is>
          <t>M12</t>
        </is>
      </c>
      <c r="C2718" s="4" t="inlineStr">
        <is>
          <t>Ramai Awas (Gharkul) Scheme for SC &amp; Nav-Buddha (Urban and Rural)</t>
        </is>
      </c>
      <c r="D2718" s="4" t="inlineStr">
        <is>
          <t>Application process</t>
        </is>
      </c>
      <c r="E2718" s="4" t="inlineStr"/>
      <c r="F2718" s="4" t="inlineStr">
        <is>
          <t>en.applicationProcess[0].process[1].children[0]</t>
        </is>
      </c>
      <c r="G2718" s="4" t="inlineStr">
        <is>
          <t>M12@20261028-70d4cb3b</t>
        </is>
      </c>
      <c r="H2718" s="4" t="n">
        <v>1</v>
      </c>
      <c r="I2718" s="4" t="n">
        <v>1</v>
      </c>
      <c r="J2718" s="4" t="inlineStr">
        <is>
          <t>Assistant Commissioner, Social Welfare Office</t>
        </is>
      </c>
      <c r="K2718" s="4" t="inlineStr">
        <is>
          <t>MS-M12</t>
        </is>
      </c>
      <c r="L2718" s="6" t="n">
        <v>46323</v>
      </c>
      <c r="M2718" s="4" t="inlineStr">
        <is>
          <t>Approved</t>
        </is>
      </c>
      <c r="N2718" s="4" t="inlineStr">
        <is>
          <t>list_item</t>
        </is>
      </c>
    </row>
    <row r="2719" ht="40" customHeight="1">
      <c r="A2719" s="8" t="inlineStr">
        <is>
          <t>M12-P0024</t>
        </is>
      </c>
      <c r="B2719" s="8" t="inlineStr">
        <is>
          <t>M12</t>
        </is>
      </c>
      <c r="C2719" s="8" t="inlineStr">
        <is>
          <t>Ramai Awas (Gharkul) Scheme for SC &amp; Nav-Buddha (Urban and Rural)</t>
        </is>
      </c>
      <c r="D2719" s="8" t="inlineStr">
        <is>
          <t>Application process</t>
        </is>
      </c>
      <c r="E2719" s="8" t="inlineStr"/>
      <c r="F2719" s="8" t="inlineStr">
        <is>
          <t>en.applicationProcess[0].process[1].children[1]</t>
        </is>
      </c>
      <c r="G2719" s="8" t="inlineStr">
        <is>
          <t>M12@20261028-70d4cb3b</t>
        </is>
      </c>
      <c r="H2719" s="8" t="n">
        <v>1</v>
      </c>
      <c r="I2719" s="8" t="n">
        <v>1</v>
      </c>
      <c r="J2719" s="8" t="inlineStr">
        <is>
          <t>Project Director, District Rural Development Agency</t>
        </is>
      </c>
      <c r="K2719" s="8" t="inlineStr">
        <is>
          <t>MS-M12</t>
        </is>
      </c>
      <c r="L2719" s="9" t="n">
        <v>46323</v>
      </c>
      <c r="M2719" s="8" t="inlineStr">
        <is>
          <t>Approved</t>
        </is>
      </c>
      <c r="N2719" s="8" t="inlineStr">
        <is>
          <t>list_item</t>
        </is>
      </c>
    </row>
    <row r="2720" ht="40" customHeight="1">
      <c r="A2720" s="4" t="inlineStr">
        <is>
          <t>M12-P0025</t>
        </is>
      </c>
      <c r="B2720" s="4" t="inlineStr">
        <is>
          <t>M12</t>
        </is>
      </c>
      <c r="C2720" s="4" t="inlineStr">
        <is>
          <t>Ramai Awas (Gharkul) Scheme for SC &amp; Nav-Buddha (Urban and Rural)</t>
        </is>
      </c>
      <c r="D2720" s="4" t="inlineStr">
        <is>
          <t>Application process</t>
        </is>
      </c>
      <c r="E2720" s="4" t="inlineStr"/>
      <c r="F2720" s="4" t="inlineStr">
        <is>
          <t>en.applicationProcess[0].process[1].children[2]</t>
        </is>
      </c>
      <c r="G2720" s="4" t="inlineStr">
        <is>
          <t>M12@20261028-70d4cb3b</t>
        </is>
      </c>
      <c r="H2720" s="4" t="n">
        <v>1</v>
      </c>
      <c r="I2720" s="4" t="n">
        <v>1</v>
      </c>
      <c r="J2720" s="4" t="inlineStr">
        <is>
          <t>District Council / Municipal Commissioner</t>
        </is>
      </c>
      <c r="K2720" s="4" t="inlineStr">
        <is>
          <t>MS-M12</t>
        </is>
      </c>
      <c r="L2720" s="6" t="n">
        <v>46323</v>
      </c>
      <c r="M2720" s="4" t="inlineStr">
        <is>
          <t>Approved</t>
        </is>
      </c>
      <c r="N2720" s="4" t="inlineStr">
        <is>
          <t>list_item</t>
        </is>
      </c>
    </row>
    <row r="2721" ht="54" customHeight="1">
      <c r="A2721" s="8" t="inlineStr">
        <is>
          <t>M12-P0026</t>
        </is>
      </c>
      <c r="B2721" s="8" t="inlineStr">
        <is>
          <t>M12</t>
        </is>
      </c>
      <c r="C2721" s="8" t="inlineStr">
        <is>
          <t>Ramai Awas (Gharkul) Scheme for SC &amp; Nav-Buddha (Urban and Rural)</t>
        </is>
      </c>
      <c r="D2721" s="8" t="inlineStr">
        <is>
          <t>Application process</t>
        </is>
      </c>
      <c r="E2721" s="8" t="inlineStr"/>
      <c r="F2721" s="8" t="inlineStr">
        <is>
          <t>en.applicationProcess[0].process[2]</t>
        </is>
      </c>
      <c r="G2721" s="8" t="inlineStr">
        <is>
          <t>M12@20261028-70d4cb3b</t>
        </is>
      </c>
      <c r="H2721" s="8" t="n">
        <v>1</v>
      </c>
      <c r="I2721" s="8" t="n">
        <v>1</v>
      </c>
      <c r="J2721" s="8" t="inlineStr">
        <is>
          <t>Step 2: In the application form, fill in all the mandatory fields, paste the passport-sized photograph (signed across, if required), and attach copies of all the mandatory documents (self-attest, if required).</t>
        </is>
      </c>
      <c r="K2721" s="8" t="inlineStr">
        <is>
          <t>MS-M12</t>
        </is>
      </c>
      <c r="L2721" s="9" t="n">
        <v>46323</v>
      </c>
      <c r="M2721" s="8" t="inlineStr">
        <is>
          <t>Approved</t>
        </is>
      </c>
      <c r="N2721" s="8" t="inlineStr">
        <is>
          <t>paragraph</t>
        </is>
      </c>
    </row>
    <row r="2722" ht="40" customHeight="1">
      <c r="A2722" s="4" t="inlineStr">
        <is>
          <t>M12-P0027</t>
        </is>
      </c>
      <c r="B2722" s="4" t="inlineStr">
        <is>
          <t>M12</t>
        </is>
      </c>
      <c r="C2722" s="4" t="inlineStr">
        <is>
          <t>Ramai Awas (Gharkul) Scheme for SC &amp; Nav-Buddha (Urban and Rural)</t>
        </is>
      </c>
      <c r="D2722" s="4" t="inlineStr">
        <is>
          <t>Application process</t>
        </is>
      </c>
      <c r="E2722" s="4" t="inlineStr"/>
      <c r="F2722" s="4" t="inlineStr">
        <is>
          <t>en.applicationProcess[0].process[3]</t>
        </is>
      </c>
      <c r="G2722" s="4" t="inlineStr">
        <is>
          <t>M12@20261028-70d4cb3b</t>
        </is>
      </c>
      <c r="H2722" s="4" t="n">
        <v>1</v>
      </c>
      <c r="I2722" s="4" t="n">
        <v>1</v>
      </c>
      <c r="J2722" s="4" t="inlineStr">
        <is>
          <t>Step 3: Submit the duly filled and signed application form along with the documents, within the prescribed period (if any), to the concerned authority.</t>
        </is>
      </c>
      <c r="K2722" s="4" t="inlineStr">
        <is>
          <t>MS-M12</t>
        </is>
      </c>
      <c r="L2722" s="6" t="n">
        <v>46323</v>
      </c>
      <c r="M2722" s="4" t="inlineStr">
        <is>
          <t>Approved</t>
        </is>
      </c>
      <c r="N2722" s="4" t="inlineStr">
        <is>
          <t>paragraph</t>
        </is>
      </c>
    </row>
    <row r="2723" ht="54" customHeight="1">
      <c r="A2723" s="8" t="inlineStr">
        <is>
          <t>M12-P0028</t>
        </is>
      </c>
      <c r="B2723" s="8" t="inlineStr">
        <is>
          <t>M12</t>
        </is>
      </c>
      <c r="C2723" s="8" t="inlineStr">
        <is>
          <t>Ramai Awas (Gharkul) Scheme for SC &amp; Nav-Buddha (Urban and Rural)</t>
        </is>
      </c>
      <c r="D2723" s="8" t="inlineStr">
        <is>
          <t>Application process</t>
        </is>
      </c>
      <c r="E2723" s="8" t="inlineStr"/>
      <c r="F2723" s="8" t="inlineStr">
        <is>
          <t>en.applicationProcess[0].process[4]</t>
        </is>
      </c>
      <c r="G2723" s="8" t="inlineStr">
        <is>
          <t>M12@20261028-70d4cb3b</t>
        </is>
      </c>
      <c r="H2723" s="8" t="n">
        <v>1</v>
      </c>
      <c r="I2723" s="8" t="n">
        <v>1</v>
      </c>
      <c r="J2723" s="8"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K2723" s="8" t="inlineStr">
        <is>
          <t>MS-M12</t>
        </is>
      </c>
      <c r="L2723" s="9" t="n">
        <v>46323</v>
      </c>
      <c r="M2723" s="8" t="inlineStr">
        <is>
          <t>Approved</t>
        </is>
      </c>
      <c r="N2723" s="8" t="inlineStr">
        <is>
          <t>paragraph</t>
        </is>
      </c>
    </row>
    <row r="2724" ht="40" customHeight="1">
      <c r="A2724" s="4" t="inlineStr">
        <is>
          <t>M12-P0029</t>
        </is>
      </c>
      <c r="B2724" s="4" t="inlineStr">
        <is>
          <t>M12</t>
        </is>
      </c>
      <c r="C2724" s="4" t="inlineStr">
        <is>
          <t>Ramai Awas (Gharkul) Scheme for SC &amp; Nav-Buddha (Urban and Rural)</t>
        </is>
      </c>
      <c r="D2724" s="4" t="inlineStr">
        <is>
          <t>Application process</t>
        </is>
      </c>
      <c r="E2724" s="4" t="inlineStr"/>
      <c r="F2724" s="4" t="inlineStr">
        <is>
          <t>en.applicationProcess[0].process[5]</t>
        </is>
      </c>
      <c r="G2724" s="4" t="inlineStr">
        <is>
          <t>M12@20261028-70d4cb3b</t>
        </is>
      </c>
      <c r="H2724" s="4" t="n">
        <v>1</v>
      </c>
      <c r="I2724" s="4" t="n">
        <v>1</v>
      </c>
      <c r="J2724" s="4" t="inlineStr">
        <is>
          <t>NOTE: Ensure that the application is submitted within the prescribed period, if any.</t>
        </is>
      </c>
      <c r="K2724" s="4" t="inlineStr">
        <is>
          <t>MS-M12</t>
        </is>
      </c>
      <c r="L2724" s="6" t="n">
        <v>46323</v>
      </c>
      <c r="M2724" s="4" t="inlineStr">
        <is>
          <t>Approved</t>
        </is>
      </c>
      <c r="N2724" s="4" t="inlineStr">
        <is>
          <t>paragraph</t>
        </is>
      </c>
    </row>
    <row r="2725" ht="68" customHeight="1">
      <c r="A2725" s="8" t="inlineStr">
        <is>
          <t>M12-P0030</t>
        </is>
      </c>
      <c r="B2725" s="8" t="inlineStr">
        <is>
          <t>M12</t>
        </is>
      </c>
      <c r="C2725" s="8" t="inlineStr">
        <is>
          <t>Ramai Awas (Gharkul) Scheme for SC &amp; Nav-Buddha (Urban and Rural)</t>
        </is>
      </c>
      <c r="D2725" s="8" t="inlineStr">
        <is>
          <t>FAQ</t>
        </is>
      </c>
      <c r="E2725" s="8" t="inlineStr"/>
      <c r="F2725" s="8" t="inlineStr">
        <is>
          <t>faqs.en.faqs[0]</t>
        </is>
      </c>
      <c r="G2725" s="8" t="inlineStr">
        <is>
          <t>M12@20261028-70d4cb3b</t>
        </is>
      </c>
      <c r="H2725" s="8" t="n">
        <v>1</v>
      </c>
      <c r="I2725" s="8" t="n">
        <v>1</v>
      </c>
      <c r="J2725" s="8" t="inlineStr">
        <is>
          <t>What role does the Assistant Commissioner, Social Welfare Office, play in the application process?
The Assistant Commissioner provides the prescribed application form and facilitates the submission process for applicants.</t>
        </is>
      </c>
      <c r="K2725" s="8" t="inlineStr">
        <is>
          <t>MS-M12</t>
        </is>
      </c>
      <c r="L2725" s="9" t="n">
        <v>46323</v>
      </c>
      <c r="M2725" s="8" t="inlineStr">
        <is>
          <t>Approved</t>
        </is>
      </c>
      <c r="N2725" s="8" t="inlineStr">
        <is>
          <t>faq</t>
        </is>
      </c>
    </row>
    <row r="2726" ht="54" customHeight="1">
      <c r="A2726" s="4" t="inlineStr">
        <is>
          <t>M12-P0031</t>
        </is>
      </c>
      <c r="B2726" s="4" t="inlineStr">
        <is>
          <t>M12</t>
        </is>
      </c>
      <c r="C2726" s="4" t="inlineStr">
        <is>
          <t>Ramai Awas (Gharkul) Scheme for SC &amp; Nav-Buddha (Urban and Rural)</t>
        </is>
      </c>
      <c r="D2726" s="4" t="inlineStr">
        <is>
          <t>FAQ</t>
        </is>
      </c>
      <c r="E2726" s="4" t="inlineStr"/>
      <c r="F2726" s="4" t="inlineStr">
        <is>
          <t>faqs.en.faqs[1]</t>
        </is>
      </c>
      <c r="G2726" s="4" t="inlineStr">
        <is>
          <t>M12@20261028-70d4cb3b</t>
        </is>
      </c>
      <c r="H2726" s="4" t="n">
        <v>1</v>
      </c>
      <c r="I2726" s="4" t="n">
        <v>1</v>
      </c>
      <c r="J2726" s="4" t="inlineStr">
        <is>
          <t>What happens if an applicant does not meet the residential duration requirement of 15 years in Maharashtra?
Applicants not meeting this criterion are deemed ineligible for the scheme.</t>
        </is>
      </c>
      <c r="K2726" s="4" t="inlineStr">
        <is>
          <t>MS-M12</t>
        </is>
      </c>
      <c r="L2726" s="6" t="n">
        <v>46323</v>
      </c>
      <c r="M2726" s="4" t="inlineStr">
        <is>
          <t>Approved</t>
        </is>
      </c>
      <c r="N2726" s="4" t="inlineStr">
        <is>
          <t>faq</t>
        </is>
      </c>
    </row>
    <row r="2727" ht="54" customHeight="1">
      <c r="A2727" s="8" t="inlineStr">
        <is>
          <t>M12-P0032</t>
        </is>
      </c>
      <c r="B2727" s="8" t="inlineStr">
        <is>
          <t>M12</t>
        </is>
      </c>
      <c r="C2727" s="8" t="inlineStr">
        <is>
          <t>Ramai Awas (Gharkul) Scheme for SC &amp; Nav-Buddha (Urban and Rural)</t>
        </is>
      </c>
      <c r="D2727" s="8" t="inlineStr">
        <is>
          <t>FAQ</t>
        </is>
      </c>
      <c r="E2727" s="8" t="inlineStr"/>
      <c r="F2727" s="8" t="inlineStr">
        <is>
          <t>faqs.en.faqs[2]</t>
        </is>
      </c>
      <c r="G2727" s="8" t="inlineStr">
        <is>
          <t>M12@20261028-70d4cb3b</t>
        </is>
      </c>
      <c r="H2727" s="8" t="n">
        <v>1</v>
      </c>
      <c r="I2727" s="8" t="n">
        <v>1</v>
      </c>
      <c r="J2727" s="8" t="inlineStr">
        <is>
          <t>How does the scheme ensure that the assistance provided reaches the most needy beneficiaries?
By prioritizing applicants from BPL families, the scheme ensures the most disadvantaged individuals receive assistance.</t>
        </is>
      </c>
      <c r="K2727" s="8" t="inlineStr">
        <is>
          <t>MS-M12</t>
        </is>
      </c>
      <c r="L2727" s="9" t="n">
        <v>46323</v>
      </c>
      <c r="M2727" s="8" t="inlineStr">
        <is>
          <t>Approved</t>
        </is>
      </c>
      <c r="N2727" s="8" t="inlineStr">
        <is>
          <t>faq</t>
        </is>
      </c>
    </row>
    <row r="2728" ht="68" customHeight="1">
      <c r="A2728" s="4" t="inlineStr">
        <is>
          <t>M12-P0033</t>
        </is>
      </c>
      <c r="B2728" s="4" t="inlineStr">
        <is>
          <t>M12</t>
        </is>
      </c>
      <c r="C2728" s="4" t="inlineStr">
        <is>
          <t>Ramai Awas (Gharkul) Scheme for SC &amp; Nav-Buddha (Urban and Rural)</t>
        </is>
      </c>
      <c r="D2728" s="4" t="inlineStr">
        <is>
          <t>FAQ</t>
        </is>
      </c>
      <c r="E2728" s="4" t="inlineStr"/>
      <c r="F2728" s="4" t="inlineStr">
        <is>
          <t>faqs.en.faqs[3]</t>
        </is>
      </c>
      <c r="G2728" s="4" t="inlineStr">
        <is>
          <t>M12@20261028-70d4cb3b</t>
        </is>
      </c>
      <c r="H2728" s="4" t="n">
        <v>1</v>
      </c>
      <c r="I2728" s="4" t="n">
        <v>1</v>
      </c>
      <c r="J2728" s="4" t="inlineStr">
        <is>
          <t>How should applicants confirm that they have fulfilled all documentation requirements before submitting their application?
Applicants should cross-check that all mandatory documents are attached, self-attested if required, and in the correct format before submission.</t>
        </is>
      </c>
      <c r="K2728" s="4" t="inlineStr">
        <is>
          <t>MS-M12</t>
        </is>
      </c>
      <c r="L2728" s="6" t="n">
        <v>46323</v>
      </c>
      <c r="M2728" s="4" t="inlineStr">
        <is>
          <t>Approved</t>
        </is>
      </c>
      <c r="N2728" s="4" t="inlineStr">
        <is>
          <t>faq</t>
        </is>
      </c>
    </row>
    <row r="2729" ht="54" customHeight="1">
      <c r="A2729" s="8" t="inlineStr">
        <is>
          <t>M12-P0034</t>
        </is>
      </c>
      <c r="B2729" s="8" t="inlineStr">
        <is>
          <t>M12</t>
        </is>
      </c>
      <c r="C2729" s="8" t="inlineStr">
        <is>
          <t>Ramai Awas (Gharkul) Scheme for SC &amp; Nav-Buddha (Urban and Rural)</t>
        </is>
      </c>
      <c r="D2729" s="8" t="inlineStr">
        <is>
          <t>FAQ</t>
        </is>
      </c>
      <c r="E2729" s="8" t="inlineStr"/>
      <c r="F2729" s="8" t="inlineStr">
        <is>
          <t>faqs.en.faqs[4]</t>
        </is>
      </c>
      <c r="G2729" s="8" t="inlineStr">
        <is>
          <t>M12@20261028-70d4cb3b</t>
        </is>
      </c>
      <c r="H2729" s="8" t="n">
        <v>1</v>
      </c>
      <c r="I2729" s="8" t="n">
        <v>1</v>
      </c>
      <c r="J2729" s="8" t="inlineStr">
        <is>
          <t>What documents are required to apply for the scheme, and should they be self-attested?
The required documents include a Residential/Domicile Certificate, Caste Certificate, Aadhaar Card, Address Proof, Identity Card, and Passport Size Photo. They may need to be self-attested.</t>
        </is>
      </c>
      <c r="K2729" s="8" t="inlineStr">
        <is>
          <t>MS-M12</t>
        </is>
      </c>
      <c r="L2729" s="9" t="n">
        <v>46323</v>
      </c>
      <c r="M2729" s="8" t="inlineStr">
        <is>
          <t>Approved</t>
        </is>
      </c>
      <c r="N2729" s="8" t="inlineStr">
        <is>
          <t>faq</t>
        </is>
      </c>
    </row>
    <row r="2730" ht="68" customHeight="1">
      <c r="A2730" s="4" t="inlineStr">
        <is>
          <t>M12-P0035</t>
        </is>
      </c>
      <c r="B2730" s="4" t="inlineStr">
        <is>
          <t>M12</t>
        </is>
      </c>
      <c r="C2730" s="4" t="inlineStr">
        <is>
          <t>Ramai Awas (Gharkul) Scheme for SC &amp; Nav-Buddha (Urban and Rural)</t>
        </is>
      </c>
      <c r="D2730" s="4" t="inlineStr">
        <is>
          <t>FAQ</t>
        </is>
      </c>
      <c r="E2730" s="4" t="inlineStr"/>
      <c r="F2730" s="4" t="inlineStr">
        <is>
          <t>faqs.en.faqs[5]</t>
        </is>
      </c>
      <c r="G2730" s="4" t="inlineStr">
        <is>
          <t>M12@20261028-70d4cb3b</t>
        </is>
      </c>
      <c r="H2730" s="4" t="n">
        <v>1</v>
      </c>
      <c r="I2730" s="4" t="n">
        <v>1</v>
      </c>
      <c r="J2730" s="4" t="inlineStr">
        <is>
          <t>Where should an interested applicant visit to collect the prescribed application form for this scheme?
The applicant can visit the Assistant Commissioner, Social Welfare Office, Project Director at the District Rural Development Agency, or the District Council/Municipal Commissioner.</t>
        </is>
      </c>
      <c r="K2730" s="4" t="inlineStr">
        <is>
          <t>MS-M12</t>
        </is>
      </c>
      <c r="L2730" s="6" t="n">
        <v>46323</v>
      </c>
      <c r="M2730" s="4" t="inlineStr">
        <is>
          <t>Approved</t>
        </is>
      </c>
      <c r="N2730" s="4" t="inlineStr">
        <is>
          <t>faq</t>
        </is>
      </c>
    </row>
    <row r="2731" ht="40" customHeight="1">
      <c r="A2731" s="8" t="inlineStr">
        <is>
          <t>M12-P0036</t>
        </is>
      </c>
      <c r="B2731" s="8" t="inlineStr">
        <is>
          <t>M12</t>
        </is>
      </c>
      <c r="C2731" s="8" t="inlineStr">
        <is>
          <t>Ramai Awas (Gharkul) Scheme for SC &amp; Nav-Buddha (Urban and Rural)</t>
        </is>
      </c>
      <c r="D2731" s="8" t="inlineStr">
        <is>
          <t>FAQ</t>
        </is>
      </c>
      <c r="E2731" s="8" t="inlineStr"/>
      <c r="F2731" s="8" t="inlineStr">
        <is>
          <t>faqs.en.faqs[6]</t>
        </is>
      </c>
      <c r="G2731" s="8" t="inlineStr">
        <is>
          <t>M12@20261028-70d4cb3b</t>
        </is>
      </c>
      <c r="H2731" s="8" t="n">
        <v>1</v>
      </c>
      <c r="I2731" s="8" t="n">
        <v>1</v>
      </c>
      <c r="J2731" s="8" t="inlineStr">
        <is>
          <t>What priority criteria are considered while selecting beneficiaries under this scheme?
Priority is given to applicants from Below Poverty Line (BPL) households.</t>
        </is>
      </c>
      <c r="K2731" s="8" t="inlineStr">
        <is>
          <t>MS-M12</t>
        </is>
      </c>
      <c r="L2731" s="9" t="n">
        <v>46323</v>
      </c>
      <c r="M2731" s="8" t="inlineStr">
        <is>
          <t>Approved</t>
        </is>
      </c>
      <c r="N2731" s="8" t="inlineStr">
        <is>
          <t>faq</t>
        </is>
      </c>
    </row>
    <row r="2732" ht="54" customHeight="1">
      <c r="A2732" s="4" t="inlineStr">
        <is>
          <t>M12-P0037</t>
        </is>
      </c>
      <c r="B2732" s="4" t="inlineStr">
        <is>
          <t>M12</t>
        </is>
      </c>
      <c r="C2732" s="4" t="inlineStr">
        <is>
          <t>Ramai Awas (Gharkul) Scheme for SC &amp; Nav-Buddha (Urban and Rural)</t>
        </is>
      </c>
      <c r="D2732" s="4" t="inlineStr">
        <is>
          <t>FAQ</t>
        </is>
      </c>
      <c r="E2732" s="4" t="inlineStr"/>
      <c r="F2732" s="4" t="inlineStr">
        <is>
          <t>faqs.en.faqs[7]</t>
        </is>
      </c>
      <c r="G2732" s="4" t="inlineStr">
        <is>
          <t>M12@20261028-70d4cb3b</t>
        </is>
      </c>
      <c r="H2732" s="4" t="n">
        <v>1</v>
      </c>
      <c r="I2732" s="4" t="n">
        <v>1</v>
      </c>
      <c r="J2732" s="4" t="inlineStr">
        <is>
          <t>Does the applicant need to own land to qualify for the scheme, and why is this important?
Yes, the applicant must own land, as the scheme requires beneficiaries to construct houses on their own land.</t>
        </is>
      </c>
      <c r="K2732" s="4" t="inlineStr">
        <is>
          <t>MS-M12</t>
        </is>
      </c>
      <c r="L2732" s="6" t="n">
        <v>46323</v>
      </c>
      <c r="M2732" s="4" t="inlineStr">
        <is>
          <t>Approved</t>
        </is>
      </c>
      <c r="N2732" s="4" t="inlineStr">
        <is>
          <t>faq</t>
        </is>
      </c>
    </row>
    <row r="2733" ht="40" customHeight="1">
      <c r="A2733" s="8" t="inlineStr">
        <is>
          <t>M12-P0038</t>
        </is>
      </c>
      <c r="B2733" s="8" t="inlineStr">
        <is>
          <t>M12</t>
        </is>
      </c>
      <c r="C2733" s="8" t="inlineStr">
        <is>
          <t>Ramai Awas (Gharkul) Scheme for SC &amp; Nav-Buddha (Urban and Rural)</t>
        </is>
      </c>
      <c r="D2733" s="8" t="inlineStr">
        <is>
          <t>FAQ</t>
        </is>
      </c>
      <c r="E2733" s="8" t="inlineStr"/>
      <c r="F2733" s="8" t="inlineStr">
        <is>
          <t>faqs.en.faqs[8]</t>
        </is>
      </c>
      <c r="G2733" s="8" t="inlineStr">
        <is>
          <t>M12@20261028-70d4cb3b</t>
        </is>
      </c>
      <c r="H2733" s="8" t="n">
        <v>1</v>
      </c>
      <c r="I2733" s="8" t="n">
        <v>1</v>
      </c>
      <c r="J2733" s="8" t="inlineStr">
        <is>
          <t>Is it possible for multiple members of the same family to apply for the scheme?
No, only one person per family is allowed to apply and benefit from the scheme.</t>
        </is>
      </c>
      <c r="K2733" s="8" t="inlineStr">
        <is>
          <t>MS-M12</t>
        </is>
      </c>
      <c r="L2733" s="9" t="n">
        <v>46323</v>
      </c>
      <c r="M2733" s="8" t="inlineStr">
        <is>
          <t>Approved</t>
        </is>
      </c>
      <c r="N2733" s="8" t="inlineStr">
        <is>
          <t>faq</t>
        </is>
      </c>
    </row>
    <row r="2734" ht="54" customHeight="1">
      <c r="A2734" s="4" t="inlineStr">
        <is>
          <t>M12-P0039</t>
        </is>
      </c>
      <c r="B2734" s="4" t="inlineStr">
        <is>
          <t>M12</t>
        </is>
      </c>
      <c r="C2734" s="4" t="inlineStr">
        <is>
          <t>Ramai Awas (Gharkul) Scheme for SC &amp; Nav-Buddha (Urban and Rural)</t>
        </is>
      </c>
      <c r="D2734" s="4" t="inlineStr">
        <is>
          <t>FAQ</t>
        </is>
      </c>
      <c r="E2734" s="4" t="inlineStr"/>
      <c r="F2734" s="4" t="inlineStr">
        <is>
          <t>faqs.en.faqs[9]</t>
        </is>
      </c>
      <c r="G2734" s="4" t="inlineStr">
        <is>
          <t>M12@20261028-70d4cb3b</t>
        </is>
      </c>
      <c r="H2734" s="4" t="n">
        <v>1</v>
      </c>
      <c r="I2734" s="4" t="n">
        <v>1</v>
      </c>
      <c r="J2734" s="4" t="inlineStr">
        <is>
          <t>What is the annual income threshold for beneficiaries residing in municipal corporations to avail of the scheme benefits?
Applicants from municipal corporations must have an annual income not exceeding ₹2,00,000.</t>
        </is>
      </c>
      <c r="K2734" s="4" t="inlineStr">
        <is>
          <t>MS-M12</t>
        </is>
      </c>
      <c r="L2734" s="6" t="n">
        <v>46323</v>
      </c>
      <c r="M2734" s="4" t="inlineStr">
        <is>
          <t>Approved</t>
        </is>
      </c>
      <c r="N2734" s="4" t="inlineStr">
        <is>
          <t>faq</t>
        </is>
      </c>
    </row>
    <row r="2735" ht="40" customHeight="1">
      <c r="A2735" s="8" t="inlineStr">
        <is>
          <t>M12-P0040</t>
        </is>
      </c>
      <c r="B2735" s="8" t="inlineStr">
        <is>
          <t>M12</t>
        </is>
      </c>
      <c r="C2735" s="8" t="inlineStr">
        <is>
          <t>Ramai Awas (Gharkul) Scheme for SC &amp; Nav-Buddha (Urban and Rural)</t>
        </is>
      </c>
      <c r="D2735" s="8" t="inlineStr">
        <is>
          <t>FAQ</t>
        </is>
      </c>
      <c r="E2735" s="8" t="inlineStr"/>
      <c r="F2735" s="8" t="inlineStr">
        <is>
          <t>faqs.en.faqs[10]</t>
        </is>
      </c>
      <c r="G2735" s="8" t="inlineStr">
        <is>
          <t>M12@20261028-70d4cb3b</t>
        </is>
      </c>
      <c r="H2735" s="8" t="n">
        <v>1</v>
      </c>
      <c r="I2735" s="8" t="n">
        <v>1</v>
      </c>
      <c r="J2735" s="8" t="inlineStr">
        <is>
          <t>What is the maximum annual income limit for applicants from municipal areas under this scheme?
The income limit for applicants from municipal areas is ₹1,50,000 per annum.</t>
        </is>
      </c>
      <c r="K2735" s="8" t="inlineStr">
        <is>
          <t>MS-M12</t>
        </is>
      </c>
      <c r="L2735" s="9" t="n">
        <v>46323</v>
      </c>
      <c r="M2735" s="8" t="inlineStr">
        <is>
          <t>Approved</t>
        </is>
      </c>
      <c r="N2735" s="8" t="inlineStr">
        <is>
          <t>faq</t>
        </is>
      </c>
    </row>
    <row r="2736" ht="40" customHeight="1">
      <c r="A2736" s="4" t="inlineStr">
        <is>
          <t>M13-P0001</t>
        </is>
      </c>
      <c r="B2736" s="4" t="inlineStr">
        <is>
          <t>M13</t>
        </is>
      </c>
      <c r="C2736" s="4" t="inlineStr">
        <is>
          <t>Namo Shetkari Mahasanman Nidhi Yojana</t>
        </is>
      </c>
      <c r="D2736" s="4" t="inlineStr">
        <is>
          <t>Details</t>
        </is>
      </c>
      <c r="E2736" s="4" t="inlineStr"/>
      <c r="F2736" s="4" t="inlineStr">
        <is>
          <t>en.schemeContent.detailedDescription[0]</t>
        </is>
      </c>
      <c r="G2736" s="4" t="inlineStr">
        <is>
          <t>M13@20261028-01fda9a0</t>
        </is>
      </c>
      <c r="H2736" s="4" t="n">
        <v>1</v>
      </c>
      <c r="I2736" s="4" t="n">
        <v>1</v>
      </c>
      <c r="J2736" s="4" t="inlineStr">
        <is>
          <t>•	Under this scheme an amount of Rs. 6000/- will be transferred annually in three equal instalments</t>
        </is>
      </c>
      <c r="K2736" s="4" t="inlineStr">
        <is>
          <t>MS-M13</t>
        </is>
      </c>
      <c r="L2736" s="6" t="n">
        <v>46323</v>
      </c>
      <c r="M2736" s="4" t="inlineStr">
        <is>
          <t>Approved</t>
        </is>
      </c>
      <c r="N2736" s="4" t="inlineStr">
        <is>
          <t>paragraph</t>
        </is>
      </c>
    </row>
    <row r="2737" ht="40" customHeight="1">
      <c r="A2737" s="8" t="inlineStr">
        <is>
          <t>M13-P0002</t>
        </is>
      </c>
      <c r="B2737" s="8" t="inlineStr">
        <is>
          <t>M13</t>
        </is>
      </c>
      <c r="C2737" s="8" t="inlineStr">
        <is>
          <t>Namo Shetkari Mahasanman Nidhi Yojana</t>
        </is>
      </c>
      <c r="D2737" s="8" t="inlineStr">
        <is>
          <t>Details</t>
        </is>
      </c>
      <c r="E2737" s="8" t="inlineStr"/>
      <c r="F2737" s="8" t="inlineStr">
        <is>
          <t>en.schemeContent.detailedDescription[1]</t>
        </is>
      </c>
      <c r="G2737" s="8" t="inlineStr">
        <is>
          <t>M13@20261028-01fda9a0</t>
        </is>
      </c>
      <c r="H2737" s="8" t="n">
        <v>1</v>
      </c>
      <c r="I2737" s="8" t="n">
        <v>1</v>
      </c>
      <c r="J2737" s="8" t="inlineStr">
        <is>
          <t>•	Government Resolution No Kisani-2023/CR 42/11 A dated 15/06/2023 has been issued regarding the scheme.</t>
        </is>
      </c>
      <c r="K2737" s="8" t="inlineStr">
        <is>
          <t>MS-M13</t>
        </is>
      </c>
      <c r="L2737" s="9" t="n">
        <v>46323</v>
      </c>
      <c r="M2737" s="8" t="inlineStr">
        <is>
          <t>Approved</t>
        </is>
      </c>
      <c r="N2737" s="8" t="inlineStr">
        <is>
          <t>paragraph</t>
        </is>
      </c>
    </row>
    <row r="2738" ht="40" customHeight="1">
      <c r="A2738" s="4" t="inlineStr">
        <is>
          <t>M13-P0003</t>
        </is>
      </c>
      <c r="B2738" s="4" t="inlineStr">
        <is>
          <t>M13</t>
        </is>
      </c>
      <c r="C2738" s="4" t="inlineStr">
        <is>
          <t>Namo Shetkari Mahasanman Nidhi Yojana</t>
        </is>
      </c>
      <c r="D2738" s="4" t="inlineStr">
        <is>
          <t>Details</t>
        </is>
      </c>
      <c r="E2738" s="4" t="inlineStr"/>
      <c r="F2738" s="4" t="inlineStr">
        <is>
          <t>en.schemeContent.detailedDescription[2]</t>
        </is>
      </c>
      <c r="G2738" s="4" t="inlineStr">
        <is>
          <t>M13@20261028-01fda9a0</t>
        </is>
      </c>
      <c r="H2738" s="4" t="n">
        <v>1</v>
      </c>
      <c r="I2738" s="4" t="n">
        <v>1</v>
      </c>
      <c r="J2738" s="4" t="inlineStr">
        <is>
          <t>•	Farmers which are eligible for PM Kisan Yojana will be eligible for the benefit of "Namo Shetkari Mahasanman Nidhi Yojana"</t>
        </is>
      </c>
      <c r="K2738" s="4" t="inlineStr">
        <is>
          <t>MS-M13</t>
        </is>
      </c>
      <c r="L2738" s="6" t="n">
        <v>46323</v>
      </c>
      <c r="M2738" s="4" t="inlineStr">
        <is>
          <t>Approved</t>
        </is>
      </c>
      <c r="N2738" s="4" t="inlineStr">
        <is>
          <t>paragraph</t>
        </is>
      </c>
    </row>
    <row r="2739" ht="40" customHeight="1">
      <c r="A2739" s="8" t="inlineStr">
        <is>
          <t>M13-P0004</t>
        </is>
      </c>
      <c r="B2739" s="8" t="inlineStr">
        <is>
          <t>M13</t>
        </is>
      </c>
      <c r="C2739" s="8" t="inlineStr">
        <is>
          <t>Namo Shetkari Mahasanman Nidhi Yojana</t>
        </is>
      </c>
      <c r="D2739" s="8" t="inlineStr">
        <is>
          <t>Benefits</t>
        </is>
      </c>
      <c r="E2739" s="8" t="inlineStr"/>
      <c r="F2739" s="8" t="inlineStr">
        <is>
          <t>en.schemeContent.benefits[0]</t>
        </is>
      </c>
      <c r="G2739" s="8" t="inlineStr">
        <is>
          <t>M13@20261028-01fda9a0</t>
        </is>
      </c>
      <c r="H2739" s="8" t="n">
        <v>1</v>
      </c>
      <c r="I2739" s="8" t="n">
        <v>1</v>
      </c>
      <c r="J2739" s="8" t="inlineStr">
        <is>
          <t>1) Eligible Farmers families as per PM KISAN will be Benefited Rs. 2000/- per Instalment.</t>
        </is>
      </c>
      <c r="K2739" s="8" t="inlineStr">
        <is>
          <t>MS-M13</t>
        </is>
      </c>
      <c r="L2739" s="9" t="n">
        <v>46323</v>
      </c>
      <c r="M2739" s="8" t="inlineStr">
        <is>
          <t>Approved</t>
        </is>
      </c>
      <c r="N2739" s="8" t="inlineStr">
        <is>
          <t>paragraph</t>
        </is>
      </c>
    </row>
    <row r="2740" ht="40" customHeight="1">
      <c r="A2740" s="4" t="inlineStr">
        <is>
          <t>M13-P0005</t>
        </is>
      </c>
      <c r="B2740" s="4" t="inlineStr">
        <is>
          <t>M13</t>
        </is>
      </c>
      <c r="C2740" s="4" t="inlineStr">
        <is>
          <t>Namo Shetkari Mahasanman Nidhi Yojana</t>
        </is>
      </c>
      <c r="D2740" s="4" t="inlineStr">
        <is>
          <t>Benefits</t>
        </is>
      </c>
      <c r="E2740" s="4" t="inlineStr"/>
      <c r="F2740" s="4" t="inlineStr">
        <is>
          <t>en.schemeContent.benefits[1]</t>
        </is>
      </c>
      <c r="G2740" s="4" t="inlineStr">
        <is>
          <t>M13@20261028-01fda9a0</t>
        </is>
      </c>
      <c r="H2740" s="4" t="n">
        <v>1</v>
      </c>
      <c r="I2740" s="4" t="n">
        <v>1</v>
      </c>
      <c r="J2740" s="4" t="inlineStr">
        <is>
          <t>2) The beneficiaries benefited in PM KISAN will get the benefit of NSMNY.</t>
        </is>
      </c>
      <c r="K2740" s="4" t="inlineStr">
        <is>
          <t>MS-M13</t>
        </is>
      </c>
      <c r="L2740" s="6" t="n">
        <v>46323</v>
      </c>
      <c r="M2740" s="4" t="inlineStr">
        <is>
          <t>Approved</t>
        </is>
      </c>
      <c r="N2740" s="4" t="inlineStr">
        <is>
          <t>paragraph</t>
        </is>
      </c>
    </row>
    <row r="2741" ht="40" customHeight="1">
      <c r="A2741" s="8" t="inlineStr">
        <is>
          <t>M13-P0006</t>
        </is>
      </c>
      <c r="B2741" s="8" t="inlineStr">
        <is>
          <t>M13</t>
        </is>
      </c>
      <c r="C2741" s="8" t="inlineStr">
        <is>
          <t>Namo Shetkari Mahasanman Nidhi Yojana</t>
        </is>
      </c>
      <c r="D2741" s="8" t="inlineStr">
        <is>
          <t>Benefits</t>
        </is>
      </c>
      <c r="E2741" s="8" t="inlineStr"/>
      <c r="F2741" s="8" t="inlineStr">
        <is>
          <t>en.schemeContent.benefits[2]</t>
        </is>
      </c>
      <c r="G2741" s="8" t="inlineStr">
        <is>
          <t>M13@20261028-01fda9a0</t>
        </is>
      </c>
      <c r="H2741" s="8" t="n">
        <v>1</v>
      </c>
      <c r="I2741" s="8" t="n">
        <v>1</v>
      </c>
      <c r="J2741" s="8" t="inlineStr">
        <is>
          <t>3) The NSMNY beneficiaries will be benefited from the list provided by GoI.</t>
        </is>
      </c>
      <c r="K2741" s="8" t="inlineStr">
        <is>
          <t>MS-M13</t>
        </is>
      </c>
      <c r="L2741" s="9" t="n">
        <v>46323</v>
      </c>
      <c r="M2741" s="8" t="inlineStr">
        <is>
          <t>Approved</t>
        </is>
      </c>
      <c r="N2741" s="8" t="inlineStr">
        <is>
          <t>paragraph</t>
        </is>
      </c>
    </row>
    <row r="2742" ht="40" customHeight="1">
      <c r="A2742" s="4" t="inlineStr">
        <is>
          <t>M13-P0007</t>
        </is>
      </c>
      <c r="B2742" s="4" t="inlineStr">
        <is>
          <t>M13</t>
        </is>
      </c>
      <c r="C2742" s="4" t="inlineStr">
        <is>
          <t>Namo Shetkari Mahasanman Nidhi Yojana</t>
        </is>
      </c>
      <c r="D2742" s="4" t="inlineStr">
        <is>
          <t>Benefits</t>
        </is>
      </c>
      <c r="E2742" s="4" t="inlineStr"/>
      <c r="F2742" s="4" t="inlineStr">
        <is>
          <t>en.schemeContent.benefits[3]</t>
        </is>
      </c>
      <c r="G2742" s="4" t="inlineStr">
        <is>
          <t>M13@20261028-01fda9a0</t>
        </is>
      </c>
      <c r="H2742" s="4" t="n">
        <v>1</v>
      </c>
      <c r="I2742" s="4" t="n">
        <v>1</v>
      </c>
      <c r="J2742" s="4" t="inlineStr">
        <is>
          <t>4) First instalment of NSMNY is given as per the list of 14th instalment of PMKISAN.</t>
        </is>
      </c>
      <c r="K2742" s="4" t="inlineStr">
        <is>
          <t>MS-M13</t>
        </is>
      </c>
      <c r="L2742" s="6" t="n">
        <v>46323</v>
      </c>
      <c r="M2742" s="4" t="inlineStr">
        <is>
          <t>Approved</t>
        </is>
      </c>
      <c r="N2742" s="4" t="inlineStr">
        <is>
          <t>paragraph</t>
        </is>
      </c>
    </row>
    <row r="2743" ht="40" customHeight="1">
      <c r="A2743" s="8" t="inlineStr">
        <is>
          <t>M13-P0008</t>
        </is>
      </c>
      <c r="B2743" s="8" t="inlineStr">
        <is>
          <t>M13</t>
        </is>
      </c>
      <c r="C2743" s="8" t="inlineStr">
        <is>
          <t>Namo Shetkari Mahasanman Nidhi Yojana</t>
        </is>
      </c>
      <c r="D2743" s="8" t="inlineStr">
        <is>
          <t>Benefits</t>
        </is>
      </c>
      <c r="E2743" s="8" t="inlineStr"/>
      <c r="F2743" s="8" t="inlineStr">
        <is>
          <t>en.schemeContent.benefits[4]</t>
        </is>
      </c>
      <c r="G2743" s="8" t="inlineStr">
        <is>
          <t>M13@20261028-01fda9a0</t>
        </is>
      </c>
      <c r="H2743" s="8" t="n">
        <v>1</v>
      </c>
      <c r="I2743" s="8" t="n">
        <v>1</v>
      </c>
      <c r="J2743" s="8" t="inlineStr">
        <is>
          <t>5) Eligible farmers family will get Rs. 2000/- from PMKISAN &amp; NSMNY at each instalment.</t>
        </is>
      </c>
      <c r="K2743" s="8" t="inlineStr">
        <is>
          <t>MS-M13</t>
        </is>
      </c>
      <c r="L2743" s="9" t="n">
        <v>46323</v>
      </c>
      <c r="M2743" s="8" t="inlineStr">
        <is>
          <t>Approved</t>
        </is>
      </c>
      <c r="N2743" s="8" t="inlineStr">
        <is>
          <t>paragraph</t>
        </is>
      </c>
    </row>
    <row r="2744" ht="40" customHeight="1">
      <c r="A2744" s="4" t="inlineStr">
        <is>
          <t>M13-P0009</t>
        </is>
      </c>
      <c r="B2744" s="4" t="inlineStr">
        <is>
          <t>M13</t>
        </is>
      </c>
      <c r="C2744" s="4" t="inlineStr">
        <is>
          <t>Namo Shetkari Mahasanman Nidhi Yojana</t>
        </is>
      </c>
      <c r="D2744" s="4" t="inlineStr">
        <is>
          <t>Benefits</t>
        </is>
      </c>
      <c r="E2744" s="4" t="inlineStr"/>
      <c r="F2744" s="4" t="inlineStr">
        <is>
          <t>en.schemeContent.benefits[5]</t>
        </is>
      </c>
      <c r="G2744" s="4" t="inlineStr">
        <is>
          <t>M13@20261028-01fda9a0</t>
        </is>
      </c>
      <c r="H2744" s="4" t="n">
        <v>1</v>
      </c>
      <c r="I2744" s="4" t="n">
        <v>1</v>
      </c>
      <c r="J2744" s="4" t="inlineStr">
        <is>
          <t>6) Eligible farmers will get Rs. 12,000/- in a year from both PM KISAN &amp; NSMNY schems.</t>
        </is>
      </c>
      <c r="K2744" s="4" t="inlineStr">
        <is>
          <t>MS-M13</t>
        </is>
      </c>
      <c r="L2744" s="6" t="n">
        <v>46323</v>
      </c>
      <c r="M2744" s="4" t="inlineStr">
        <is>
          <t>Approved</t>
        </is>
      </c>
      <c r="N2744" s="4" t="inlineStr">
        <is>
          <t>paragraph</t>
        </is>
      </c>
    </row>
    <row r="2745" ht="40" customHeight="1">
      <c r="A2745" s="8" t="inlineStr">
        <is>
          <t>M13-P0010</t>
        </is>
      </c>
      <c r="B2745" s="8" t="inlineStr">
        <is>
          <t>M13</t>
        </is>
      </c>
      <c r="C2745" s="8" t="inlineStr">
        <is>
          <t>Namo Shetkari Mahasanman Nidhi Yojana</t>
        </is>
      </c>
      <c r="D2745" s="8" t="inlineStr">
        <is>
          <t>Benefits</t>
        </is>
      </c>
      <c r="E2745" s="8" t="inlineStr"/>
      <c r="F2745" s="8" t="inlineStr">
        <is>
          <t>en.schemeContent.benefits[6]</t>
        </is>
      </c>
      <c r="G2745" s="8" t="inlineStr">
        <is>
          <t>M13@20261028-01fda9a0</t>
        </is>
      </c>
      <c r="H2745" s="8" t="n">
        <v>1</v>
      </c>
      <c r="I2745" s="8" t="n">
        <v>1</v>
      </c>
      <c r="J2745" s="8" t="inlineStr">
        <is>
          <t>7) Farmers will be benefited through DBT.</t>
        </is>
      </c>
      <c r="K2745" s="8" t="inlineStr">
        <is>
          <t>MS-M13</t>
        </is>
      </c>
      <c r="L2745" s="9" t="n">
        <v>46323</v>
      </c>
      <c r="M2745" s="8" t="inlineStr">
        <is>
          <t>Approved</t>
        </is>
      </c>
      <c r="N2745" s="8" t="inlineStr">
        <is>
          <t>paragraph</t>
        </is>
      </c>
    </row>
    <row r="2746" ht="40" customHeight="1">
      <c r="A2746" s="4" t="inlineStr">
        <is>
          <t>M13-P0011</t>
        </is>
      </c>
      <c r="B2746" s="4" t="inlineStr">
        <is>
          <t>M13</t>
        </is>
      </c>
      <c r="C2746" s="4" t="inlineStr">
        <is>
          <t>Namo Shetkari Mahasanman Nidhi Yojana</t>
        </is>
      </c>
      <c r="D2746" s="4" t="inlineStr">
        <is>
          <t>Benefits</t>
        </is>
      </c>
      <c r="E2746" s="4" t="inlineStr"/>
      <c r="F2746" s="4" t="inlineStr">
        <is>
          <t>en.schemeContent.benefits[7]</t>
        </is>
      </c>
      <c r="G2746" s="4" t="inlineStr">
        <is>
          <t>M13@20261028-01fda9a0</t>
        </is>
      </c>
      <c r="H2746" s="4" t="n">
        <v>1</v>
      </c>
      <c r="I2746" s="4" t="n">
        <v>1</v>
      </c>
      <c r="J2746" s="4" t="inlineStr">
        <is>
          <t>8) The benefit of the NSMNY will be credited only in Aadhar linked bank accounts.</t>
        </is>
      </c>
      <c r="K2746" s="4" t="inlineStr">
        <is>
          <t>MS-M13</t>
        </is>
      </c>
      <c r="L2746" s="6" t="n">
        <v>46323</v>
      </c>
      <c r="M2746" s="4" t="inlineStr">
        <is>
          <t>Approved</t>
        </is>
      </c>
      <c r="N2746" s="4" t="inlineStr">
        <is>
          <t>paragraph</t>
        </is>
      </c>
    </row>
    <row r="2747" ht="40" customHeight="1">
      <c r="A2747" s="8" t="inlineStr">
        <is>
          <t>M13-P0012</t>
        </is>
      </c>
      <c r="B2747" s="8" t="inlineStr">
        <is>
          <t>M13</t>
        </is>
      </c>
      <c r="C2747" s="8" t="inlineStr">
        <is>
          <t>Namo Shetkari Mahasanman Nidhi Yojana</t>
        </is>
      </c>
      <c r="D2747" s="8" t="inlineStr">
        <is>
          <t>Benefits</t>
        </is>
      </c>
      <c r="E2747" s="8" t="inlineStr"/>
      <c r="F2747" s="8" t="inlineStr">
        <is>
          <t>en.schemeContent.benefits[8]</t>
        </is>
      </c>
      <c r="G2747" s="8" t="inlineStr">
        <is>
          <t>M13@20261028-01fda9a0</t>
        </is>
      </c>
      <c r="H2747" s="8" t="n">
        <v>1</v>
      </c>
      <c r="I2747" s="8" t="n">
        <v>1</v>
      </c>
      <c r="J2747" s="8" t="inlineStr">
        <is>
          <t>9) The benefit credited to the ineligibles in NSMNY will be recovered as per the SoP of PMKISAN</t>
        </is>
      </c>
      <c r="K2747" s="8" t="inlineStr">
        <is>
          <t>MS-M13</t>
        </is>
      </c>
      <c r="L2747" s="9" t="n">
        <v>46323</v>
      </c>
      <c r="M2747" s="8" t="inlineStr">
        <is>
          <t>Approved</t>
        </is>
      </c>
      <c r="N2747" s="8" t="inlineStr">
        <is>
          <t>paragraph</t>
        </is>
      </c>
    </row>
    <row r="2748" ht="40" customHeight="1">
      <c r="A2748" s="4" t="inlineStr">
        <is>
          <t>M13-P0013</t>
        </is>
      </c>
      <c r="B2748" s="4" t="inlineStr">
        <is>
          <t>M13</t>
        </is>
      </c>
      <c r="C2748" s="4" t="inlineStr">
        <is>
          <t>Namo Shetkari Mahasanman Nidhi Yojana</t>
        </is>
      </c>
      <c r="D2748" s="4" t="inlineStr">
        <is>
          <t>Eligibility</t>
        </is>
      </c>
      <c r="E2748" s="4" t="inlineStr"/>
      <c r="F2748" s="4" t="inlineStr">
        <is>
          <t>en.eligibilityCriteria.eligibilityDescription[0]</t>
        </is>
      </c>
      <c r="G2748" s="4" t="inlineStr">
        <is>
          <t>M13@20261028-01fda9a0</t>
        </is>
      </c>
      <c r="H2748" s="4" t="n">
        <v>1</v>
      </c>
      <c r="I2748" s="4" t="n">
        <v>1</v>
      </c>
      <c r="J2748" s="4" t="inlineStr">
        <is>
          <t>Cultivable land holding farmers families (comprising of husband, wife and minor children) having land holding on dated 01.02.2019 are eligible for both PM KISAN &amp; NSMNY scheme.</t>
        </is>
      </c>
      <c r="K2748" s="4" t="inlineStr">
        <is>
          <t>MS-M13</t>
        </is>
      </c>
      <c r="L2748" s="6" t="n">
        <v>46323</v>
      </c>
      <c r="M2748" s="4" t="inlineStr">
        <is>
          <t>Approved</t>
        </is>
      </c>
      <c r="N2748" s="4" t="inlineStr">
        <is>
          <t>paragraph</t>
        </is>
      </c>
    </row>
    <row r="2749" ht="40" customHeight="1">
      <c r="A2749" s="8" t="inlineStr">
        <is>
          <t>M13-P0014</t>
        </is>
      </c>
      <c r="B2749" s="8" t="inlineStr">
        <is>
          <t>M13</t>
        </is>
      </c>
      <c r="C2749" s="8" t="inlineStr">
        <is>
          <t>Namo Shetkari Mahasanman Nidhi Yojana</t>
        </is>
      </c>
      <c r="D2749" s="8" t="inlineStr">
        <is>
          <t>Exclusions</t>
        </is>
      </c>
      <c r="E2749" s="8" t="inlineStr"/>
      <c r="F2749" s="8" t="inlineStr">
        <is>
          <t>en.schemeContent.exclusions[0]</t>
        </is>
      </c>
      <c r="G2749" s="8" t="inlineStr">
        <is>
          <t>M13@20261028-01fda9a0</t>
        </is>
      </c>
      <c r="H2749" s="8" t="n">
        <v>1</v>
      </c>
      <c r="I2749" s="8" t="n">
        <v>1</v>
      </c>
      <c r="J2749" s="8" t="inlineStr">
        <is>
          <t>The following categories of beneficiaries of higher economic status shall not be eligible for benefit under the scheme:</t>
        </is>
      </c>
      <c r="K2749" s="8" t="inlineStr">
        <is>
          <t>MS-M13</t>
        </is>
      </c>
      <c r="L2749" s="9" t="n">
        <v>46323</v>
      </c>
      <c r="M2749" s="8" t="inlineStr">
        <is>
          <t>Approved</t>
        </is>
      </c>
      <c r="N2749" s="8" t="inlineStr">
        <is>
          <t>paragraph</t>
        </is>
      </c>
    </row>
    <row r="2750" ht="40" customHeight="1">
      <c r="A2750" s="4" t="inlineStr">
        <is>
          <t>M13-P0015</t>
        </is>
      </c>
      <c r="B2750" s="4" t="inlineStr">
        <is>
          <t>M13</t>
        </is>
      </c>
      <c r="C2750" s="4" t="inlineStr">
        <is>
          <t>Namo Shetkari Mahasanman Nidhi Yojana</t>
        </is>
      </c>
      <c r="D2750" s="4" t="inlineStr">
        <is>
          <t>Exclusions</t>
        </is>
      </c>
      <c r="E2750" s="4" t="inlineStr"/>
      <c r="F2750" s="4" t="inlineStr">
        <is>
          <t>en.schemeContent.exclusions[1]</t>
        </is>
      </c>
      <c r="G2750" s="4" t="inlineStr">
        <is>
          <t>M13@20261028-01fda9a0</t>
        </is>
      </c>
      <c r="H2750" s="4" t="n">
        <v>1</v>
      </c>
      <c r="I2750" s="4" t="n">
        <v>1</v>
      </c>
      <c r="J2750" s="4" t="inlineStr">
        <is>
          <t>(a) All Institutional Land holders; and</t>
        </is>
      </c>
      <c r="K2750" s="4" t="inlineStr">
        <is>
          <t>MS-M13</t>
        </is>
      </c>
      <c r="L2750" s="6" t="n">
        <v>46323</v>
      </c>
      <c r="M2750" s="4" t="inlineStr">
        <is>
          <t>Approved</t>
        </is>
      </c>
      <c r="N2750" s="4" t="inlineStr">
        <is>
          <t>paragraph</t>
        </is>
      </c>
    </row>
    <row r="2751" ht="40" customHeight="1">
      <c r="A2751" s="8" t="inlineStr">
        <is>
          <t>M13-P0016</t>
        </is>
      </c>
      <c r="B2751" s="8" t="inlineStr">
        <is>
          <t>M13</t>
        </is>
      </c>
      <c r="C2751" s="8" t="inlineStr">
        <is>
          <t>Namo Shetkari Mahasanman Nidhi Yojana</t>
        </is>
      </c>
      <c r="D2751" s="8" t="inlineStr">
        <is>
          <t>Exclusions</t>
        </is>
      </c>
      <c r="E2751" s="8" t="inlineStr"/>
      <c r="F2751" s="8" t="inlineStr">
        <is>
          <t>en.schemeContent.exclusions[2]</t>
        </is>
      </c>
      <c r="G2751" s="8" t="inlineStr">
        <is>
          <t>M13@20261028-01fda9a0</t>
        </is>
      </c>
      <c r="H2751" s="8" t="n">
        <v>1</v>
      </c>
      <c r="I2751" s="8" t="n">
        <v>1</v>
      </c>
      <c r="J2751" s="8" t="inlineStr">
        <is>
          <t>(b) Farmer families in which one or more of its members belong to following categories:</t>
        </is>
      </c>
      <c r="K2751" s="8" t="inlineStr">
        <is>
          <t>MS-M13</t>
        </is>
      </c>
      <c r="L2751" s="9" t="n">
        <v>46323</v>
      </c>
      <c r="M2751" s="8" t="inlineStr">
        <is>
          <t>Approved</t>
        </is>
      </c>
      <c r="N2751" s="8" t="inlineStr">
        <is>
          <t>paragraph</t>
        </is>
      </c>
    </row>
    <row r="2752" ht="40" customHeight="1">
      <c r="A2752" s="4" t="inlineStr">
        <is>
          <t>M13-P0017</t>
        </is>
      </c>
      <c r="B2752" s="4" t="inlineStr">
        <is>
          <t>M13</t>
        </is>
      </c>
      <c r="C2752" s="4" t="inlineStr">
        <is>
          <t>Namo Shetkari Mahasanman Nidhi Yojana</t>
        </is>
      </c>
      <c r="D2752" s="4" t="inlineStr">
        <is>
          <t>Exclusions</t>
        </is>
      </c>
      <c r="E2752" s="4" t="inlineStr"/>
      <c r="F2752" s="4" t="inlineStr">
        <is>
          <t>en.schemeContent.exclusions[3].children[0]</t>
        </is>
      </c>
      <c r="G2752" s="4" t="inlineStr">
        <is>
          <t>M13@20261028-01fda9a0</t>
        </is>
      </c>
      <c r="H2752" s="4" t="n">
        <v>1</v>
      </c>
      <c r="I2752" s="4" t="n">
        <v>1</v>
      </c>
      <c r="J2752" s="4" t="inlineStr">
        <is>
          <t>Former and present holders of constitutional post.</t>
        </is>
      </c>
      <c r="K2752" s="4" t="inlineStr">
        <is>
          <t>MS-M13</t>
        </is>
      </c>
      <c r="L2752" s="6" t="n">
        <v>46323</v>
      </c>
      <c r="M2752" s="4" t="inlineStr">
        <is>
          <t>Approved</t>
        </is>
      </c>
      <c r="N2752" s="4" t="inlineStr">
        <is>
          <t>list_item</t>
        </is>
      </c>
    </row>
    <row r="2753" ht="54" customHeight="1">
      <c r="A2753" s="8" t="inlineStr">
        <is>
          <t>M13-P0018</t>
        </is>
      </c>
      <c r="B2753" s="8" t="inlineStr">
        <is>
          <t>M13</t>
        </is>
      </c>
      <c r="C2753" s="8" t="inlineStr">
        <is>
          <t>Namo Shetkari Mahasanman Nidhi Yojana</t>
        </is>
      </c>
      <c r="D2753" s="8" t="inlineStr">
        <is>
          <t>Exclusions</t>
        </is>
      </c>
      <c r="E2753" s="8" t="inlineStr"/>
      <c r="F2753" s="8" t="inlineStr">
        <is>
          <t>en.schemeContent.exclusions[3].children[1]</t>
        </is>
      </c>
      <c r="G2753" s="8" t="inlineStr">
        <is>
          <t>M13@20261028-01fda9a0</t>
        </is>
      </c>
      <c r="H2753" s="8" t="n">
        <v>1</v>
      </c>
      <c r="I2753" s="8" t="n">
        <v>1</v>
      </c>
      <c r="J2753" s="8" t="inlineStr">
        <is>
          <t>Former and present Ministers/ State Ministers and former/present Members of Lok Sabha/ Rajya Sabha/ State Legislative Assemblies/ State Legislative Councils, former and present Mayors of Municipal Corporations, former and present Chairpersons of District Panchayats.</t>
        </is>
      </c>
      <c r="K2753" s="8" t="inlineStr">
        <is>
          <t>MS-M13</t>
        </is>
      </c>
      <c r="L2753" s="9" t="n">
        <v>46323</v>
      </c>
      <c r="M2753" s="8" t="inlineStr">
        <is>
          <t>Approved</t>
        </is>
      </c>
      <c r="N2753" s="8" t="inlineStr">
        <is>
          <t>list_item</t>
        </is>
      </c>
    </row>
    <row r="2754" ht="68" customHeight="1">
      <c r="A2754" s="4" t="inlineStr">
        <is>
          <t>M13-P0019</t>
        </is>
      </c>
      <c r="B2754" s="4" t="inlineStr">
        <is>
          <t>M13</t>
        </is>
      </c>
      <c r="C2754" s="4" t="inlineStr">
        <is>
          <t>Namo Shetkari Mahasanman Nidhi Yojana</t>
        </is>
      </c>
      <c r="D2754" s="4" t="inlineStr">
        <is>
          <t>Exclusions</t>
        </is>
      </c>
      <c r="E2754" s="4" t="inlineStr"/>
      <c r="F2754" s="4" t="inlineStr">
        <is>
          <t>en.schemeContent.exclusions[3].children[2]</t>
        </is>
      </c>
      <c r="G2754" s="4" t="inlineStr">
        <is>
          <t>M13@20261028-01fda9a0</t>
        </is>
      </c>
      <c r="H2754" s="4" t="n">
        <v>1</v>
      </c>
      <c r="I2754" s="4" t="n">
        <v>1</v>
      </c>
      <c r="J2754" s="4" t="inlineStr">
        <is>
          <t>All serving or retired officers and employees of Central/ State Government Ministries /Offices/Departments and its field units Central or State PSEs and Attached offices /Autonomous Institutions under Government as well as regular employees of the Local Bodies (Excluding Multi-Tasking Staff / Class IV/Group D employees).</t>
        </is>
      </c>
      <c r="K2754" s="4" t="inlineStr">
        <is>
          <t>MS-M13</t>
        </is>
      </c>
      <c r="L2754" s="6" t="n">
        <v>46323</v>
      </c>
      <c r="M2754" s="4" t="inlineStr">
        <is>
          <t>Approved</t>
        </is>
      </c>
      <c r="N2754" s="4" t="inlineStr">
        <is>
          <t>list_item</t>
        </is>
      </c>
    </row>
    <row r="2755" ht="40" customHeight="1">
      <c r="A2755" s="8" t="inlineStr">
        <is>
          <t>M13-P0020</t>
        </is>
      </c>
      <c r="B2755" s="8" t="inlineStr">
        <is>
          <t>M13</t>
        </is>
      </c>
      <c r="C2755" s="8" t="inlineStr">
        <is>
          <t>Namo Shetkari Mahasanman Nidhi Yojana</t>
        </is>
      </c>
      <c r="D2755" s="8" t="inlineStr">
        <is>
          <t>Exclusions</t>
        </is>
      </c>
      <c r="E2755" s="8" t="inlineStr"/>
      <c r="F2755" s="8" t="inlineStr">
        <is>
          <t>en.schemeContent.exclusions[3].children[3]</t>
        </is>
      </c>
      <c r="G2755" s="8" t="inlineStr">
        <is>
          <t>M13@20261028-01fda9a0</t>
        </is>
      </c>
      <c r="H2755" s="8" t="n">
        <v>1</v>
      </c>
      <c r="I2755" s="8" t="n">
        <v>1</v>
      </c>
      <c r="J2755" s="8" t="inlineStr">
        <is>
          <t>All superannuated/retired pensioners whose monthly pension is Rs.10,000/-or more (Excluding Multi Tasking Staff / Class IV/Group D employees.</t>
        </is>
      </c>
      <c r="K2755" s="8" t="inlineStr">
        <is>
          <t>MS-M13</t>
        </is>
      </c>
      <c r="L2755" s="9" t="n">
        <v>46323</v>
      </c>
      <c r="M2755" s="8" t="inlineStr">
        <is>
          <t>Approved</t>
        </is>
      </c>
      <c r="N2755" s="8" t="inlineStr">
        <is>
          <t>list_item</t>
        </is>
      </c>
    </row>
    <row r="2756" ht="40" customHeight="1">
      <c r="A2756" s="4" t="inlineStr">
        <is>
          <t>M13-P0021</t>
        </is>
      </c>
      <c r="B2756" s="4" t="inlineStr">
        <is>
          <t>M13</t>
        </is>
      </c>
      <c r="C2756" s="4" t="inlineStr">
        <is>
          <t>Namo Shetkari Mahasanman Nidhi Yojana</t>
        </is>
      </c>
      <c r="D2756" s="4" t="inlineStr">
        <is>
          <t>Exclusions</t>
        </is>
      </c>
      <c r="E2756" s="4" t="inlineStr"/>
      <c r="F2756" s="4" t="inlineStr">
        <is>
          <t>en.schemeContent.exclusions[3].children[4]</t>
        </is>
      </c>
      <c r="G2756" s="4" t="inlineStr">
        <is>
          <t>M13@20261028-01fda9a0</t>
        </is>
      </c>
      <c r="H2756" s="4" t="n">
        <v>1</v>
      </c>
      <c r="I2756" s="4" t="n">
        <v>1</v>
      </c>
      <c r="J2756" s="4" t="inlineStr">
        <is>
          <t>All Persons who paid Income Tax in last assessment year.</t>
        </is>
      </c>
      <c r="K2756" s="4" t="inlineStr">
        <is>
          <t>MS-M13</t>
        </is>
      </c>
      <c r="L2756" s="6" t="n">
        <v>46323</v>
      </c>
      <c r="M2756" s="4" t="inlineStr">
        <is>
          <t>Approved</t>
        </is>
      </c>
      <c r="N2756" s="4" t="inlineStr">
        <is>
          <t>list_item</t>
        </is>
      </c>
    </row>
    <row r="2757" ht="40" customHeight="1">
      <c r="A2757" s="8" t="inlineStr">
        <is>
          <t>M13-P0022</t>
        </is>
      </c>
      <c r="B2757" s="8" t="inlineStr">
        <is>
          <t>M13</t>
        </is>
      </c>
      <c r="C2757" s="8" t="inlineStr">
        <is>
          <t>Namo Shetkari Mahasanman Nidhi Yojana</t>
        </is>
      </c>
      <c r="D2757" s="8" t="inlineStr">
        <is>
          <t>Exclusions</t>
        </is>
      </c>
      <c r="E2757" s="8" t="inlineStr"/>
      <c r="F2757" s="8" t="inlineStr">
        <is>
          <t>en.schemeContent.exclusions[3].children[5]</t>
        </is>
      </c>
      <c r="G2757" s="8" t="inlineStr">
        <is>
          <t>M13@20261028-01fda9a0</t>
        </is>
      </c>
      <c r="H2757" s="8" t="n">
        <v>1</v>
      </c>
      <c r="I2757" s="8" t="n">
        <v>1</v>
      </c>
      <c r="J2757" s="8" t="inlineStr">
        <is>
          <t>Professionals like Doctors, Engineers, Lawyers, Chartered Accountants, and Architects registered with Professional bodies and carrying out profession by undertaking practices.</t>
        </is>
      </c>
      <c r="K2757" s="8" t="inlineStr">
        <is>
          <t>MS-M13</t>
        </is>
      </c>
      <c r="L2757" s="9" t="n">
        <v>46323</v>
      </c>
      <c r="M2757" s="8" t="inlineStr">
        <is>
          <t>Approved</t>
        </is>
      </c>
      <c r="N2757" s="8" t="inlineStr">
        <is>
          <t>list_item</t>
        </is>
      </c>
    </row>
    <row r="2758" ht="40" customHeight="1">
      <c r="A2758" s="4" t="inlineStr">
        <is>
          <t>M13-P0023</t>
        </is>
      </c>
      <c r="B2758" s="4" t="inlineStr">
        <is>
          <t>M13</t>
        </is>
      </c>
      <c r="C2758" s="4" t="inlineStr">
        <is>
          <t>Namo Shetkari Mahasanman Nidhi Yojana</t>
        </is>
      </c>
      <c r="D2758" s="4" t="inlineStr">
        <is>
          <t>Exclusions</t>
        </is>
      </c>
      <c r="E2758" s="4" t="inlineStr"/>
      <c r="F2758" s="4" t="inlineStr">
        <is>
          <t>en.schemeContent.exclusions[3].children[6]</t>
        </is>
      </c>
      <c r="G2758" s="4" t="inlineStr">
        <is>
          <t>M13@20261028-01fda9a0</t>
        </is>
      </c>
      <c r="H2758" s="4" t="n">
        <v>1</v>
      </c>
      <c r="I2758" s="4" t="n">
        <v>1</v>
      </c>
      <c r="J2758" s="4" t="inlineStr">
        <is>
          <t>Non-Resident Indians (NRIs)</t>
        </is>
      </c>
      <c r="K2758" s="4" t="inlineStr">
        <is>
          <t>MS-M13</t>
        </is>
      </c>
      <c r="L2758" s="6" t="n">
        <v>46323</v>
      </c>
      <c r="M2758" s="4" t="inlineStr">
        <is>
          <t>Approved</t>
        </is>
      </c>
      <c r="N2758" s="4" t="inlineStr">
        <is>
          <t>list_item</t>
        </is>
      </c>
    </row>
    <row r="2759" ht="40" customHeight="1">
      <c r="A2759" s="8" t="inlineStr">
        <is>
          <t>M13-P0024</t>
        </is>
      </c>
      <c r="B2759" s="8" t="inlineStr">
        <is>
          <t>M13</t>
        </is>
      </c>
      <c r="C2759" s="8" t="inlineStr">
        <is>
          <t>Namo Shetkari Mahasanman Nidhi Yojana</t>
        </is>
      </c>
      <c r="D2759" s="8" t="inlineStr">
        <is>
          <t>Applicant documents</t>
        </is>
      </c>
      <c r="E2759" s="8" t="inlineStr"/>
      <c r="F2759" s="8" t="inlineStr">
        <is>
          <t>documents.en.documents_required[0]</t>
        </is>
      </c>
      <c r="G2759" s="8" t="inlineStr">
        <is>
          <t>M13@20261028-01fda9a0</t>
        </is>
      </c>
      <c r="H2759" s="8" t="n">
        <v>1</v>
      </c>
      <c r="I2759" s="8" t="n">
        <v>1</v>
      </c>
      <c r="J2759" s="8" t="inlineStr">
        <is>
          <t>1.	Aadhar Card,</t>
        </is>
      </c>
      <c r="K2759" s="8" t="inlineStr">
        <is>
          <t>MS-M13</t>
        </is>
      </c>
      <c r="L2759" s="9" t="n">
        <v>46323</v>
      </c>
      <c r="M2759" s="8" t="inlineStr">
        <is>
          <t>Approved</t>
        </is>
      </c>
      <c r="N2759" s="8" t="inlineStr">
        <is>
          <t>paragraph</t>
        </is>
      </c>
    </row>
    <row r="2760" ht="40" customHeight="1">
      <c r="A2760" s="4" t="inlineStr">
        <is>
          <t>M13-P0025</t>
        </is>
      </c>
      <c r="B2760" s="4" t="inlineStr">
        <is>
          <t>M13</t>
        </is>
      </c>
      <c r="C2760" s="4" t="inlineStr">
        <is>
          <t>Namo Shetkari Mahasanman Nidhi Yojana</t>
        </is>
      </c>
      <c r="D2760" s="4" t="inlineStr">
        <is>
          <t>Applicant documents</t>
        </is>
      </c>
      <c r="E2760" s="4" t="inlineStr"/>
      <c r="F2760" s="4" t="inlineStr">
        <is>
          <t>documents.en.documents_required[1]</t>
        </is>
      </c>
      <c r="G2760" s="4" t="inlineStr">
        <is>
          <t>M13@20261028-01fda9a0</t>
        </is>
      </c>
      <c r="H2760" s="4" t="n">
        <v>1</v>
      </c>
      <c r="I2760" s="4" t="n">
        <v>1</v>
      </c>
      <c r="J2760" s="4" t="inlineStr">
        <is>
          <t>2.	7/12,</t>
        </is>
      </c>
      <c r="K2760" s="4" t="inlineStr">
        <is>
          <t>MS-M13</t>
        </is>
      </c>
      <c r="L2760" s="6" t="n">
        <v>46323</v>
      </c>
      <c r="M2760" s="4" t="inlineStr">
        <is>
          <t>Approved</t>
        </is>
      </c>
      <c r="N2760" s="4" t="inlineStr">
        <is>
          <t>paragraph</t>
        </is>
      </c>
    </row>
    <row r="2761" ht="40" customHeight="1">
      <c r="A2761" s="8" t="inlineStr">
        <is>
          <t>M13-P0026</t>
        </is>
      </c>
      <c r="B2761" s="8" t="inlineStr">
        <is>
          <t>M13</t>
        </is>
      </c>
      <c r="C2761" s="8" t="inlineStr">
        <is>
          <t>Namo Shetkari Mahasanman Nidhi Yojana</t>
        </is>
      </c>
      <c r="D2761" s="8" t="inlineStr">
        <is>
          <t>Applicant documents</t>
        </is>
      </c>
      <c r="E2761" s="8" t="inlineStr"/>
      <c r="F2761" s="8" t="inlineStr">
        <is>
          <t>documents.en.documents_required[2]</t>
        </is>
      </c>
      <c r="G2761" s="8" t="inlineStr">
        <is>
          <t>M13@20261028-01fda9a0</t>
        </is>
      </c>
      <c r="H2761" s="8" t="n">
        <v>1</v>
      </c>
      <c r="I2761" s="8" t="n">
        <v>1</v>
      </c>
      <c r="J2761" s="8" t="inlineStr">
        <is>
          <t>3.	8-A,</t>
        </is>
      </c>
      <c r="K2761" s="8" t="inlineStr">
        <is>
          <t>MS-M13</t>
        </is>
      </c>
      <c r="L2761" s="9" t="n">
        <v>46323</v>
      </c>
      <c r="M2761" s="8" t="inlineStr">
        <is>
          <t>Approved</t>
        </is>
      </c>
      <c r="N2761" s="8" t="inlineStr">
        <is>
          <t>paragraph</t>
        </is>
      </c>
    </row>
    <row r="2762" ht="40" customHeight="1">
      <c r="A2762" s="4" t="inlineStr">
        <is>
          <t>M13-P0027</t>
        </is>
      </c>
      <c r="B2762" s="4" t="inlineStr">
        <is>
          <t>M13</t>
        </is>
      </c>
      <c r="C2762" s="4" t="inlineStr">
        <is>
          <t>Namo Shetkari Mahasanman Nidhi Yojana</t>
        </is>
      </c>
      <c r="D2762" s="4" t="inlineStr">
        <is>
          <t>Applicant documents</t>
        </is>
      </c>
      <c r="E2762" s="4" t="inlineStr"/>
      <c r="F2762" s="4" t="inlineStr">
        <is>
          <t>documents.en.documents_required[3]</t>
        </is>
      </c>
      <c r="G2762" s="4" t="inlineStr">
        <is>
          <t>M13@20261028-01fda9a0</t>
        </is>
      </c>
      <c r="H2762" s="4" t="n">
        <v>1</v>
      </c>
      <c r="I2762" s="4" t="n">
        <v>1</v>
      </c>
      <c r="J2762" s="4" t="inlineStr">
        <is>
          <t>4.	Ferfar,</t>
        </is>
      </c>
      <c r="K2762" s="4" t="inlineStr">
        <is>
          <t>MS-M13</t>
        </is>
      </c>
      <c r="L2762" s="6" t="n">
        <v>46323</v>
      </c>
      <c r="M2762" s="4" t="inlineStr">
        <is>
          <t>Approved</t>
        </is>
      </c>
      <c r="N2762" s="4" t="inlineStr">
        <is>
          <t>paragraph</t>
        </is>
      </c>
    </row>
    <row r="2763" ht="40" customHeight="1">
      <c r="A2763" s="8" t="inlineStr">
        <is>
          <t>M13-P0028</t>
        </is>
      </c>
      <c r="B2763" s="8" t="inlineStr">
        <is>
          <t>M13</t>
        </is>
      </c>
      <c r="C2763" s="8" t="inlineStr">
        <is>
          <t>Namo Shetkari Mahasanman Nidhi Yojana</t>
        </is>
      </c>
      <c r="D2763" s="8" t="inlineStr">
        <is>
          <t>Applicant documents</t>
        </is>
      </c>
      <c r="E2763" s="8" t="inlineStr"/>
      <c r="F2763" s="8" t="inlineStr">
        <is>
          <t>documents.en.documents_required[4]</t>
        </is>
      </c>
      <c r="G2763" s="8" t="inlineStr">
        <is>
          <t>M13@20261028-01fda9a0</t>
        </is>
      </c>
      <c r="H2763" s="8" t="n">
        <v>1</v>
      </c>
      <c r="I2763" s="8" t="n">
        <v>1</v>
      </c>
      <c r="J2763" s="8" t="inlineStr">
        <is>
          <t>5.	Ration card etc</t>
        </is>
      </c>
      <c r="K2763" s="8" t="inlineStr">
        <is>
          <t>MS-M13</t>
        </is>
      </c>
      <c r="L2763" s="9" t="n">
        <v>46323</v>
      </c>
      <c r="M2763" s="8" t="inlineStr">
        <is>
          <t>Approved</t>
        </is>
      </c>
      <c r="N2763" s="8" t="inlineStr">
        <is>
          <t>paragraph</t>
        </is>
      </c>
    </row>
    <row r="2764" ht="40" customHeight="1">
      <c r="A2764" s="4" t="inlineStr">
        <is>
          <t>M13-P0029</t>
        </is>
      </c>
      <c r="B2764" s="4" t="inlineStr">
        <is>
          <t>M13</t>
        </is>
      </c>
      <c r="C2764" s="4" t="inlineStr">
        <is>
          <t>Namo Shetkari Mahasanman Nidhi Yojana</t>
        </is>
      </c>
      <c r="D2764" s="4" t="inlineStr">
        <is>
          <t>Application process</t>
        </is>
      </c>
      <c r="E2764" s="4" t="inlineStr"/>
      <c r="F2764" s="4" t="inlineStr">
        <is>
          <t>en.applicationProcess[0].process[0]</t>
        </is>
      </c>
      <c r="G2764" s="4" t="inlineStr">
        <is>
          <t>M13@20261028-01fda9a0</t>
        </is>
      </c>
      <c r="H2764" s="4" t="n">
        <v>1</v>
      </c>
      <c r="I2764" s="4" t="n">
        <v>1</v>
      </c>
      <c r="J2764" s="4" t="inlineStr">
        <is>
          <t>Step 01: Self Registration on PMKISAN Portal</t>
        </is>
      </c>
      <c r="K2764" s="4" t="inlineStr">
        <is>
          <t>MS-M13</t>
        </is>
      </c>
      <c r="L2764" s="6" t="n">
        <v>46323</v>
      </c>
      <c r="M2764" s="4" t="inlineStr">
        <is>
          <t>Approved</t>
        </is>
      </c>
      <c r="N2764" s="4" t="inlineStr">
        <is>
          <t>paragraph</t>
        </is>
      </c>
    </row>
    <row r="2765" ht="40" customHeight="1">
      <c r="A2765" s="8" t="inlineStr">
        <is>
          <t>M13-P0030</t>
        </is>
      </c>
      <c r="B2765" s="8" t="inlineStr">
        <is>
          <t>M13</t>
        </is>
      </c>
      <c r="C2765" s="8" t="inlineStr">
        <is>
          <t>Namo Shetkari Mahasanman Nidhi Yojana</t>
        </is>
      </c>
      <c r="D2765" s="8" t="inlineStr">
        <is>
          <t>Application process</t>
        </is>
      </c>
      <c r="E2765" s="8" t="inlineStr"/>
      <c r="F2765" s="8" t="inlineStr">
        <is>
          <t>en.applicationProcess[0].process[1]</t>
        </is>
      </c>
      <c r="G2765" s="8" t="inlineStr">
        <is>
          <t>M13@20261028-01fda9a0</t>
        </is>
      </c>
      <c r="H2765" s="8" t="n">
        <v>1</v>
      </c>
      <c r="I2765" s="8" t="n">
        <v>1</v>
      </c>
      <c r="J2765" s="8" t="inlineStr">
        <is>
          <t>Step 02: Verification of eligibility of registered beneficiary.</t>
        </is>
      </c>
      <c r="K2765" s="8" t="inlineStr">
        <is>
          <t>MS-M13</t>
        </is>
      </c>
      <c r="L2765" s="9" t="n">
        <v>46323</v>
      </c>
      <c r="M2765" s="8" t="inlineStr">
        <is>
          <t>Approved</t>
        </is>
      </c>
      <c r="N2765" s="8" t="inlineStr">
        <is>
          <t>paragraph</t>
        </is>
      </c>
    </row>
    <row r="2766" ht="40" customHeight="1">
      <c r="A2766" s="4" t="inlineStr">
        <is>
          <t>M13-P0031</t>
        </is>
      </c>
      <c r="B2766" s="4" t="inlineStr">
        <is>
          <t>M13</t>
        </is>
      </c>
      <c r="C2766" s="4" t="inlineStr">
        <is>
          <t>Namo Shetkari Mahasanman Nidhi Yojana</t>
        </is>
      </c>
      <c r="D2766" s="4" t="inlineStr">
        <is>
          <t>Application process</t>
        </is>
      </c>
      <c r="E2766" s="4" t="inlineStr"/>
      <c r="F2766" s="4" t="inlineStr">
        <is>
          <t>en.applicationProcess[0].process[2]</t>
        </is>
      </c>
      <c r="G2766" s="4" t="inlineStr">
        <is>
          <t>M13@20261028-01fda9a0</t>
        </is>
      </c>
      <c r="H2766" s="4" t="n">
        <v>1</v>
      </c>
      <c r="I2766" s="4" t="n">
        <v>1</v>
      </c>
      <c r="J2766" s="4" t="inlineStr">
        <is>
          <t>Step 03: Approval at Taluka Nodal Officer level.</t>
        </is>
      </c>
      <c r="K2766" s="4" t="inlineStr">
        <is>
          <t>MS-M13</t>
        </is>
      </c>
      <c r="L2766" s="6" t="n">
        <v>46323</v>
      </c>
      <c r="M2766" s="4" t="inlineStr">
        <is>
          <t>Approved</t>
        </is>
      </c>
      <c r="N2766" s="4" t="inlineStr">
        <is>
          <t>paragraph</t>
        </is>
      </c>
    </row>
    <row r="2767" ht="40" customHeight="1">
      <c r="A2767" s="8" t="inlineStr">
        <is>
          <t>M13-P0032</t>
        </is>
      </c>
      <c r="B2767" s="8" t="inlineStr">
        <is>
          <t>M13</t>
        </is>
      </c>
      <c r="C2767" s="8" t="inlineStr">
        <is>
          <t>Namo Shetkari Mahasanman Nidhi Yojana</t>
        </is>
      </c>
      <c r="D2767" s="8" t="inlineStr">
        <is>
          <t>Application process</t>
        </is>
      </c>
      <c r="E2767" s="8" t="inlineStr"/>
      <c r="F2767" s="8" t="inlineStr">
        <is>
          <t>en.applicationProcess[0].process[3]</t>
        </is>
      </c>
      <c r="G2767" s="8" t="inlineStr">
        <is>
          <t>M13@20261028-01fda9a0</t>
        </is>
      </c>
      <c r="H2767" s="8" t="n">
        <v>1</v>
      </c>
      <c r="I2767" s="8" t="n">
        <v>1</v>
      </c>
      <c r="J2767" s="8" t="inlineStr">
        <is>
          <t>Step 04: Approval at District Nodal Officer level.</t>
        </is>
      </c>
      <c r="K2767" s="8" t="inlineStr">
        <is>
          <t>MS-M13</t>
        </is>
      </c>
      <c r="L2767" s="9" t="n">
        <v>46323</v>
      </c>
      <c r="M2767" s="8" t="inlineStr">
        <is>
          <t>Approved</t>
        </is>
      </c>
      <c r="N2767" s="8" t="inlineStr">
        <is>
          <t>paragraph</t>
        </is>
      </c>
    </row>
    <row r="2768" ht="40" customHeight="1">
      <c r="A2768" s="4" t="inlineStr">
        <is>
          <t>M13-P0033</t>
        </is>
      </c>
      <c r="B2768" s="4" t="inlineStr">
        <is>
          <t>M13</t>
        </is>
      </c>
      <c r="C2768" s="4" t="inlineStr">
        <is>
          <t>Namo Shetkari Mahasanman Nidhi Yojana</t>
        </is>
      </c>
      <c r="D2768" s="4" t="inlineStr">
        <is>
          <t>Application process</t>
        </is>
      </c>
      <c r="E2768" s="4" t="inlineStr"/>
      <c r="F2768" s="4" t="inlineStr">
        <is>
          <t>en.applicationProcess[0].process[4]</t>
        </is>
      </c>
      <c r="G2768" s="4" t="inlineStr">
        <is>
          <t>M13@20261028-01fda9a0</t>
        </is>
      </c>
      <c r="H2768" s="4" t="n">
        <v>1</v>
      </c>
      <c r="I2768" s="4" t="n">
        <v>1</v>
      </c>
      <c r="J2768" s="4" t="inlineStr">
        <is>
          <t>Step 05: Final Approval at State Nodal Officer level.</t>
        </is>
      </c>
      <c r="K2768" s="4" t="inlineStr">
        <is>
          <t>MS-M13</t>
        </is>
      </c>
      <c r="L2768" s="6" t="n">
        <v>46323</v>
      </c>
      <c r="M2768" s="4" t="inlineStr">
        <is>
          <t>Approved</t>
        </is>
      </c>
      <c r="N2768" s="4" t="inlineStr">
        <is>
          <t>paragraph</t>
        </is>
      </c>
    </row>
    <row r="2769" ht="40" customHeight="1">
      <c r="A2769" s="8" t="inlineStr">
        <is>
          <t>M13-P0034</t>
        </is>
      </c>
      <c r="B2769" s="8" t="inlineStr">
        <is>
          <t>M13</t>
        </is>
      </c>
      <c r="C2769" s="8" t="inlineStr">
        <is>
          <t>Namo Shetkari Mahasanman Nidhi Yojana</t>
        </is>
      </c>
      <c r="D2769" s="8" t="inlineStr">
        <is>
          <t>Application process</t>
        </is>
      </c>
      <c r="E2769" s="8" t="inlineStr"/>
      <c r="F2769" s="8" t="inlineStr">
        <is>
          <t>en.applicationProcess[0].process[5]</t>
        </is>
      </c>
      <c r="G2769" s="8" t="inlineStr">
        <is>
          <t>M13@20261028-01fda9a0</t>
        </is>
      </c>
      <c r="H2769" s="8" t="n">
        <v>1</v>
      </c>
      <c r="I2769" s="8" t="n">
        <v>1</v>
      </c>
      <c r="J2769" s="8" t="inlineStr">
        <is>
          <t>Note : - No need of approval at district and state level in case of direct registration at TNO login.</t>
        </is>
      </c>
      <c r="K2769" s="8" t="inlineStr">
        <is>
          <t>MS-M13</t>
        </is>
      </c>
      <c r="L2769" s="9" t="n">
        <v>46323</v>
      </c>
      <c r="M2769" s="8" t="inlineStr">
        <is>
          <t>Approved</t>
        </is>
      </c>
      <c r="N2769" s="8" t="inlineStr">
        <is>
          <t>paragraph</t>
        </is>
      </c>
    </row>
    <row r="2770" ht="40" customHeight="1">
      <c r="A2770" s="4" t="inlineStr">
        <is>
          <t>M13-P0035</t>
        </is>
      </c>
      <c r="B2770" s="4" t="inlineStr">
        <is>
          <t>M13</t>
        </is>
      </c>
      <c r="C2770" s="4" t="inlineStr">
        <is>
          <t>Namo Shetkari Mahasanman Nidhi Yojana</t>
        </is>
      </c>
      <c r="D2770" s="4" t="inlineStr">
        <is>
          <t>FAQ</t>
        </is>
      </c>
      <c r="E2770" s="4" t="inlineStr"/>
      <c r="F2770" s="4" t="inlineStr">
        <is>
          <t>faqs.en.faqs[0]</t>
        </is>
      </c>
      <c r="G2770" s="4" t="inlineStr">
        <is>
          <t>M13@20261028-01fda9a0</t>
        </is>
      </c>
      <c r="H2770" s="4" t="n">
        <v>1</v>
      </c>
      <c r="I2770" s="4" t="n">
        <v>1</v>
      </c>
      <c r="J2770" s="4" t="inlineStr">
        <is>
          <t>Instalment time of NSMNY scheme ?
April – July, August – November and December – March</t>
        </is>
      </c>
      <c r="K2770" s="4" t="inlineStr">
        <is>
          <t>MS-M13</t>
        </is>
      </c>
      <c r="L2770" s="6" t="n">
        <v>46323</v>
      </c>
      <c r="M2770" s="4" t="inlineStr">
        <is>
          <t>Approved</t>
        </is>
      </c>
      <c r="N2770" s="4" t="inlineStr">
        <is>
          <t>faq</t>
        </is>
      </c>
    </row>
    <row r="2771" ht="40" customHeight="1">
      <c r="A2771" s="8" t="inlineStr">
        <is>
          <t>M13-P0036</t>
        </is>
      </c>
      <c r="B2771" s="8" t="inlineStr">
        <is>
          <t>M13</t>
        </is>
      </c>
      <c r="C2771" s="8" t="inlineStr">
        <is>
          <t>Namo Shetkari Mahasanman Nidhi Yojana</t>
        </is>
      </c>
      <c r="D2771" s="8" t="inlineStr">
        <is>
          <t>FAQ</t>
        </is>
      </c>
      <c r="E2771" s="8" t="inlineStr"/>
      <c r="F2771" s="8" t="inlineStr">
        <is>
          <t>faqs.en.faqs[1]</t>
        </is>
      </c>
      <c r="G2771" s="8" t="inlineStr">
        <is>
          <t>M13@20261028-01fda9a0</t>
        </is>
      </c>
      <c r="H2771" s="8" t="n">
        <v>1</v>
      </c>
      <c r="I2771" s="8" t="n">
        <v>1</v>
      </c>
      <c r="J2771" s="8" t="inlineStr">
        <is>
          <t>Amount benefited in NSMNY scheme ?
An amount of Rs. 6000/- will be transferred annually in three equal instalments.</t>
        </is>
      </c>
      <c r="K2771" s="8" t="inlineStr">
        <is>
          <t>MS-M13</t>
        </is>
      </c>
      <c r="L2771" s="9" t="n">
        <v>46323</v>
      </c>
      <c r="M2771" s="8" t="inlineStr">
        <is>
          <t>Approved</t>
        </is>
      </c>
      <c r="N2771" s="8" t="inlineStr">
        <is>
          <t>faq</t>
        </is>
      </c>
    </row>
    <row r="2772" ht="40" customHeight="1">
      <c r="A2772" s="4" t="inlineStr">
        <is>
          <t>M13-P0037</t>
        </is>
      </c>
      <c r="B2772" s="4" t="inlineStr">
        <is>
          <t>M13</t>
        </is>
      </c>
      <c r="C2772" s="4" t="inlineStr">
        <is>
          <t>Namo Shetkari Mahasanman Nidhi Yojana</t>
        </is>
      </c>
      <c r="D2772" s="4" t="inlineStr">
        <is>
          <t>FAQ</t>
        </is>
      </c>
      <c r="E2772" s="4" t="inlineStr"/>
      <c r="F2772" s="4" t="inlineStr">
        <is>
          <t>faqs.en.faqs[2]</t>
        </is>
      </c>
      <c r="G2772" s="4" t="inlineStr">
        <is>
          <t>M13@20261028-01fda9a0</t>
        </is>
      </c>
      <c r="H2772" s="4" t="n">
        <v>1</v>
      </c>
      <c r="I2772" s="4" t="n">
        <v>1</v>
      </c>
      <c r="J2772" s="4" t="inlineStr">
        <is>
          <t>Payment mode of the scheme ?
Payment mode is Aadhar.</t>
        </is>
      </c>
      <c r="K2772" s="4" t="inlineStr">
        <is>
          <t>MS-M13</t>
        </is>
      </c>
      <c r="L2772" s="6" t="n">
        <v>46323</v>
      </c>
      <c r="M2772" s="4" t="inlineStr">
        <is>
          <t>Approved</t>
        </is>
      </c>
      <c r="N2772" s="4" t="inlineStr">
        <is>
          <t>faq</t>
        </is>
      </c>
    </row>
    <row r="2773" ht="40" customHeight="1">
      <c r="A2773" s="8" t="inlineStr">
        <is>
          <t>M13-P0038</t>
        </is>
      </c>
      <c r="B2773" s="8" t="inlineStr">
        <is>
          <t>M13</t>
        </is>
      </c>
      <c r="C2773" s="8" t="inlineStr">
        <is>
          <t>Namo Shetkari Mahasanman Nidhi Yojana</t>
        </is>
      </c>
      <c r="D2773" s="8" t="inlineStr">
        <is>
          <t>FAQ</t>
        </is>
      </c>
      <c r="E2773" s="8" t="inlineStr"/>
      <c r="F2773" s="8" t="inlineStr">
        <is>
          <t>faqs.en.faqs[3]</t>
        </is>
      </c>
      <c r="G2773" s="8" t="inlineStr">
        <is>
          <t>M13@20261028-01fda9a0</t>
        </is>
      </c>
      <c r="H2773" s="8" t="n">
        <v>1</v>
      </c>
      <c r="I2773" s="8" t="n">
        <v>1</v>
      </c>
      <c r="J2773" s="8" t="inlineStr">
        <is>
          <t>Whether DBT enabled bank account is required for NSMNY ?
Yes, NSMNY scheme benefit is credited only in DBT enabled bank account.</t>
        </is>
      </c>
      <c r="K2773" s="8" t="inlineStr">
        <is>
          <t>MS-M13</t>
        </is>
      </c>
      <c r="L2773" s="9" t="n">
        <v>46323</v>
      </c>
      <c r="M2773" s="8" t="inlineStr">
        <is>
          <t>Approved</t>
        </is>
      </c>
      <c r="N2773" s="8" t="inlineStr">
        <is>
          <t>faq</t>
        </is>
      </c>
    </row>
    <row r="2774" ht="40" customHeight="1">
      <c r="A2774" s="4" t="inlineStr">
        <is>
          <t>M13-P0039</t>
        </is>
      </c>
      <c r="B2774" s="4" t="inlineStr">
        <is>
          <t>M13</t>
        </is>
      </c>
      <c r="C2774" s="4" t="inlineStr">
        <is>
          <t>Namo Shetkari Mahasanman Nidhi Yojana</t>
        </is>
      </c>
      <c r="D2774" s="4" t="inlineStr">
        <is>
          <t>FAQ</t>
        </is>
      </c>
      <c r="E2774" s="4" t="inlineStr"/>
      <c r="F2774" s="4" t="inlineStr">
        <is>
          <t>faqs.en.faqs[4]</t>
        </is>
      </c>
      <c r="G2774" s="4" t="inlineStr">
        <is>
          <t>M13@20261028-01fda9a0</t>
        </is>
      </c>
      <c r="H2774" s="4" t="n">
        <v>1</v>
      </c>
      <c r="I2774" s="4" t="n">
        <v>1</v>
      </c>
      <c r="J2774" s="4" t="inlineStr">
        <is>
          <t>Is it mandatory to link bank account with Aadhar ?
Yes, it is mandatory to link bank account with Aadhar to get benefit of NSMNY.</t>
        </is>
      </c>
      <c r="K2774" s="4" t="inlineStr">
        <is>
          <t>MS-M13</t>
        </is>
      </c>
      <c r="L2774" s="6" t="n">
        <v>46323</v>
      </c>
      <c r="M2774" s="4" t="inlineStr">
        <is>
          <t>Approved</t>
        </is>
      </c>
      <c r="N2774" s="4" t="inlineStr">
        <is>
          <t>faq</t>
        </is>
      </c>
    </row>
    <row r="2775" ht="40" customHeight="1">
      <c r="A2775" s="8" t="inlineStr">
        <is>
          <t>M13-P0040</t>
        </is>
      </c>
      <c r="B2775" s="8" t="inlineStr">
        <is>
          <t>M13</t>
        </is>
      </c>
      <c r="C2775" s="8" t="inlineStr">
        <is>
          <t>Namo Shetkari Mahasanman Nidhi Yojana</t>
        </is>
      </c>
      <c r="D2775" s="8" t="inlineStr">
        <is>
          <t>FAQ</t>
        </is>
      </c>
      <c r="E2775" s="8" t="inlineStr"/>
      <c r="F2775" s="8" t="inlineStr">
        <is>
          <t>faqs.en.faqs[5]</t>
        </is>
      </c>
      <c r="G2775" s="8" t="inlineStr">
        <is>
          <t>M13@20261028-01fda9a0</t>
        </is>
      </c>
      <c r="H2775" s="8" t="n">
        <v>1</v>
      </c>
      <c r="I2775" s="8" t="n">
        <v>1</v>
      </c>
      <c r="J2775" s="8" t="inlineStr">
        <is>
          <t>Eligibility criteria of NSMNY scheme ?
The beneficiary should be eligible in PM KISAN scheme.</t>
        </is>
      </c>
      <c r="K2775" s="8" t="inlineStr">
        <is>
          <t>MS-M13</t>
        </is>
      </c>
      <c r="L2775" s="9" t="n">
        <v>46323</v>
      </c>
      <c r="M2775" s="8" t="inlineStr">
        <is>
          <t>Approved</t>
        </is>
      </c>
      <c r="N2775" s="8" t="inlineStr">
        <is>
          <t>faq</t>
        </is>
      </c>
    </row>
    <row r="2776" ht="54" customHeight="1">
      <c r="A2776" s="4" t="inlineStr">
        <is>
          <t>M13-P0041</t>
        </is>
      </c>
      <c r="B2776" s="4" t="inlineStr">
        <is>
          <t>M13</t>
        </is>
      </c>
      <c r="C2776" s="4" t="inlineStr">
        <is>
          <t>Namo Shetkari Mahasanman Nidhi Yojana</t>
        </is>
      </c>
      <c r="D2776" s="4" t="inlineStr">
        <is>
          <t>FAQ</t>
        </is>
      </c>
      <c r="E2776" s="4" t="inlineStr"/>
      <c r="F2776" s="4" t="inlineStr">
        <is>
          <t>faqs.en.faqs[6]</t>
        </is>
      </c>
      <c r="G2776" s="4" t="inlineStr">
        <is>
          <t>M13@20261028-01fda9a0</t>
        </is>
      </c>
      <c r="H2776" s="4" t="n">
        <v>1</v>
      </c>
      <c r="I2776" s="4" t="n">
        <v>1</v>
      </c>
      <c r="J2776" s="4" t="inlineStr">
        <is>
          <t>How to register for NSMNY scheme?
No need to register for NSMNY scheme. The PM KISAN registered eligible beneficiary is the beneficiary of NSMNY.</t>
        </is>
      </c>
      <c r="K2776" s="4" t="inlineStr">
        <is>
          <t>MS-M13</t>
        </is>
      </c>
      <c r="L2776" s="6" t="n">
        <v>46323</v>
      </c>
      <c r="M2776" s="4" t="inlineStr">
        <is>
          <t>Approved</t>
        </is>
      </c>
      <c r="N2776" s="4" t="inlineStr">
        <is>
          <t>faq</t>
        </is>
      </c>
    </row>
    <row r="2777" ht="40" customHeight="1">
      <c r="A2777" s="8" t="inlineStr">
        <is>
          <t>M13-P0042</t>
        </is>
      </c>
      <c r="B2777" s="8" t="inlineStr">
        <is>
          <t>M13</t>
        </is>
      </c>
      <c r="C2777" s="8" t="inlineStr">
        <is>
          <t>Namo Shetkari Mahasanman Nidhi Yojana</t>
        </is>
      </c>
      <c r="D2777" s="8" t="inlineStr">
        <is>
          <t>FAQ</t>
        </is>
      </c>
      <c r="E2777" s="8" t="inlineStr"/>
      <c r="F2777" s="8" t="inlineStr">
        <is>
          <t>faqs.en.faqs[7]</t>
        </is>
      </c>
      <c r="G2777" s="8" t="inlineStr">
        <is>
          <t>M13@20261028-01fda9a0</t>
        </is>
      </c>
      <c r="H2777" s="8" t="n">
        <v>1</v>
      </c>
      <c r="I2777" s="8" t="n">
        <v>1</v>
      </c>
      <c r="J2777" s="8" t="inlineStr">
        <is>
          <t>Is this scheme is for group of farmers?
No, This scheme is for only eligible farmer families.</t>
        </is>
      </c>
      <c r="K2777" s="8" t="inlineStr">
        <is>
          <t>MS-M13</t>
        </is>
      </c>
      <c r="L2777" s="9" t="n">
        <v>46323</v>
      </c>
      <c r="M2777" s="8" t="inlineStr">
        <is>
          <t>Approved</t>
        </is>
      </c>
      <c r="N2777" s="8" t="inlineStr">
        <is>
          <t>faq</t>
        </is>
      </c>
    </row>
    <row r="2778" ht="40" customHeight="1">
      <c r="A2778" s="4" t="inlineStr">
        <is>
          <t>M13-P0043</t>
        </is>
      </c>
      <c r="B2778" s="4" t="inlineStr">
        <is>
          <t>M13</t>
        </is>
      </c>
      <c r="C2778" s="4" t="inlineStr">
        <is>
          <t>Namo Shetkari Mahasanman Nidhi Yojana</t>
        </is>
      </c>
      <c r="D2778" s="4" t="inlineStr">
        <is>
          <t>FAQ</t>
        </is>
      </c>
      <c r="E2778" s="4" t="inlineStr"/>
      <c r="F2778" s="4" t="inlineStr">
        <is>
          <t>faqs.en.faqs[8]</t>
        </is>
      </c>
      <c r="G2778" s="4" t="inlineStr">
        <is>
          <t>M13@20261028-01fda9a0</t>
        </is>
      </c>
      <c r="H2778" s="4" t="n">
        <v>1</v>
      </c>
      <c r="I2778" s="4" t="n">
        <v>1</v>
      </c>
      <c r="J2778" s="4" t="inlineStr">
        <is>
          <t>Which documents are required for NSMNY registration?
No any documents need. You have to register in PM KISAN scheme to get the benefit of NSMNY</t>
        </is>
      </c>
      <c r="K2778" s="4" t="inlineStr">
        <is>
          <t>MS-M13</t>
        </is>
      </c>
      <c r="L2778" s="6" t="n">
        <v>46323</v>
      </c>
      <c r="M2778" s="4" t="inlineStr">
        <is>
          <t>Approved</t>
        </is>
      </c>
      <c r="N2778" s="4" t="inlineStr">
        <is>
          <t>faq</t>
        </is>
      </c>
    </row>
    <row r="2779" ht="96" customHeight="1">
      <c r="A2779" s="8" t="inlineStr">
        <is>
          <t>M13-P0044</t>
        </is>
      </c>
      <c r="B2779" s="8" t="inlineStr">
        <is>
          <t>M13</t>
        </is>
      </c>
      <c r="C2779" s="8" t="inlineStr">
        <is>
          <t>Namo Shetkari Mahasanman Nidhi Yojana</t>
        </is>
      </c>
      <c r="D2779" s="8" t="inlineStr">
        <is>
          <t>FAQ</t>
        </is>
      </c>
      <c r="E2779" s="8" t="inlineStr"/>
      <c r="F2779" s="8" t="inlineStr">
        <is>
          <t>faqs.en.faqs[9]</t>
        </is>
      </c>
      <c r="G2779" s="8" t="inlineStr">
        <is>
          <t>M13@20261028-01fda9a0</t>
        </is>
      </c>
      <c r="H2779" s="8" t="n">
        <v>1</v>
      </c>
      <c r="I2779" s="8" t="n">
        <v>1</v>
      </c>
      <c r="J2779" s="8" t="inlineStr">
        <is>
          <t>I am not able to register the farmer on the portal. It says Aadhar No. is already registered. How do I proceed?
It might happen that the farmer has already registered himself on the PM-KISAN portal via self-registration mode. In such cases, you may check if the farmer has self-registered under the “Status of Self- Registration/CSC Farmers” on the home page of PM-KISAN Portal in the Farmer’s Corner section.</t>
        </is>
      </c>
      <c r="K2779" s="8" t="inlineStr">
        <is>
          <t>MS-M13</t>
        </is>
      </c>
      <c r="L2779" s="9" t="n">
        <v>46323</v>
      </c>
      <c r="M2779" s="8" t="inlineStr">
        <is>
          <t>Approved</t>
        </is>
      </c>
      <c r="N2779" s="8" t="inlineStr">
        <is>
          <t>faq</t>
        </is>
      </c>
    </row>
    <row r="2780" ht="96" customHeight="1">
      <c r="A2780" s="4" t="inlineStr">
        <is>
          <t>M13-P0045</t>
        </is>
      </c>
      <c r="B2780" s="4" t="inlineStr">
        <is>
          <t>M13</t>
        </is>
      </c>
      <c r="C2780" s="4" t="inlineStr">
        <is>
          <t>Namo Shetkari Mahasanman Nidhi Yojana</t>
        </is>
      </c>
      <c r="D2780" s="4" t="inlineStr">
        <is>
          <t>FAQ</t>
        </is>
      </c>
      <c r="E2780" s="4" t="inlineStr"/>
      <c r="F2780" s="4" t="inlineStr">
        <is>
          <t>faqs.en.faqs[10]</t>
        </is>
      </c>
      <c r="G2780" s="4" t="inlineStr">
        <is>
          <t>M13@20261028-01fda9a0</t>
        </is>
      </c>
      <c r="H2780" s="4" t="n">
        <v>1</v>
      </c>
      <c r="I2780" s="4" t="n">
        <v>1</v>
      </c>
      <c r="J2780" s="4" t="inlineStr">
        <is>
          <t>A farmer has been wrongly rejected due to some errors in the application. I am not able to register the farmer via direct data entry on PM-KISAN portal. How do I proceed?
In such cases, the farmer must edit/update/re-submit his application via “Updation of Self-Registration” window in the Farmer’s Corner on the PM-KISAN Portal. If farmer is registered through CSC, farmer has to contact nearby CSC centre for updation. Once re-submitted/edited, the farmer application will again be sent to the State for approval/validation.</t>
        </is>
      </c>
      <c r="K2780" s="4" t="inlineStr">
        <is>
          <t>MS-M13</t>
        </is>
      </c>
      <c r="L2780" s="6" t="n">
        <v>46323</v>
      </c>
      <c r="M2780" s="4" t="inlineStr">
        <is>
          <t>Approved</t>
        </is>
      </c>
      <c r="N2780" s="4" t="inlineStr">
        <is>
          <t>faq</t>
        </is>
      </c>
    </row>
    <row r="2781" ht="82" customHeight="1">
      <c r="A2781" s="8" t="inlineStr">
        <is>
          <t>M13-P0046</t>
        </is>
      </c>
      <c r="B2781" s="8" t="inlineStr">
        <is>
          <t>M13</t>
        </is>
      </c>
      <c r="C2781" s="8" t="inlineStr">
        <is>
          <t>Namo Shetkari Mahasanman Nidhi Yojana</t>
        </is>
      </c>
      <c r="D2781" s="8" t="inlineStr">
        <is>
          <t>FAQ</t>
        </is>
      </c>
      <c r="E2781" s="8" t="inlineStr"/>
      <c r="F2781" s="8" t="inlineStr">
        <is>
          <t>faqs.en.faqs[11]</t>
        </is>
      </c>
      <c r="G2781" s="8" t="inlineStr">
        <is>
          <t>M13@20261028-01fda9a0</t>
        </is>
      </c>
      <c r="H2781" s="8" t="n">
        <v>1</v>
      </c>
      <c r="I2781" s="8" t="n">
        <v>1</v>
      </c>
      <c r="J2781" s="8" t="inlineStr">
        <is>
          <t>A farmer has wrongly entered some details during self-registration via CSC. When the farmer tries to edit the application, the record is not available. How to proceed? 
The record will be available for correction on the same user id via which the farmer was registered. Hence, a farmer who has registered via CSC - A, cannot go for editing his application to CSC - B.</t>
        </is>
      </c>
      <c r="K2781" s="8" t="inlineStr">
        <is>
          <t>MS-M13</t>
        </is>
      </c>
      <c r="L2781" s="9" t="n">
        <v>46323</v>
      </c>
      <c r="M2781" s="8" t="inlineStr">
        <is>
          <t>Approved</t>
        </is>
      </c>
      <c r="N2781" s="8" t="inlineStr">
        <is>
          <t>faq</t>
        </is>
      </c>
    </row>
    <row r="2782" ht="68" customHeight="1">
      <c r="A2782" s="4" t="inlineStr">
        <is>
          <t>M13-P0047</t>
        </is>
      </c>
      <c r="B2782" s="4" t="inlineStr">
        <is>
          <t>M13</t>
        </is>
      </c>
      <c r="C2782" s="4" t="inlineStr">
        <is>
          <t>Namo Shetkari Mahasanman Nidhi Yojana</t>
        </is>
      </c>
      <c r="D2782" s="4" t="inlineStr">
        <is>
          <t>FAQ</t>
        </is>
      </c>
      <c r="E2782" s="4" t="inlineStr"/>
      <c r="F2782" s="4" t="inlineStr">
        <is>
          <t>faqs.en.faqs[12]</t>
        </is>
      </c>
      <c r="G2782" s="4" t="inlineStr">
        <is>
          <t>M13@20261028-01fda9a0</t>
        </is>
      </c>
      <c r="H2782" s="4" t="n">
        <v>1</v>
      </c>
      <c r="I2782" s="4" t="n">
        <v>1</v>
      </c>
      <c r="J2782" s="4" t="inlineStr">
        <is>
          <t>Is it mandatory for a farmer to enter the land records details to register under PM-KISAN?
Yes, the land record details are mandatory for a farmer to register himself under PM-KISAN. Without entering the land records details, the farmer will not be able to submit his application on the portal.</t>
        </is>
      </c>
      <c r="K2782" s="4" t="inlineStr">
        <is>
          <t>MS-M13</t>
        </is>
      </c>
      <c r="L2782" s="6" t="n">
        <v>46323</v>
      </c>
      <c r="M2782" s="4" t="inlineStr">
        <is>
          <t>Approved</t>
        </is>
      </c>
      <c r="N2782" s="4" t="inlineStr">
        <is>
          <t>faq</t>
        </is>
      </c>
    </row>
    <row r="2783" ht="82" customHeight="1">
      <c r="A2783" s="8" t="inlineStr">
        <is>
          <t>M14-P0001</t>
        </is>
      </c>
      <c r="B2783" s="8" t="inlineStr">
        <is>
          <t>M14</t>
        </is>
      </c>
      <c r="C2783" s="8" t="inlineStr">
        <is>
          <t>CHIEF MINISTER  EMPLOYMENT GENERATION  PROGRAMME (CMEGP)</t>
        </is>
      </c>
      <c r="D2783" s="8" t="inlineStr">
        <is>
          <t>Details</t>
        </is>
      </c>
      <c r="E2783" s="8" t="inlineStr"/>
      <c r="F2783" s="8" t="inlineStr">
        <is>
          <t>en.schemeContent.detailedDescription[0]</t>
        </is>
      </c>
      <c r="G2783" s="8" t="inlineStr">
        <is>
          <t>M14@20261028-57cd7d50</t>
        </is>
      </c>
      <c r="H2783" s="8" t="n">
        <v>1</v>
      </c>
      <c r="I2783" s="8" t="n">
        <v>1</v>
      </c>
      <c r="J2783" s="8" t="inlineStr">
        <is>
          <t>Scheme launched by GR शासन निर्णय क्र. योजना-२०१९/प्र.क्र.१२१/उद्योग ७ dated on 01.08.2019 Scheme will be implemented and monitored by Directorate of Industries (DOI), under the administrative control of Industries Department, Government of Maharashtra. The Scheme will be implemented through District Industries   Canters (DICs), Maharashtra State Khadi and Village Industries Boards (KVIB) under the control of Directorate of Industries and also by banks.</t>
        </is>
      </c>
      <c r="K2783" s="8" t="inlineStr">
        <is>
          <t>MS-M14</t>
        </is>
      </c>
      <c r="L2783" s="9" t="n">
        <v>46323</v>
      </c>
      <c r="M2783" s="8" t="inlineStr">
        <is>
          <t>Approved</t>
        </is>
      </c>
      <c r="N2783" s="8" t="inlineStr">
        <is>
          <t>paragraph</t>
        </is>
      </c>
    </row>
    <row r="2784" ht="40" customHeight="1">
      <c r="A2784" s="4" t="inlineStr">
        <is>
          <t>M14-P0002</t>
        </is>
      </c>
      <c r="B2784" s="4" t="inlineStr">
        <is>
          <t>M14</t>
        </is>
      </c>
      <c r="C2784" s="4" t="inlineStr">
        <is>
          <t>CHIEF MINISTER  EMPLOYMENT GENERATION  PROGRAMME (CMEGP)</t>
        </is>
      </c>
      <c r="D2784" s="4" t="inlineStr">
        <is>
          <t>Details</t>
        </is>
      </c>
      <c r="E2784" s="4" t="inlineStr"/>
      <c r="F2784" s="4" t="inlineStr">
        <is>
          <t>en.schemeContent.detailedDescription[2].children[0]</t>
        </is>
      </c>
      <c r="G2784" s="4" t="inlineStr">
        <is>
          <t>M14@20261028-57cd7d50</t>
        </is>
      </c>
      <c r="H2784" s="4" t="n">
        <v>1</v>
      </c>
      <c r="I2784" s="4" t="n">
        <v>1</v>
      </c>
      <c r="J2784" s="4" t="inlineStr">
        <is>
          <t>The maximum cost of the project/unit admissible under manufacturing sector is Rs.50 lakh.</t>
        </is>
      </c>
      <c r="K2784" s="4" t="inlineStr">
        <is>
          <t>MS-M14</t>
        </is>
      </c>
      <c r="L2784" s="6" t="n">
        <v>46323</v>
      </c>
      <c r="M2784" s="4" t="inlineStr">
        <is>
          <t>Approved</t>
        </is>
      </c>
      <c r="N2784" s="4" t="inlineStr">
        <is>
          <t>list_item</t>
        </is>
      </c>
    </row>
    <row r="2785" ht="54" customHeight="1">
      <c r="A2785" s="8" t="inlineStr">
        <is>
          <t>M14-P0003</t>
        </is>
      </c>
      <c r="B2785" s="8" t="inlineStr">
        <is>
          <t>M14</t>
        </is>
      </c>
      <c r="C2785" s="8" t="inlineStr">
        <is>
          <t>CHIEF MINISTER  EMPLOYMENT GENERATION  PROGRAMME (CMEGP)</t>
        </is>
      </c>
      <c r="D2785" s="8" t="inlineStr">
        <is>
          <t>Details</t>
        </is>
      </c>
      <c r="E2785" s="8" t="inlineStr"/>
      <c r="F2785" s="8" t="inlineStr">
        <is>
          <t>en.schemeContent.detailedDescription[2].children[1]</t>
        </is>
      </c>
      <c r="G2785" s="8" t="inlineStr">
        <is>
          <t>M14@20261028-57cd7d50</t>
        </is>
      </c>
      <c r="H2785" s="8" t="n">
        <v>1</v>
      </c>
      <c r="I2785" s="8" t="n">
        <v>1</v>
      </c>
      <c r="J2785" s="8" t="inlineStr">
        <is>
          <t>The maximum cost of the project/unit admissible under service, Agro-based/ Primary Agro processing sector, E-vehicle based goods transport and other businesses, single brand service ventures (single brand-based chains, mobile service ventures) is Rs.20 lakhs.</t>
        </is>
      </c>
      <c r="K2785" s="8" t="inlineStr">
        <is>
          <t>MS-M14</t>
        </is>
      </c>
      <c r="L2785" s="9" t="n">
        <v>46323</v>
      </c>
      <c r="M2785" s="8" t="inlineStr">
        <is>
          <t>Approved</t>
        </is>
      </c>
      <c r="N2785" s="8" t="inlineStr">
        <is>
          <t>list_item</t>
        </is>
      </c>
    </row>
    <row r="2786" ht="54" customHeight="1">
      <c r="A2786" s="4" t="inlineStr">
        <is>
          <t>M14-P0004</t>
        </is>
      </c>
      <c r="B2786" s="4" t="inlineStr">
        <is>
          <t>M14</t>
        </is>
      </c>
      <c r="C2786" s="4" t="inlineStr">
        <is>
          <t>CHIEF MINISTER  EMPLOYMENT GENERATION  PROGRAMME (CMEGP)</t>
        </is>
      </c>
      <c r="D2786" s="4" t="inlineStr">
        <is>
          <t>Details</t>
        </is>
      </c>
      <c r="E2786" s="4" t="inlineStr"/>
      <c r="F2786" s="4" t="inlineStr">
        <is>
          <t>en.schemeContent.detailedDescription[2].children[2]</t>
        </is>
      </c>
      <c r="G2786" s="4" t="inlineStr">
        <is>
          <t>M14@20261028-57cd7d50</t>
        </is>
      </c>
      <c r="H2786" s="4" t="n">
        <v>1</v>
      </c>
      <c r="I2786" s="4" t="n">
        <v>1</v>
      </c>
      <c r="J2786" s="4" t="inlineStr">
        <is>
          <t>Beneficiary’s Contribution in the project cost will be 5% to 10 % as per the Categories of Beneficiaries under CMEGP scheme and balance amount of the total project cost will be provided   by Banks as term loan.</t>
        </is>
      </c>
      <c r="K2786" s="4" t="inlineStr">
        <is>
          <t>MS-M14</t>
        </is>
      </c>
      <c r="L2786" s="6" t="n">
        <v>46323</v>
      </c>
      <c r="M2786" s="4" t="inlineStr">
        <is>
          <t>Approved</t>
        </is>
      </c>
      <c r="N2786" s="4" t="inlineStr">
        <is>
          <t>list_item</t>
        </is>
      </c>
    </row>
    <row r="2787" ht="40" customHeight="1">
      <c r="A2787" s="8" t="inlineStr">
        <is>
          <t>M14-P0005</t>
        </is>
      </c>
      <c r="B2787" s="8" t="inlineStr">
        <is>
          <t>M14</t>
        </is>
      </c>
      <c r="C2787" s="8" t="inlineStr">
        <is>
          <t>CHIEF MINISTER  EMPLOYMENT GENERATION  PROGRAMME (CMEGP)</t>
        </is>
      </c>
      <c r="D2787" s="8" t="inlineStr">
        <is>
          <t>Benefits</t>
        </is>
      </c>
      <c r="E2787" s="8" t="inlineStr"/>
      <c r="F2787" s="8" t="inlineStr">
        <is>
          <t>en.schemeContent.benefits[1].children[0].children[0].children[0]</t>
        </is>
      </c>
      <c r="G2787" s="8" t="inlineStr">
        <is>
          <t>M14@20261028-57cd7d50</t>
        </is>
      </c>
      <c r="H2787" s="8" t="n">
        <v>1</v>
      </c>
      <c r="I2787" s="8" t="n">
        <v>1</v>
      </c>
      <c r="J2787" s="8" t="inlineStr">
        <is>
          <t>Categories of beneficiaries under CMEGP</t>
        </is>
      </c>
      <c r="K2787" s="8" t="inlineStr">
        <is>
          <t>MS-M14</t>
        </is>
      </c>
      <c r="L2787" s="9" t="n">
        <v>46323</v>
      </c>
      <c r="M2787" s="8" t="inlineStr">
        <is>
          <t>Approved</t>
        </is>
      </c>
      <c r="N2787" s="8" t="inlineStr">
        <is>
          <t>text</t>
        </is>
      </c>
    </row>
    <row r="2788" ht="40" customHeight="1">
      <c r="A2788" s="4" t="inlineStr">
        <is>
          <t>M14-P0006</t>
        </is>
      </c>
      <c r="B2788" s="4" t="inlineStr">
        <is>
          <t>M14</t>
        </is>
      </c>
      <c r="C2788" s="4" t="inlineStr">
        <is>
          <t>CHIEF MINISTER  EMPLOYMENT GENERATION  PROGRAMME (CMEGP)</t>
        </is>
      </c>
      <c r="D2788" s="4" t="inlineStr">
        <is>
          <t>Benefits</t>
        </is>
      </c>
      <c r="E2788" s="4" t="inlineStr"/>
      <c r="F2788" s="4" t="inlineStr">
        <is>
          <t>en.schemeContent.benefits[1].children[0].children[1].children[0]</t>
        </is>
      </c>
      <c r="G2788" s="4" t="inlineStr">
        <is>
          <t>M14@20261028-57cd7d50</t>
        </is>
      </c>
      <c r="H2788" s="4" t="n">
        <v>1</v>
      </c>
      <c r="I2788" s="4" t="n">
        <v>1</v>
      </c>
      <c r="J2788" s="4" t="inlineStr">
        <is>
          <t>Beneficiary’s Contribution (of project cost)</t>
        </is>
      </c>
      <c r="K2788" s="4" t="inlineStr">
        <is>
          <t>MS-M14</t>
        </is>
      </c>
      <c r="L2788" s="6" t="n">
        <v>46323</v>
      </c>
      <c r="M2788" s="4" t="inlineStr">
        <is>
          <t>Approved</t>
        </is>
      </c>
      <c r="N2788" s="4" t="inlineStr">
        <is>
          <t>text</t>
        </is>
      </c>
    </row>
    <row r="2789" ht="40" customHeight="1">
      <c r="A2789" s="8" t="inlineStr">
        <is>
          <t>M14-P0007</t>
        </is>
      </c>
      <c r="B2789" s="8" t="inlineStr">
        <is>
          <t>M14</t>
        </is>
      </c>
      <c r="C2789" s="8" t="inlineStr">
        <is>
          <t>CHIEF MINISTER  EMPLOYMENT GENERATION  PROGRAMME (CMEGP)</t>
        </is>
      </c>
      <c r="D2789" s="8" t="inlineStr">
        <is>
          <t>Benefits</t>
        </is>
      </c>
      <c r="E2789" s="8" t="inlineStr"/>
      <c r="F2789" s="8" t="inlineStr">
        <is>
          <t>en.schemeContent.benefits[1].children[0].children[2].children[0]</t>
        </is>
      </c>
      <c r="G2789" s="8" t="inlineStr">
        <is>
          <t>M14@20261028-57cd7d50</t>
        </is>
      </c>
      <c r="H2789" s="8" t="n">
        <v>1</v>
      </c>
      <c r="I2789" s="8" t="n">
        <v>1</v>
      </c>
      <c r="J2789" s="8" t="inlineStr">
        <is>
          <t>Rate of subsidy (of project cost)</t>
        </is>
      </c>
      <c r="K2789" s="8" t="inlineStr">
        <is>
          <t>MS-M14</t>
        </is>
      </c>
      <c r="L2789" s="9" t="n">
        <v>46323</v>
      </c>
      <c r="M2789" s="8" t="inlineStr">
        <is>
          <t>Approved</t>
        </is>
      </c>
      <c r="N2789" s="8" t="inlineStr">
        <is>
          <t>text</t>
        </is>
      </c>
    </row>
    <row r="2790" ht="40" customHeight="1">
      <c r="A2790" s="4" t="inlineStr">
        <is>
          <t>M14-P0008</t>
        </is>
      </c>
      <c r="B2790" s="4" t="inlineStr">
        <is>
          <t>M14</t>
        </is>
      </c>
      <c r="C2790" s="4" t="inlineStr">
        <is>
          <t>CHIEF MINISTER  EMPLOYMENT GENERATION  PROGRAMME (CMEGP)</t>
        </is>
      </c>
      <c r="D2790" s="4" t="inlineStr">
        <is>
          <t>Benefits</t>
        </is>
      </c>
      <c r="E2790" s="4" t="inlineStr"/>
      <c r="F2790" s="4" t="inlineStr">
        <is>
          <t>en.schemeContent.benefits[1].children[1].children[0].children[0]</t>
        </is>
      </c>
      <c r="G2790" s="4" t="inlineStr">
        <is>
          <t>M14@20261028-57cd7d50</t>
        </is>
      </c>
      <c r="H2790" s="4" t="n">
        <v>1</v>
      </c>
      <c r="I2790" s="4" t="n">
        <v>1</v>
      </c>
      <c r="J2790" s="4" t="inlineStr">
        <is>
          <t>Area (location of project/unit)</t>
        </is>
      </c>
      <c r="K2790" s="4" t="inlineStr">
        <is>
          <t>MS-M14</t>
        </is>
      </c>
      <c r="L2790" s="6" t="n">
        <v>46323</v>
      </c>
      <c r="M2790" s="4" t="inlineStr">
        <is>
          <t>Approved</t>
        </is>
      </c>
      <c r="N2790" s="4" t="inlineStr">
        <is>
          <t>text</t>
        </is>
      </c>
    </row>
    <row r="2791" ht="40" customHeight="1">
      <c r="A2791" s="8" t="inlineStr">
        <is>
          <t>M14-P0009</t>
        </is>
      </c>
      <c r="B2791" s="8" t="inlineStr">
        <is>
          <t>M14</t>
        </is>
      </c>
      <c r="C2791" s="8" t="inlineStr">
        <is>
          <t>CHIEF MINISTER  EMPLOYMENT GENERATION  PROGRAMME (CMEGP)</t>
        </is>
      </c>
      <c r="D2791" s="8" t="inlineStr">
        <is>
          <t>Benefits</t>
        </is>
      </c>
      <c r="E2791" s="8" t="inlineStr"/>
      <c r="F2791" s="8" t="inlineStr">
        <is>
          <t>en.schemeContent.benefits[1].children[1].children[2].children[0]</t>
        </is>
      </c>
      <c r="G2791" s="8" t="inlineStr">
        <is>
          <t>M14@20261028-57cd7d50</t>
        </is>
      </c>
      <c r="H2791" s="8" t="n">
        <v>1</v>
      </c>
      <c r="I2791" s="8" t="n">
        <v>1</v>
      </c>
      <c r="J2791" s="8" t="inlineStr">
        <is>
          <t>Urban</t>
        </is>
      </c>
      <c r="K2791" s="8" t="inlineStr">
        <is>
          <t>MS-M14</t>
        </is>
      </c>
      <c r="L2791" s="9" t="n">
        <v>46323</v>
      </c>
      <c r="M2791" s="8" t="inlineStr">
        <is>
          <t>Approved</t>
        </is>
      </c>
      <c r="N2791" s="8" t="inlineStr">
        <is>
          <t>text</t>
        </is>
      </c>
    </row>
    <row r="2792" ht="40" customHeight="1">
      <c r="A2792" s="4" t="inlineStr">
        <is>
          <t>M14-P0010</t>
        </is>
      </c>
      <c r="B2792" s="4" t="inlineStr">
        <is>
          <t>M14</t>
        </is>
      </c>
      <c r="C2792" s="4" t="inlineStr">
        <is>
          <t>CHIEF MINISTER  EMPLOYMENT GENERATION  PROGRAMME (CMEGP)</t>
        </is>
      </c>
      <c r="D2792" s="4" t="inlineStr">
        <is>
          <t>Benefits</t>
        </is>
      </c>
      <c r="E2792" s="4" t="inlineStr"/>
      <c r="F2792" s="4" t="inlineStr">
        <is>
          <t>en.schemeContent.benefits[1].children[1].children[3].children[0]</t>
        </is>
      </c>
      <c r="G2792" s="4" t="inlineStr">
        <is>
          <t>M14@20261028-57cd7d50</t>
        </is>
      </c>
      <c r="H2792" s="4" t="n">
        <v>1</v>
      </c>
      <c r="I2792" s="4" t="n">
        <v>1</v>
      </c>
      <c r="J2792" s="4" t="inlineStr">
        <is>
          <t>Rural</t>
        </is>
      </c>
      <c r="K2792" s="4" t="inlineStr">
        <is>
          <t>MS-M14</t>
        </is>
      </c>
      <c r="L2792" s="6" t="n">
        <v>46323</v>
      </c>
      <c r="M2792" s="4" t="inlineStr">
        <is>
          <t>Approved</t>
        </is>
      </c>
      <c r="N2792" s="4" t="inlineStr">
        <is>
          <t>text</t>
        </is>
      </c>
    </row>
    <row r="2793" ht="40" customHeight="1">
      <c r="A2793" s="8" t="inlineStr">
        <is>
          <t>M14-P0011</t>
        </is>
      </c>
      <c r="B2793" s="8" t="inlineStr">
        <is>
          <t>M14</t>
        </is>
      </c>
      <c r="C2793" s="8" t="inlineStr">
        <is>
          <t>CHIEF MINISTER  EMPLOYMENT GENERATION  PROGRAMME (CMEGP)</t>
        </is>
      </c>
      <c r="D2793" s="8" t="inlineStr">
        <is>
          <t>Benefits</t>
        </is>
      </c>
      <c r="E2793" s="8" t="inlineStr"/>
      <c r="F2793" s="8" t="inlineStr">
        <is>
          <t>en.schemeContent.benefits[1].children[2].children[0].children[0]</t>
        </is>
      </c>
      <c r="G2793" s="8" t="inlineStr">
        <is>
          <t>M14@20261028-57cd7d50</t>
        </is>
      </c>
      <c r="H2793" s="8" t="n">
        <v>1</v>
      </c>
      <c r="I2793" s="8" t="n">
        <v>1</v>
      </c>
      <c r="J2793" s="8" t="inlineStr">
        <is>
          <t>General Category</t>
        </is>
      </c>
      <c r="K2793" s="8" t="inlineStr">
        <is>
          <t>MS-M14</t>
        </is>
      </c>
      <c r="L2793" s="9" t="n">
        <v>46323</v>
      </c>
      <c r="M2793" s="8" t="inlineStr">
        <is>
          <t>Approved</t>
        </is>
      </c>
      <c r="N2793" s="8" t="inlineStr">
        <is>
          <t>text</t>
        </is>
      </c>
    </row>
    <row r="2794" ht="40" customHeight="1">
      <c r="A2794" s="4" t="inlineStr">
        <is>
          <t>M14-P0012</t>
        </is>
      </c>
      <c r="B2794" s="4" t="inlineStr">
        <is>
          <t>M14</t>
        </is>
      </c>
      <c r="C2794" s="4" t="inlineStr">
        <is>
          <t>CHIEF MINISTER  EMPLOYMENT GENERATION  PROGRAMME (CMEGP)</t>
        </is>
      </c>
      <c r="D2794" s="4" t="inlineStr">
        <is>
          <t>Benefits</t>
        </is>
      </c>
      <c r="E2794" s="4" t="inlineStr"/>
      <c r="F2794" s="4" t="inlineStr">
        <is>
          <t>en.schemeContent.benefits[1].children[2].children[1].children[0]</t>
        </is>
      </c>
      <c r="G2794" s="4" t="inlineStr">
        <is>
          <t>M14@20261028-57cd7d50</t>
        </is>
      </c>
      <c r="H2794" s="4" t="n">
        <v>1</v>
      </c>
      <c r="I2794" s="4" t="n">
        <v>1</v>
      </c>
      <c r="J2794" s="4" t="inlineStr">
        <is>
          <t>10%</t>
        </is>
      </c>
      <c r="K2794" s="4" t="inlineStr">
        <is>
          <t>MS-M14</t>
        </is>
      </c>
      <c r="L2794" s="6" t="n">
        <v>46323</v>
      </c>
      <c r="M2794" s="4" t="inlineStr">
        <is>
          <t>Approved</t>
        </is>
      </c>
      <c r="N2794" s="4" t="inlineStr">
        <is>
          <t>text</t>
        </is>
      </c>
    </row>
    <row r="2795" ht="40" customHeight="1">
      <c r="A2795" s="8" t="inlineStr">
        <is>
          <t>M14-P0013</t>
        </is>
      </c>
      <c r="B2795" s="8" t="inlineStr">
        <is>
          <t>M14</t>
        </is>
      </c>
      <c r="C2795" s="8" t="inlineStr">
        <is>
          <t>CHIEF MINISTER  EMPLOYMENT GENERATION  PROGRAMME (CMEGP)</t>
        </is>
      </c>
      <c r="D2795" s="8" t="inlineStr">
        <is>
          <t>Benefits</t>
        </is>
      </c>
      <c r="E2795" s="8" t="inlineStr"/>
      <c r="F2795" s="8" t="inlineStr">
        <is>
          <t>en.schemeContent.benefits[1].children[2].children[2].children[0]</t>
        </is>
      </c>
      <c r="G2795" s="8" t="inlineStr">
        <is>
          <t>M14@20261028-57cd7d50</t>
        </is>
      </c>
      <c r="H2795" s="8" t="n">
        <v>1</v>
      </c>
      <c r="I2795" s="8" t="n">
        <v>1</v>
      </c>
      <c r="J2795" s="8" t="inlineStr">
        <is>
          <t>15%</t>
        </is>
      </c>
      <c r="K2795" s="8" t="inlineStr">
        <is>
          <t>MS-M14</t>
        </is>
      </c>
      <c r="L2795" s="9" t="n">
        <v>46323</v>
      </c>
      <c r="M2795" s="8" t="inlineStr">
        <is>
          <t>Approved</t>
        </is>
      </c>
      <c r="N2795" s="8" t="inlineStr">
        <is>
          <t>text</t>
        </is>
      </c>
    </row>
    <row r="2796" ht="40" customHeight="1">
      <c r="A2796" s="4" t="inlineStr">
        <is>
          <t>M14-P0014</t>
        </is>
      </c>
      <c r="B2796" s="4" t="inlineStr">
        <is>
          <t>M14</t>
        </is>
      </c>
      <c r="C2796" s="4" t="inlineStr">
        <is>
          <t>CHIEF MINISTER  EMPLOYMENT GENERATION  PROGRAMME (CMEGP)</t>
        </is>
      </c>
      <c r="D2796" s="4" t="inlineStr">
        <is>
          <t>Benefits</t>
        </is>
      </c>
      <c r="E2796" s="4" t="inlineStr"/>
      <c r="F2796" s="4" t="inlineStr">
        <is>
          <t>en.schemeContent.benefits[1].children[2].children[3].children[0]</t>
        </is>
      </c>
      <c r="G2796" s="4" t="inlineStr">
        <is>
          <t>M14@20261028-57cd7d50</t>
        </is>
      </c>
      <c r="H2796" s="4" t="n">
        <v>1</v>
      </c>
      <c r="I2796" s="4" t="n">
        <v>1</v>
      </c>
      <c r="J2796" s="4" t="inlineStr">
        <is>
          <t>25%</t>
        </is>
      </c>
      <c r="K2796" s="4" t="inlineStr">
        <is>
          <t>MS-M14</t>
        </is>
      </c>
      <c r="L2796" s="6" t="n">
        <v>46323</v>
      </c>
      <c r="M2796" s="4" t="inlineStr">
        <is>
          <t>Approved</t>
        </is>
      </c>
      <c r="N2796" s="4" t="inlineStr">
        <is>
          <t>text</t>
        </is>
      </c>
    </row>
    <row r="2797" ht="40" customHeight="1">
      <c r="A2797" s="8" t="inlineStr">
        <is>
          <t>M14-P0015</t>
        </is>
      </c>
      <c r="B2797" s="8" t="inlineStr">
        <is>
          <t>M14</t>
        </is>
      </c>
      <c r="C2797" s="8" t="inlineStr">
        <is>
          <t>CHIEF MINISTER  EMPLOYMENT GENERATION  PROGRAMME (CMEGP)</t>
        </is>
      </c>
      <c r="D2797" s="8" t="inlineStr">
        <is>
          <t>Benefits</t>
        </is>
      </c>
      <c r="E2797" s="8" t="inlineStr"/>
      <c r="F2797" s="8" t="inlineStr">
        <is>
          <t>en.schemeContent.benefits[1].children[3].children[0].children[0]</t>
        </is>
      </c>
      <c r="G2797" s="8" t="inlineStr">
        <is>
          <t>M14@20261028-57cd7d50</t>
        </is>
      </c>
      <c r="H2797" s="8" t="n">
        <v>1</v>
      </c>
      <c r="I2797" s="8" t="n">
        <v>1</v>
      </c>
      <c r="J2797" s="8" t="inlineStr">
        <is>
          <t>Special Category (includes SC / ST /Women/ Ex- servicemen / differently abled/VJNT/OBC/Minority)</t>
        </is>
      </c>
      <c r="K2797" s="8" t="inlineStr">
        <is>
          <t>MS-M14</t>
        </is>
      </c>
      <c r="L2797" s="9" t="n">
        <v>46323</v>
      </c>
      <c r="M2797" s="8" t="inlineStr">
        <is>
          <t>Approved</t>
        </is>
      </c>
      <c r="N2797" s="8" t="inlineStr">
        <is>
          <t>text</t>
        </is>
      </c>
    </row>
    <row r="2798" ht="40" customHeight="1">
      <c r="A2798" s="4" t="inlineStr">
        <is>
          <t>M14-P0016</t>
        </is>
      </c>
      <c r="B2798" s="4" t="inlineStr">
        <is>
          <t>M14</t>
        </is>
      </c>
      <c r="C2798" s="4" t="inlineStr">
        <is>
          <t>CHIEF MINISTER  EMPLOYMENT GENERATION  PROGRAMME (CMEGP)</t>
        </is>
      </c>
      <c r="D2798" s="4" t="inlineStr">
        <is>
          <t>Benefits</t>
        </is>
      </c>
      <c r="E2798" s="4" t="inlineStr"/>
      <c r="F2798" s="4" t="inlineStr">
        <is>
          <t>en.schemeContent.benefits[1].children[3].children[1].children[0]</t>
        </is>
      </c>
      <c r="G2798" s="4" t="inlineStr">
        <is>
          <t>M14@20261028-57cd7d50</t>
        </is>
      </c>
      <c r="H2798" s="4" t="n">
        <v>1</v>
      </c>
      <c r="I2798" s="4" t="n">
        <v>1</v>
      </c>
      <c r="J2798" s="4" t="inlineStr">
        <is>
          <t>5%</t>
        </is>
      </c>
      <c r="K2798" s="4" t="inlineStr">
        <is>
          <t>MS-M14</t>
        </is>
      </c>
      <c r="L2798" s="6" t="n">
        <v>46323</v>
      </c>
      <c r="M2798" s="4" t="inlineStr">
        <is>
          <t>Approved</t>
        </is>
      </c>
      <c r="N2798" s="4" t="inlineStr">
        <is>
          <t>text</t>
        </is>
      </c>
    </row>
    <row r="2799" ht="40" customHeight="1">
      <c r="A2799" s="8" t="inlineStr">
        <is>
          <t>M14-P0017</t>
        </is>
      </c>
      <c r="B2799" s="8" t="inlineStr">
        <is>
          <t>M14</t>
        </is>
      </c>
      <c r="C2799" s="8" t="inlineStr">
        <is>
          <t>CHIEF MINISTER  EMPLOYMENT GENERATION  PROGRAMME (CMEGP)</t>
        </is>
      </c>
      <c r="D2799" s="8" t="inlineStr">
        <is>
          <t>Benefits</t>
        </is>
      </c>
      <c r="E2799" s="8" t="inlineStr"/>
      <c r="F2799" s="8" t="inlineStr">
        <is>
          <t>en.schemeContent.benefits[1].children[3].children[2].children[0]</t>
        </is>
      </c>
      <c r="G2799" s="8" t="inlineStr">
        <is>
          <t>M14@20261028-57cd7d50</t>
        </is>
      </c>
      <c r="H2799" s="8" t="n">
        <v>1</v>
      </c>
      <c r="I2799" s="8" t="n">
        <v>1</v>
      </c>
      <c r="J2799" s="8" t="inlineStr">
        <is>
          <t>25%</t>
        </is>
      </c>
      <c r="K2799" s="8" t="inlineStr">
        <is>
          <t>MS-M14</t>
        </is>
      </c>
      <c r="L2799" s="9" t="n">
        <v>46323</v>
      </c>
      <c r="M2799" s="8" t="inlineStr">
        <is>
          <t>Approved</t>
        </is>
      </c>
      <c r="N2799" s="8" t="inlineStr">
        <is>
          <t>text</t>
        </is>
      </c>
    </row>
    <row r="2800" ht="40" customHeight="1">
      <c r="A2800" s="4" t="inlineStr">
        <is>
          <t>M14-P0018</t>
        </is>
      </c>
      <c r="B2800" s="4" t="inlineStr">
        <is>
          <t>M14</t>
        </is>
      </c>
      <c r="C2800" s="4" t="inlineStr">
        <is>
          <t>CHIEF MINISTER  EMPLOYMENT GENERATION  PROGRAMME (CMEGP)</t>
        </is>
      </c>
      <c r="D2800" s="4" t="inlineStr">
        <is>
          <t>Benefits</t>
        </is>
      </c>
      <c r="E2800" s="4" t="inlineStr"/>
      <c r="F2800" s="4" t="inlineStr">
        <is>
          <t>en.schemeContent.benefits[1].children[3].children[3].children[0]</t>
        </is>
      </c>
      <c r="G2800" s="4" t="inlineStr">
        <is>
          <t>M14@20261028-57cd7d50</t>
        </is>
      </c>
      <c r="H2800" s="4" t="n">
        <v>1</v>
      </c>
      <c r="I2800" s="4" t="n">
        <v>1</v>
      </c>
      <c r="J2800" s="4" t="inlineStr">
        <is>
          <t>35%</t>
        </is>
      </c>
      <c r="K2800" s="4" t="inlineStr">
        <is>
          <t>MS-M14</t>
        </is>
      </c>
      <c r="L2800" s="6" t="n">
        <v>46323</v>
      </c>
      <c r="M2800" s="4" t="inlineStr">
        <is>
          <t>Approved</t>
        </is>
      </c>
      <c r="N2800" s="4" t="inlineStr">
        <is>
          <t>text</t>
        </is>
      </c>
    </row>
    <row r="2801" ht="40" customHeight="1">
      <c r="A2801" s="8" t="inlineStr">
        <is>
          <t>M14-P0019</t>
        </is>
      </c>
      <c r="B2801" s="8" t="inlineStr">
        <is>
          <t>M14</t>
        </is>
      </c>
      <c r="C2801" s="8" t="inlineStr">
        <is>
          <t>CHIEF MINISTER  EMPLOYMENT GENERATION  PROGRAMME (CMEGP)</t>
        </is>
      </c>
      <c r="D2801" s="8" t="inlineStr">
        <is>
          <t>Eligibility</t>
        </is>
      </c>
      <c r="E2801" s="8" t="inlineStr"/>
      <c r="F2801" s="8" t="inlineStr">
        <is>
          <t>en.eligibilityCriteria.eligibilityDescription[0].children[0]</t>
        </is>
      </c>
      <c r="G2801" s="8" t="inlineStr">
        <is>
          <t>M14@20261028-57cd7d50</t>
        </is>
      </c>
      <c r="H2801" s="8" t="n">
        <v>1</v>
      </c>
      <c r="I2801" s="8" t="n">
        <v>1</v>
      </c>
      <c r="J2801" s="8" t="inlineStr">
        <is>
          <t>1)The Age of the applicant should be between 18 to 45. For Special category (including SC/ST/Women/ Ex-servicemen/Differently abled) age is relaxed by 5 years.</t>
        </is>
      </c>
      <c r="K2801" s="8" t="inlineStr">
        <is>
          <t>MS-M14</t>
        </is>
      </c>
      <c r="L2801" s="9" t="n">
        <v>46323</v>
      </c>
      <c r="M2801" s="8" t="inlineStr">
        <is>
          <t>Approved</t>
        </is>
      </c>
      <c r="N2801" s="8" t="inlineStr">
        <is>
          <t>paragraph</t>
        </is>
      </c>
    </row>
    <row r="2802" ht="40" customHeight="1">
      <c r="A2802" s="4" t="inlineStr">
        <is>
          <t>M14-P0020</t>
        </is>
      </c>
      <c r="B2802" s="4" t="inlineStr">
        <is>
          <t>M14</t>
        </is>
      </c>
      <c r="C2802" s="4" t="inlineStr">
        <is>
          <t>CHIEF MINISTER  EMPLOYMENT GENERATION  PROGRAMME (CMEGP)</t>
        </is>
      </c>
      <c r="D2802" s="4" t="inlineStr">
        <is>
          <t>Eligibility</t>
        </is>
      </c>
      <c r="E2802" s="4" t="inlineStr"/>
      <c r="F2802" s="4" t="inlineStr">
        <is>
          <t>en.eligibilityCriteria.eligibilityDescription[0].children[1]</t>
        </is>
      </c>
      <c r="G2802" s="4" t="inlineStr">
        <is>
          <t>M14@20261028-57cd7d50</t>
        </is>
      </c>
      <c r="H2802" s="4" t="n">
        <v>1</v>
      </c>
      <c r="I2802" s="4" t="n">
        <v>1</v>
      </c>
      <c r="J2802" s="4" t="inlineStr">
        <is>
          <t>2)The Occupation of the applicant should be unemployed youth, Youth willing to establish new ventures.</t>
        </is>
      </c>
      <c r="K2802" s="4" t="inlineStr">
        <is>
          <t>MS-M14</t>
        </is>
      </c>
      <c r="L2802" s="6" t="n">
        <v>46323</v>
      </c>
      <c r="M2802" s="4" t="inlineStr">
        <is>
          <t>Approved</t>
        </is>
      </c>
      <c r="N2802" s="4" t="inlineStr">
        <is>
          <t>paragraph</t>
        </is>
      </c>
    </row>
    <row r="2803" ht="40" customHeight="1">
      <c r="A2803" s="8" t="inlineStr">
        <is>
          <t>M14-P0021</t>
        </is>
      </c>
      <c r="B2803" s="8" t="inlineStr">
        <is>
          <t>M14</t>
        </is>
      </c>
      <c r="C2803" s="8" t="inlineStr">
        <is>
          <t>CHIEF MINISTER  EMPLOYMENT GENERATION  PROGRAMME (CMEGP)</t>
        </is>
      </c>
      <c r="D2803" s="8" t="inlineStr">
        <is>
          <t>Eligibility</t>
        </is>
      </c>
      <c r="E2803" s="8" t="inlineStr"/>
      <c r="F2803" s="8" t="inlineStr">
        <is>
          <t>en.eligibilityCriteria.eligibilityDescription[0].children[2]</t>
        </is>
      </c>
      <c r="G2803" s="8" t="inlineStr">
        <is>
          <t>M14@20261028-57cd7d50</t>
        </is>
      </c>
      <c r="H2803" s="8" t="n">
        <v>1</v>
      </c>
      <c r="I2803" s="8" t="n">
        <v>1</v>
      </c>
      <c r="J2803" s="8" t="inlineStr">
        <is>
          <t>3)The Annual Income of the Applicant/Family/Parent/Guardian should No criteria LPA</t>
        </is>
      </c>
      <c r="K2803" s="8" t="inlineStr">
        <is>
          <t>MS-M14</t>
        </is>
      </c>
      <c r="L2803" s="9" t="n">
        <v>46323</v>
      </c>
      <c r="M2803" s="8" t="inlineStr">
        <is>
          <t>Approved</t>
        </is>
      </c>
      <c r="N2803" s="8" t="inlineStr">
        <is>
          <t>paragraph</t>
        </is>
      </c>
    </row>
    <row r="2804" ht="40" customHeight="1">
      <c r="A2804" s="4" t="inlineStr">
        <is>
          <t>M14-P0022</t>
        </is>
      </c>
      <c r="B2804" s="4" t="inlineStr">
        <is>
          <t>M14</t>
        </is>
      </c>
      <c r="C2804" s="4" t="inlineStr">
        <is>
          <t>CHIEF MINISTER  EMPLOYMENT GENERATION  PROGRAMME (CMEGP)</t>
        </is>
      </c>
      <c r="D2804" s="4" t="inlineStr">
        <is>
          <t>Eligibility</t>
        </is>
      </c>
      <c r="E2804" s="4" t="inlineStr"/>
      <c r="F2804" s="4" t="inlineStr">
        <is>
          <t>en.eligibilityCriteria.eligibilityDescription[0].children[3]</t>
        </is>
      </c>
      <c r="G2804" s="4" t="inlineStr">
        <is>
          <t>M14@20261028-57cd7d50</t>
        </is>
      </c>
      <c r="H2804" s="4" t="n">
        <v>1</v>
      </c>
      <c r="I2804" s="4" t="n">
        <v>1</v>
      </c>
      <c r="J2804" s="4" t="inlineStr">
        <is>
          <t>4)The Gender of the applicant should be Male and Female</t>
        </is>
      </c>
      <c r="K2804" s="4" t="inlineStr">
        <is>
          <t>MS-M14</t>
        </is>
      </c>
      <c r="L2804" s="6" t="n">
        <v>46323</v>
      </c>
      <c r="M2804" s="4" t="inlineStr">
        <is>
          <t>Approved</t>
        </is>
      </c>
      <c r="N2804" s="4" t="inlineStr">
        <is>
          <t>paragraph</t>
        </is>
      </c>
    </row>
    <row r="2805" ht="40" customHeight="1">
      <c r="A2805" s="8" t="inlineStr">
        <is>
          <t>M14-P0023</t>
        </is>
      </c>
      <c r="B2805" s="8" t="inlineStr">
        <is>
          <t>M14</t>
        </is>
      </c>
      <c r="C2805" s="8" t="inlineStr">
        <is>
          <t>CHIEF MINISTER  EMPLOYMENT GENERATION  PROGRAMME (CMEGP)</t>
        </is>
      </c>
      <c r="D2805" s="8" t="inlineStr">
        <is>
          <t>Eligibility</t>
        </is>
      </c>
      <c r="E2805" s="8" t="inlineStr"/>
      <c r="F2805" s="8" t="inlineStr">
        <is>
          <t>en.eligibilityCriteria.eligibilityDescription[0].children[4]</t>
        </is>
      </c>
      <c r="G2805" s="8" t="inlineStr">
        <is>
          <t>M14@20261028-57cd7d50</t>
        </is>
      </c>
      <c r="H2805" s="8" t="n">
        <v>1</v>
      </c>
      <c r="I2805" s="8" t="n">
        <v>1</v>
      </c>
      <c r="J2805" s="8" t="inlineStr">
        <is>
          <t>5)The Marital Status of the applicant should be for all</t>
        </is>
      </c>
      <c r="K2805" s="8" t="inlineStr">
        <is>
          <t>MS-M14</t>
        </is>
      </c>
      <c r="L2805" s="9" t="n">
        <v>46323</v>
      </c>
      <c r="M2805" s="8" t="inlineStr">
        <is>
          <t>Approved</t>
        </is>
      </c>
      <c r="N2805" s="8" t="inlineStr">
        <is>
          <t>paragraph</t>
        </is>
      </c>
    </row>
    <row r="2806" ht="54" customHeight="1">
      <c r="A2806" s="4" t="inlineStr">
        <is>
          <t>M14-P0024</t>
        </is>
      </c>
      <c r="B2806" s="4" t="inlineStr">
        <is>
          <t>M14</t>
        </is>
      </c>
      <c r="C2806" s="4" t="inlineStr">
        <is>
          <t>CHIEF MINISTER  EMPLOYMENT GENERATION  PROGRAMME (CMEGP)</t>
        </is>
      </c>
      <c r="D2806" s="4" t="inlineStr">
        <is>
          <t>Eligibility</t>
        </is>
      </c>
      <c r="E2806" s="4" t="inlineStr"/>
      <c r="F2806" s="4" t="inlineStr">
        <is>
          <t>en.eligibilityCriteria.eligibilityDescription[0].children[5]</t>
        </is>
      </c>
      <c r="G2806" s="4" t="inlineStr">
        <is>
          <t>M14@20261028-57cd7d50</t>
        </is>
      </c>
      <c r="H2806" s="4" t="n">
        <v>1</v>
      </c>
      <c r="I2806" s="4" t="n">
        <v>1</v>
      </c>
      <c r="J2806" s="4" t="inlineStr">
        <is>
          <t>6)The Educational Qualification of the applicant should be minimum 7th standard pass for   project/unit above Rs. 10 lac and for project/units above Rs.25 lac the required educational criterion for the applicant is minimum 10th standard pass.</t>
        </is>
      </c>
      <c r="K2806" s="4" t="inlineStr">
        <is>
          <t>MS-M14</t>
        </is>
      </c>
      <c r="L2806" s="6" t="n">
        <v>46323</v>
      </c>
      <c r="M2806" s="4" t="inlineStr">
        <is>
          <t>Approved</t>
        </is>
      </c>
      <c r="N2806" s="4" t="inlineStr">
        <is>
          <t>paragraph</t>
        </is>
      </c>
    </row>
    <row r="2807" ht="40" customHeight="1">
      <c r="A2807" s="8" t="inlineStr">
        <is>
          <t>M14-P0025</t>
        </is>
      </c>
      <c r="B2807" s="8" t="inlineStr">
        <is>
          <t>M14</t>
        </is>
      </c>
      <c r="C2807" s="8" t="inlineStr">
        <is>
          <t>CHIEF MINISTER  EMPLOYMENT GENERATION  PROGRAMME (CMEGP)</t>
        </is>
      </c>
      <c r="D2807" s="8" t="inlineStr">
        <is>
          <t>Exclusions</t>
        </is>
      </c>
      <c r="E2807" s="8" t="inlineStr"/>
      <c r="F2807" s="8" t="inlineStr">
        <is>
          <t>en.schemeContent.exclusions[0].children[0]</t>
        </is>
      </c>
      <c r="G2807" s="8" t="inlineStr">
        <is>
          <t>M14@20261028-57cd7d50</t>
        </is>
      </c>
      <c r="H2807" s="8" t="n">
        <v>1</v>
      </c>
      <c r="I2807" s="8" t="n">
        <v>1</v>
      </c>
      <c r="J2807" s="8" t="inlineStr">
        <is>
          <t>1) Only one person from a family will be eligible under the scheme. (Definition of family includes Self and spouse)</t>
        </is>
      </c>
      <c r="K2807" s="8" t="inlineStr">
        <is>
          <t>MS-M14</t>
        </is>
      </c>
      <c r="L2807" s="9" t="n">
        <v>46323</v>
      </c>
      <c r="M2807" s="8" t="inlineStr">
        <is>
          <t>Approved</t>
        </is>
      </c>
      <c r="N2807" s="8" t="inlineStr">
        <is>
          <t>paragraph</t>
        </is>
      </c>
    </row>
    <row r="2808" ht="68" customHeight="1">
      <c r="A2808" s="4" t="inlineStr">
        <is>
          <t>M14-P0026</t>
        </is>
      </c>
      <c r="B2808" s="4" t="inlineStr">
        <is>
          <t>M14</t>
        </is>
      </c>
      <c r="C2808" s="4" t="inlineStr">
        <is>
          <t>CHIEF MINISTER  EMPLOYMENT GENERATION  PROGRAMME (CMEGP)</t>
        </is>
      </c>
      <c r="D2808" s="4" t="inlineStr">
        <is>
          <t>Exclusions</t>
        </is>
      </c>
      <c r="E2808" s="4" t="inlineStr"/>
      <c r="F2808" s="4" t="inlineStr">
        <is>
          <t>en.schemeContent.exclusions[0].children[1]</t>
        </is>
      </c>
      <c r="G2808" s="4" t="inlineStr">
        <is>
          <t>M14@20261028-57cd7d50</t>
        </is>
      </c>
      <c r="H2808" s="4" t="n">
        <v>1</v>
      </c>
      <c r="I2808" s="4" t="n">
        <v>1</v>
      </c>
      <c r="J2808" s="4" t="inlineStr">
        <is>
          <t>2) Existing Units and units that have availed benefit under PMRY, REGP, PMEGP or any other subsidy linked scheme of Government of India or State Government and also units that have already availed Government Subsidy under any other scheme of Government of India or State Government are not eligible under the scheme.</t>
        </is>
      </c>
      <c r="K2808" s="4" t="inlineStr">
        <is>
          <t>MS-M14</t>
        </is>
      </c>
      <c r="L2808" s="6" t="n">
        <v>46323</v>
      </c>
      <c r="M2808" s="4" t="inlineStr">
        <is>
          <t>Approved</t>
        </is>
      </c>
      <c r="N2808" s="4" t="inlineStr">
        <is>
          <t>paragraph</t>
        </is>
      </c>
    </row>
    <row r="2809" ht="40" customHeight="1">
      <c r="A2809" s="8" t="inlineStr">
        <is>
          <t>M14-P0027</t>
        </is>
      </c>
      <c r="B2809" s="8" t="inlineStr">
        <is>
          <t>M14</t>
        </is>
      </c>
      <c r="C2809" s="8" t="inlineStr">
        <is>
          <t>CHIEF MINISTER  EMPLOYMENT GENERATION  PROGRAMME (CMEGP)</t>
        </is>
      </c>
      <c r="D2809" s="8" t="inlineStr">
        <is>
          <t>Applicant documents</t>
        </is>
      </c>
      <c r="E2809" s="8" t="inlineStr"/>
      <c r="F2809" s="8" t="inlineStr">
        <is>
          <t>documents.en.documents_required[0]</t>
        </is>
      </c>
      <c r="G2809" s="8" t="inlineStr">
        <is>
          <t>M14@20261028-57cd7d50</t>
        </is>
      </c>
      <c r="H2809" s="8" t="n">
        <v>1</v>
      </c>
      <c r="I2809" s="8" t="n">
        <v>1</v>
      </c>
      <c r="J2809" s="8" t="inlineStr">
        <is>
          <t>1)	Passport size photo</t>
        </is>
      </c>
      <c r="K2809" s="8" t="inlineStr">
        <is>
          <t>MS-M14</t>
        </is>
      </c>
      <c r="L2809" s="9" t="n">
        <v>46323</v>
      </c>
      <c r="M2809" s="8" t="inlineStr">
        <is>
          <t>Approved</t>
        </is>
      </c>
      <c r="N2809" s="8" t="inlineStr">
        <is>
          <t>paragraph</t>
        </is>
      </c>
    </row>
    <row r="2810" ht="40" customHeight="1">
      <c r="A2810" s="4" t="inlineStr">
        <is>
          <t>M14-P0028</t>
        </is>
      </c>
      <c r="B2810" s="4" t="inlineStr">
        <is>
          <t>M14</t>
        </is>
      </c>
      <c r="C2810" s="4" t="inlineStr">
        <is>
          <t>CHIEF MINISTER  EMPLOYMENT GENERATION  PROGRAMME (CMEGP)</t>
        </is>
      </c>
      <c r="D2810" s="4" t="inlineStr">
        <is>
          <t>Applicant documents</t>
        </is>
      </c>
      <c r="E2810" s="4" t="inlineStr"/>
      <c r="F2810" s="4" t="inlineStr">
        <is>
          <t>documents.en.documents_required[1]</t>
        </is>
      </c>
      <c r="G2810" s="4" t="inlineStr">
        <is>
          <t>M14@20261028-57cd7d50</t>
        </is>
      </c>
      <c r="H2810" s="4" t="n">
        <v>1</v>
      </c>
      <c r="I2810" s="4" t="n">
        <v>1</v>
      </c>
      <c r="J2810" s="4" t="inlineStr">
        <is>
          <t>2)	Aadhar card</t>
        </is>
      </c>
      <c r="K2810" s="4" t="inlineStr">
        <is>
          <t>MS-M14</t>
        </is>
      </c>
      <c r="L2810" s="6" t="n">
        <v>46323</v>
      </c>
      <c r="M2810" s="4" t="inlineStr">
        <is>
          <t>Approved</t>
        </is>
      </c>
      <c r="N2810" s="4" t="inlineStr">
        <is>
          <t>paragraph</t>
        </is>
      </c>
    </row>
    <row r="2811" ht="40" customHeight="1">
      <c r="A2811" s="8" t="inlineStr">
        <is>
          <t>M14-P0029</t>
        </is>
      </c>
      <c r="B2811" s="8" t="inlineStr">
        <is>
          <t>M14</t>
        </is>
      </c>
      <c r="C2811" s="8" t="inlineStr">
        <is>
          <t>CHIEF MINISTER  EMPLOYMENT GENERATION  PROGRAMME (CMEGP)</t>
        </is>
      </c>
      <c r="D2811" s="8" t="inlineStr">
        <is>
          <t>Applicant documents</t>
        </is>
      </c>
      <c r="E2811" s="8" t="inlineStr"/>
      <c r="F2811" s="8" t="inlineStr">
        <is>
          <t>documents.en.documents_required[2]</t>
        </is>
      </c>
      <c r="G2811" s="8" t="inlineStr">
        <is>
          <t>M14@20261028-57cd7d50</t>
        </is>
      </c>
      <c r="H2811" s="8" t="n">
        <v>1</v>
      </c>
      <c r="I2811" s="8" t="n">
        <v>1</v>
      </c>
      <c r="J2811" s="8" t="inlineStr">
        <is>
          <t>3)	Domicile certificate</t>
        </is>
      </c>
      <c r="K2811" s="8" t="inlineStr">
        <is>
          <t>MS-M14</t>
        </is>
      </c>
      <c r="L2811" s="9" t="n">
        <v>46323</v>
      </c>
      <c r="M2811" s="8" t="inlineStr">
        <is>
          <t>Approved</t>
        </is>
      </c>
      <c r="N2811" s="8" t="inlineStr">
        <is>
          <t>paragraph</t>
        </is>
      </c>
    </row>
    <row r="2812" ht="40" customHeight="1">
      <c r="A2812" s="4" t="inlineStr">
        <is>
          <t>M14-P0030</t>
        </is>
      </c>
      <c r="B2812" s="4" t="inlineStr">
        <is>
          <t>M14</t>
        </is>
      </c>
      <c r="C2812" s="4" t="inlineStr">
        <is>
          <t>CHIEF MINISTER  EMPLOYMENT GENERATION  PROGRAMME (CMEGP)</t>
        </is>
      </c>
      <c r="D2812" s="4" t="inlineStr">
        <is>
          <t>Applicant documents</t>
        </is>
      </c>
      <c r="E2812" s="4" t="inlineStr"/>
      <c r="F2812" s="4" t="inlineStr">
        <is>
          <t>documents.en.documents_required[3]</t>
        </is>
      </c>
      <c r="G2812" s="4" t="inlineStr">
        <is>
          <t>M14@20261028-57cd7d50</t>
        </is>
      </c>
      <c r="H2812" s="4" t="n">
        <v>1</v>
      </c>
      <c r="I2812" s="4" t="n">
        <v>1</v>
      </c>
      <c r="J2812" s="4" t="inlineStr">
        <is>
          <t>4)	Educational cetifiacate</t>
        </is>
      </c>
      <c r="K2812" s="4" t="inlineStr">
        <is>
          <t>MS-M14</t>
        </is>
      </c>
      <c r="L2812" s="6" t="n">
        <v>46323</v>
      </c>
      <c r="M2812" s="4" t="inlineStr">
        <is>
          <t>Approved</t>
        </is>
      </c>
      <c r="N2812" s="4" t="inlineStr">
        <is>
          <t>paragraph</t>
        </is>
      </c>
    </row>
    <row r="2813" ht="40" customHeight="1">
      <c r="A2813" s="8" t="inlineStr">
        <is>
          <t>M14-P0031</t>
        </is>
      </c>
      <c r="B2813" s="8" t="inlineStr">
        <is>
          <t>M14</t>
        </is>
      </c>
      <c r="C2813" s="8" t="inlineStr">
        <is>
          <t>CHIEF MINISTER  EMPLOYMENT GENERATION  PROGRAMME (CMEGP)</t>
        </is>
      </c>
      <c r="D2813" s="8" t="inlineStr">
        <is>
          <t>Applicant documents</t>
        </is>
      </c>
      <c r="E2813" s="8" t="inlineStr"/>
      <c r="F2813" s="8" t="inlineStr">
        <is>
          <t>documents.en.documents_required[4]</t>
        </is>
      </c>
      <c r="G2813" s="8" t="inlineStr">
        <is>
          <t>M14@20261028-57cd7d50</t>
        </is>
      </c>
      <c r="H2813" s="8" t="n">
        <v>1</v>
      </c>
      <c r="I2813" s="8" t="n">
        <v>1</v>
      </c>
      <c r="J2813" s="8" t="inlineStr">
        <is>
          <t>5)	Undertaking form</t>
        </is>
      </c>
      <c r="K2813" s="8" t="inlineStr">
        <is>
          <t>MS-M14</t>
        </is>
      </c>
      <c r="L2813" s="9" t="n">
        <v>46323</v>
      </c>
      <c r="M2813" s="8" t="inlineStr">
        <is>
          <t>Approved</t>
        </is>
      </c>
      <c r="N2813" s="8" t="inlineStr">
        <is>
          <t>paragraph</t>
        </is>
      </c>
    </row>
    <row r="2814" ht="40" customHeight="1">
      <c r="A2814" s="4" t="inlineStr">
        <is>
          <t>M14-P0032</t>
        </is>
      </c>
      <c r="B2814" s="4" t="inlineStr">
        <is>
          <t>M14</t>
        </is>
      </c>
      <c r="C2814" s="4" t="inlineStr">
        <is>
          <t>CHIEF MINISTER  EMPLOYMENT GENERATION  PROGRAMME (CMEGP)</t>
        </is>
      </c>
      <c r="D2814" s="4" t="inlineStr">
        <is>
          <t>Applicant documents</t>
        </is>
      </c>
      <c r="E2814" s="4" t="inlineStr"/>
      <c r="F2814" s="4" t="inlineStr">
        <is>
          <t>documents.en.documents_required[5]</t>
        </is>
      </c>
      <c r="G2814" s="4" t="inlineStr">
        <is>
          <t>M14@20261028-57cd7d50</t>
        </is>
      </c>
      <c r="H2814" s="4" t="n">
        <v>1</v>
      </c>
      <c r="I2814" s="4" t="n">
        <v>1</v>
      </c>
      <c r="J2814" s="4" t="inlineStr">
        <is>
          <t>6)	Project profile</t>
        </is>
      </c>
      <c r="K2814" s="4" t="inlineStr">
        <is>
          <t>MS-M14</t>
        </is>
      </c>
      <c r="L2814" s="6" t="n">
        <v>46323</v>
      </c>
      <c r="M2814" s="4" t="inlineStr">
        <is>
          <t>Approved</t>
        </is>
      </c>
      <c r="N2814" s="4" t="inlineStr">
        <is>
          <t>paragraph</t>
        </is>
      </c>
    </row>
    <row r="2815" ht="40" customHeight="1">
      <c r="A2815" s="8" t="inlineStr">
        <is>
          <t>M14-P0033</t>
        </is>
      </c>
      <c r="B2815" s="8" t="inlineStr">
        <is>
          <t>M14</t>
        </is>
      </c>
      <c r="C2815" s="8" t="inlineStr">
        <is>
          <t>CHIEF MINISTER  EMPLOYMENT GENERATION  PROGRAMME (CMEGP)</t>
        </is>
      </c>
      <c r="D2815" s="8" t="inlineStr">
        <is>
          <t>Applicant documents</t>
        </is>
      </c>
      <c r="E2815" s="8" t="inlineStr"/>
      <c r="F2815" s="8" t="inlineStr">
        <is>
          <t>documents.en.documents_required[6]</t>
        </is>
      </c>
      <c r="G2815" s="8" t="inlineStr">
        <is>
          <t>M14@20261028-57cd7d50</t>
        </is>
      </c>
      <c r="H2815" s="8" t="n">
        <v>1</v>
      </c>
      <c r="I2815" s="8" t="n">
        <v>1</v>
      </c>
      <c r="J2815" s="8" t="inlineStr">
        <is>
          <t>7)	Caste certificate(If applicable)</t>
        </is>
      </c>
      <c r="K2815" s="8" t="inlineStr">
        <is>
          <t>MS-M14</t>
        </is>
      </c>
      <c r="L2815" s="9" t="n">
        <v>46323</v>
      </c>
      <c r="M2815" s="8" t="inlineStr">
        <is>
          <t>Approved</t>
        </is>
      </c>
      <c r="N2815" s="8" t="inlineStr">
        <is>
          <t>paragraph</t>
        </is>
      </c>
    </row>
    <row r="2816" ht="40" customHeight="1">
      <c r="A2816" s="4" t="inlineStr">
        <is>
          <t>M14-P0034</t>
        </is>
      </c>
      <c r="B2816" s="4" t="inlineStr">
        <is>
          <t>M14</t>
        </is>
      </c>
      <c r="C2816" s="4" t="inlineStr">
        <is>
          <t>CHIEF MINISTER  EMPLOYMENT GENERATION  PROGRAMME (CMEGP)</t>
        </is>
      </c>
      <c r="D2816" s="4" t="inlineStr">
        <is>
          <t>Applicant documents</t>
        </is>
      </c>
      <c r="E2816" s="4" t="inlineStr"/>
      <c r="F2816" s="4" t="inlineStr">
        <is>
          <t>documents.en.documents_required[7]</t>
        </is>
      </c>
      <c r="G2816" s="4" t="inlineStr">
        <is>
          <t>M14@20261028-57cd7d50</t>
        </is>
      </c>
      <c r="H2816" s="4" t="n">
        <v>1</v>
      </c>
      <c r="I2816" s="4" t="n">
        <v>1</v>
      </c>
      <c r="J2816" s="4" t="inlineStr">
        <is>
          <t>8)	Special categary certificate(If applicable)</t>
        </is>
      </c>
      <c r="K2816" s="4" t="inlineStr">
        <is>
          <t>MS-M14</t>
        </is>
      </c>
      <c r="L2816" s="6" t="n">
        <v>46323</v>
      </c>
      <c r="M2816" s="4" t="inlineStr">
        <is>
          <t>Approved</t>
        </is>
      </c>
      <c r="N2816" s="4" t="inlineStr">
        <is>
          <t>paragraph</t>
        </is>
      </c>
    </row>
    <row r="2817" ht="40" customHeight="1">
      <c r="A2817" s="8" t="inlineStr">
        <is>
          <t>M14-P0035</t>
        </is>
      </c>
      <c r="B2817" s="8" t="inlineStr">
        <is>
          <t>M14</t>
        </is>
      </c>
      <c r="C2817" s="8" t="inlineStr">
        <is>
          <t>CHIEF MINISTER  EMPLOYMENT GENERATION  PROGRAMME (CMEGP)</t>
        </is>
      </c>
      <c r="D2817" s="8" t="inlineStr">
        <is>
          <t>Applicant documents</t>
        </is>
      </c>
      <c r="E2817" s="8" t="inlineStr"/>
      <c r="F2817" s="8" t="inlineStr">
        <is>
          <t>documents.en.documents_required[8]</t>
        </is>
      </c>
      <c r="G2817" s="8" t="inlineStr">
        <is>
          <t>M14@20261028-57cd7d50</t>
        </is>
      </c>
      <c r="H2817" s="8" t="n">
        <v>1</v>
      </c>
      <c r="I2817" s="8" t="n">
        <v>1</v>
      </c>
      <c r="J2817" s="8" t="inlineStr">
        <is>
          <t>9)	Pan card</t>
        </is>
      </c>
      <c r="K2817" s="8" t="inlineStr">
        <is>
          <t>MS-M14</t>
        </is>
      </c>
      <c r="L2817" s="9" t="n">
        <v>46323</v>
      </c>
      <c r="M2817" s="8" t="inlineStr">
        <is>
          <t>Approved</t>
        </is>
      </c>
      <c r="N2817" s="8" t="inlineStr">
        <is>
          <t>paragraph</t>
        </is>
      </c>
    </row>
    <row r="2818" ht="40" customHeight="1">
      <c r="A2818" s="4" t="inlineStr">
        <is>
          <t>M14-P0036</t>
        </is>
      </c>
      <c r="B2818" s="4" t="inlineStr">
        <is>
          <t>M14</t>
        </is>
      </c>
      <c r="C2818" s="4" t="inlineStr">
        <is>
          <t>CHIEF MINISTER  EMPLOYMENT GENERATION  PROGRAMME (CMEGP)</t>
        </is>
      </c>
      <c r="D2818" s="4" t="inlineStr">
        <is>
          <t>Applicant documents</t>
        </is>
      </c>
      <c r="E2818" s="4" t="inlineStr"/>
      <c r="F2818" s="4" t="inlineStr">
        <is>
          <t>documents.en.documents_required[9]</t>
        </is>
      </c>
      <c r="G2818" s="4" t="inlineStr">
        <is>
          <t>M14@20261028-57cd7d50</t>
        </is>
      </c>
      <c r="H2818" s="4" t="n">
        <v>1</v>
      </c>
      <c r="I2818" s="4" t="n">
        <v>1</v>
      </c>
      <c r="J2818" s="4" t="inlineStr">
        <is>
          <t>10)	Populatuion certificate (Only for rural applicant)</t>
        </is>
      </c>
      <c r="K2818" s="4" t="inlineStr">
        <is>
          <t>MS-M14</t>
        </is>
      </c>
      <c r="L2818" s="6" t="n">
        <v>46323</v>
      </c>
      <c r="M2818" s="4" t="inlineStr">
        <is>
          <t>Approved</t>
        </is>
      </c>
      <c r="N2818" s="4" t="inlineStr">
        <is>
          <t>paragraph</t>
        </is>
      </c>
    </row>
    <row r="2819" ht="40" customHeight="1">
      <c r="A2819" s="8" t="inlineStr">
        <is>
          <t>M14-P0037</t>
        </is>
      </c>
      <c r="B2819" s="8" t="inlineStr">
        <is>
          <t>M14</t>
        </is>
      </c>
      <c r="C2819" s="8" t="inlineStr">
        <is>
          <t>CHIEF MINISTER  EMPLOYMENT GENERATION  PROGRAMME (CMEGP)</t>
        </is>
      </c>
      <c r="D2819" s="8" t="inlineStr">
        <is>
          <t>Applicant documents</t>
        </is>
      </c>
      <c r="E2819" s="8" t="inlineStr"/>
      <c r="F2819" s="8" t="inlineStr">
        <is>
          <t>documents.en.documents_required[10]</t>
        </is>
      </c>
      <c r="G2819" s="8" t="inlineStr">
        <is>
          <t>M14@20261028-57cd7d50</t>
        </is>
      </c>
      <c r="H2819" s="8" t="n">
        <v>1</v>
      </c>
      <c r="I2819" s="8" t="n">
        <v>1</v>
      </c>
      <c r="J2819" s="8" t="inlineStr">
        <is>
          <t>11)	Clearance /approved certificate (bank)(If Working capital is zero for project cost more than 5 lac)</t>
        </is>
      </c>
      <c r="K2819" s="8" t="inlineStr">
        <is>
          <t>MS-M14</t>
        </is>
      </c>
      <c r="L2819" s="9" t="n">
        <v>46323</v>
      </c>
      <c r="M2819" s="8" t="inlineStr">
        <is>
          <t>Approved</t>
        </is>
      </c>
      <c r="N2819" s="8" t="inlineStr">
        <is>
          <t>paragraph</t>
        </is>
      </c>
    </row>
    <row r="2820" ht="40" customHeight="1">
      <c r="A2820" s="4" t="inlineStr">
        <is>
          <t>M14-P0038</t>
        </is>
      </c>
      <c r="B2820" s="4" t="inlineStr">
        <is>
          <t>M14</t>
        </is>
      </c>
      <c r="C2820" s="4" t="inlineStr">
        <is>
          <t>CHIEF MINISTER  EMPLOYMENT GENERATION  PROGRAMME (CMEGP)</t>
        </is>
      </c>
      <c r="D2820" s="4" t="inlineStr">
        <is>
          <t>Application process</t>
        </is>
      </c>
      <c r="E2820" s="4" t="inlineStr"/>
      <c r="F2820" s="4" t="inlineStr">
        <is>
          <t>en.applicationProcess[0].process[0].children[0]</t>
        </is>
      </c>
      <c r="G2820" s="4" t="inlineStr">
        <is>
          <t>M14@20261028-57cd7d50</t>
        </is>
      </c>
      <c r="H2820" s="4" t="n">
        <v>1</v>
      </c>
      <c r="I2820" s="4" t="n">
        <v>1</v>
      </c>
      <c r="J2820" s="4" t="inlineStr">
        <is>
          <t>Step 01:  Fill online application on portal https://maha-cmegp.gov.in</t>
        </is>
      </c>
      <c r="K2820" s="4" t="inlineStr">
        <is>
          <t>MS-M14</t>
        </is>
      </c>
      <c r="L2820" s="6" t="n">
        <v>46323</v>
      </c>
      <c r="M2820" s="4" t="inlineStr">
        <is>
          <t>Approved</t>
        </is>
      </c>
      <c r="N2820" s="4" t="inlineStr">
        <is>
          <t>paragraph</t>
        </is>
      </c>
    </row>
    <row r="2821" ht="54" customHeight="1">
      <c r="A2821" s="8" t="inlineStr">
        <is>
          <t>M14-P0039</t>
        </is>
      </c>
      <c r="B2821" s="8" t="inlineStr">
        <is>
          <t>M14</t>
        </is>
      </c>
      <c r="C2821" s="8" t="inlineStr">
        <is>
          <t>CHIEF MINISTER  EMPLOYMENT GENERATION  PROGRAMME (CMEGP)</t>
        </is>
      </c>
      <c r="D2821" s="8" t="inlineStr">
        <is>
          <t>Application process</t>
        </is>
      </c>
      <c r="E2821" s="8" t="inlineStr"/>
      <c r="F2821" s="8" t="inlineStr">
        <is>
          <t>en.applicationProcess[0].process[0].children[2]</t>
        </is>
      </c>
      <c r="G2821" s="8" t="inlineStr">
        <is>
          <t>M14@20261028-57cd7d50</t>
        </is>
      </c>
      <c r="H2821" s="8" t="n">
        <v>1</v>
      </c>
      <c r="I2821" s="8" t="n">
        <v>1</v>
      </c>
      <c r="J2821" s="8" t="inlineStr">
        <is>
          <t>Step 02: District level Scrutiny and Coordination Sub-Committee (DLSCC) constituted under the Chairmanship of respective GM, DICs will scrutinize the applications and prepare a primary list of eligible applicants.</t>
        </is>
      </c>
      <c r="K2821" s="8" t="inlineStr">
        <is>
          <t>MS-M14</t>
        </is>
      </c>
      <c r="L2821" s="9" t="n">
        <v>46323</v>
      </c>
      <c r="M2821" s="8" t="inlineStr">
        <is>
          <t>Approved</t>
        </is>
      </c>
      <c r="N2821" s="8" t="inlineStr">
        <is>
          <t>paragraph</t>
        </is>
      </c>
    </row>
    <row r="2822" ht="40" customHeight="1">
      <c r="A2822" s="4" t="inlineStr">
        <is>
          <t>M14-P0040</t>
        </is>
      </c>
      <c r="B2822" s="4" t="inlineStr">
        <is>
          <t>M14</t>
        </is>
      </c>
      <c r="C2822" s="4" t="inlineStr">
        <is>
          <t>CHIEF MINISTER  EMPLOYMENT GENERATION  PROGRAMME (CMEGP)</t>
        </is>
      </c>
      <c r="D2822" s="4" t="inlineStr">
        <is>
          <t>Application process</t>
        </is>
      </c>
      <c r="E2822" s="4" t="inlineStr"/>
      <c r="F2822" s="4" t="inlineStr">
        <is>
          <t>en.applicationProcess[0].process[0].children[4]</t>
        </is>
      </c>
      <c r="G2822" s="4" t="inlineStr">
        <is>
          <t>M14@20261028-57cd7d50</t>
        </is>
      </c>
      <c r="H2822" s="4" t="n">
        <v>1</v>
      </c>
      <c r="I2822" s="4" t="n">
        <v>1</v>
      </c>
      <c r="J2822" s="4" t="inlineStr">
        <is>
          <t>Step 03: primary eligible applicants list will be approved by DLTFC and then forwarded to bank.</t>
        </is>
      </c>
      <c r="K2822" s="4" t="inlineStr">
        <is>
          <t>MS-M14</t>
        </is>
      </c>
      <c r="L2822" s="6" t="n">
        <v>46323</v>
      </c>
      <c r="M2822" s="4" t="inlineStr">
        <is>
          <t>Approved</t>
        </is>
      </c>
      <c r="N2822" s="4" t="inlineStr">
        <is>
          <t>paragraph</t>
        </is>
      </c>
    </row>
    <row r="2823" ht="40" customHeight="1">
      <c r="A2823" s="8" t="inlineStr">
        <is>
          <t>M14-P0041</t>
        </is>
      </c>
      <c r="B2823" s="8" t="inlineStr">
        <is>
          <t>M14</t>
        </is>
      </c>
      <c r="C2823" s="8" t="inlineStr">
        <is>
          <t>CHIEF MINISTER  EMPLOYMENT GENERATION  PROGRAMME (CMEGP)</t>
        </is>
      </c>
      <c r="D2823" s="8" t="inlineStr">
        <is>
          <t>Application process</t>
        </is>
      </c>
      <c r="E2823" s="8" t="inlineStr"/>
      <c r="F2823" s="8" t="inlineStr">
        <is>
          <t>en.applicationProcess[0].process[0].children[6]</t>
        </is>
      </c>
      <c r="G2823" s="8" t="inlineStr">
        <is>
          <t>M14@20261028-57cd7d50</t>
        </is>
      </c>
      <c r="H2823" s="8" t="n">
        <v>1</v>
      </c>
      <c r="I2823" s="8" t="n">
        <v>1</v>
      </c>
      <c r="J2823" s="8" t="inlineStr">
        <is>
          <t>Step 04: Bank Sanctioning &amp;  Entrepreneurship Development Programme (EDP)  training &amp;  Disbursment</t>
        </is>
      </c>
      <c r="K2823" s="8" t="inlineStr">
        <is>
          <t>MS-M14</t>
        </is>
      </c>
      <c r="L2823" s="9" t="n">
        <v>46323</v>
      </c>
      <c r="M2823" s="8" t="inlineStr">
        <is>
          <t>Approved</t>
        </is>
      </c>
      <c r="N2823" s="8" t="inlineStr">
        <is>
          <t>paragraph</t>
        </is>
      </c>
    </row>
    <row r="2824" ht="40" customHeight="1">
      <c r="A2824" s="4" t="inlineStr">
        <is>
          <t>M14-P0042</t>
        </is>
      </c>
      <c r="B2824" s="4" t="inlineStr">
        <is>
          <t>M14</t>
        </is>
      </c>
      <c r="C2824" s="4" t="inlineStr">
        <is>
          <t>CHIEF MINISTER  EMPLOYMENT GENERATION  PROGRAMME (CMEGP)</t>
        </is>
      </c>
      <c r="D2824" s="4" t="inlineStr">
        <is>
          <t>Application process</t>
        </is>
      </c>
      <c r="E2824" s="4" t="inlineStr"/>
      <c r="F2824" s="4" t="inlineStr">
        <is>
          <t>en.applicationProcess[0].process[0].children[8]</t>
        </is>
      </c>
      <c r="G2824" s="4" t="inlineStr">
        <is>
          <t>M14@20261028-57cd7d50</t>
        </is>
      </c>
      <c r="H2824" s="4" t="n">
        <v>1</v>
      </c>
      <c r="I2824" s="4" t="n">
        <v>1</v>
      </c>
      <c r="J2824" s="4" t="inlineStr">
        <is>
          <t>Step 05: Subsidy claim by Bank to GM</t>
        </is>
      </c>
      <c r="K2824" s="4" t="inlineStr">
        <is>
          <t>MS-M14</t>
        </is>
      </c>
      <c r="L2824" s="6" t="n">
        <v>46323</v>
      </c>
      <c r="M2824" s="4" t="inlineStr">
        <is>
          <t>Approved</t>
        </is>
      </c>
      <c r="N2824" s="4" t="inlineStr">
        <is>
          <t>paragraph</t>
        </is>
      </c>
    </row>
    <row r="2825" ht="40" customHeight="1">
      <c r="A2825" s="8" t="inlineStr">
        <is>
          <t>M14-P0043</t>
        </is>
      </c>
      <c r="B2825" s="8" t="inlineStr">
        <is>
          <t>M14</t>
        </is>
      </c>
      <c r="C2825" s="8" t="inlineStr">
        <is>
          <t>CHIEF MINISTER  EMPLOYMENT GENERATION  PROGRAMME (CMEGP)</t>
        </is>
      </c>
      <c r="D2825" s="8" t="inlineStr">
        <is>
          <t>Application process</t>
        </is>
      </c>
      <c r="E2825" s="8" t="inlineStr"/>
      <c r="F2825" s="8" t="inlineStr">
        <is>
          <t>en.applicationProcess[0].process[0].children[10]</t>
        </is>
      </c>
      <c r="G2825" s="8" t="inlineStr">
        <is>
          <t>M14@20261028-57cd7d50</t>
        </is>
      </c>
      <c r="H2825" s="8" t="n">
        <v>1</v>
      </c>
      <c r="I2825" s="8" t="n">
        <v>1</v>
      </c>
      <c r="J2825" s="8" t="inlineStr">
        <is>
          <t>Step 06: Approval of claim by HO and disbursement of margin money viz. nodal bank</t>
        </is>
      </c>
      <c r="K2825" s="8" t="inlineStr">
        <is>
          <t>MS-M14</t>
        </is>
      </c>
      <c r="L2825" s="9" t="n">
        <v>46323</v>
      </c>
      <c r="M2825" s="8" t="inlineStr">
        <is>
          <t>Approved</t>
        </is>
      </c>
      <c r="N2825" s="8" t="inlineStr">
        <is>
          <t>paragraph</t>
        </is>
      </c>
    </row>
    <row r="2826" ht="54" customHeight="1">
      <c r="A2826" s="4" t="inlineStr">
        <is>
          <t>M14-P0044</t>
        </is>
      </c>
      <c r="B2826" s="4" t="inlineStr">
        <is>
          <t>M14</t>
        </is>
      </c>
      <c r="C2826" s="4" t="inlineStr">
        <is>
          <t>CHIEF MINISTER  EMPLOYMENT GENERATION  PROGRAMME (CMEGP)</t>
        </is>
      </c>
      <c r="D2826" s="4" t="inlineStr">
        <is>
          <t>Application process</t>
        </is>
      </c>
      <c r="E2826" s="4" t="inlineStr"/>
      <c r="F2826" s="4" t="inlineStr">
        <is>
          <t>en.applicationProcess[0].process[0].children[12]</t>
        </is>
      </c>
      <c r="G2826" s="4" t="inlineStr">
        <is>
          <t>M14@20261028-57cd7d50</t>
        </is>
      </c>
      <c r="H2826" s="4" t="n">
        <v>1</v>
      </c>
      <c r="I2826" s="4" t="n">
        <v>1</v>
      </c>
      <c r="J2826" s="4" t="inlineStr">
        <is>
          <t>Step 07: completion of three successful years of activity and following the timely repayment schedule as informed by the bank, the margin money in the form of grant-in-aid will be re-appropriated in the applicant’s loan account after confirmation / necessary validation from GM, DIC.</t>
        </is>
      </c>
      <c r="K2826" s="4" t="inlineStr">
        <is>
          <t>MS-M14</t>
        </is>
      </c>
      <c r="L2826" s="6" t="n">
        <v>46323</v>
      </c>
      <c r="M2826" s="4" t="inlineStr">
        <is>
          <t>Approved</t>
        </is>
      </c>
      <c r="N2826" s="4" t="inlineStr">
        <is>
          <t>paragraph</t>
        </is>
      </c>
    </row>
    <row r="2827" ht="40" customHeight="1">
      <c r="A2827" s="8" t="inlineStr">
        <is>
          <t>M14-P0045</t>
        </is>
      </c>
      <c r="B2827" s="8" t="inlineStr">
        <is>
          <t>M14</t>
        </is>
      </c>
      <c r="C2827" s="8" t="inlineStr">
        <is>
          <t>CHIEF MINISTER  EMPLOYMENT GENERATION  PROGRAMME (CMEGP)</t>
        </is>
      </c>
      <c r="D2827" s="8" t="inlineStr">
        <is>
          <t>FAQ</t>
        </is>
      </c>
      <c r="E2827" s="8" t="inlineStr"/>
      <c r="F2827" s="8" t="inlineStr">
        <is>
          <t>faqs.en.faqs[0]</t>
        </is>
      </c>
      <c r="G2827" s="8" t="inlineStr">
        <is>
          <t>M14@20261028-57cd7d50</t>
        </is>
      </c>
      <c r="H2827" s="8" t="n">
        <v>1</v>
      </c>
      <c r="I2827" s="8" t="n">
        <v>1</v>
      </c>
      <c r="J2827" s="8" t="inlineStr">
        <is>
          <t>What is maximum project cost allowed under CMEGP? 
Rs.50.00 lakhs for manufacturing unit and Rs.20.00 lakhs for Service Unit.</t>
        </is>
      </c>
      <c r="K2827" s="8" t="inlineStr">
        <is>
          <t>MS-M14</t>
        </is>
      </c>
      <c r="L2827" s="9" t="n">
        <v>46323</v>
      </c>
      <c r="M2827" s="8" t="inlineStr">
        <is>
          <t>Approved</t>
        </is>
      </c>
      <c r="N2827" s="8" t="inlineStr">
        <is>
          <t>faq</t>
        </is>
      </c>
    </row>
    <row r="2828" ht="40" customHeight="1">
      <c r="A2828" s="4" t="inlineStr">
        <is>
          <t>M14-P0046</t>
        </is>
      </c>
      <c r="B2828" s="4" t="inlineStr">
        <is>
          <t>M14</t>
        </is>
      </c>
      <c r="C2828" s="4" t="inlineStr">
        <is>
          <t>CHIEF MINISTER  EMPLOYMENT GENERATION  PROGRAMME (CMEGP)</t>
        </is>
      </c>
      <c r="D2828" s="4" t="inlineStr">
        <is>
          <t>FAQ</t>
        </is>
      </c>
      <c r="E2828" s="4" t="inlineStr"/>
      <c r="F2828" s="4" t="inlineStr">
        <is>
          <t>faqs.en.faqs[1]</t>
        </is>
      </c>
      <c r="G2828" s="4" t="inlineStr">
        <is>
          <t>M14@20261028-57cd7d50</t>
        </is>
      </c>
      <c r="H2828" s="4" t="n">
        <v>1</v>
      </c>
      <c r="I2828" s="4" t="n">
        <v>1</v>
      </c>
      <c r="J2828" s="4" t="inlineStr">
        <is>
          <t>Who are the beneficiaries? 
Individual Entrepreneurs and SHG’s.</t>
        </is>
      </c>
      <c r="K2828" s="4" t="inlineStr">
        <is>
          <t>MS-M14</t>
        </is>
      </c>
      <c r="L2828" s="6" t="n">
        <v>46323</v>
      </c>
      <c r="M2828" s="4" t="inlineStr">
        <is>
          <t>Approved</t>
        </is>
      </c>
      <c r="N2828" s="4" t="inlineStr">
        <is>
          <t>faq</t>
        </is>
      </c>
    </row>
    <row r="2829" ht="40" customHeight="1">
      <c r="A2829" s="8" t="inlineStr">
        <is>
          <t>M14-P0047</t>
        </is>
      </c>
      <c r="B2829" s="8" t="inlineStr">
        <is>
          <t>M14</t>
        </is>
      </c>
      <c r="C2829" s="8" t="inlineStr">
        <is>
          <t>CHIEF MINISTER  EMPLOYMENT GENERATION  PROGRAMME (CMEGP)</t>
        </is>
      </c>
      <c r="D2829" s="8" t="inlineStr">
        <is>
          <t>FAQ</t>
        </is>
      </c>
      <c r="E2829" s="8" t="inlineStr"/>
      <c r="F2829" s="8" t="inlineStr">
        <is>
          <t>faqs.en.faqs[2]</t>
        </is>
      </c>
      <c r="G2829" s="8" t="inlineStr">
        <is>
          <t>M14@20261028-57cd7d50</t>
        </is>
      </c>
      <c r="H2829" s="8" t="n">
        <v>1</v>
      </c>
      <c r="I2829" s="8" t="n">
        <v>1</v>
      </c>
      <c r="J2829" s="8" t="inlineStr">
        <is>
          <t>What is Age limit ? 
Any individuals between 18 to 45 years of age. For special category age is relaxed by 5 years.</t>
        </is>
      </c>
      <c r="K2829" s="8" t="inlineStr">
        <is>
          <t>MS-M14</t>
        </is>
      </c>
      <c r="L2829" s="9" t="n">
        <v>46323</v>
      </c>
      <c r="M2829" s="8" t="inlineStr">
        <is>
          <t>Approved</t>
        </is>
      </c>
      <c r="N2829" s="8" t="inlineStr">
        <is>
          <t>faq</t>
        </is>
      </c>
    </row>
    <row r="2830" ht="40" customHeight="1">
      <c r="A2830" s="4" t="inlineStr">
        <is>
          <t>M14-P0048</t>
        </is>
      </c>
      <c r="B2830" s="4" t="inlineStr">
        <is>
          <t>M14</t>
        </is>
      </c>
      <c r="C2830" s="4" t="inlineStr">
        <is>
          <t>CHIEF MINISTER  EMPLOYMENT GENERATION  PROGRAMME (CMEGP)</t>
        </is>
      </c>
      <c r="D2830" s="4" t="inlineStr">
        <is>
          <t>FAQ</t>
        </is>
      </c>
      <c r="E2830" s="4" t="inlineStr"/>
      <c r="F2830" s="4" t="inlineStr">
        <is>
          <t>faqs.en.faqs[3]</t>
        </is>
      </c>
      <c r="G2830" s="4" t="inlineStr">
        <is>
          <t>M14@20261028-57cd7d50</t>
        </is>
      </c>
      <c r="H2830" s="4" t="n">
        <v>1</v>
      </c>
      <c r="I2830" s="4" t="n">
        <v>1</v>
      </c>
      <c r="J2830" s="4" t="inlineStr">
        <is>
          <t>What is the definition of family ? 
Self and Spouse.</t>
        </is>
      </c>
      <c r="K2830" s="4" t="inlineStr">
        <is>
          <t>MS-M14</t>
        </is>
      </c>
      <c r="L2830" s="6" t="n">
        <v>46323</v>
      </c>
      <c r="M2830" s="4" t="inlineStr">
        <is>
          <t>Approved</t>
        </is>
      </c>
      <c r="N2830" s="4" t="inlineStr">
        <is>
          <t>faq</t>
        </is>
      </c>
    </row>
    <row r="2831" ht="40" customHeight="1">
      <c r="A2831" s="8" t="inlineStr">
        <is>
          <t>M14-P0049</t>
        </is>
      </c>
      <c r="B2831" s="8" t="inlineStr">
        <is>
          <t>M14</t>
        </is>
      </c>
      <c r="C2831" s="8" t="inlineStr">
        <is>
          <t>CHIEF MINISTER  EMPLOYMENT GENERATION  PROGRAMME (CMEGP)</t>
        </is>
      </c>
      <c r="D2831" s="8" t="inlineStr">
        <is>
          <t>FAQ</t>
        </is>
      </c>
      <c r="E2831" s="8" t="inlineStr"/>
      <c r="F2831" s="8" t="inlineStr">
        <is>
          <t>faqs.en.faqs[4]</t>
        </is>
      </c>
      <c r="G2831" s="8" t="inlineStr">
        <is>
          <t>M14@20261028-57cd7d50</t>
        </is>
      </c>
      <c r="H2831" s="8" t="n">
        <v>1</v>
      </c>
      <c r="I2831" s="8" t="n">
        <v>1</v>
      </c>
      <c r="J2831" s="8" t="inlineStr">
        <is>
          <t>Whether Unit can be set up in urban Area.? 
Yes, through Implementing Agencies.</t>
        </is>
      </c>
      <c r="K2831" s="8" t="inlineStr">
        <is>
          <t>MS-M14</t>
        </is>
      </c>
      <c r="L2831" s="9" t="n">
        <v>46323</v>
      </c>
      <c r="M2831" s="8" t="inlineStr">
        <is>
          <t>Approved</t>
        </is>
      </c>
      <c r="N2831" s="8" t="inlineStr">
        <is>
          <t>faq</t>
        </is>
      </c>
    </row>
    <row r="2832" ht="54" customHeight="1">
      <c r="A2832" s="4" t="inlineStr">
        <is>
          <t>M14-P0050</t>
        </is>
      </c>
      <c r="B2832" s="4" t="inlineStr">
        <is>
          <t>M14</t>
        </is>
      </c>
      <c r="C2832" s="4" t="inlineStr">
        <is>
          <t>CHIEF MINISTER  EMPLOYMENT GENERATION  PROGRAMME (CMEGP)</t>
        </is>
      </c>
      <c r="D2832" s="4" t="inlineStr">
        <is>
          <t>FAQ</t>
        </is>
      </c>
      <c r="E2832" s="4" t="inlineStr"/>
      <c r="F2832" s="4" t="inlineStr">
        <is>
          <t>faqs.en.faqs[5]</t>
        </is>
      </c>
      <c r="G2832" s="4" t="inlineStr">
        <is>
          <t>M14@20261028-57cd7d50</t>
        </is>
      </c>
      <c r="H2832" s="4" t="n">
        <v>1</v>
      </c>
      <c r="I2832" s="4" t="n">
        <v>1</v>
      </c>
      <c r="J2832" s="4" t="inlineStr">
        <is>
          <t>What are the main criteria of project? 
It should fulfill the criteria of rural area (for Rural Area project), own contribution, negative list and the unit should be new one.</t>
        </is>
      </c>
      <c r="K2832" s="4" t="inlineStr">
        <is>
          <t>MS-M14</t>
        </is>
      </c>
      <c r="L2832" s="6" t="n">
        <v>46323</v>
      </c>
      <c r="M2832" s="4" t="inlineStr">
        <is>
          <t>Approved</t>
        </is>
      </c>
      <c r="N2832" s="4" t="inlineStr">
        <is>
          <t>faq</t>
        </is>
      </c>
    </row>
    <row r="2833" ht="40" customHeight="1">
      <c r="A2833" s="8" t="inlineStr">
        <is>
          <t>M14-P0051</t>
        </is>
      </c>
      <c r="B2833" s="8" t="inlineStr">
        <is>
          <t>M14</t>
        </is>
      </c>
      <c r="C2833" s="8" t="inlineStr">
        <is>
          <t>CHIEF MINISTER  EMPLOYMENT GENERATION  PROGRAMME (CMEGP)</t>
        </is>
      </c>
      <c r="D2833" s="8" t="inlineStr">
        <is>
          <t>FAQ</t>
        </is>
      </c>
      <c r="E2833" s="8" t="inlineStr"/>
      <c r="F2833" s="8" t="inlineStr">
        <is>
          <t>faqs.en.faqs[6]</t>
        </is>
      </c>
      <c r="G2833" s="8" t="inlineStr">
        <is>
          <t>M14@20261028-57cd7d50</t>
        </is>
      </c>
      <c r="H2833" s="8" t="n">
        <v>1</v>
      </c>
      <c r="I2833" s="8" t="n">
        <v>1</v>
      </c>
      <c r="J2833" s="8" t="inlineStr">
        <is>
          <t>What is lock in period for Govt. Subsidy? 
3 years.</t>
        </is>
      </c>
      <c r="K2833" s="8" t="inlineStr">
        <is>
          <t>MS-M14</t>
        </is>
      </c>
      <c r="L2833" s="9" t="n">
        <v>46323</v>
      </c>
      <c r="M2833" s="8" t="inlineStr">
        <is>
          <t>Approved</t>
        </is>
      </c>
      <c r="N2833" s="8" t="inlineStr">
        <is>
          <t>faq</t>
        </is>
      </c>
    </row>
    <row r="2834" ht="54" customHeight="1">
      <c r="A2834" s="4" t="inlineStr">
        <is>
          <t>M14-P0052</t>
        </is>
      </c>
      <c r="B2834" s="4" t="inlineStr">
        <is>
          <t>M14</t>
        </is>
      </c>
      <c r="C2834" s="4" t="inlineStr">
        <is>
          <t>CHIEF MINISTER  EMPLOYMENT GENERATION  PROGRAMME (CMEGP)</t>
        </is>
      </c>
      <c r="D2834" s="4" t="inlineStr">
        <is>
          <t>FAQ</t>
        </is>
      </c>
      <c r="E2834" s="4" t="inlineStr"/>
      <c r="F2834" s="4" t="inlineStr">
        <is>
          <t>faqs.en.faqs[7]</t>
        </is>
      </c>
      <c r="G2834" s="4" t="inlineStr">
        <is>
          <t>M14@20261028-57cd7d50</t>
        </is>
      </c>
      <c r="H2834" s="4" t="n">
        <v>1</v>
      </c>
      <c r="I2834" s="4" t="n">
        <v>1</v>
      </c>
      <c r="J2834" s="4" t="inlineStr">
        <is>
          <t>Which are the financial agencies? 
All Public Sector Banks, Regional Rural Banks (RRB), Co-operative Banks, Private Scheduled Commercial Banks regulated by RBI and approved by SLMC of concern State.</t>
        </is>
      </c>
      <c r="K2834" s="4" t="inlineStr">
        <is>
          <t>MS-M14</t>
        </is>
      </c>
      <c r="L2834" s="6" t="n">
        <v>46323</v>
      </c>
      <c r="M2834" s="4" t="inlineStr">
        <is>
          <t>Approved</t>
        </is>
      </c>
      <c r="N2834" s="4" t="inlineStr">
        <is>
          <t>faq</t>
        </is>
      </c>
    </row>
    <row r="2835" ht="54" customHeight="1">
      <c r="A2835" s="8" t="inlineStr">
        <is>
          <t>M14-P0053</t>
        </is>
      </c>
      <c r="B2835" s="8" t="inlineStr">
        <is>
          <t>M14</t>
        </is>
      </c>
      <c r="C2835" s="8" t="inlineStr">
        <is>
          <t>CHIEF MINISTER  EMPLOYMENT GENERATION  PROGRAMME (CMEGP)</t>
        </is>
      </c>
      <c r="D2835" s="8" t="inlineStr">
        <is>
          <t>FAQ</t>
        </is>
      </c>
      <c r="E2835" s="8" t="inlineStr"/>
      <c r="F2835" s="8" t="inlineStr">
        <is>
          <t>faqs.en.faqs[8]</t>
        </is>
      </c>
      <c r="G2835" s="8" t="inlineStr">
        <is>
          <t>M14@20261028-57cd7d50</t>
        </is>
      </c>
      <c r="H2835" s="8" t="n">
        <v>1</v>
      </c>
      <c r="I2835" s="8" t="n">
        <v>1</v>
      </c>
      <c r="J2835" s="8" t="inlineStr">
        <is>
          <t>Where does the beneficiary has to submit his/her application/ Project? 
Beneficiary can submit his/her application/Project online on CMEGP website. https://maha-cmegp.gov.in /homepage</t>
        </is>
      </c>
      <c r="K2835" s="8" t="inlineStr">
        <is>
          <t>MS-M14</t>
        </is>
      </c>
      <c r="L2835" s="9" t="n">
        <v>46323</v>
      </c>
      <c r="M2835" s="8" t="inlineStr">
        <is>
          <t>Approved</t>
        </is>
      </c>
      <c r="N2835" s="8" t="inlineStr">
        <is>
          <t>faq</t>
        </is>
      </c>
    </row>
    <row r="2836" ht="82" customHeight="1">
      <c r="A2836" s="4" t="inlineStr">
        <is>
          <t>M15-P0001</t>
        </is>
      </c>
      <c r="B2836" s="4" t="inlineStr">
        <is>
          <t>M15</t>
        </is>
      </c>
      <c r="C2836" s="4" t="inlineStr">
        <is>
          <t>Nanaji Deshmukh Krishi Sanjivani Prakalp</t>
        </is>
      </c>
      <c r="D2836" s="4" t="inlineStr">
        <is>
          <t>Details</t>
        </is>
      </c>
      <c r="E2836" s="4" t="inlineStr"/>
      <c r="F2836" s="4" t="inlineStr">
        <is>
          <t>en.schemeContent.detailedDescription[0]</t>
        </is>
      </c>
      <c r="G2836" s="4" t="inlineStr">
        <is>
          <t>M15@20261028-58f85607</t>
        </is>
      </c>
      <c r="H2836" s="4" t="n">
        <v>1</v>
      </c>
      <c r="I2836" s="4" t="n">
        <v>1</v>
      </c>
      <c r="J2836" s="4" t="inlineStr">
        <is>
          <t>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t>
        </is>
      </c>
      <c r="K2836" s="4" t="inlineStr">
        <is>
          <t>MS-M15</t>
        </is>
      </c>
      <c r="L2836" s="6" t="n">
        <v>46323</v>
      </c>
      <c r="M2836" s="4" t="inlineStr">
        <is>
          <t>Approved</t>
        </is>
      </c>
      <c r="N2836" s="4" t="inlineStr">
        <is>
          <t>paragraph</t>
        </is>
      </c>
    </row>
    <row r="2837" ht="138" customHeight="1">
      <c r="A2837" s="8" t="inlineStr">
        <is>
          <t>M15-P0002</t>
        </is>
      </c>
      <c r="B2837" s="8" t="inlineStr">
        <is>
          <t>M15</t>
        </is>
      </c>
      <c r="C2837" s="8" t="inlineStr">
        <is>
          <t>Nanaji Deshmukh Krishi Sanjivani Prakalp</t>
        </is>
      </c>
      <c r="D2837" s="8" t="inlineStr">
        <is>
          <t>Details</t>
        </is>
      </c>
      <c r="E2837" s="8" t="inlineStr"/>
      <c r="F2837" s="8" t="inlineStr">
        <is>
          <t>en.schemeContent.detailedDescription[2]</t>
        </is>
      </c>
      <c r="G2837" s="8" t="inlineStr">
        <is>
          <t>M15@20261028-58f85607</t>
        </is>
      </c>
      <c r="H2837" s="8" t="n">
        <v>1</v>
      </c>
      <c r="I2837" s="8" t="n">
        <v>1</v>
      </c>
      <c r="J2837" s="8" t="inlineStr">
        <is>
          <t>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“Krushi Tais” (female mobilizers) at the village level.</t>
        </is>
      </c>
      <c r="K2837" s="8" t="inlineStr">
        <is>
          <t>MS-M15</t>
        </is>
      </c>
      <c r="L2837" s="9" t="n">
        <v>46323</v>
      </c>
      <c r="M2837" s="8" t="inlineStr">
        <is>
          <t>Approved</t>
        </is>
      </c>
      <c r="N2837" s="8" t="inlineStr">
        <is>
          <t>paragraph</t>
        </is>
      </c>
    </row>
    <row r="2838" ht="96" customHeight="1">
      <c r="A2838" s="4" t="inlineStr">
        <is>
          <t>M15-P0003</t>
        </is>
      </c>
      <c r="B2838" s="4" t="inlineStr">
        <is>
          <t>M15</t>
        </is>
      </c>
      <c r="C2838" s="4" t="inlineStr">
        <is>
          <t>Nanaji Deshmukh Krishi Sanjivani Prakalp</t>
        </is>
      </c>
      <c r="D2838" s="4" t="inlineStr">
        <is>
          <t>Details</t>
        </is>
      </c>
      <c r="E2838" s="4" t="inlineStr"/>
      <c r="F2838" s="4" t="inlineStr">
        <is>
          <t>en.schemeContent.detailedDescription[4]</t>
        </is>
      </c>
      <c r="G2838" s="4" t="inlineStr">
        <is>
          <t>M15@20261028-58f85607</t>
        </is>
      </c>
      <c r="H2838" s="4" t="n">
        <v>1</v>
      </c>
      <c r="I2838" s="4" t="n">
        <v>1</v>
      </c>
      <c r="J2838" s="4" t="inlineStr">
        <is>
          <t>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farmer’s Aadhar linked bank account. Another module of this portal allows the farmers’ collectives to receive matching grants for their value chain based agribusiness proposals.</t>
        </is>
      </c>
      <c r="K2838" s="4" t="inlineStr">
        <is>
          <t>MS-M15</t>
        </is>
      </c>
      <c r="L2838" s="6" t="n">
        <v>46323</v>
      </c>
      <c r="M2838" s="4" t="inlineStr">
        <is>
          <t>Approved</t>
        </is>
      </c>
      <c r="N2838" s="4" t="inlineStr">
        <is>
          <t>paragraph</t>
        </is>
      </c>
    </row>
    <row r="2839" ht="40" customHeight="1">
      <c r="A2839" s="8" t="inlineStr">
        <is>
          <t>M15-P0004</t>
        </is>
      </c>
      <c r="B2839" s="8" t="inlineStr">
        <is>
          <t>M15</t>
        </is>
      </c>
      <c r="C2839" s="8" t="inlineStr">
        <is>
          <t>Nanaji Deshmukh Krishi Sanjivani Prakalp</t>
        </is>
      </c>
      <c r="D2839" s="8" t="inlineStr">
        <is>
          <t>Benefits</t>
        </is>
      </c>
      <c r="E2839" s="8" t="inlineStr"/>
      <c r="F2839" s="8" t="inlineStr">
        <is>
          <t>en.schemeContent.benefits[0]</t>
        </is>
      </c>
      <c r="G2839" s="8" t="inlineStr">
        <is>
          <t>M15@20261028-58f85607</t>
        </is>
      </c>
      <c r="H2839" s="8" t="n">
        <v>1</v>
      </c>
      <c r="I2839" s="8" t="n">
        <v>1</v>
      </c>
      <c r="J2839" s="8" t="inlineStr">
        <is>
          <t>1)	Back ended financial subsidies for Farmers to adopt climate resilient agricultural initiatives in their farms</t>
        </is>
      </c>
      <c r="K2839" s="8" t="inlineStr">
        <is>
          <t>MS-M15</t>
        </is>
      </c>
      <c r="L2839" s="9" t="n">
        <v>46323</v>
      </c>
      <c r="M2839" s="8" t="inlineStr">
        <is>
          <t>Approved</t>
        </is>
      </c>
      <c r="N2839" s="8" t="inlineStr">
        <is>
          <t>paragraph</t>
        </is>
      </c>
    </row>
    <row r="2840" ht="40" customHeight="1">
      <c r="A2840" s="4" t="inlineStr">
        <is>
          <t>M15-P0005</t>
        </is>
      </c>
      <c r="B2840" s="4" t="inlineStr">
        <is>
          <t>M15</t>
        </is>
      </c>
      <c r="C2840" s="4" t="inlineStr">
        <is>
          <t>Nanaji Deshmukh Krishi Sanjivani Prakalp</t>
        </is>
      </c>
      <c r="D2840" s="4" t="inlineStr">
        <is>
          <t>Benefits</t>
        </is>
      </c>
      <c r="E2840" s="4" t="inlineStr"/>
      <c r="F2840" s="4" t="inlineStr">
        <is>
          <t>en.schemeContent.benefits[1]</t>
        </is>
      </c>
      <c r="G2840" s="4" t="inlineStr">
        <is>
          <t>M15@20261028-58f85607</t>
        </is>
      </c>
      <c r="H2840" s="4" t="n">
        <v>1</v>
      </c>
      <c r="I2840" s="4" t="n">
        <v>1</v>
      </c>
      <c r="J2840" s="4" t="inlineStr">
        <is>
          <t>2)	Financial assistance available for protected cultivation techniques such as Poly House, Poly Tunnels, etc.</t>
        </is>
      </c>
      <c r="K2840" s="4" t="inlineStr">
        <is>
          <t>MS-M15</t>
        </is>
      </c>
      <c r="L2840" s="6" t="n">
        <v>46323</v>
      </c>
      <c r="M2840" s="4" t="inlineStr">
        <is>
          <t>Approved</t>
        </is>
      </c>
      <c r="N2840" s="4" t="inlineStr">
        <is>
          <t>paragraph</t>
        </is>
      </c>
    </row>
    <row r="2841" ht="40" customHeight="1">
      <c r="A2841" s="8" t="inlineStr">
        <is>
          <t>M15-P0006</t>
        </is>
      </c>
      <c r="B2841" s="8" t="inlineStr">
        <is>
          <t>M15</t>
        </is>
      </c>
      <c r="C2841" s="8" t="inlineStr">
        <is>
          <t>Nanaji Deshmukh Krishi Sanjivani Prakalp</t>
        </is>
      </c>
      <c r="D2841" s="8" t="inlineStr">
        <is>
          <t>Benefits</t>
        </is>
      </c>
      <c r="E2841" s="8" t="inlineStr"/>
      <c r="F2841" s="8" t="inlineStr">
        <is>
          <t>en.schemeContent.benefits[2]</t>
        </is>
      </c>
      <c r="G2841" s="8" t="inlineStr">
        <is>
          <t>M15@20261028-58f85607</t>
        </is>
      </c>
      <c r="H2841" s="8" t="n">
        <v>1</v>
      </c>
      <c r="I2841" s="8" t="n">
        <v>1</v>
      </c>
      <c r="J2841" s="8" t="inlineStr">
        <is>
          <t>3)	Subsidy also available for on farm water conservation activities such as Drip, Sprinklers, Farm Pond, Farm Pond linings, etc.</t>
        </is>
      </c>
      <c r="K2841" s="8" t="inlineStr">
        <is>
          <t>MS-M15</t>
        </is>
      </c>
      <c r="L2841" s="9" t="n">
        <v>46323</v>
      </c>
      <c r="M2841" s="8" t="inlineStr">
        <is>
          <t>Approved</t>
        </is>
      </c>
      <c r="N2841" s="8" t="inlineStr">
        <is>
          <t>paragraph</t>
        </is>
      </c>
    </row>
    <row r="2842" ht="40" customHeight="1">
      <c r="A2842" s="4" t="inlineStr">
        <is>
          <t>M15-P0007</t>
        </is>
      </c>
      <c r="B2842" s="4" t="inlineStr">
        <is>
          <t>M15</t>
        </is>
      </c>
      <c r="C2842" s="4" t="inlineStr">
        <is>
          <t>Nanaji Deshmukh Krishi Sanjivani Prakalp</t>
        </is>
      </c>
      <c r="D2842" s="4" t="inlineStr">
        <is>
          <t>Benefits</t>
        </is>
      </c>
      <c r="E2842" s="4" t="inlineStr"/>
      <c r="F2842" s="4" t="inlineStr">
        <is>
          <t>en.schemeContent.benefits[3]</t>
        </is>
      </c>
      <c r="G2842" s="4" t="inlineStr">
        <is>
          <t>M15@20261028-58f85607</t>
        </is>
      </c>
      <c r="H2842" s="4" t="n">
        <v>1</v>
      </c>
      <c r="I2842" s="4" t="n">
        <v>1</v>
      </c>
      <c r="J2842" s="4" t="inlineStr">
        <is>
          <t>4)	Climate Resilient seed production also covered</t>
        </is>
      </c>
      <c r="K2842" s="4" t="inlineStr">
        <is>
          <t>MS-M15</t>
        </is>
      </c>
      <c r="L2842" s="6" t="n">
        <v>46323</v>
      </c>
      <c r="M2842" s="4" t="inlineStr">
        <is>
          <t>Approved</t>
        </is>
      </c>
      <c r="N2842" s="4" t="inlineStr">
        <is>
          <t>paragraph</t>
        </is>
      </c>
    </row>
    <row r="2843" ht="40" customHeight="1">
      <c r="A2843" s="8" t="inlineStr">
        <is>
          <t>M15-P0008</t>
        </is>
      </c>
      <c r="B2843" s="8" t="inlineStr">
        <is>
          <t>M15</t>
        </is>
      </c>
      <c r="C2843" s="8" t="inlineStr">
        <is>
          <t>Nanaji Deshmukh Krishi Sanjivani Prakalp</t>
        </is>
      </c>
      <c r="D2843" s="8" t="inlineStr">
        <is>
          <t>Benefits</t>
        </is>
      </c>
      <c r="E2843" s="8" t="inlineStr"/>
      <c r="F2843" s="8" t="inlineStr">
        <is>
          <t>en.schemeContent.benefits[4]</t>
        </is>
      </c>
      <c r="G2843" s="8" t="inlineStr">
        <is>
          <t>M15@20261028-58f85607</t>
        </is>
      </c>
      <c r="H2843" s="8" t="n">
        <v>1</v>
      </c>
      <c r="I2843" s="8" t="n">
        <v>1</v>
      </c>
      <c r="J2843" s="8" t="inlineStr">
        <is>
          <t>5)	Special assistance for Farmer Producing Organizations/companies and Self Help Groups</t>
        </is>
      </c>
      <c r="K2843" s="8" t="inlineStr">
        <is>
          <t>MS-M15</t>
        </is>
      </c>
      <c r="L2843" s="9" t="n">
        <v>46323</v>
      </c>
      <c r="M2843" s="8" t="inlineStr">
        <is>
          <t>Approved</t>
        </is>
      </c>
      <c r="N2843" s="8" t="inlineStr">
        <is>
          <t>paragraph</t>
        </is>
      </c>
    </row>
    <row r="2844" ht="40" customHeight="1">
      <c r="A2844" s="4" t="inlineStr">
        <is>
          <t>M15-P0009</t>
        </is>
      </c>
      <c r="B2844" s="4" t="inlineStr">
        <is>
          <t>M15</t>
        </is>
      </c>
      <c r="C2844" s="4" t="inlineStr">
        <is>
          <t>Nanaji Deshmukh Krishi Sanjivani Prakalp</t>
        </is>
      </c>
      <c r="D2844" s="4" t="inlineStr">
        <is>
          <t>Benefits</t>
        </is>
      </c>
      <c r="E2844" s="4" t="inlineStr"/>
      <c r="F2844" s="4" t="inlineStr">
        <is>
          <t>en.schemeContent.benefits[5]</t>
        </is>
      </c>
      <c r="G2844" s="4" t="inlineStr">
        <is>
          <t>M15@20261028-58f85607</t>
        </is>
      </c>
      <c r="H2844" s="4" t="n">
        <v>1</v>
      </c>
      <c r="I2844" s="4" t="n">
        <v>1</v>
      </c>
      <c r="J2844" s="4" t="inlineStr">
        <is>
          <t>6)	Disbursement through Aadhaar enabled payment system</t>
        </is>
      </c>
      <c r="K2844" s="4" t="inlineStr">
        <is>
          <t>MS-M15</t>
        </is>
      </c>
      <c r="L2844" s="6" t="n">
        <v>46323</v>
      </c>
      <c r="M2844" s="4" t="inlineStr">
        <is>
          <t>Approved</t>
        </is>
      </c>
      <c r="N2844" s="4" t="inlineStr">
        <is>
          <t>paragraph</t>
        </is>
      </c>
    </row>
    <row r="2845" ht="40" customHeight="1">
      <c r="A2845" s="8" t="inlineStr">
        <is>
          <t>M15-P0010</t>
        </is>
      </c>
      <c r="B2845" s="8" t="inlineStr">
        <is>
          <t>M15</t>
        </is>
      </c>
      <c r="C2845" s="8" t="inlineStr">
        <is>
          <t>Nanaji Deshmukh Krishi Sanjivani Prakalp</t>
        </is>
      </c>
      <c r="D2845" s="8" t="inlineStr">
        <is>
          <t>Benefits</t>
        </is>
      </c>
      <c r="E2845" s="8" t="inlineStr"/>
      <c r="F2845" s="8" t="inlineStr">
        <is>
          <t>en.schemeContent.benefits[6]</t>
        </is>
      </c>
      <c r="G2845" s="8" t="inlineStr">
        <is>
          <t>M15@20261028-58f85607</t>
        </is>
      </c>
      <c r="H2845" s="8" t="n">
        <v>1</v>
      </c>
      <c r="I2845" s="8" t="n">
        <v>1</v>
      </c>
      <c r="J2845" s="8" t="inlineStr">
        <is>
          <t>7)	Privilege given to women, person with disabilities and landless labourers</t>
        </is>
      </c>
      <c r="K2845" s="8" t="inlineStr">
        <is>
          <t>MS-M15</t>
        </is>
      </c>
      <c r="L2845" s="9" t="n">
        <v>46323</v>
      </c>
      <c r="M2845" s="8" t="inlineStr">
        <is>
          <t>Approved</t>
        </is>
      </c>
      <c r="N2845" s="8" t="inlineStr">
        <is>
          <t>paragraph</t>
        </is>
      </c>
    </row>
    <row r="2846" ht="40" customHeight="1">
      <c r="A2846" s="4" t="inlineStr">
        <is>
          <t>M15-P0011</t>
        </is>
      </c>
      <c r="B2846" s="4" t="inlineStr">
        <is>
          <t>M15</t>
        </is>
      </c>
      <c r="C2846" s="4" t="inlineStr">
        <is>
          <t>Nanaji Deshmukh Krishi Sanjivani Prakalp</t>
        </is>
      </c>
      <c r="D2846" s="4" t="inlineStr">
        <is>
          <t>Eligibility</t>
        </is>
      </c>
      <c r="E2846" s="4" t="inlineStr"/>
      <c r="F2846" s="4" t="inlineStr">
        <is>
          <t>en.eligibilityCriteria.eligibilityDescription[0].children[0]</t>
        </is>
      </c>
      <c r="G2846" s="4" t="inlineStr">
        <is>
          <t>M15@20261028-58f85607</t>
        </is>
      </c>
      <c r="H2846" s="4" t="n">
        <v>1</v>
      </c>
      <c r="I2846" s="4" t="n">
        <v>1</v>
      </c>
      <c r="J2846" s="4" t="inlineStr">
        <is>
          <t>1)	Farmers producer companies under the project in the district, registered farmer groups/self-help groups in the project village.</t>
        </is>
      </c>
      <c r="K2846" s="4" t="inlineStr">
        <is>
          <t>MS-M15</t>
        </is>
      </c>
      <c r="L2846" s="6" t="n">
        <v>46323</v>
      </c>
      <c r="M2846" s="4" t="inlineStr">
        <is>
          <t>Approved</t>
        </is>
      </c>
      <c r="N2846" s="4" t="inlineStr">
        <is>
          <t>paragraph</t>
        </is>
      </c>
    </row>
    <row r="2847" ht="40" customHeight="1">
      <c r="A2847" s="8" t="inlineStr">
        <is>
          <t>M15-P0012</t>
        </is>
      </c>
      <c r="B2847" s="8" t="inlineStr">
        <is>
          <t>M15</t>
        </is>
      </c>
      <c r="C2847" s="8" t="inlineStr">
        <is>
          <t>Nanaji Deshmukh Krishi Sanjivani Prakalp</t>
        </is>
      </c>
      <c r="D2847" s="8" t="inlineStr">
        <is>
          <t>Eligibility</t>
        </is>
      </c>
      <c r="E2847" s="8" t="inlineStr"/>
      <c r="F2847" s="8" t="inlineStr">
        <is>
          <t>en.eligibilityCriteria.eligibilityDescription[0].children[1]</t>
        </is>
      </c>
      <c r="G2847" s="8" t="inlineStr">
        <is>
          <t>M15@20261028-58f85607</t>
        </is>
      </c>
      <c r="H2847" s="8" t="n">
        <v>1</v>
      </c>
      <c r="I2847" s="8" t="n">
        <v>1</v>
      </c>
      <c r="J2847" s="8" t="inlineStr">
        <is>
          <t>2)	In the project, FPC’s registered with a minimum of 100 members from the district will be eligible to avail benefits under the agribusiness components.</t>
        </is>
      </c>
      <c r="K2847" s="8" t="inlineStr">
        <is>
          <t>MS-M15</t>
        </is>
      </c>
      <c r="L2847" s="9" t="n">
        <v>46323</v>
      </c>
      <c r="M2847" s="8" t="inlineStr">
        <is>
          <t>Approved</t>
        </is>
      </c>
      <c r="N2847" s="8" t="inlineStr">
        <is>
          <t>paragraph</t>
        </is>
      </c>
    </row>
    <row r="2848" ht="110" customHeight="1">
      <c r="A2848" s="4" t="inlineStr">
        <is>
          <t>M15-P0013</t>
        </is>
      </c>
      <c r="B2848" s="4" t="inlineStr">
        <is>
          <t>M15</t>
        </is>
      </c>
      <c r="C2848" s="4" t="inlineStr">
        <is>
          <t>Nanaji Deshmukh Krishi Sanjivani Prakalp</t>
        </is>
      </c>
      <c r="D2848" s="4" t="inlineStr">
        <is>
          <t>Eligibility</t>
        </is>
      </c>
      <c r="E2848" s="4" t="inlineStr"/>
      <c r="F2848" s="4" t="inlineStr">
        <is>
          <t>en.eligibilityCriteria.eligibilityDescription[0].children[2]</t>
        </is>
      </c>
      <c r="G2848" s="4" t="inlineStr">
        <is>
          <t>M15@20261028-58f85607</t>
        </is>
      </c>
      <c r="H2848" s="4" t="n">
        <v>1</v>
      </c>
      <c r="I2848" s="4" t="n">
        <v>1</v>
      </c>
      <c r="J2848" s="4" t="inlineStr">
        <is>
          <t>3)	For the project, any eligible group of interested/qualified farmers/women/landless individuals registered with any govt. department (e.g., ATMA, MAVIM, MSRLM etc.) selected in the village can apply for the Prime Minister's Farmer Scheme, based on the family's eligibility criteria (husband, wife, and dependent children over 18 years of age). The explanation of the family's composition from different families within the group, with a minimum of 11 members in each family, is necessary. The benefits of the agribusiness components should not be directed solely towards one family; attention should be paid to this aspect.</t>
        </is>
      </c>
      <c r="K2848" s="4" t="inlineStr">
        <is>
          <t>MS-M15</t>
        </is>
      </c>
      <c r="L2848" s="6" t="n">
        <v>46323</v>
      </c>
      <c r="M2848" s="4" t="inlineStr">
        <is>
          <t>Approved</t>
        </is>
      </c>
      <c r="N2848" s="4" t="inlineStr">
        <is>
          <t>paragraph</t>
        </is>
      </c>
    </row>
    <row r="2849" ht="54" customHeight="1">
      <c r="A2849" s="8" t="inlineStr">
        <is>
          <t>M15-P0014</t>
        </is>
      </c>
      <c r="B2849" s="8" t="inlineStr">
        <is>
          <t>M15</t>
        </is>
      </c>
      <c r="C2849" s="8" t="inlineStr">
        <is>
          <t>Nanaji Deshmukh Krishi Sanjivani Prakalp</t>
        </is>
      </c>
      <c r="D2849" s="8" t="inlineStr">
        <is>
          <t>Eligibility</t>
        </is>
      </c>
      <c r="E2849" s="8" t="inlineStr"/>
      <c r="F2849" s="8" t="inlineStr">
        <is>
          <t>en.eligibilityCriteria.eligibilityDescription[0].children[3]</t>
        </is>
      </c>
      <c r="G2849" s="8" t="inlineStr">
        <is>
          <t>M15@20261028-58f85607</t>
        </is>
      </c>
      <c r="H2849" s="8" t="n">
        <v>1</v>
      </c>
      <c r="I2849" s="8" t="n">
        <v>1</v>
      </c>
      <c r="J2849" s="8" t="inlineStr">
        <is>
          <t>4)	The financial condition of applicant farmers' producer companies/registered farmers/self help groups is proposed to be capable enough to establish and operate agricultural input service centers/industries.</t>
        </is>
      </c>
      <c r="K2849" s="8" t="inlineStr">
        <is>
          <t>MS-M15</t>
        </is>
      </c>
      <c r="L2849" s="9" t="n">
        <v>46323</v>
      </c>
      <c r="M2849" s="8" t="inlineStr">
        <is>
          <t>Approved</t>
        </is>
      </c>
      <c r="N2849" s="8" t="inlineStr">
        <is>
          <t>paragraph</t>
        </is>
      </c>
    </row>
    <row r="2850" ht="54" customHeight="1">
      <c r="A2850" s="4" t="inlineStr">
        <is>
          <t>M15-P0015</t>
        </is>
      </c>
      <c r="B2850" s="4" t="inlineStr">
        <is>
          <t>M15</t>
        </is>
      </c>
      <c r="C2850" s="4" t="inlineStr">
        <is>
          <t>Nanaji Deshmukh Krishi Sanjivani Prakalp</t>
        </is>
      </c>
      <c r="D2850" s="4" t="inlineStr">
        <is>
          <t>Eligibility</t>
        </is>
      </c>
      <c r="E2850" s="4" t="inlineStr"/>
      <c r="F2850" s="4" t="inlineStr">
        <is>
          <t>en.eligibilityCriteria.eligibilityDescription[0].children[4]</t>
        </is>
      </c>
      <c r="G2850" s="4" t="inlineStr">
        <is>
          <t>M15@20261028-58f85607</t>
        </is>
      </c>
      <c r="H2850" s="4" t="n">
        <v>1</v>
      </c>
      <c r="I2850" s="4" t="n">
        <v>1</v>
      </c>
      <c r="J2850" s="4" t="inlineStr">
        <is>
          <t>5)	The project mandates that loans sanctioned to farmers' producer companies/registered banks/financial institutions for projects exceeding Rs. 20.00 lakhs must be approved. The approved amount of the existing loan should be at least 1.25 times the minimum grant aid.</t>
        </is>
      </c>
      <c r="K2850" s="4" t="inlineStr">
        <is>
          <t>MS-M15</t>
        </is>
      </c>
      <c r="L2850" s="6" t="n">
        <v>46323</v>
      </c>
      <c r="M2850" s="4" t="inlineStr">
        <is>
          <t>Approved</t>
        </is>
      </c>
      <c r="N2850" s="4" t="inlineStr">
        <is>
          <t>paragraph</t>
        </is>
      </c>
    </row>
    <row r="2851" ht="96" customHeight="1">
      <c r="A2851" s="8" t="inlineStr">
        <is>
          <t>M15-P0016</t>
        </is>
      </c>
      <c r="B2851" s="8" t="inlineStr">
        <is>
          <t>M15</t>
        </is>
      </c>
      <c r="C2851" s="8" t="inlineStr">
        <is>
          <t>Nanaji Deshmukh Krishi Sanjivani Prakalp</t>
        </is>
      </c>
      <c r="D2851" s="8" t="inlineStr">
        <is>
          <t>Eligibility</t>
        </is>
      </c>
      <c r="E2851" s="8" t="inlineStr"/>
      <c r="F2851" s="8" t="inlineStr">
        <is>
          <t>en.eligibilityCriteria.eligibilityDescription[0].children[5]</t>
        </is>
      </c>
      <c r="G2851" s="8" t="inlineStr">
        <is>
          <t>M15@20261028-58f85607</t>
        </is>
      </c>
      <c r="H2851" s="8" t="n">
        <v>1</v>
      </c>
      <c r="I2851" s="8" t="n">
        <v>1</v>
      </c>
      <c r="J2851" s="8" t="inlineStr">
        <is>
          <t>6)	The proposal of Rs. 20.00 lakhs will be funded through self-financing. In such proposals, assurance should be given that the required funds are available in the registered bank account of the group/company or will be raised from the members (include this decision in the company/group resolution). While providing financial assistance under the project, the expenditure incurred for the project from the bank account of the group/company will be considered eligible for reimbursement.</t>
        </is>
      </c>
      <c r="K2851" s="8" t="inlineStr">
        <is>
          <t>MS-M15</t>
        </is>
      </c>
      <c r="L2851" s="9" t="n">
        <v>46323</v>
      </c>
      <c r="M2851" s="8" t="inlineStr">
        <is>
          <t>Approved</t>
        </is>
      </c>
      <c r="N2851" s="8" t="inlineStr">
        <is>
          <t>paragraph</t>
        </is>
      </c>
    </row>
    <row r="2852" ht="54" customHeight="1">
      <c r="A2852" s="4" t="inlineStr">
        <is>
          <t>M15-P0017</t>
        </is>
      </c>
      <c r="B2852" s="4" t="inlineStr">
        <is>
          <t>M15</t>
        </is>
      </c>
      <c r="C2852" s="4" t="inlineStr">
        <is>
          <t>Nanaji Deshmukh Krishi Sanjivani Prakalp</t>
        </is>
      </c>
      <c r="D2852" s="4" t="inlineStr">
        <is>
          <t>Eligibility</t>
        </is>
      </c>
      <c r="E2852" s="4" t="inlineStr"/>
      <c r="F2852" s="4" t="inlineStr">
        <is>
          <t>en.eligibilityCriteria.eligibilityDescription[0].children[6]</t>
        </is>
      </c>
      <c r="G2852" s="4" t="inlineStr">
        <is>
          <t>M15@20261028-58f85607</t>
        </is>
      </c>
      <c r="H2852" s="4" t="n">
        <v>1</v>
      </c>
      <c r="I2852" s="4" t="n">
        <v>1</v>
      </c>
      <c r="J2852" s="4" t="inlineStr">
        <is>
          <t>7)	If there's a loan involved, it's essential for the farmers' producer company and registered farmers/self help groups to enter into a tripartite agreement with the registered bank/financial institution and the relevant project management authority.</t>
        </is>
      </c>
      <c r="K2852" s="4" t="inlineStr">
        <is>
          <t>MS-M15</t>
        </is>
      </c>
      <c r="L2852" s="6" t="n">
        <v>46323</v>
      </c>
      <c r="M2852" s="4" t="inlineStr">
        <is>
          <t>Approved</t>
        </is>
      </c>
      <c r="N2852" s="4" t="inlineStr">
        <is>
          <t>paragraph</t>
        </is>
      </c>
    </row>
    <row r="2853" ht="40" customHeight="1">
      <c r="A2853" s="8" t="inlineStr">
        <is>
          <t>M15-P0018</t>
        </is>
      </c>
      <c r="B2853" s="8" t="inlineStr">
        <is>
          <t>M15</t>
        </is>
      </c>
      <c r="C2853" s="8" t="inlineStr">
        <is>
          <t>Nanaji Deshmukh Krishi Sanjivani Prakalp</t>
        </is>
      </c>
      <c r="D2853" s="8" t="inlineStr">
        <is>
          <t>Exclusions</t>
        </is>
      </c>
      <c r="E2853" s="8" t="inlineStr"/>
      <c r="F2853" s="8" t="inlineStr">
        <is>
          <t>en.schemeContent.exclusions[0]</t>
        </is>
      </c>
      <c r="G2853" s="8" t="inlineStr">
        <is>
          <t>M15@20261028-58f85607</t>
        </is>
      </c>
      <c r="H2853" s="8" t="n">
        <v>1</v>
      </c>
      <c r="I2853" s="8" t="n">
        <v>1</v>
      </c>
      <c r="J2853" s="8" t="inlineStr">
        <is>
          <t>1.	Farmers with land holding more than 5.00 ha</t>
        </is>
      </c>
      <c r="K2853" s="8" t="inlineStr">
        <is>
          <t>MS-M15</t>
        </is>
      </c>
      <c r="L2853" s="9" t="n">
        <v>46323</v>
      </c>
      <c r="M2853" s="8" t="inlineStr">
        <is>
          <t>Approved</t>
        </is>
      </c>
      <c r="N2853" s="8" t="inlineStr">
        <is>
          <t>paragraph</t>
        </is>
      </c>
    </row>
    <row r="2854" ht="40" customHeight="1">
      <c r="A2854" s="4" t="inlineStr">
        <is>
          <t>M15-P0019</t>
        </is>
      </c>
      <c r="B2854" s="4" t="inlineStr">
        <is>
          <t>M15</t>
        </is>
      </c>
      <c r="C2854" s="4" t="inlineStr">
        <is>
          <t>Nanaji Deshmukh Krishi Sanjivani Prakalp</t>
        </is>
      </c>
      <c r="D2854" s="4" t="inlineStr">
        <is>
          <t>Applicant documents</t>
        </is>
      </c>
      <c r="E2854" s="4" t="inlineStr"/>
      <c r="F2854" s="4" t="inlineStr">
        <is>
          <t>documents.en.documents_required[0]</t>
        </is>
      </c>
      <c r="G2854" s="4" t="inlineStr">
        <is>
          <t>M15@20261028-58f85607</t>
        </is>
      </c>
      <c r="H2854" s="4" t="n">
        <v>1</v>
      </c>
      <c r="I2854" s="4" t="n">
        <v>1</v>
      </c>
      <c r="J2854" s="4" t="inlineStr">
        <is>
          <t>1)	Aadhaar Number</t>
        </is>
      </c>
      <c r="K2854" s="4" t="inlineStr">
        <is>
          <t>MS-M15</t>
        </is>
      </c>
      <c r="L2854" s="6" t="n">
        <v>46323</v>
      </c>
      <c r="M2854" s="4" t="inlineStr">
        <is>
          <t>Approved</t>
        </is>
      </c>
      <c r="N2854" s="4" t="inlineStr">
        <is>
          <t>paragraph</t>
        </is>
      </c>
    </row>
    <row r="2855" ht="40" customHeight="1">
      <c r="A2855" s="8" t="inlineStr">
        <is>
          <t>M15-P0020</t>
        </is>
      </c>
      <c r="B2855" s="8" t="inlineStr">
        <is>
          <t>M15</t>
        </is>
      </c>
      <c r="C2855" s="8" t="inlineStr">
        <is>
          <t>Nanaji Deshmukh Krishi Sanjivani Prakalp</t>
        </is>
      </c>
      <c r="D2855" s="8" t="inlineStr">
        <is>
          <t>Applicant documents</t>
        </is>
      </c>
      <c r="E2855" s="8" t="inlineStr"/>
      <c r="F2855" s="8" t="inlineStr">
        <is>
          <t>documents.en.documents_required[1]</t>
        </is>
      </c>
      <c r="G2855" s="8" t="inlineStr">
        <is>
          <t>M15@20261028-58f85607</t>
        </is>
      </c>
      <c r="H2855" s="8" t="n">
        <v>1</v>
      </c>
      <c r="I2855" s="8" t="n">
        <v>1</v>
      </c>
      <c r="J2855" s="8" t="inlineStr">
        <is>
          <t>2)	Land details – 8A &amp; 7/12 extract</t>
        </is>
      </c>
      <c r="K2855" s="8" t="inlineStr">
        <is>
          <t>MS-M15</t>
        </is>
      </c>
      <c r="L2855" s="9" t="n">
        <v>46323</v>
      </c>
      <c r="M2855" s="8" t="inlineStr">
        <is>
          <t>Approved</t>
        </is>
      </c>
      <c r="N2855" s="8" t="inlineStr">
        <is>
          <t>paragraph</t>
        </is>
      </c>
    </row>
    <row r="2856" ht="40" customHeight="1">
      <c r="A2856" s="4" t="inlineStr">
        <is>
          <t>M15-P0021</t>
        </is>
      </c>
      <c r="B2856" s="4" t="inlineStr">
        <is>
          <t>M15</t>
        </is>
      </c>
      <c r="C2856" s="4" t="inlineStr">
        <is>
          <t>Nanaji Deshmukh Krishi Sanjivani Prakalp</t>
        </is>
      </c>
      <c r="D2856" s="4" t="inlineStr">
        <is>
          <t>Applicant documents</t>
        </is>
      </c>
      <c r="E2856" s="4" t="inlineStr"/>
      <c r="F2856" s="4" t="inlineStr">
        <is>
          <t>documents.en.documents_required[2]</t>
        </is>
      </c>
      <c r="G2856" s="4" t="inlineStr">
        <is>
          <t>M15@20261028-58f85607</t>
        </is>
      </c>
      <c r="H2856" s="4" t="n">
        <v>1</v>
      </c>
      <c r="I2856" s="4" t="n">
        <v>1</v>
      </c>
      <c r="J2856" s="4" t="inlineStr">
        <is>
          <t>3)	Cast certificate (for applicants from SC ST communities)</t>
        </is>
      </c>
      <c r="K2856" s="4" t="inlineStr">
        <is>
          <t>MS-M15</t>
        </is>
      </c>
      <c r="L2856" s="6" t="n">
        <v>46323</v>
      </c>
      <c r="M2856" s="4" t="inlineStr">
        <is>
          <t>Approved</t>
        </is>
      </c>
      <c r="N2856" s="4" t="inlineStr">
        <is>
          <t>paragraph</t>
        </is>
      </c>
    </row>
    <row r="2857" ht="40" customHeight="1">
      <c r="A2857" s="8" t="inlineStr">
        <is>
          <t>M15-P0022</t>
        </is>
      </c>
      <c r="B2857" s="8" t="inlineStr">
        <is>
          <t>M15</t>
        </is>
      </c>
      <c r="C2857" s="8" t="inlineStr">
        <is>
          <t>Nanaji Deshmukh Krishi Sanjivani Prakalp</t>
        </is>
      </c>
      <c r="D2857" s="8" t="inlineStr">
        <is>
          <t>Applicant documents</t>
        </is>
      </c>
      <c r="E2857" s="8" t="inlineStr"/>
      <c r="F2857" s="8" t="inlineStr">
        <is>
          <t>documents.en.documents_required[3]</t>
        </is>
      </c>
      <c r="G2857" s="8" t="inlineStr">
        <is>
          <t>M15@20261028-58f85607</t>
        </is>
      </c>
      <c r="H2857" s="8" t="n">
        <v>1</v>
      </c>
      <c r="I2857" s="8" t="n">
        <v>1</v>
      </c>
      <c r="J2857" s="8" t="inlineStr">
        <is>
          <t>4)	Landless certificate (for landless farmers &amp; labourers)</t>
        </is>
      </c>
      <c r="K2857" s="8" t="inlineStr">
        <is>
          <t>MS-M15</t>
        </is>
      </c>
      <c r="L2857" s="9" t="n">
        <v>46323</v>
      </c>
      <c r="M2857" s="8" t="inlineStr">
        <is>
          <t>Approved</t>
        </is>
      </c>
      <c r="N2857" s="8" t="inlineStr">
        <is>
          <t>paragraph</t>
        </is>
      </c>
    </row>
    <row r="2858" ht="40" customHeight="1">
      <c r="A2858" s="4" t="inlineStr">
        <is>
          <t>M15-P0023</t>
        </is>
      </c>
      <c r="B2858" s="4" t="inlineStr">
        <is>
          <t>M15</t>
        </is>
      </c>
      <c r="C2858" s="4" t="inlineStr">
        <is>
          <t>Nanaji Deshmukh Krishi Sanjivani Prakalp</t>
        </is>
      </c>
      <c r="D2858" s="4" t="inlineStr">
        <is>
          <t>Applicant documents</t>
        </is>
      </c>
      <c r="E2858" s="4" t="inlineStr"/>
      <c r="F2858" s="4" t="inlineStr">
        <is>
          <t>documents.en.documents_required[4]</t>
        </is>
      </c>
      <c r="G2858" s="4" t="inlineStr">
        <is>
          <t>M15@20261028-58f85607</t>
        </is>
      </c>
      <c r="H2858" s="4" t="n">
        <v>1</v>
      </c>
      <c r="I2858" s="4" t="n">
        <v>1</v>
      </c>
      <c r="J2858" s="4" t="inlineStr">
        <is>
          <t>5)	Death certificate of husband (for Widows)</t>
        </is>
      </c>
      <c r="K2858" s="4" t="inlineStr">
        <is>
          <t>MS-M15</t>
        </is>
      </c>
      <c r="L2858" s="6" t="n">
        <v>46323</v>
      </c>
      <c r="M2858" s="4" t="inlineStr">
        <is>
          <t>Approved</t>
        </is>
      </c>
      <c r="N2858" s="4" t="inlineStr">
        <is>
          <t>paragraph</t>
        </is>
      </c>
    </row>
    <row r="2859" ht="40" customHeight="1">
      <c r="A2859" s="8" t="inlineStr">
        <is>
          <t>M15-P0024</t>
        </is>
      </c>
      <c r="B2859" s="8" t="inlineStr">
        <is>
          <t>M15</t>
        </is>
      </c>
      <c r="C2859" s="8" t="inlineStr">
        <is>
          <t>Nanaji Deshmukh Krishi Sanjivani Prakalp</t>
        </is>
      </c>
      <c r="D2859" s="8" t="inlineStr">
        <is>
          <t>Applicant documents</t>
        </is>
      </c>
      <c r="E2859" s="8" t="inlineStr"/>
      <c r="F2859" s="8" t="inlineStr">
        <is>
          <t>documents.en.documents_required[5]</t>
        </is>
      </c>
      <c r="G2859" s="8" t="inlineStr">
        <is>
          <t>M15@20261028-58f85607</t>
        </is>
      </c>
      <c r="H2859" s="8" t="n">
        <v>1</v>
      </c>
      <c r="I2859" s="8" t="n">
        <v>1</v>
      </c>
      <c r="J2859" s="8" t="inlineStr">
        <is>
          <t>6)	Divorce certificate (for divorcee female)</t>
        </is>
      </c>
      <c r="K2859" s="8" t="inlineStr">
        <is>
          <t>MS-M15</t>
        </is>
      </c>
      <c r="L2859" s="9" t="n">
        <v>46323</v>
      </c>
      <c r="M2859" s="8" t="inlineStr">
        <is>
          <t>Approved</t>
        </is>
      </c>
      <c r="N2859" s="8" t="inlineStr">
        <is>
          <t>paragraph</t>
        </is>
      </c>
    </row>
    <row r="2860" ht="40" customHeight="1">
      <c r="A2860" s="4" t="inlineStr">
        <is>
          <t>M15-P0025</t>
        </is>
      </c>
      <c r="B2860" s="4" t="inlineStr">
        <is>
          <t>M15</t>
        </is>
      </c>
      <c r="C2860" s="4" t="inlineStr">
        <is>
          <t>Nanaji Deshmukh Krishi Sanjivani Prakalp</t>
        </is>
      </c>
      <c r="D2860" s="4" t="inlineStr">
        <is>
          <t>Application process</t>
        </is>
      </c>
      <c r="E2860" s="4" t="inlineStr"/>
      <c r="F2860" s="4" t="inlineStr">
        <is>
          <t>en.applicationProcess[0].process[0]</t>
        </is>
      </c>
      <c r="G2860" s="4" t="inlineStr">
        <is>
          <t>M15@20261028-58f85607</t>
        </is>
      </c>
      <c r="H2860" s="4" t="n">
        <v>1</v>
      </c>
      <c r="I2860" s="4" t="n">
        <v>1</v>
      </c>
      <c r="J2860" s="4" t="inlineStr">
        <is>
          <t>Application Link: https://dbt.mahapocra.gov.in</t>
        </is>
      </c>
      <c r="K2860" s="4" t="inlineStr">
        <is>
          <t>MS-M15</t>
        </is>
      </c>
      <c r="L2860" s="6" t="n">
        <v>46323</v>
      </c>
      <c r="M2860" s="4" t="inlineStr">
        <is>
          <t>Approved</t>
        </is>
      </c>
      <c r="N2860" s="4" t="inlineStr">
        <is>
          <t>paragraph</t>
        </is>
      </c>
    </row>
    <row r="2861" ht="40" customHeight="1">
      <c r="A2861" s="8" t="inlineStr">
        <is>
          <t>M15-P0026</t>
        </is>
      </c>
      <c r="B2861" s="8" t="inlineStr">
        <is>
          <t>M15</t>
        </is>
      </c>
      <c r="C2861" s="8" t="inlineStr">
        <is>
          <t>Nanaji Deshmukh Krishi Sanjivani Prakalp</t>
        </is>
      </c>
      <c r="D2861" s="8" t="inlineStr">
        <is>
          <t>Application process</t>
        </is>
      </c>
      <c r="E2861" s="8" t="inlineStr"/>
      <c r="F2861" s="8" t="inlineStr">
        <is>
          <t>en.applicationProcess[0].process[2]</t>
        </is>
      </c>
      <c r="G2861" s="8" t="inlineStr">
        <is>
          <t>M15@20261028-58f85607</t>
        </is>
      </c>
      <c r="H2861" s="8" t="n">
        <v>1</v>
      </c>
      <c r="I2861" s="8" t="n">
        <v>1</v>
      </c>
      <c r="J2861" s="8" t="inlineStr">
        <is>
          <t>Step 01: Registration</t>
        </is>
      </c>
      <c r="K2861" s="8" t="inlineStr">
        <is>
          <t>MS-M15</t>
        </is>
      </c>
      <c r="L2861" s="9" t="n">
        <v>46323</v>
      </c>
      <c r="M2861" s="8" t="inlineStr">
        <is>
          <t>Approved</t>
        </is>
      </c>
      <c r="N2861" s="8" t="inlineStr">
        <is>
          <t>paragraph</t>
        </is>
      </c>
    </row>
    <row r="2862" ht="40" customHeight="1">
      <c r="A2862" s="4" t="inlineStr">
        <is>
          <t>M15-P0027</t>
        </is>
      </c>
      <c r="B2862" s="4" t="inlineStr">
        <is>
          <t>M15</t>
        </is>
      </c>
      <c r="C2862" s="4" t="inlineStr">
        <is>
          <t>Nanaji Deshmukh Krishi Sanjivani Prakalp</t>
        </is>
      </c>
      <c r="D2862" s="4" t="inlineStr">
        <is>
          <t>Application process</t>
        </is>
      </c>
      <c r="E2862" s="4" t="inlineStr"/>
      <c r="F2862" s="4" t="inlineStr">
        <is>
          <t>en.applicationProcess[0].process[4]</t>
        </is>
      </c>
      <c r="G2862" s="4" t="inlineStr">
        <is>
          <t>M15@20261028-58f85607</t>
        </is>
      </c>
      <c r="H2862" s="4" t="n">
        <v>1</v>
      </c>
      <c r="I2862" s="4" t="n">
        <v>1</v>
      </c>
      <c r="J2862" s="4" t="inlineStr">
        <is>
          <t>Step 02: Application</t>
        </is>
      </c>
      <c r="K2862" s="4" t="inlineStr">
        <is>
          <t>MS-M15</t>
        </is>
      </c>
      <c r="L2862" s="6" t="n">
        <v>46323</v>
      </c>
      <c r="M2862" s="4" t="inlineStr">
        <is>
          <t>Approved</t>
        </is>
      </c>
      <c r="N2862" s="4" t="inlineStr">
        <is>
          <t>paragraph</t>
        </is>
      </c>
    </row>
    <row r="2863" ht="40" customHeight="1">
      <c r="A2863" s="8" t="inlineStr">
        <is>
          <t>M15-P0028</t>
        </is>
      </c>
      <c r="B2863" s="8" t="inlineStr">
        <is>
          <t>M15</t>
        </is>
      </c>
      <c r="C2863" s="8" t="inlineStr">
        <is>
          <t>Nanaji Deshmukh Krishi Sanjivani Prakalp</t>
        </is>
      </c>
      <c r="D2863" s="8" t="inlineStr">
        <is>
          <t>Application process</t>
        </is>
      </c>
      <c r="E2863" s="8" t="inlineStr"/>
      <c r="F2863" s="8" t="inlineStr">
        <is>
          <t>en.applicationProcess[0].process[6]</t>
        </is>
      </c>
      <c r="G2863" s="8" t="inlineStr">
        <is>
          <t>M15@20261028-58f85607</t>
        </is>
      </c>
      <c r="H2863" s="8" t="n">
        <v>1</v>
      </c>
      <c r="I2863" s="8" t="n">
        <v>1</v>
      </c>
      <c r="J2863" s="8" t="inlineStr">
        <is>
          <t>Step 03: Pre-sanction by Agriculture officer</t>
        </is>
      </c>
      <c r="K2863" s="8" t="inlineStr">
        <is>
          <t>MS-M15</t>
        </is>
      </c>
      <c r="L2863" s="9" t="n">
        <v>46323</v>
      </c>
      <c r="M2863" s="8" t="inlineStr">
        <is>
          <t>Approved</t>
        </is>
      </c>
      <c r="N2863" s="8" t="inlineStr">
        <is>
          <t>paragraph</t>
        </is>
      </c>
    </row>
    <row r="2864" ht="40" customHeight="1">
      <c r="A2864" s="4" t="inlineStr">
        <is>
          <t>M15-P0029</t>
        </is>
      </c>
      <c r="B2864" s="4" t="inlineStr">
        <is>
          <t>M15</t>
        </is>
      </c>
      <c r="C2864" s="4" t="inlineStr">
        <is>
          <t>Nanaji Deshmukh Krishi Sanjivani Prakalp</t>
        </is>
      </c>
      <c r="D2864" s="4" t="inlineStr">
        <is>
          <t>Application process</t>
        </is>
      </c>
      <c r="E2864" s="4" t="inlineStr"/>
      <c r="F2864" s="4" t="inlineStr">
        <is>
          <t>en.applicationProcess[0].process[8]</t>
        </is>
      </c>
      <c r="G2864" s="4" t="inlineStr">
        <is>
          <t>M15@20261028-58f85607</t>
        </is>
      </c>
      <c r="H2864" s="4" t="n">
        <v>1</v>
      </c>
      <c r="I2864" s="4" t="n">
        <v>1</v>
      </c>
      <c r="J2864" s="4" t="inlineStr">
        <is>
          <t>Step 04: Work completion by farmer</t>
        </is>
      </c>
      <c r="K2864" s="4" t="inlineStr">
        <is>
          <t>MS-M15</t>
        </is>
      </c>
      <c r="L2864" s="6" t="n">
        <v>46323</v>
      </c>
      <c r="M2864" s="4" t="inlineStr">
        <is>
          <t>Approved</t>
        </is>
      </c>
      <c r="N2864" s="4" t="inlineStr">
        <is>
          <t>paragraph</t>
        </is>
      </c>
    </row>
    <row r="2865" ht="40" customHeight="1">
      <c r="A2865" s="8" t="inlineStr">
        <is>
          <t>M15-P0030</t>
        </is>
      </c>
      <c r="B2865" s="8" t="inlineStr">
        <is>
          <t>M15</t>
        </is>
      </c>
      <c r="C2865" s="8" t="inlineStr">
        <is>
          <t>Nanaji Deshmukh Krishi Sanjivani Prakalp</t>
        </is>
      </c>
      <c r="D2865" s="8" t="inlineStr">
        <is>
          <t>Application process</t>
        </is>
      </c>
      <c r="E2865" s="8" t="inlineStr"/>
      <c r="F2865" s="8" t="inlineStr">
        <is>
          <t>en.applicationProcess[0].process[10]</t>
        </is>
      </c>
      <c r="G2865" s="8" t="inlineStr">
        <is>
          <t>M15@20261028-58f85607</t>
        </is>
      </c>
      <c r="H2865" s="8" t="n">
        <v>1</v>
      </c>
      <c r="I2865" s="8" t="n">
        <v>1</v>
      </c>
      <c r="J2865" s="8" t="inlineStr">
        <is>
          <t>Step 05: Payment request by farmer</t>
        </is>
      </c>
      <c r="K2865" s="8" t="inlineStr">
        <is>
          <t>MS-M15</t>
        </is>
      </c>
      <c r="L2865" s="9" t="n">
        <v>46323</v>
      </c>
      <c r="M2865" s="8" t="inlineStr">
        <is>
          <t>Approved</t>
        </is>
      </c>
      <c r="N2865" s="8" t="inlineStr">
        <is>
          <t>paragraph</t>
        </is>
      </c>
    </row>
    <row r="2866" ht="40" customHeight="1">
      <c r="A2866" s="4" t="inlineStr">
        <is>
          <t>M15-P0031</t>
        </is>
      </c>
      <c r="B2866" s="4" t="inlineStr">
        <is>
          <t>M15</t>
        </is>
      </c>
      <c r="C2866" s="4" t="inlineStr">
        <is>
          <t>Nanaji Deshmukh Krishi Sanjivani Prakalp</t>
        </is>
      </c>
      <c r="D2866" s="4" t="inlineStr">
        <is>
          <t>Application process</t>
        </is>
      </c>
      <c r="E2866" s="4" t="inlineStr"/>
      <c r="F2866" s="4" t="inlineStr">
        <is>
          <t>en.applicationProcess[0].process[12]</t>
        </is>
      </c>
      <c r="G2866" s="4" t="inlineStr">
        <is>
          <t>M15@20261028-58f85607</t>
        </is>
      </c>
      <c r="H2866" s="4" t="n">
        <v>1</v>
      </c>
      <c r="I2866" s="4" t="n">
        <v>1</v>
      </c>
      <c r="J2866" s="4" t="inlineStr">
        <is>
          <t>Step 06: Payment approval by the project</t>
        </is>
      </c>
      <c r="K2866" s="4" t="inlineStr">
        <is>
          <t>MS-M15</t>
        </is>
      </c>
      <c r="L2866" s="6" t="n">
        <v>46323</v>
      </c>
      <c r="M2866" s="4" t="inlineStr">
        <is>
          <t>Approved</t>
        </is>
      </c>
      <c r="N2866" s="4" t="inlineStr">
        <is>
          <t>paragraph</t>
        </is>
      </c>
    </row>
    <row r="2867" ht="40" customHeight="1">
      <c r="A2867" s="8" t="inlineStr">
        <is>
          <t>M15-P0032</t>
        </is>
      </c>
      <c r="B2867" s="8" t="inlineStr">
        <is>
          <t>M15</t>
        </is>
      </c>
      <c r="C2867" s="8" t="inlineStr">
        <is>
          <t>Nanaji Deshmukh Krishi Sanjivani Prakalp</t>
        </is>
      </c>
      <c r="D2867" s="8" t="inlineStr">
        <is>
          <t>Application process</t>
        </is>
      </c>
      <c r="E2867" s="8" t="inlineStr"/>
      <c r="F2867" s="8" t="inlineStr">
        <is>
          <t>en.applicationProcess[0].process[14]</t>
        </is>
      </c>
      <c r="G2867" s="8" t="inlineStr">
        <is>
          <t>M15@20261028-58f85607</t>
        </is>
      </c>
      <c r="H2867" s="8" t="n">
        <v>1</v>
      </c>
      <c r="I2867" s="8" t="n">
        <v>1</v>
      </c>
      <c r="J2867" s="8" t="inlineStr">
        <is>
          <t>Step 07: Payment disbursement in Aadhaar linked bank account of the beneficiary farmer</t>
        </is>
      </c>
      <c r="K2867" s="8" t="inlineStr">
        <is>
          <t>MS-M15</t>
        </is>
      </c>
      <c r="L2867" s="9" t="n">
        <v>46323</v>
      </c>
      <c r="M2867" s="8" t="inlineStr">
        <is>
          <t>Approved</t>
        </is>
      </c>
      <c r="N2867" s="8" t="inlineStr">
        <is>
          <t>paragraph</t>
        </is>
      </c>
    </row>
    <row r="2868" ht="68" customHeight="1">
      <c r="A2868" s="4" t="inlineStr">
        <is>
          <t>M15-P0033</t>
        </is>
      </c>
      <c r="B2868" s="4" t="inlineStr">
        <is>
          <t>M15</t>
        </is>
      </c>
      <c r="C2868" s="4" t="inlineStr">
        <is>
          <t>Nanaji Deshmukh Krishi Sanjivani Prakalp</t>
        </is>
      </c>
      <c r="D2868" s="4" t="inlineStr">
        <is>
          <t>FAQ</t>
        </is>
      </c>
      <c r="E2868" s="4" t="inlineStr"/>
      <c r="F2868" s="4" t="inlineStr">
        <is>
          <t>faqs.en.faqs[0]</t>
        </is>
      </c>
      <c r="G2868" s="4" t="inlineStr">
        <is>
          <t>M15@20261028-58f85607</t>
        </is>
      </c>
      <c r="H2868" s="4" t="n">
        <v>1</v>
      </c>
      <c r="I2868" s="4" t="n">
        <v>1</v>
      </c>
      <c r="J2868" s="4" t="inlineStr">
        <is>
          <t>What are the benefits to the farmers offered under NDKSP scheme?
Small and marginal farmers with land holding upto 5 Ha will get financial assistance upto 80% for implementing climate resilient activities such as drip, sprinklers, farm-pond, shade-net, poly-tunnels, etc on their farms</t>
        </is>
      </c>
      <c r="K2868" s="4" t="inlineStr">
        <is>
          <t>MS-M15</t>
        </is>
      </c>
      <c r="L2868" s="6" t="n">
        <v>46323</v>
      </c>
      <c r="M2868" s="4" t="inlineStr">
        <is>
          <t>Approved</t>
        </is>
      </c>
      <c r="N2868" s="4" t="inlineStr">
        <is>
          <t>faq</t>
        </is>
      </c>
    </row>
    <row r="2869" ht="54" customHeight="1">
      <c r="A2869" s="8" t="inlineStr">
        <is>
          <t>M15-P0034</t>
        </is>
      </c>
      <c r="B2869" s="8" t="inlineStr">
        <is>
          <t>M15</t>
        </is>
      </c>
      <c r="C2869" s="8" t="inlineStr">
        <is>
          <t>Nanaji Deshmukh Krishi Sanjivani Prakalp</t>
        </is>
      </c>
      <c r="D2869" s="8" t="inlineStr">
        <is>
          <t>FAQ</t>
        </is>
      </c>
      <c r="E2869" s="8" t="inlineStr"/>
      <c r="F2869" s="8" t="inlineStr">
        <is>
          <t>faqs.en.faqs[1]</t>
        </is>
      </c>
      <c r="G2869" s="8" t="inlineStr">
        <is>
          <t>M15@20261028-58f85607</t>
        </is>
      </c>
      <c r="H2869" s="8" t="n">
        <v>1</v>
      </c>
      <c r="I2869" s="8" t="n">
        <v>1</v>
      </c>
      <c r="J2869" s="8" t="inlineStr">
        <is>
          <t>If I have 2 Ha land in the project region and my village is included in the scheme, can I apply for 30x30x12 Mtr farm-pond on my farm?
Yes. You are eligible for applying for the given activity</t>
        </is>
      </c>
      <c r="K2869" s="8" t="inlineStr">
        <is>
          <t>MS-M15</t>
        </is>
      </c>
      <c r="L2869" s="9" t="n">
        <v>46323</v>
      </c>
      <c r="M2869" s="8" t="inlineStr">
        <is>
          <t>Approved</t>
        </is>
      </c>
      <c r="N2869" s="8" t="inlineStr">
        <is>
          <t>faq</t>
        </is>
      </c>
    </row>
    <row r="2870" ht="110" customHeight="1">
      <c r="A2870" s="4" t="inlineStr">
        <is>
          <t>M15-P0035</t>
        </is>
      </c>
      <c r="B2870" s="4" t="inlineStr">
        <is>
          <t>M15</t>
        </is>
      </c>
      <c r="C2870" s="4" t="inlineStr">
        <is>
          <t>Nanaji Deshmukh Krishi Sanjivani Prakalp</t>
        </is>
      </c>
      <c r="D2870" s="4" t="inlineStr">
        <is>
          <t>FAQ</t>
        </is>
      </c>
      <c r="E2870" s="4" t="inlineStr"/>
      <c r="F2870" s="4" t="inlineStr">
        <is>
          <t>faqs.en.faqs[2]</t>
        </is>
      </c>
      <c r="G2870" s="4" t="inlineStr">
        <is>
          <t>M15@20261028-58f85607</t>
        </is>
      </c>
      <c r="H2870" s="4" t="n">
        <v>1</v>
      </c>
      <c r="I2870" s="4" t="n">
        <v>1</v>
      </c>
      <c r="J2870" s="4" t="inlineStr">
        <is>
          <t>What is the mode of payment from NDKSP and when will I get paid?
The project has implemented back-ended financial assistance, therefore, you need to apply for the activity which you want to implement on your farm. Once you get pre-sanction after the technical feasibility from Sub Divisional Agriculture Officer (SDAO), you can complete the work. Post completion of the work, you can raise the payment request in the DBT application of NDKSP. After the successful post work inspection, the financial assistance according to the norms of the project will get disbursed to your Aadhaar linked Bank account.</t>
        </is>
      </c>
      <c r="K2870" s="4" t="inlineStr">
        <is>
          <t>MS-M15</t>
        </is>
      </c>
      <c r="L2870" s="6" t="n">
        <v>46323</v>
      </c>
      <c r="M2870" s="4" t="inlineStr">
        <is>
          <t>Approved</t>
        </is>
      </c>
      <c r="N2870" s="4" t="inlineStr">
        <is>
          <t>faq</t>
        </is>
      </c>
    </row>
    <row r="2871" ht="96" customHeight="1">
      <c r="A2871" s="8" t="inlineStr">
        <is>
          <t>M15-P0036</t>
        </is>
      </c>
      <c r="B2871" s="8" t="inlineStr">
        <is>
          <t>M15</t>
        </is>
      </c>
      <c r="C2871" s="8" t="inlineStr">
        <is>
          <t>Nanaji Deshmukh Krishi Sanjivani Prakalp</t>
        </is>
      </c>
      <c r="D2871" s="8" t="inlineStr">
        <is>
          <t>FAQ</t>
        </is>
      </c>
      <c r="E2871" s="8" t="inlineStr"/>
      <c r="F2871" s="8" t="inlineStr">
        <is>
          <t>faqs.en.faqs[3]</t>
        </is>
      </c>
      <c r="G2871" s="8" t="inlineStr">
        <is>
          <t>M15@20261028-58f85607</t>
        </is>
      </c>
      <c r="H2871" s="8" t="n">
        <v>1</v>
      </c>
      <c r="I2871" s="8" t="n">
        <v>1</v>
      </c>
      <c r="J2871" s="8" t="inlineStr">
        <is>
          <t>What can I do if my village is not included in NDKSP scheme?
Village selection is a detailed process at the state level and those villages which are the most vulnerable from the perspective of climate and other variables are selected after due consideration. If your village is not included in the scheme, then you are not eligible to avail financial assistance from the project. However, you may utilize the benefits such as agro-climatic advisories issued by the project through the Farmer app, attend the training sessions, etc.</t>
        </is>
      </c>
      <c r="K2871" s="8" t="inlineStr">
        <is>
          <t>MS-M15</t>
        </is>
      </c>
      <c r="L2871" s="9" t="n">
        <v>46323</v>
      </c>
      <c r="M2871" s="8" t="inlineStr">
        <is>
          <t>Approved</t>
        </is>
      </c>
      <c r="N2871" s="8" t="inlineStr">
        <is>
          <t>faq</t>
        </is>
      </c>
    </row>
    <row r="2872" ht="96" customHeight="1">
      <c r="A2872" s="4" t="inlineStr">
        <is>
          <t>M15-P0037</t>
        </is>
      </c>
      <c r="B2872" s="4" t="inlineStr">
        <is>
          <t>M15</t>
        </is>
      </c>
      <c r="C2872" s="4" t="inlineStr">
        <is>
          <t>Nanaji Deshmukh Krishi Sanjivani Prakalp</t>
        </is>
      </c>
      <c r="D2872" s="4" t="inlineStr">
        <is>
          <t>FAQ</t>
        </is>
      </c>
      <c r="E2872" s="4" t="inlineStr"/>
      <c r="F2872" s="4" t="inlineStr">
        <is>
          <t>faqs.en.faqs[4]</t>
        </is>
      </c>
      <c r="G2872" s="4" t="inlineStr">
        <is>
          <t>M15@20261028-58f85607</t>
        </is>
      </c>
      <c r="H2872" s="4" t="n">
        <v>1</v>
      </c>
      <c r="I2872" s="4" t="n">
        <v>1</v>
      </c>
      <c r="J2872" s="4" t="inlineStr">
        <is>
          <t>Does NDKSP project provide handholding and training sessions of the farmers to adopt climate resilient farming techniques?
Yes, under Farm Field School initiative of NDKSP, the project conduct training sessions of the farmers in the demo plot of the identified villages which any farmers from that village can attend and take benefit out of it. For further details, Farmers can contact Agriculture Assistant or Cluster Assistant of the village</t>
        </is>
      </c>
      <c r="K2872" s="4" t="inlineStr">
        <is>
          <t>MS-M15</t>
        </is>
      </c>
      <c r="L2872" s="6" t="n">
        <v>46323</v>
      </c>
      <c r="M2872" s="4" t="inlineStr">
        <is>
          <t>Approved</t>
        </is>
      </c>
      <c r="N2872" s="4" t="inlineStr">
        <is>
          <t>faq</t>
        </is>
      </c>
    </row>
    <row r="2873" ht="110" customHeight="1">
      <c r="A2873" s="8" t="inlineStr">
        <is>
          <t>M15-P0038</t>
        </is>
      </c>
      <c r="B2873" s="8" t="inlineStr">
        <is>
          <t>M15</t>
        </is>
      </c>
      <c r="C2873" s="8" t="inlineStr">
        <is>
          <t>Nanaji Deshmukh Krishi Sanjivani Prakalp</t>
        </is>
      </c>
      <c r="D2873" s="8" t="inlineStr">
        <is>
          <t>FAQ</t>
        </is>
      </c>
      <c r="E2873" s="8" t="inlineStr"/>
      <c r="F2873" s="8" t="inlineStr">
        <is>
          <t>faqs.en.faqs[5]</t>
        </is>
      </c>
      <c r="G2873" s="8" t="inlineStr">
        <is>
          <t>M15@20261028-58f85607</t>
        </is>
      </c>
      <c r="H2873" s="8" t="n">
        <v>1</v>
      </c>
      <c r="I2873" s="8" t="n">
        <v>1</v>
      </c>
      <c r="J2873" s="8" t="inlineStr">
        <is>
          <t>I am a member of Farmer Producing Organization, are there any activities for which I can apply for?
Farmer Producing Organizations/ Farmer Producing Companies/ Self Help Groups from the districts covered under NDKSP scheme are eligible to apply for multiple activities which are designed for Agribusiness promotion in the project region. Details of the registration and application are available on the portal https://dbt.mahapocra.gov.in or you may connect with Project Specialist – Agribusiness at the Superintendent Agriculture Officer at district level.</t>
        </is>
      </c>
      <c r="K2873" s="8" t="inlineStr">
        <is>
          <t>MS-M15</t>
        </is>
      </c>
      <c r="L2873" s="9" t="n">
        <v>46323</v>
      </c>
      <c r="M2873" s="8" t="inlineStr">
        <is>
          <t>Approved</t>
        </is>
      </c>
      <c r="N2873" s="8" t="inlineStr">
        <is>
          <t>faq</t>
        </is>
      </c>
    </row>
    <row r="2874" ht="54" customHeight="1">
      <c r="A2874" s="4" t="inlineStr">
        <is>
          <t>M15-P0039</t>
        </is>
      </c>
      <c r="B2874" s="4" t="inlineStr">
        <is>
          <t>M15</t>
        </is>
      </c>
      <c r="C2874" s="4" t="inlineStr">
        <is>
          <t>Nanaji Deshmukh Krishi Sanjivani Prakalp</t>
        </is>
      </c>
      <c r="D2874" s="4" t="inlineStr">
        <is>
          <t>FAQ</t>
        </is>
      </c>
      <c r="E2874" s="4" t="inlineStr"/>
      <c r="F2874" s="4" t="inlineStr">
        <is>
          <t>faqs.en.faqs[6]</t>
        </is>
      </c>
      <c r="G2874" s="4" t="inlineStr">
        <is>
          <t>M15@20261028-58f85607</t>
        </is>
      </c>
      <c r="H2874" s="4" t="n">
        <v>1</v>
      </c>
      <c r="I2874" s="4" t="n">
        <v>1</v>
      </c>
      <c r="J2874" s="4" t="inlineStr">
        <is>
          <t>I am a farmer with less than 1 Ha land in NDKSP region, am I eligible to apply for the scheme? 
Yes, you are eligible for the application.</t>
        </is>
      </c>
      <c r="K2874" s="4" t="inlineStr">
        <is>
          <t>MS-M15</t>
        </is>
      </c>
      <c r="L2874" s="6" t="n">
        <v>46323</v>
      </c>
      <c r="M2874" s="4" t="inlineStr">
        <is>
          <t>Approved</t>
        </is>
      </c>
      <c r="N2874" s="4" t="inlineStr">
        <is>
          <t>faq</t>
        </is>
      </c>
    </row>
    <row r="2875" ht="82" customHeight="1">
      <c r="A2875" s="8" t="inlineStr">
        <is>
          <t>M15-P0040</t>
        </is>
      </c>
      <c r="B2875" s="8" t="inlineStr">
        <is>
          <t>M15</t>
        </is>
      </c>
      <c r="C2875" s="8" t="inlineStr">
        <is>
          <t>Nanaji Deshmukh Krishi Sanjivani Prakalp</t>
        </is>
      </c>
      <c r="D2875" s="8" t="inlineStr">
        <is>
          <t>FAQ</t>
        </is>
      </c>
      <c r="E2875" s="8" t="inlineStr"/>
      <c r="F2875" s="8" t="inlineStr">
        <is>
          <t>faqs.en.faqs[7]</t>
        </is>
      </c>
      <c r="G2875" s="8" t="inlineStr">
        <is>
          <t>M15@20261028-58f85607</t>
        </is>
      </c>
      <c r="H2875" s="8" t="n">
        <v>1</v>
      </c>
      <c r="I2875" s="8" t="n">
        <v>1</v>
      </c>
      <c r="J2875" s="8" t="inlineStr">
        <is>
          <t>If I am having more than 5 Ha of the land in NDKSP region, am I eligible to apply for the scheme?
We are sorry but farmers with land holdings with more than 5 Ha land are not eligible to apply for the activities under NDKSP scheme. However, you may take benefit of the training sessions as well as utilize Agro Climatic advisories issued by the project in your region</t>
        </is>
      </c>
      <c r="K2875" s="8" t="inlineStr">
        <is>
          <t>MS-M15</t>
        </is>
      </c>
      <c r="L2875" s="9" t="n">
        <v>46323</v>
      </c>
      <c r="M2875" s="8" t="inlineStr">
        <is>
          <t>Approved</t>
        </is>
      </c>
      <c r="N2875" s="8" t="inlineStr">
        <is>
          <t>faq</t>
        </is>
      </c>
    </row>
    <row r="2876" ht="96" customHeight="1">
      <c r="A2876" s="4" t="inlineStr">
        <is>
          <t>M15-P0041</t>
        </is>
      </c>
      <c r="B2876" s="4" t="inlineStr">
        <is>
          <t>M15</t>
        </is>
      </c>
      <c r="C2876" s="4" t="inlineStr">
        <is>
          <t>Nanaji Deshmukh Krishi Sanjivani Prakalp</t>
        </is>
      </c>
      <c r="D2876" s="4" t="inlineStr">
        <is>
          <t>FAQ</t>
        </is>
      </c>
      <c r="E2876" s="4" t="inlineStr"/>
      <c r="F2876" s="4" t="inlineStr">
        <is>
          <t>faqs.en.faqs[8]</t>
        </is>
      </c>
      <c r="G2876" s="4" t="inlineStr">
        <is>
          <t>M15@20261028-58f85607</t>
        </is>
      </c>
      <c r="H2876" s="4" t="n">
        <v>1</v>
      </c>
      <c r="I2876" s="4" t="n">
        <v>1</v>
      </c>
      <c r="J2876" s="4" t="inlineStr">
        <is>
          <t>I am a member of FPO which is in the districts of NDKSP however the village where the FPO is located doesn’t comes under the list of villages of NDKSP. Will my FPO be able to apply for the scheme?
I am a member of FPO which is in the districts of NDKSP however the village where the FPO is located doesn’t comes under the list of villages of NDKSP. Will my FPO be able to apply for the scheme?</t>
        </is>
      </c>
      <c r="K2876" s="4" t="inlineStr">
        <is>
          <t>MS-M15</t>
        </is>
      </c>
      <c r="L2876" s="6" t="n">
        <v>46323</v>
      </c>
      <c r="M2876" s="4" t="inlineStr">
        <is>
          <t>Approved</t>
        </is>
      </c>
      <c r="N2876" s="4" t="inlineStr">
        <is>
          <t>faq</t>
        </is>
      </c>
    </row>
    <row r="2877" ht="68" customHeight="1">
      <c r="A2877" s="8" t="inlineStr">
        <is>
          <t>M15-P0042</t>
        </is>
      </c>
      <c r="B2877" s="8" t="inlineStr">
        <is>
          <t>M15</t>
        </is>
      </c>
      <c r="C2877" s="8" t="inlineStr">
        <is>
          <t>Nanaji Deshmukh Krishi Sanjivani Prakalp</t>
        </is>
      </c>
      <c r="D2877" s="8" t="inlineStr">
        <is>
          <t>FAQ</t>
        </is>
      </c>
      <c r="E2877" s="8" t="inlineStr"/>
      <c r="F2877" s="8" t="inlineStr">
        <is>
          <t>faqs.en.faqs[9]</t>
        </is>
      </c>
      <c r="G2877" s="8" t="inlineStr">
        <is>
          <t>M15@20261028-58f85607</t>
        </is>
      </c>
      <c r="H2877" s="8" t="n">
        <v>1</v>
      </c>
      <c r="I2877" s="8" t="n">
        <v>1</v>
      </c>
      <c r="J2877" s="8" t="inlineStr">
        <is>
          <t>I am a landless farmer however I want to apply for the activity which doesn’t need land, am I eligible to apply and what additional document am I supposed to be produced?
Yes, you can apply for certain activities such as poultry, goat farming, epiculture, etc. and you need to provide landless farmer certificate from the competent authority from your village</t>
        </is>
      </c>
      <c r="K2877" s="8" t="inlineStr">
        <is>
          <t>MS-M15</t>
        </is>
      </c>
      <c r="L2877" s="9" t="n">
        <v>46323</v>
      </c>
      <c r="M2877" s="8" t="inlineStr">
        <is>
          <t>Approved</t>
        </is>
      </c>
      <c r="N2877" s="8" t="inlineStr">
        <is>
          <t>faq</t>
        </is>
      </c>
    </row>
    <row r="2878" ht="82" customHeight="1">
      <c r="A2878" s="4" t="inlineStr">
        <is>
          <t>M15-P0043</t>
        </is>
      </c>
      <c r="B2878" s="4" t="inlineStr">
        <is>
          <t>M15</t>
        </is>
      </c>
      <c r="C2878" s="4" t="inlineStr">
        <is>
          <t>Nanaji Deshmukh Krishi Sanjivani Prakalp</t>
        </is>
      </c>
      <c r="D2878" s="4" t="inlineStr">
        <is>
          <t>FAQ</t>
        </is>
      </c>
      <c r="E2878" s="4" t="inlineStr"/>
      <c r="F2878" s="4" t="inlineStr">
        <is>
          <t>faqs.en.faqs[10]</t>
        </is>
      </c>
      <c r="G2878" s="4" t="inlineStr">
        <is>
          <t>M15@20261028-58f85607</t>
        </is>
      </c>
      <c r="H2878" s="4" t="n">
        <v>1</v>
      </c>
      <c r="I2878" s="4" t="n">
        <v>1</v>
      </c>
      <c r="J2878" s="4" t="inlineStr">
        <is>
          <t>What is the eligibility for applying to shade-net?
There is no special eligibility criteria for application for Shade-net. Your land holding is supposed to be less than 5 Ha and you should have arrangement of funds so that you can implement the activity as the financial assistance will be provided to you from the side of project after completion &amp; successful verification of the work.</t>
        </is>
      </c>
      <c r="K2878" s="4" t="inlineStr">
        <is>
          <t>MS-M15</t>
        </is>
      </c>
      <c r="L2878" s="6" t="n">
        <v>46323</v>
      </c>
      <c r="M2878" s="4" t="inlineStr">
        <is>
          <t>Approved</t>
        </is>
      </c>
      <c r="N2878" s="4" t="inlineStr">
        <is>
          <t>faq</t>
        </is>
      </c>
    </row>
    <row r="2879" ht="152" customHeight="1">
      <c r="A2879" s="8" t="inlineStr">
        <is>
          <t>M15-P0044</t>
        </is>
      </c>
      <c r="B2879" s="8" t="inlineStr">
        <is>
          <t>M15</t>
        </is>
      </c>
      <c r="C2879" s="8" t="inlineStr">
        <is>
          <t>Nanaji Deshmukh Krishi Sanjivani Prakalp</t>
        </is>
      </c>
      <c r="D2879" s="8" t="inlineStr">
        <is>
          <t>FAQ</t>
        </is>
      </c>
      <c r="E2879" s="8" t="inlineStr"/>
      <c r="F2879" s="8" t="inlineStr">
        <is>
          <t>faqs.en.faqs[11]</t>
        </is>
      </c>
      <c r="G2879" s="8" t="inlineStr">
        <is>
          <t>M15@20261028-58f85607</t>
        </is>
      </c>
      <c r="H2879" s="8" t="n">
        <v>1</v>
      </c>
      <c r="I2879" s="8" t="n">
        <v>1</v>
      </c>
      <c r="J2879" s="8" t="inlineStr">
        <is>
          <t>I am a farmer from NDKSP village and want to apply for the activity which is listed in the scheme, what is the process for application?
You have to visit to the portal of NDKSP at https://dbt.mahapocra.gov.in or through the mobile app DBT PoCRA which you need to download from Google Play Store. You can register yourself using your Aadhaar number by authenticating yourself through OTP. If your mobile number is not registered with Aadhaar to get OTP, then you have to contact Cluster Assistant of NDKSP in the respective village and get yourself registered with his help or you may visit to nearest Citizen Support Centre (CSC) and register yourself with their assistance.
After registration, you can apply for the available activities. After application, you will receive SMS communication about the status of your application.</t>
        </is>
      </c>
      <c r="K2879" s="8" t="inlineStr">
        <is>
          <t>MS-M15</t>
        </is>
      </c>
      <c r="L2879" s="9" t="n">
        <v>46323</v>
      </c>
      <c r="M2879" s="8" t="inlineStr">
        <is>
          <t>Approved</t>
        </is>
      </c>
      <c r="N2879" s="8" t="inlineStr">
        <is>
          <t>faq</t>
        </is>
      </c>
    </row>
    <row r="2880" ht="110" customHeight="1">
      <c r="A2880" s="4" t="inlineStr">
        <is>
          <t>M15-P0045</t>
        </is>
      </c>
      <c r="B2880" s="4" t="inlineStr">
        <is>
          <t>M15</t>
        </is>
      </c>
      <c r="C2880" s="4" t="inlineStr">
        <is>
          <t>Nanaji Deshmukh Krishi Sanjivani Prakalp</t>
        </is>
      </c>
      <c r="D2880" s="4" t="inlineStr">
        <is>
          <t>FAQ</t>
        </is>
      </c>
      <c r="E2880" s="4" t="inlineStr"/>
      <c r="F2880" s="4" t="inlineStr">
        <is>
          <t>faqs.en.faqs[12]</t>
        </is>
      </c>
      <c r="G2880" s="4" t="inlineStr">
        <is>
          <t>M15@20261028-58f85607</t>
        </is>
      </c>
      <c r="H2880" s="4" t="n">
        <v>1</v>
      </c>
      <c r="I2880" s="4" t="n">
        <v>1</v>
      </c>
      <c r="J2880" s="4" t="inlineStr">
        <is>
          <t>Can I start the work on the activity which I have applied for post application on NDKSP portal?
After successful application, you will receive updates about the status of your application through SMS. After successful technical verification, you will receive Pre-Sanction from the office of Sub Divisional Agriculture Officer (SDAO). Intimation of Pre-Sanction will be delivered to you via SMS and you can check the same after login to your profile on NDKSP DBT portal or mobile app. Post receiving the Pre-sanction, you may start the work on the applied activity.</t>
        </is>
      </c>
      <c r="K2880" s="4" t="inlineStr">
        <is>
          <t>MS-M15</t>
        </is>
      </c>
      <c r="L2880" s="6" t="n">
        <v>46323</v>
      </c>
      <c r="M2880" s="4" t="inlineStr">
        <is>
          <t>Approved</t>
        </is>
      </c>
      <c r="N2880" s="4" t="inlineStr">
        <is>
          <t>faq</t>
        </is>
      </c>
    </row>
    <row r="2881" ht="82" customHeight="1">
      <c r="A2881" s="8" t="inlineStr">
        <is>
          <t>M15-P0046</t>
        </is>
      </c>
      <c r="B2881" s="8" t="inlineStr">
        <is>
          <t>M15</t>
        </is>
      </c>
      <c r="C2881" s="8" t="inlineStr">
        <is>
          <t>Nanaji Deshmukh Krishi Sanjivani Prakalp</t>
        </is>
      </c>
      <c r="D2881" s="8" t="inlineStr">
        <is>
          <t>FAQ</t>
        </is>
      </c>
      <c r="E2881" s="8" t="inlineStr"/>
      <c r="F2881" s="8" t="inlineStr">
        <is>
          <t>faqs.en.faqs[13]</t>
        </is>
      </c>
      <c r="G2881" s="8" t="inlineStr">
        <is>
          <t>M15@20261028-58f85607</t>
        </is>
      </c>
      <c r="H2881" s="8" t="n">
        <v>1</v>
      </c>
      <c r="I2881" s="8" t="n">
        <v>1</v>
      </c>
      <c r="J2881" s="8" t="inlineStr">
        <is>
          <t>If my Aadhaar is not linked with any bank account, how will I get financial assistance from NDKSP scheme?
To get financial benefit post completion of the work, you need to link your Aadhaar card with your bank account by visiting your bank and requesting them to seed your Aadhaar card with bank account.</t>
        </is>
      </c>
      <c r="K2881" s="8" t="inlineStr">
        <is>
          <t>MS-M15</t>
        </is>
      </c>
      <c r="L2881" s="9" t="n">
        <v>46323</v>
      </c>
      <c r="M2881" s="8" t="inlineStr">
        <is>
          <t>Approved</t>
        </is>
      </c>
      <c r="N2881" s="8" t="inlineStr">
        <is>
          <t>faq</t>
        </is>
      </c>
    </row>
    <row r="2882" ht="82" customHeight="1">
      <c r="A2882" s="4" t="inlineStr">
        <is>
          <t>M15-P0047</t>
        </is>
      </c>
      <c r="B2882" s="4" t="inlineStr">
        <is>
          <t>M15</t>
        </is>
      </c>
      <c r="C2882" s="4" t="inlineStr">
        <is>
          <t>Nanaji Deshmukh Krishi Sanjivani Prakalp</t>
        </is>
      </c>
      <c r="D2882" s="4" t="inlineStr">
        <is>
          <t>FAQ</t>
        </is>
      </c>
      <c r="E2882" s="4" t="inlineStr"/>
      <c r="F2882" s="4" t="inlineStr">
        <is>
          <t>faqs.en.faqs[14]</t>
        </is>
      </c>
      <c r="G2882" s="4" t="inlineStr">
        <is>
          <t>M15@20261028-58f85607</t>
        </is>
      </c>
      <c r="H2882" s="4" t="n">
        <v>1</v>
      </c>
      <c r="I2882" s="4" t="n">
        <v>1</v>
      </c>
      <c r="J2882" s="4" t="inlineStr">
        <is>
          <t>I have received an SMS that disbursement is made on my account for the activity which I have completed, however, I haven’t received the funds in my account and when checked with NDKSP office, I have been informed that my Aadhaar is inactive. In this case, what I have to do?
You are supposed to visit Citizen Service Centre and ask them to activate your Aadhaar by providing the required document.</t>
        </is>
      </c>
      <c r="K2882" s="4" t="inlineStr">
        <is>
          <t>MS-M15</t>
        </is>
      </c>
      <c r="L2882" s="6" t="n">
        <v>46323</v>
      </c>
      <c r="M2882" s="4" t="inlineStr">
        <is>
          <t>Approved</t>
        </is>
      </c>
      <c r="N2882" s="4" t="inlineStr">
        <is>
          <t>faq</t>
        </is>
      </c>
    </row>
    <row r="2883" ht="82" customHeight="1">
      <c r="A2883" s="8" t="inlineStr">
        <is>
          <t>M15-P0048</t>
        </is>
      </c>
      <c r="B2883" s="8" t="inlineStr">
        <is>
          <t>M15</t>
        </is>
      </c>
      <c r="C2883" s="8" t="inlineStr">
        <is>
          <t>Nanaji Deshmukh Krishi Sanjivani Prakalp</t>
        </is>
      </c>
      <c r="D2883" s="8" t="inlineStr">
        <is>
          <t>FAQ</t>
        </is>
      </c>
      <c r="E2883" s="8" t="inlineStr"/>
      <c r="F2883" s="8" t="inlineStr">
        <is>
          <t>faqs.en.faqs[15]</t>
        </is>
      </c>
      <c r="G2883" s="8" t="inlineStr">
        <is>
          <t>M15@20261028-58f85607</t>
        </is>
      </c>
      <c r="H2883" s="8" t="n">
        <v>1</v>
      </c>
      <c r="I2883" s="8" t="n">
        <v>1</v>
      </c>
      <c r="J2883" s="8" t="inlineStr">
        <is>
          <t>After activating my Aadhaar number, in how many days I will get the financial assistance for the activity which I have already completed?
You need to inform the officials from NDKSP that you have activated your Aadhaar number. Post the confirmation, NDKSP office will process your funds on as and when it is available from the side of treasury.</t>
        </is>
      </c>
      <c r="K2883" s="8" t="inlineStr">
        <is>
          <t>MS-M15</t>
        </is>
      </c>
      <c r="L2883" s="9" t="n">
        <v>46323</v>
      </c>
      <c r="M2883" s="8" t="inlineStr">
        <is>
          <t>Approved</t>
        </is>
      </c>
      <c r="N2883" s="8" t="inlineStr">
        <is>
          <t>faq</t>
        </is>
      </c>
    </row>
    <row r="2884" ht="96" customHeight="1">
      <c r="A2884" s="4" t="inlineStr">
        <is>
          <t>M16-P0001</t>
        </is>
      </c>
      <c r="B2884" s="4" t="inlineStr">
        <is>
          <t>M16</t>
        </is>
      </c>
      <c r="C2884" s="4" t="inlineStr">
        <is>
          <t>Medical Assistance for the Treatment of Critical Illness</t>
        </is>
      </c>
      <c r="D2884" s="4" t="inlineStr">
        <is>
          <t>Details</t>
        </is>
      </c>
      <c r="E2884" s="4" t="inlineStr"/>
      <c r="F2884" s="4" t="inlineStr">
        <is>
          <t>en.schemeContent.detailedDescription[0]</t>
        </is>
      </c>
      <c r="G2884" s="4" t="inlineStr">
        <is>
          <t>M16@20261028-bf3cf03f</t>
        </is>
      </c>
      <c r="H2884" s="4" t="n">
        <v>1</v>
      </c>
      <c r="I2884" s="4" t="n">
        <v>1</v>
      </c>
      <c r="J2884" s="4" t="inlineStr">
        <is>
          <t>The "Medical Assistance for the Treatment of Critical Illness" scheme was launched by the Maharashtra Building And Other Construction Workers Welfare Board (MBOCWW), Labour Department Maharashtra. Under this scheme, medical assistance of ₹1,00,000/- for the treatment of serious ailments for registered worker and his/her family members. (the benefit can be availed only after 26th July 2014 as the benefit is covered under the Mediclaim &amp; Personal Accident Insurance scheme).</t>
        </is>
      </c>
      <c r="K2884" s="4" t="inlineStr">
        <is>
          <t>MS-M16</t>
        </is>
      </c>
      <c r="L2884" s="6" t="n">
        <v>46323</v>
      </c>
      <c r="M2884" s="4" t="inlineStr">
        <is>
          <t>Approved</t>
        </is>
      </c>
      <c r="N2884" s="4" t="inlineStr">
        <is>
          <t>paragraph</t>
        </is>
      </c>
    </row>
    <row r="2885" ht="40" customHeight="1">
      <c r="A2885" s="8" t="inlineStr">
        <is>
          <t>M16-P0002</t>
        </is>
      </c>
      <c r="B2885" s="8" t="inlineStr">
        <is>
          <t>M16</t>
        </is>
      </c>
      <c r="C2885" s="8" t="inlineStr">
        <is>
          <t>Medical Assistance for the Treatment of Critical Illness</t>
        </is>
      </c>
      <c r="D2885" s="8" t="inlineStr">
        <is>
          <t>Benefits</t>
        </is>
      </c>
      <c r="E2885" s="8" t="inlineStr">
        <is>
          <t>Financial assistance of ₹1,00,000/- is provided for medical treatment.</t>
        </is>
      </c>
      <c r="F2885" s="8" t="inlineStr">
        <is>
          <t>en.schemeContent.benefits[0].children[0]</t>
        </is>
      </c>
      <c r="G2885" s="8" t="inlineStr">
        <is>
          <t>M16@20261028-bf3cf03f</t>
        </is>
      </c>
      <c r="H2885" s="8" t="n">
        <v>1</v>
      </c>
      <c r="I2885" s="8" t="n">
        <v>1</v>
      </c>
      <c r="J2885" s="8" t="inlineStr">
        <is>
          <t>Financial assistance of ₹1,00,000/- is provided for medical treatment.</t>
        </is>
      </c>
      <c r="K2885" s="8" t="inlineStr">
        <is>
          <t>MS-M16</t>
        </is>
      </c>
      <c r="L2885" s="9" t="n">
        <v>46323</v>
      </c>
      <c r="M2885" s="8" t="inlineStr">
        <is>
          <t>Approved</t>
        </is>
      </c>
      <c r="N2885" s="8" t="inlineStr">
        <is>
          <t>list_item</t>
        </is>
      </c>
    </row>
    <row r="2886" ht="40" customHeight="1">
      <c r="A2886" s="4" t="inlineStr">
        <is>
          <t>M16-P0003</t>
        </is>
      </c>
      <c r="B2886" s="4" t="inlineStr">
        <is>
          <t>M16</t>
        </is>
      </c>
      <c r="C2886" s="4" t="inlineStr">
        <is>
          <t>Medical Assistance for the Treatment of Critical Illness</t>
        </is>
      </c>
      <c r="D2886" s="4" t="inlineStr">
        <is>
          <t>Eligibility</t>
        </is>
      </c>
      <c r="E2886" s="4" t="inlineStr"/>
      <c r="F2886" s="4" t="inlineStr">
        <is>
          <t>en.eligibilityCriteria.eligibilityDescription[0].children[0]</t>
        </is>
      </c>
      <c r="G2886" s="4" t="inlineStr">
        <is>
          <t>M16@20261028-bf3cf03f</t>
        </is>
      </c>
      <c r="H2886" s="4" t="n">
        <v>1</v>
      </c>
      <c r="I2886" s="4" t="n">
        <v>1</v>
      </c>
      <c r="J2886" s="4" t="inlineStr">
        <is>
          <t>The worker must be engaged in building or construction work.</t>
        </is>
      </c>
      <c r="K2886" s="4" t="inlineStr">
        <is>
          <t>MS-M16</t>
        </is>
      </c>
      <c r="L2886" s="6" t="n">
        <v>46323</v>
      </c>
      <c r="M2886" s="4" t="inlineStr">
        <is>
          <t>Approved</t>
        </is>
      </c>
      <c r="N2886" s="4" t="inlineStr">
        <is>
          <t>list_item</t>
        </is>
      </c>
    </row>
    <row r="2887" ht="40" customHeight="1">
      <c r="A2887" s="8" t="inlineStr">
        <is>
          <t>M16-P0004</t>
        </is>
      </c>
      <c r="B2887" s="8" t="inlineStr">
        <is>
          <t>M16</t>
        </is>
      </c>
      <c r="C2887" s="8" t="inlineStr">
        <is>
          <t>Medical Assistance for the Treatment of Critical Illness</t>
        </is>
      </c>
      <c r="D2887" s="8" t="inlineStr">
        <is>
          <t>Eligibility</t>
        </is>
      </c>
      <c r="E2887" s="8" t="inlineStr"/>
      <c r="F2887" s="8" t="inlineStr">
        <is>
          <t>en.eligibilityCriteria.eligibilityDescription[0].children[1]</t>
        </is>
      </c>
      <c r="G2887" s="8" t="inlineStr">
        <is>
          <t>M16@20261028-bf3cf03f</t>
        </is>
      </c>
      <c r="H2887" s="8" t="n">
        <v>1</v>
      </c>
      <c r="I2887" s="8" t="n">
        <v>1</v>
      </c>
      <c r="J2887" s="8" t="inlineStr">
        <is>
          <t>The worker should be registered under the Maharashtra Building and Other Construction Workers Welfare Board (MBOCWW).</t>
        </is>
      </c>
      <c r="K2887" s="8" t="inlineStr">
        <is>
          <t>MS-M16</t>
        </is>
      </c>
      <c r="L2887" s="9" t="n">
        <v>46323</v>
      </c>
      <c r="M2887" s="8" t="inlineStr">
        <is>
          <t>Approved</t>
        </is>
      </c>
      <c r="N2887" s="8" t="inlineStr">
        <is>
          <t>list_item</t>
        </is>
      </c>
    </row>
    <row r="2888" ht="40" customHeight="1">
      <c r="A2888" s="4" t="inlineStr">
        <is>
          <t>M16-P0005</t>
        </is>
      </c>
      <c r="B2888" s="4" t="inlineStr">
        <is>
          <t>M16</t>
        </is>
      </c>
      <c r="C2888" s="4" t="inlineStr">
        <is>
          <t>Medical Assistance for the Treatment of Critical Illness</t>
        </is>
      </c>
      <c r="D2888" s="4" t="inlineStr">
        <is>
          <t>Eligibility</t>
        </is>
      </c>
      <c r="E2888" s="4" t="inlineStr"/>
      <c r="F2888" s="4" t="inlineStr">
        <is>
          <t>en.eligibilityCriteria.eligibilityDescription[0].children[2]</t>
        </is>
      </c>
      <c r="G2888" s="4" t="inlineStr">
        <is>
          <t>M16@20261028-bf3cf03f</t>
        </is>
      </c>
      <c r="H2888" s="4" t="n">
        <v>1</v>
      </c>
      <c r="I2888" s="4" t="n">
        <v>1</v>
      </c>
      <c r="J2888" s="4" t="inlineStr">
        <is>
          <t>The worker or family member must be undergoing treatment for a serious illness or critical medical condition.</t>
        </is>
      </c>
      <c r="K2888" s="4" t="inlineStr">
        <is>
          <t>MS-M16</t>
        </is>
      </c>
      <c r="L2888" s="6" t="n">
        <v>46323</v>
      </c>
      <c r="M2888" s="4" t="inlineStr">
        <is>
          <t>Approved</t>
        </is>
      </c>
      <c r="N2888" s="4" t="inlineStr">
        <is>
          <t>list_item</t>
        </is>
      </c>
    </row>
    <row r="2889" ht="40" customHeight="1">
      <c r="A2889" s="8" t="inlineStr">
        <is>
          <t>M16-P0006</t>
        </is>
      </c>
      <c r="B2889" s="8" t="inlineStr">
        <is>
          <t>M16</t>
        </is>
      </c>
      <c r="C2889" s="8" t="inlineStr">
        <is>
          <t>Medical Assistance for the Treatment of Critical Illness</t>
        </is>
      </c>
      <c r="D2889" s="8" t="inlineStr">
        <is>
          <t>Applicant documents</t>
        </is>
      </c>
      <c r="E2889" s="8" t="inlineStr"/>
      <c r="F2889" s="8" t="inlineStr">
        <is>
          <t>documents.en.documents_required[0].children[0]</t>
        </is>
      </c>
      <c r="G2889" s="8" t="inlineStr">
        <is>
          <t>M16@20261028-bf3cf03f</t>
        </is>
      </c>
      <c r="H2889" s="8" t="n">
        <v>1</v>
      </c>
      <c r="I2889" s="8" t="n">
        <v>1</v>
      </c>
      <c r="J2889" s="8" t="inlineStr">
        <is>
          <t>Passport-size Photo.</t>
        </is>
      </c>
      <c r="K2889" s="8" t="inlineStr">
        <is>
          <t>MS-M16</t>
        </is>
      </c>
      <c r="L2889" s="9" t="n">
        <v>46323</v>
      </c>
      <c r="M2889" s="8" t="inlineStr">
        <is>
          <t>Approved</t>
        </is>
      </c>
      <c r="N2889" s="8" t="inlineStr">
        <is>
          <t>list_item</t>
        </is>
      </c>
    </row>
    <row r="2890" ht="40" customHeight="1">
      <c r="A2890" s="4" t="inlineStr">
        <is>
          <t>M16-P0007</t>
        </is>
      </c>
      <c r="B2890" s="4" t="inlineStr">
        <is>
          <t>M16</t>
        </is>
      </c>
      <c r="C2890" s="4" t="inlineStr">
        <is>
          <t>Medical Assistance for the Treatment of Critical Illness</t>
        </is>
      </c>
      <c r="D2890" s="4" t="inlineStr">
        <is>
          <t>Applicant documents</t>
        </is>
      </c>
      <c r="E2890" s="4" t="inlineStr"/>
      <c r="F2890" s="4" t="inlineStr">
        <is>
          <t>documents.en.documents_required[0].children[1]</t>
        </is>
      </c>
      <c r="G2890" s="4" t="inlineStr">
        <is>
          <t>M16@20261028-bf3cf03f</t>
        </is>
      </c>
      <c r="H2890" s="4" t="n">
        <v>1</v>
      </c>
      <c r="I2890" s="4" t="n">
        <v>1</v>
      </c>
      <c r="J2890" s="4" t="inlineStr">
        <is>
          <t>Aadhaar Card.</t>
        </is>
      </c>
      <c r="K2890" s="4" t="inlineStr">
        <is>
          <t>MS-M16</t>
        </is>
      </c>
      <c r="L2890" s="6" t="n">
        <v>46323</v>
      </c>
      <c r="M2890" s="4" t="inlineStr">
        <is>
          <t>Approved</t>
        </is>
      </c>
      <c r="N2890" s="4" t="inlineStr">
        <is>
          <t>list_item</t>
        </is>
      </c>
    </row>
    <row r="2891" ht="40" customHeight="1">
      <c r="A2891" s="8" t="inlineStr">
        <is>
          <t>M16-P0008</t>
        </is>
      </c>
      <c r="B2891" s="8" t="inlineStr">
        <is>
          <t>M16</t>
        </is>
      </c>
      <c r="C2891" s="8" t="inlineStr">
        <is>
          <t>Medical Assistance for the Treatment of Critical Illness</t>
        </is>
      </c>
      <c r="D2891" s="8" t="inlineStr">
        <is>
          <t>Applicant documents</t>
        </is>
      </c>
      <c r="E2891" s="8" t="inlineStr"/>
      <c r="F2891" s="8" t="inlineStr">
        <is>
          <t>documents.en.documents_required[0].children[2]</t>
        </is>
      </c>
      <c r="G2891" s="8" t="inlineStr">
        <is>
          <t>M16@20261028-bf3cf03f</t>
        </is>
      </c>
      <c r="H2891" s="8" t="n">
        <v>1</v>
      </c>
      <c r="I2891" s="8" t="n">
        <v>1</v>
      </c>
      <c r="J2891" s="8" t="inlineStr">
        <is>
          <t>Identity Card of Maharashtra Building and Other Construction Workers Welfare Board.</t>
        </is>
      </c>
      <c r="K2891" s="8" t="inlineStr">
        <is>
          <t>MS-M16</t>
        </is>
      </c>
      <c r="L2891" s="9" t="n">
        <v>46323</v>
      </c>
      <c r="M2891" s="8" t="inlineStr">
        <is>
          <t>Approved</t>
        </is>
      </c>
      <c r="N2891" s="8" t="inlineStr">
        <is>
          <t>list_item</t>
        </is>
      </c>
    </row>
    <row r="2892" ht="40" customHeight="1">
      <c r="A2892" s="4" t="inlineStr">
        <is>
          <t>M16-P0009</t>
        </is>
      </c>
      <c r="B2892" s="4" t="inlineStr">
        <is>
          <t>M16</t>
        </is>
      </c>
      <c r="C2892" s="4" t="inlineStr">
        <is>
          <t>Medical Assistance for the Treatment of Critical Illness</t>
        </is>
      </c>
      <c r="D2892" s="4" t="inlineStr">
        <is>
          <t>Applicant documents</t>
        </is>
      </c>
      <c r="E2892" s="4" t="inlineStr"/>
      <c r="F2892" s="4" t="inlineStr">
        <is>
          <t>documents.en.documents_required[0].children[3]</t>
        </is>
      </c>
      <c r="G2892" s="4" t="inlineStr">
        <is>
          <t>M16@20261028-bf3cf03f</t>
        </is>
      </c>
      <c r="H2892" s="4" t="n">
        <v>1</v>
      </c>
      <c r="I2892" s="4" t="n">
        <v>1</v>
      </c>
      <c r="J2892" s="4" t="inlineStr">
        <is>
          <t>Bank Passbook.</t>
        </is>
      </c>
      <c r="K2892" s="4" t="inlineStr">
        <is>
          <t>MS-M16</t>
        </is>
      </c>
      <c r="L2892" s="6" t="n">
        <v>46323</v>
      </c>
      <c r="M2892" s="4" t="inlineStr">
        <is>
          <t>Approved</t>
        </is>
      </c>
      <c r="N2892" s="4" t="inlineStr">
        <is>
          <t>list_item</t>
        </is>
      </c>
    </row>
    <row r="2893" ht="40" customHeight="1">
      <c r="A2893" s="8" t="inlineStr">
        <is>
          <t>M16-P0010</t>
        </is>
      </c>
      <c r="B2893" s="8" t="inlineStr">
        <is>
          <t>M16</t>
        </is>
      </c>
      <c r="C2893" s="8" t="inlineStr">
        <is>
          <t>Medical Assistance for the Treatment of Critical Illness</t>
        </is>
      </c>
      <c r="D2893" s="8" t="inlineStr">
        <is>
          <t>Applicant documents</t>
        </is>
      </c>
      <c r="E2893" s="8" t="inlineStr"/>
      <c r="F2893" s="8" t="inlineStr">
        <is>
          <t>documents.en.documents_required[0].children[4]</t>
        </is>
      </c>
      <c r="G2893" s="8" t="inlineStr">
        <is>
          <t>M16@20261028-bf3cf03f</t>
        </is>
      </c>
      <c r="H2893" s="8" t="n">
        <v>1</v>
      </c>
      <c r="I2893" s="8" t="n">
        <v>1</v>
      </c>
      <c r="J2893" s="8" t="inlineStr">
        <is>
          <t>Medical Certificate (issued by competent medical authorities about serious illness).</t>
        </is>
      </c>
      <c r="K2893" s="8" t="inlineStr">
        <is>
          <t>MS-M16</t>
        </is>
      </c>
      <c r="L2893" s="9" t="n">
        <v>46323</v>
      </c>
      <c r="M2893" s="8" t="inlineStr">
        <is>
          <t>Approved</t>
        </is>
      </c>
      <c r="N2893" s="8" t="inlineStr">
        <is>
          <t>list_item</t>
        </is>
      </c>
    </row>
    <row r="2894" ht="40" customHeight="1">
      <c r="A2894" s="4" t="inlineStr">
        <is>
          <t>M16-P0011</t>
        </is>
      </c>
      <c r="B2894" s="4" t="inlineStr">
        <is>
          <t>M16</t>
        </is>
      </c>
      <c r="C2894" s="4" t="inlineStr">
        <is>
          <t>Medical Assistance for the Treatment of Critical Illness</t>
        </is>
      </c>
      <c r="D2894" s="4" t="inlineStr">
        <is>
          <t>Applicant documents</t>
        </is>
      </c>
      <c r="E2894" s="4" t="inlineStr"/>
      <c r="F2894" s="4" t="inlineStr">
        <is>
          <t>documents.en.documents_required[0].children[5]</t>
        </is>
      </c>
      <c r="G2894" s="4" t="inlineStr">
        <is>
          <t>M16@20261028-bf3cf03f</t>
        </is>
      </c>
      <c r="H2894" s="4" t="n">
        <v>1</v>
      </c>
      <c r="I2894" s="4" t="n">
        <v>1</v>
      </c>
      <c r="J2894" s="4" t="inlineStr">
        <is>
          <t>Medical Treatment Papers.</t>
        </is>
      </c>
      <c r="K2894" s="4" t="inlineStr">
        <is>
          <t>MS-M16</t>
        </is>
      </c>
      <c r="L2894" s="6" t="n">
        <v>46323</v>
      </c>
      <c r="M2894" s="4" t="inlineStr">
        <is>
          <t>Approved</t>
        </is>
      </c>
      <c r="N2894" s="4" t="inlineStr">
        <is>
          <t>list_item</t>
        </is>
      </c>
    </row>
    <row r="2895" ht="40" customHeight="1">
      <c r="A2895" s="8" t="inlineStr">
        <is>
          <t>M16-P0012</t>
        </is>
      </c>
      <c r="B2895" s="8" t="inlineStr">
        <is>
          <t>M16</t>
        </is>
      </c>
      <c r="C2895" s="8" t="inlineStr">
        <is>
          <t>Medical Assistance for the Treatment of Critical Illness</t>
        </is>
      </c>
      <c r="D2895" s="8" t="inlineStr">
        <is>
          <t>Applicant documents</t>
        </is>
      </c>
      <c r="E2895" s="8" t="inlineStr"/>
      <c r="F2895" s="8" t="inlineStr">
        <is>
          <t>documents.en.documents_required[0].children[6]</t>
        </is>
      </c>
      <c r="G2895" s="8" t="inlineStr">
        <is>
          <t>M16@20261028-bf3cf03f</t>
        </is>
      </c>
      <c r="H2895" s="8" t="n">
        <v>1</v>
      </c>
      <c r="I2895" s="8" t="n">
        <v>1</v>
      </c>
      <c r="J2895" s="8" t="inlineStr">
        <is>
          <t>Proof of Residence (One of Aadhaar Card/Passport/Driving Licence/Ration Sheet/Last Month's Electricity Bill/Gram Panchayat Certificate).</t>
        </is>
      </c>
      <c r="K2895" s="8" t="inlineStr">
        <is>
          <t>MS-M16</t>
        </is>
      </c>
      <c r="L2895" s="9" t="n">
        <v>46323</v>
      </c>
      <c r="M2895" s="8" t="inlineStr">
        <is>
          <t>Approved</t>
        </is>
      </c>
      <c r="N2895" s="8" t="inlineStr">
        <is>
          <t>list_item</t>
        </is>
      </c>
    </row>
    <row r="2896" ht="40" customHeight="1">
      <c r="A2896" s="4" t="inlineStr">
        <is>
          <t>M16-P0013</t>
        </is>
      </c>
      <c r="B2896" s="4" t="inlineStr">
        <is>
          <t>M16</t>
        </is>
      </c>
      <c r="C2896" s="4" t="inlineStr">
        <is>
          <t>Medical Assistance for the Treatment of Critical Illness</t>
        </is>
      </c>
      <c r="D2896" s="4" t="inlineStr">
        <is>
          <t>Application process</t>
        </is>
      </c>
      <c r="E2896" s="4" t="inlineStr"/>
      <c r="F2896" s="4" t="inlineStr">
        <is>
          <t>en.applicationProcess[0].process[0]</t>
        </is>
      </c>
      <c r="G2896" s="4" t="inlineStr">
        <is>
          <t>M16@20261028-bf3cf03f</t>
        </is>
      </c>
      <c r="H2896" s="4" t="n">
        <v>1</v>
      </c>
      <c r="I2896" s="4" t="n">
        <v>1</v>
      </c>
      <c r="J2896" s="4" t="inlineStr">
        <is>
          <t>Step-1: The interested applicant downloads the application form from the MBOCWW official website.</t>
        </is>
      </c>
      <c r="K2896" s="4" t="inlineStr">
        <is>
          <t>MS-M16</t>
        </is>
      </c>
      <c r="L2896" s="6" t="n">
        <v>46323</v>
      </c>
      <c r="M2896" s="4" t="inlineStr">
        <is>
          <t>Approved</t>
        </is>
      </c>
      <c r="N2896" s="4" t="inlineStr">
        <is>
          <t>paragraph</t>
        </is>
      </c>
    </row>
    <row r="2897" ht="40" customHeight="1">
      <c r="A2897" s="8" t="inlineStr">
        <is>
          <t>M16-P0014</t>
        </is>
      </c>
      <c r="B2897" s="8" t="inlineStr">
        <is>
          <t>M16</t>
        </is>
      </c>
      <c r="C2897" s="8" t="inlineStr">
        <is>
          <t>Medical Assistance for the Treatment of Critical Illness</t>
        </is>
      </c>
      <c r="D2897" s="8" t="inlineStr">
        <is>
          <t>Application process</t>
        </is>
      </c>
      <c r="E2897" s="8" t="inlineStr"/>
      <c r="F2897" s="8" t="inlineStr">
        <is>
          <t>en.applicationProcess[0].process[1]</t>
        </is>
      </c>
      <c r="G2897" s="8" t="inlineStr">
        <is>
          <t>M16@20261028-bf3cf03f</t>
        </is>
      </c>
      <c r="H2897" s="8" t="n">
        <v>1</v>
      </c>
      <c r="I2897" s="8" t="n">
        <v>1</v>
      </c>
      <c r="J2897" s="8" t="inlineStr">
        <is>
          <t>Step-2: In the application form, fill in all the mandatory fields, and attach copies of all the mandatory documents (self-attest, if required).</t>
        </is>
      </c>
      <c r="K2897" s="8" t="inlineStr">
        <is>
          <t>MS-M16</t>
        </is>
      </c>
      <c r="L2897" s="9" t="n">
        <v>46323</v>
      </c>
      <c r="M2897" s="8" t="inlineStr">
        <is>
          <t>Approved</t>
        </is>
      </c>
      <c r="N2897" s="8" t="inlineStr">
        <is>
          <t>paragraph</t>
        </is>
      </c>
    </row>
    <row r="2898" ht="40" customHeight="1">
      <c r="A2898" s="4" t="inlineStr">
        <is>
          <t>M16-P0015</t>
        </is>
      </c>
      <c r="B2898" s="4" t="inlineStr">
        <is>
          <t>M16</t>
        </is>
      </c>
      <c r="C2898" s="4" t="inlineStr">
        <is>
          <t>Medical Assistance for the Treatment of Critical Illness</t>
        </is>
      </c>
      <c r="D2898" s="4" t="inlineStr">
        <is>
          <t>Application process</t>
        </is>
      </c>
      <c r="E2898" s="4" t="inlineStr"/>
      <c r="F2898" s="4" t="inlineStr">
        <is>
          <t>en.applicationProcess[0].process[2]</t>
        </is>
      </c>
      <c r="G2898" s="4" t="inlineStr">
        <is>
          <t>M16@20261028-bf3cf03f</t>
        </is>
      </c>
      <c r="H2898" s="4" t="n">
        <v>1</v>
      </c>
      <c r="I2898" s="4" t="n">
        <v>1</v>
      </c>
      <c r="J2898" s="4" t="inlineStr">
        <is>
          <t>Step-3: Submit the duly filled and signed application form along with the documents to the Labor Commissioner / Government Labor Officer.</t>
        </is>
      </c>
      <c r="K2898" s="4" t="inlineStr">
        <is>
          <t>MS-M16</t>
        </is>
      </c>
      <c r="L2898" s="6" t="n">
        <v>46323</v>
      </c>
      <c r="M2898" s="4" t="inlineStr">
        <is>
          <t>Approved</t>
        </is>
      </c>
      <c r="N2898" s="4" t="inlineStr">
        <is>
          <t>paragraph</t>
        </is>
      </c>
    </row>
    <row r="2899" ht="54" customHeight="1">
      <c r="A2899" s="8" t="inlineStr">
        <is>
          <t>M16-P0016</t>
        </is>
      </c>
      <c r="B2899" s="8" t="inlineStr">
        <is>
          <t>M16</t>
        </is>
      </c>
      <c r="C2899" s="8" t="inlineStr">
        <is>
          <t>Medical Assistance for the Treatment of Critical Illness</t>
        </is>
      </c>
      <c r="D2899" s="8" t="inlineStr">
        <is>
          <t>Application process</t>
        </is>
      </c>
      <c r="E2899" s="8" t="inlineStr"/>
      <c r="F2899" s="8" t="inlineStr">
        <is>
          <t>en.applicationProcess[0].process[3]</t>
        </is>
      </c>
      <c r="G2899" s="8" t="inlineStr">
        <is>
          <t>M16@20261028-bf3cf03f</t>
        </is>
      </c>
      <c r="H2899" s="8" t="n">
        <v>1</v>
      </c>
      <c r="I2899" s="8" t="n">
        <v>1</v>
      </c>
      <c r="J2899" s="8" t="inlineStr">
        <is>
          <t>Step-4: Request a receipt or acknowledgment from the concerned authority to whom the application has been submitted. Ensure that the receipt contains essential details such as the date and time of submission, and a unique identification number (if applicable).</t>
        </is>
      </c>
      <c r="K2899" s="8" t="inlineStr">
        <is>
          <t>MS-M16</t>
        </is>
      </c>
      <c r="L2899" s="9" t="n">
        <v>46323</v>
      </c>
      <c r="M2899" s="8" t="inlineStr">
        <is>
          <t>Approved</t>
        </is>
      </c>
      <c r="N2899" s="8" t="inlineStr">
        <is>
          <t>paragraph</t>
        </is>
      </c>
    </row>
    <row r="2900" ht="54" customHeight="1">
      <c r="A2900" s="4" t="inlineStr">
        <is>
          <t>M16-P0017</t>
        </is>
      </c>
      <c r="B2900" s="4" t="inlineStr">
        <is>
          <t>M16</t>
        </is>
      </c>
      <c r="C2900" s="4" t="inlineStr">
        <is>
          <t>Medical Assistance for the Treatment of Critical Illness</t>
        </is>
      </c>
      <c r="D2900" s="4" t="inlineStr">
        <is>
          <t>FAQ</t>
        </is>
      </c>
      <c r="E2900" s="4" t="inlineStr"/>
      <c r="F2900" s="4" t="inlineStr">
        <is>
          <t>faqs.en.faqs[0]</t>
        </is>
      </c>
      <c r="G2900" s="4" t="inlineStr">
        <is>
          <t>M16@20261028-bf3cf03f</t>
        </is>
      </c>
      <c r="H2900" s="4" t="n">
        <v>1</v>
      </c>
      <c r="I2900" s="4" t="n">
        <v>1</v>
      </c>
      <c r="J2900" s="4" t="inlineStr">
        <is>
          <t>What is the Medical Assistance for the Treatment of Critical Illness scheme?
It provides ₹1,00,000 for medical treatment of critical illnesses for registered construction workers and their immediate family members.</t>
        </is>
      </c>
      <c r="K2900" s="4" t="inlineStr">
        <is>
          <t>MS-M16</t>
        </is>
      </c>
      <c r="L2900" s="6" t="n">
        <v>46323</v>
      </c>
      <c r="M2900" s="4" t="inlineStr">
        <is>
          <t>Approved</t>
        </is>
      </c>
      <c r="N2900" s="4" t="inlineStr">
        <is>
          <t>faq</t>
        </is>
      </c>
    </row>
    <row r="2901" ht="54" customHeight="1">
      <c r="A2901" s="8" t="inlineStr">
        <is>
          <t>M16-P0018</t>
        </is>
      </c>
      <c r="B2901" s="8" t="inlineStr">
        <is>
          <t>M16</t>
        </is>
      </c>
      <c r="C2901" s="8" t="inlineStr">
        <is>
          <t>Medical Assistance for the Treatment of Critical Illness</t>
        </is>
      </c>
      <c r="D2901" s="8" t="inlineStr">
        <is>
          <t>FAQ</t>
        </is>
      </c>
      <c r="E2901" s="8" t="inlineStr"/>
      <c r="F2901" s="8" t="inlineStr">
        <is>
          <t>faqs.en.faqs[1]</t>
        </is>
      </c>
      <c r="G2901" s="8" t="inlineStr">
        <is>
          <t>M16@20261028-bf3cf03f</t>
        </is>
      </c>
      <c r="H2901" s="8" t="n">
        <v>1</v>
      </c>
      <c r="I2901" s="8" t="n">
        <v>1</v>
      </c>
      <c r="J2901" s="8" t="inlineStr">
        <is>
          <t>Who can benefit from this scheme?
Registered construction workers under the Maharashtra Building and Other Construction Workers Welfare Board (MBOCWW) and their family members undergoing treatment for critical illnesses.</t>
        </is>
      </c>
      <c r="K2901" s="8" t="inlineStr">
        <is>
          <t>MS-M16</t>
        </is>
      </c>
      <c r="L2901" s="9" t="n">
        <v>46323</v>
      </c>
      <c r="M2901" s="8" t="inlineStr">
        <is>
          <t>Approved</t>
        </is>
      </c>
      <c r="N2901" s="8" t="inlineStr">
        <is>
          <t>faq</t>
        </is>
      </c>
    </row>
    <row r="2902" ht="40" customHeight="1">
      <c r="A2902" s="4" t="inlineStr">
        <is>
          <t>M16-P0019</t>
        </is>
      </c>
      <c r="B2902" s="4" t="inlineStr">
        <is>
          <t>M16</t>
        </is>
      </c>
      <c r="C2902" s="4" t="inlineStr">
        <is>
          <t>Medical Assistance for the Treatment of Critical Illness</t>
        </is>
      </c>
      <c r="D2902" s="4" t="inlineStr">
        <is>
          <t>FAQ</t>
        </is>
      </c>
      <c r="E2902" s="4" t="inlineStr"/>
      <c r="F2902" s="4" t="inlineStr">
        <is>
          <t>faqs.en.faqs[2]</t>
        </is>
      </c>
      <c r="G2902" s="4" t="inlineStr">
        <is>
          <t>M16@20261028-bf3cf03f</t>
        </is>
      </c>
      <c r="H2902" s="4" t="n">
        <v>1</v>
      </c>
      <c r="I2902" s="4" t="n">
        <v>1</v>
      </c>
      <c r="J2902" s="4" t="inlineStr">
        <is>
          <t>What is the amount of financial assistance provided?
The scheme provides up to ₹1,00,000 for medical treatment.</t>
        </is>
      </c>
      <c r="K2902" s="4" t="inlineStr">
        <is>
          <t>MS-M16</t>
        </is>
      </c>
      <c r="L2902" s="6" t="n">
        <v>46323</v>
      </c>
      <c r="M2902" s="4" t="inlineStr">
        <is>
          <t>Approved</t>
        </is>
      </c>
      <c r="N2902" s="4" t="inlineStr">
        <is>
          <t>faq</t>
        </is>
      </c>
    </row>
    <row r="2903" ht="40" customHeight="1">
      <c r="A2903" s="8" t="inlineStr">
        <is>
          <t>M16-P0020</t>
        </is>
      </c>
      <c r="B2903" s="8" t="inlineStr">
        <is>
          <t>M16</t>
        </is>
      </c>
      <c r="C2903" s="8" t="inlineStr">
        <is>
          <t>Medical Assistance for the Treatment of Critical Illness</t>
        </is>
      </c>
      <c r="D2903" s="8" t="inlineStr">
        <is>
          <t>FAQ</t>
        </is>
      </c>
      <c r="E2903" s="8" t="inlineStr"/>
      <c r="F2903" s="8" t="inlineStr">
        <is>
          <t>faqs.en.faqs[3]</t>
        </is>
      </c>
      <c r="G2903" s="8" t="inlineStr">
        <is>
          <t>M16@20261028-bf3cf03f</t>
        </is>
      </c>
      <c r="H2903" s="8" t="n">
        <v>1</v>
      </c>
      <c r="I2903" s="8" t="n">
        <v>1</v>
      </c>
      <c r="J2903" s="8" t="inlineStr">
        <is>
          <t>Does this scheme cover treatment for family members?
Yes, the scheme covers both the worker and their immediate family members.</t>
        </is>
      </c>
      <c r="K2903" s="8" t="inlineStr">
        <is>
          <t>MS-M16</t>
        </is>
      </c>
      <c r="L2903" s="9" t="n">
        <v>46323</v>
      </c>
      <c r="M2903" s="8" t="inlineStr">
        <is>
          <t>Approved</t>
        </is>
      </c>
      <c r="N2903" s="8" t="inlineStr">
        <is>
          <t>faq</t>
        </is>
      </c>
    </row>
    <row r="2904" ht="54" customHeight="1">
      <c r="A2904" s="4" t="inlineStr">
        <is>
          <t>M16-P0021</t>
        </is>
      </c>
      <c r="B2904" s="4" t="inlineStr">
        <is>
          <t>M16</t>
        </is>
      </c>
      <c r="C2904" s="4" t="inlineStr">
        <is>
          <t>Medical Assistance for the Treatment of Critical Illness</t>
        </is>
      </c>
      <c r="D2904" s="4" t="inlineStr">
        <is>
          <t>FAQ</t>
        </is>
      </c>
      <c r="E2904" s="4" t="inlineStr"/>
      <c r="F2904" s="4" t="inlineStr">
        <is>
          <t>faqs.en.faqs[4]</t>
        </is>
      </c>
      <c r="G2904" s="4" t="inlineStr">
        <is>
          <t>M16@20261028-bf3cf03f</t>
        </is>
      </c>
      <c r="H2904" s="4" t="n">
        <v>1</v>
      </c>
      <c r="I2904" s="4" t="n">
        <v>1</v>
      </c>
      <c r="J2904" s="4" t="inlineStr">
        <is>
          <t>How do I apply for this scheme?
Download the application form from the MBOCWW website, fill it out, attach the required documents, and submit it to the Labour Commissioner or Government Labour Officer.</t>
        </is>
      </c>
      <c r="K2904" s="4" t="inlineStr">
        <is>
          <t>MS-M16</t>
        </is>
      </c>
      <c r="L2904" s="6" t="n">
        <v>46323</v>
      </c>
      <c r="M2904" s="4" t="inlineStr">
        <is>
          <t>Approved</t>
        </is>
      </c>
      <c r="N2904" s="4" t="inlineStr">
        <is>
          <t>faq</t>
        </is>
      </c>
    </row>
    <row r="2905" ht="54" customHeight="1">
      <c r="A2905" s="8" t="inlineStr">
        <is>
          <t>M16-P0022</t>
        </is>
      </c>
      <c r="B2905" s="8" t="inlineStr">
        <is>
          <t>M16</t>
        </is>
      </c>
      <c r="C2905" s="8" t="inlineStr">
        <is>
          <t>Medical Assistance for the Treatment of Critical Illness</t>
        </is>
      </c>
      <c r="D2905" s="8" t="inlineStr">
        <is>
          <t>FAQ</t>
        </is>
      </c>
      <c r="E2905" s="8" t="inlineStr"/>
      <c r="F2905" s="8" t="inlineStr">
        <is>
          <t>faqs.en.faqs[5]</t>
        </is>
      </c>
      <c r="G2905" s="8" t="inlineStr">
        <is>
          <t>M16@20261028-bf3cf03f</t>
        </is>
      </c>
      <c r="H2905" s="8" t="n">
        <v>1</v>
      </c>
      <c r="I2905" s="8" t="n">
        <v>1</v>
      </c>
      <c r="J2905" s="8" t="inlineStr">
        <is>
          <t>What documents are required to apply for the scheme?
Documents include a passport-size photo, Aadhaar card, identity card from MBOCWW, bank passbook, medical certificate, treatment papers, and proof of residence.</t>
        </is>
      </c>
      <c r="K2905" s="8" t="inlineStr">
        <is>
          <t>MS-M16</t>
        </is>
      </c>
      <c r="L2905" s="9" t="n">
        <v>46323</v>
      </c>
      <c r="M2905" s="8" t="inlineStr">
        <is>
          <t>Approved</t>
        </is>
      </c>
      <c r="N2905" s="8" t="inlineStr">
        <is>
          <t>faq</t>
        </is>
      </c>
    </row>
    <row r="2906" ht="54" customHeight="1">
      <c r="A2906" s="4" t="inlineStr">
        <is>
          <t>M16-P0023</t>
        </is>
      </c>
      <c r="B2906" s="4" t="inlineStr">
        <is>
          <t>M16</t>
        </is>
      </c>
      <c r="C2906" s="4" t="inlineStr">
        <is>
          <t>Medical Assistance for the Treatment of Critical Illness</t>
        </is>
      </c>
      <c r="D2906" s="4" t="inlineStr">
        <is>
          <t>FAQ</t>
        </is>
      </c>
      <c r="E2906" s="4" t="inlineStr"/>
      <c r="F2906" s="4" t="inlineStr">
        <is>
          <t>faqs.en.faqs[6]</t>
        </is>
      </c>
      <c r="G2906" s="4" t="inlineStr">
        <is>
          <t>M16@20261028-bf3cf03f</t>
        </is>
      </c>
      <c r="H2906" s="4" t="n">
        <v>1</v>
      </c>
      <c r="I2906" s="4" t="n">
        <v>1</v>
      </c>
      <c r="J2906" s="4" t="inlineStr">
        <is>
          <t>Is there a deadline for applying for the scheme?
There is no specific deadline, but it is recommended to apply promptly after the diagnosis of a critical illness.</t>
        </is>
      </c>
      <c r="K2906" s="4" t="inlineStr">
        <is>
          <t>MS-M16</t>
        </is>
      </c>
      <c r="L2906" s="6" t="n">
        <v>46323</v>
      </c>
      <c r="M2906" s="4" t="inlineStr">
        <is>
          <t>Approved</t>
        </is>
      </c>
      <c r="N2906" s="4" t="inlineStr">
        <is>
          <t>faq</t>
        </is>
      </c>
    </row>
    <row r="2907" ht="54" customHeight="1">
      <c r="A2907" s="8" t="inlineStr">
        <is>
          <t>M16-P0024</t>
        </is>
      </c>
      <c r="B2907" s="8" t="inlineStr">
        <is>
          <t>M16</t>
        </is>
      </c>
      <c r="C2907" s="8" t="inlineStr">
        <is>
          <t>Medical Assistance for the Treatment of Critical Illness</t>
        </is>
      </c>
      <c r="D2907" s="8" t="inlineStr">
        <is>
          <t>FAQ</t>
        </is>
      </c>
      <c r="E2907" s="8" t="inlineStr"/>
      <c r="F2907" s="8" t="inlineStr">
        <is>
          <t>faqs.en.faqs[7]</t>
        </is>
      </c>
      <c r="G2907" s="8" t="inlineStr">
        <is>
          <t>M16@20261028-bf3cf03f</t>
        </is>
      </c>
      <c r="H2907" s="8" t="n">
        <v>1</v>
      </c>
      <c r="I2907" s="8" t="n">
        <v>1</v>
      </c>
      <c r="J2907" s="8" t="inlineStr">
        <is>
          <t>Is the scheme only available after 26th July 2014?
Yes, the benefit can be availed only after 26th July 2014, as it is covered under the Mediclaim &amp; Personal Accident Insurance scheme.</t>
        </is>
      </c>
      <c r="K2907" s="8" t="inlineStr">
        <is>
          <t>MS-M16</t>
        </is>
      </c>
      <c r="L2907" s="9" t="n">
        <v>46323</v>
      </c>
      <c r="M2907" s="8" t="inlineStr">
        <is>
          <t>Approved</t>
        </is>
      </c>
      <c r="N2907" s="8" t="inlineStr">
        <is>
          <t>faq</t>
        </is>
      </c>
    </row>
    <row r="2908" ht="40" customHeight="1">
      <c r="A2908" s="4" t="inlineStr">
        <is>
          <t>M16-P0025</t>
        </is>
      </c>
      <c r="B2908" s="4" t="inlineStr">
        <is>
          <t>M16</t>
        </is>
      </c>
      <c r="C2908" s="4" t="inlineStr">
        <is>
          <t>Medical Assistance for the Treatment of Critical Illness</t>
        </is>
      </c>
      <c r="D2908" s="4" t="inlineStr">
        <is>
          <t>FAQ</t>
        </is>
      </c>
      <c r="E2908" s="4" t="inlineStr"/>
      <c r="F2908" s="4" t="inlineStr">
        <is>
          <t>faqs.en.faqs[8]</t>
        </is>
      </c>
      <c r="G2908" s="4" t="inlineStr">
        <is>
          <t>M16@20261028-bf3cf03f</t>
        </is>
      </c>
      <c r="H2908" s="4" t="n">
        <v>1</v>
      </c>
      <c r="I2908" s="4" t="n">
        <v>1</v>
      </c>
      <c r="J2908" s="4" t="inlineStr">
        <is>
          <t>Is this scheme available for workers across India?
No, it is available only for registered workers in Maharashtra under the MBOCWW.</t>
        </is>
      </c>
      <c r="K2908" s="4" t="inlineStr">
        <is>
          <t>MS-M16</t>
        </is>
      </c>
      <c r="L2908" s="6" t="n">
        <v>46323</v>
      </c>
      <c r="M2908" s="4" t="inlineStr">
        <is>
          <t>Approved</t>
        </is>
      </c>
      <c r="N2908" s="4" t="inlineStr">
        <is>
          <t>faq</t>
        </is>
      </c>
    </row>
    <row r="2909" ht="54" customHeight="1">
      <c r="A2909" s="8" t="inlineStr">
        <is>
          <t>M16-P0026</t>
        </is>
      </c>
      <c r="B2909" s="8" t="inlineStr">
        <is>
          <t>M16</t>
        </is>
      </c>
      <c r="C2909" s="8" t="inlineStr">
        <is>
          <t>Medical Assistance for the Treatment of Critical Illness</t>
        </is>
      </c>
      <c r="D2909" s="8" t="inlineStr">
        <is>
          <t>FAQ</t>
        </is>
      </c>
      <c r="E2909" s="8" t="inlineStr"/>
      <c r="F2909" s="8" t="inlineStr">
        <is>
          <t>faqs.en.faqs[9]</t>
        </is>
      </c>
      <c r="G2909" s="8" t="inlineStr">
        <is>
          <t>M16@20261028-bf3cf03f</t>
        </is>
      </c>
      <c r="H2909" s="8" t="n">
        <v>1</v>
      </c>
      <c r="I2909" s="8" t="n">
        <v>1</v>
      </c>
      <c r="J2909" s="8" t="inlineStr">
        <is>
          <t>Does the scheme cover all types of illnesses?
The scheme covers serious ailments and critical medical conditions, as certified by a competent medical authority.</t>
        </is>
      </c>
      <c r="K2909" s="8" t="inlineStr">
        <is>
          <t>MS-M16</t>
        </is>
      </c>
      <c r="L2909" s="9" t="n">
        <v>46323</v>
      </c>
      <c r="M2909" s="8" t="inlineStr">
        <is>
          <t>Approved</t>
        </is>
      </c>
      <c r="N2909" s="8" t="inlineStr">
        <is>
          <t>faq</t>
        </is>
      </c>
    </row>
    <row r="2910" ht="54" customHeight="1">
      <c r="A2910" s="4" t="inlineStr">
        <is>
          <t>M16-P0027</t>
        </is>
      </c>
      <c r="B2910" s="4" t="inlineStr">
        <is>
          <t>M16</t>
        </is>
      </c>
      <c r="C2910" s="4" t="inlineStr">
        <is>
          <t>Medical Assistance for the Treatment of Critical Illness</t>
        </is>
      </c>
      <c r="D2910" s="4" t="inlineStr">
        <is>
          <t>FAQ</t>
        </is>
      </c>
      <c r="E2910" s="4" t="inlineStr"/>
      <c r="F2910" s="4" t="inlineStr">
        <is>
          <t>faqs.en.faqs[10]</t>
        </is>
      </c>
      <c r="G2910" s="4" t="inlineStr">
        <is>
          <t>M16@20261028-bf3cf03f</t>
        </is>
      </c>
      <c r="H2910" s="4" t="n">
        <v>1</v>
      </c>
      <c r="I2910" s="4" t="n">
        <v>1</v>
      </c>
      <c r="J2910" s="4" t="inlineStr">
        <is>
          <t>How can I track my application?
Upon submission, request a receipt or acknowledgment from the concerned authority to track your application status.</t>
        </is>
      </c>
      <c r="K2910" s="4" t="inlineStr">
        <is>
          <t>MS-M16</t>
        </is>
      </c>
      <c r="L2910" s="6" t="n">
        <v>46323</v>
      </c>
      <c r="M2910" s="4" t="inlineStr">
        <is>
          <t>Approved</t>
        </is>
      </c>
      <c r="N2910" s="4" t="inlineStr">
        <is>
          <t>faq</t>
        </is>
      </c>
    </row>
    <row r="2911" ht="96" customHeight="1">
      <c r="A2911" s="8" t="inlineStr">
        <is>
          <t>M17-P0001</t>
        </is>
      </c>
      <c r="B2911" s="8" t="inlineStr">
        <is>
          <t>M17</t>
        </is>
      </c>
      <c r="C2911" s="8" t="inlineStr">
        <is>
          <t>Grant In Aid To Old Age Home</t>
        </is>
      </c>
      <c r="D2911" s="8" t="inlineStr">
        <is>
          <t>Details</t>
        </is>
      </c>
      <c r="E2911" s="8" t="inlineStr"/>
      <c r="F2911" s="8" t="inlineStr">
        <is>
          <t>en.schemeContent.detailedDescription[0]</t>
        </is>
      </c>
      <c r="G2911" s="8" t="inlineStr">
        <is>
          <t>M17@20261028-cc52e2ad</t>
        </is>
      </c>
      <c r="H2911" s="8" t="n">
        <v>1</v>
      </c>
      <c r="I2911" s="8" t="n">
        <v>1</v>
      </c>
      <c r="J2911" s="8" t="inlineStr">
        <is>
          <t>The "Grant in Aid to Old Age Home" is a scheme by the Department of Social Justice &amp; Special Assistance, Govt. of Maharashtra. In this scheme, grants are provided to the NGOs for accommodating old men and women, destitute, and disabled victims, into Old age Homes, and providing them with facilities such as food, accommodation, resort, Free lodging &amp; Boarding &amp; Medical Assistance, etc. Only citizens who are permanent residents of the state of Maharashtra are eligible to apply for this scheme. This scheme is 100% funded by the Govt. of Maharashtra.</t>
        </is>
      </c>
      <c r="K2911" s="8" t="inlineStr">
        <is>
          <t>MS-M17</t>
        </is>
      </c>
      <c r="L2911" s="9" t="n">
        <v>46323</v>
      </c>
      <c r="M2911" s="8" t="inlineStr">
        <is>
          <t>Approved</t>
        </is>
      </c>
      <c r="N2911" s="8" t="inlineStr">
        <is>
          <t>paragraph</t>
        </is>
      </c>
    </row>
    <row r="2912" ht="54" customHeight="1">
      <c r="A2912" s="4" t="inlineStr">
        <is>
          <t>M17-P0002</t>
        </is>
      </c>
      <c r="B2912" s="4" t="inlineStr">
        <is>
          <t>M17</t>
        </is>
      </c>
      <c r="C2912" s="4" t="inlineStr">
        <is>
          <t>Grant In Aid To Old Age Home</t>
        </is>
      </c>
      <c r="D2912" s="4" t="inlineStr">
        <is>
          <t>Benefits</t>
        </is>
      </c>
      <c r="E2912" s="4" t="inlineStr"/>
      <c r="F2912" s="4" t="inlineStr">
        <is>
          <t>en.schemeContent.benefits[0]</t>
        </is>
      </c>
      <c r="G2912" s="4" t="inlineStr">
        <is>
          <t>M17@20261028-cc52e2ad</t>
        </is>
      </c>
      <c r="H2912" s="4" t="n">
        <v>1</v>
      </c>
      <c r="I2912" s="4" t="n">
        <v>1</v>
      </c>
      <c r="J2912" s="4" t="inlineStr">
        <is>
          <t>In this scheme, grants are provided to the NGOs for accommodating old men and women, destitute, and disabled victims, into Old age Homes, and providing them with facilities such as food, accommodation, resort, Free lodging &amp; Boarding &amp; Medical Assistance, etc.</t>
        </is>
      </c>
      <c r="K2912" s="4" t="inlineStr">
        <is>
          <t>MS-M17</t>
        </is>
      </c>
      <c r="L2912" s="6" t="n">
        <v>46323</v>
      </c>
      <c r="M2912" s="4" t="inlineStr">
        <is>
          <t>Approved</t>
        </is>
      </c>
      <c r="N2912" s="4" t="inlineStr">
        <is>
          <t>paragraph</t>
        </is>
      </c>
    </row>
    <row r="2913" ht="40" customHeight="1">
      <c r="A2913" s="8" t="inlineStr">
        <is>
          <t>M17-P0003</t>
        </is>
      </c>
      <c r="B2913" s="8" t="inlineStr">
        <is>
          <t>M17</t>
        </is>
      </c>
      <c r="C2913" s="8" t="inlineStr">
        <is>
          <t>Grant In Aid To Old Age Home</t>
        </is>
      </c>
      <c r="D2913" s="8" t="inlineStr">
        <is>
          <t>Eligibility</t>
        </is>
      </c>
      <c r="E2913" s="8" t="inlineStr"/>
      <c r="F2913" s="8" t="inlineStr">
        <is>
          <t>en.eligibilityCriteria.eligibilityDescription[0].children[0]</t>
        </is>
      </c>
      <c r="G2913" s="8" t="inlineStr">
        <is>
          <t>M17@20261028-cc52e2ad</t>
        </is>
      </c>
      <c r="H2913" s="8" t="n">
        <v>1</v>
      </c>
      <c r="I2913" s="8" t="n">
        <v>1</v>
      </c>
      <c r="J2913" s="8" t="inlineStr">
        <is>
          <t>The applicant should be a registered Non-Governmental Organization (NGO).</t>
        </is>
      </c>
      <c r="K2913" s="8" t="inlineStr">
        <is>
          <t>MS-M17</t>
        </is>
      </c>
      <c r="L2913" s="9" t="n">
        <v>46323</v>
      </c>
      <c r="M2913" s="8" t="inlineStr">
        <is>
          <t>Approved</t>
        </is>
      </c>
      <c r="N2913" s="8" t="inlineStr">
        <is>
          <t>list_item</t>
        </is>
      </c>
    </row>
    <row r="2914" ht="40" customHeight="1">
      <c r="A2914" s="4" t="inlineStr">
        <is>
          <t>M17-P0004</t>
        </is>
      </c>
      <c r="B2914" s="4" t="inlineStr">
        <is>
          <t>M17</t>
        </is>
      </c>
      <c r="C2914" s="4" t="inlineStr">
        <is>
          <t>Grant In Aid To Old Age Home</t>
        </is>
      </c>
      <c r="D2914" s="4" t="inlineStr">
        <is>
          <t>Eligibility</t>
        </is>
      </c>
      <c r="E2914" s="4" t="inlineStr"/>
      <c r="F2914" s="4" t="inlineStr">
        <is>
          <t>en.eligibilityCriteria.eligibilityDescription[0].children[1]</t>
        </is>
      </c>
      <c r="G2914" s="4" t="inlineStr">
        <is>
          <t>M17@20261028-cc52e2ad</t>
        </is>
      </c>
      <c r="H2914" s="4" t="n">
        <v>1</v>
      </c>
      <c r="I2914" s="4" t="n">
        <v>1</v>
      </c>
      <c r="J2914" s="4" t="inlineStr">
        <is>
          <t>The applicant should only accommodate old/destitute/disabled victims.</t>
        </is>
      </c>
      <c r="K2914" s="4" t="inlineStr">
        <is>
          <t>MS-M17</t>
        </is>
      </c>
      <c r="L2914" s="6" t="n">
        <v>46323</v>
      </c>
      <c r="M2914" s="4" t="inlineStr">
        <is>
          <t>Approved</t>
        </is>
      </c>
      <c r="N2914" s="4" t="inlineStr">
        <is>
          <t>list_item</t>
        </is>
      </c>
    </row>
    <row r="2915" ht="40" customHeight="1">
      <c r="A2915" s="8" t="inlineStr">
        <is>
          <t>M17-P0005</t>
        </is>
      </c>
      <c r="B2915" s="8" t="inlineStr">
        <is>
          <t>M17</t>
        </is>
      </c>
      <c r="C2915" s="8" t="inlineStr">
        <is>
          <t>Grant In Aid To Old Age Home</t>
        </is>
      </c>
      <c r="D2915" s="8" t="inlineStr">
        <is>
          <t>Eligibility</t>
        </is>
      </c>
      <c r="E2915" s="8" t="inlineStr"/>
      <c r="F2915" s="8" t="inlineStr">
        <is>
          <t>en.eligibilityCriteria.eligibilityDescription[0].children[2]</t>
        </is>
      </c>
      <c r="G2915" s="8" t="inlineStr">
        <is>
          <t>M17@20261028-cc52e2ad</t>
        </is>
      </c>
      <c r="H2915" s="8" t="n">
        <v>1</v>
      </c>
      <c r="I2915" s="8" t="n">
        <v>1</v>
      </c>
      <c r="J2915" s="8" t="inlineStr">
        <is>
          <t>In the case of old men, the age should be 60 years and above. In the case of old women, the age should be 55 years and above.</t>
        </is>
      </c>
      <c r="K2915" s="8" t="inlineStr">
        <is>
          <t>MS-M17</t>
        </is>
      </c>
      <c r="L2915" s="9" t="n">
        <v>46323</v>
      </c>
      <c r="M2915" s="8" t="inlineStr">
        <is>
          <t>Approved</t>
        </is>
      </c>
      <c r="N2915" s="8" t="inlineStr">
        <is>
          <t>list_item</t>
        </is>
      </c>
    </row>
    <row r="2916" ht="40" customHeight="1">
      <c r="A2916" s="4" t="inlineStr">
        <is>
          <t>M17-P0006</t>
        </is>
      </c>
      <c r="B2916" s="4" t="inlineStr">
        <is>
          <t>M17</t>
        </is>
      </c>
      <c r="C2916" s="4" t="inlineStr">
        <is>
          <t>Grant In Aid To Old Age Home</t>
        </is>
      </c>
      <c r="D2916" s="4" t="inlineStr">
        <is>
          <t>Eligibility</t>
        </is>
      </c>
      <c r="E2916" s="4" t="inlineStr"/>
      <c r="F2916" s="4" t="inlineStr">
        <is>
          <t>en.eligibilityCriteria.eligibilityDescription[0].children[3]</t>
        </is>
      </c>
      <c r="G2916" s="4" t="inlineStr">
        <is>
          <t>M17@20261028-cc52e2ad</t>
        </is>
      </c>
      <c r="H2916" s="4" t="n">
        <v>1</v>
      </c>
      <c r="I2916" s="4" t="n">
        <v>1</v>
      </c>
      <c r="J2916" s="4" t="inlineStr">
        <is>
          <t>The old age person should be a citizen of India.</t>
        </is>
      </c>
      <c r="K2916" s="4" t="inlineStr">
        <is>
          <t>MS-M17</t>
        </is>
      </c>
      <c r="L2916" s="6" t="n">
        <v>46323</v>
      </c>
      <c r="M2916" s="4" t="inlineStr">
        <is>
          <t>Approved</t>
        </is>
      </c>
      <c r="N2916" s="4" t="inlineStr">
        <is>
          <t>list_item</t>
        </is>
      </c>
    </row>
    <row r="2917" ht="40" customHeight="1">
      <c r="A2917" s="8" t="inlineStr">
        <is>
          <t>M17-P0007</t>
        </is>
      </c>
      <c r="B2917" s="8" t="inlineStr">
        <is>
          <t>M17</t>
        </is>
      </c>
      <c r="C2917" s="8" t="inlineStr">
        <is>
          <t>Grant In Aid To Old Age Home</t>
        </is>
      </c>
      <c r="D2917" s="8" t="inlineStr">
        <is>
          <t>Eligibility</t>
        </is>
      </c>
      <c r="E2917" s="8" t="inlineStr"/>
      <c r="F2917" s="8" t="inlineStr">
        <is>
          <t>en.eligibilityCriteria.eligibilityDescription[0].children[4]</t>
        </is>
      </c>
      <c r="G2917" s="8" t="inlineStr">
        <is>
          <t>M17@20261028-cc52e2ad</t>
        </is>
      </c>
      <c r="H2917" s="8" t="n">
        <v>1</v>
      </c>
      <c r="I2917" s="8" t="n">
        <v>1</v>
      </c>
      <c r="J2917" s="8" t="inlineStr">
        <is>
          <t>The old age person should be a permanent resident of the state of Maharashtra.</t>
        </is>
      </c>
      <c r="K2917" s="8" t="inlineStr">
        <is>
          <t>MS-M17</t>
        </is>
      </c>
      <c r="L2917" s="9" t="n">
        <v>46323</v>
      </c>
      <c r="M2917" s="8" t="inlineStr">
        <is>
          <t>Approved</t>
        </is>
      </c>
      <c r="N2917" s="8" t="inlineStr">
        <is>
          <t>list_item</t>
        </is>
      </c>
    </row>
    <row r="2918" ht="40" customHeight="1">
      <c r="A2918" s="4" t="inlineStr">
        <is>
          <t>M17-P0008</t>
        </is>
      </c>
      <c r="B2918" s="4" t="inlineStr">
        <is>
          <t>M17</t>
        </is>
      </c>
      <c r="C2918" s="4" t="inlineStr">
        <is>
          <t>Grant In Aid To Old Age Home</t>
        </is>
      </c>
      <c r="D2918" s="4" t="inlineStr">
        <is>
          <t>Applicant documents</t>
        </is>
      </c>
      <c r="E2918" s="4" t="inlineStr"/>
      <c r="F2918" s="4" t="inlineStr">
        <is>
          <t>documents.en.documents_required[0].children[0]</t>
        </is>
      </c>
      <c r="G2918" s="4" t="inlineStr">
        <is>
          <t>M17@20261028-cc52e2ad</t>
        </is>
      </c>
      <c r="H2918" s="4" t="n">
        <v>1</v>
      </c>
      <c r="I2918" s="4" t="n">
        <v>1</v>
      </c>
      <c r="J2918" s="4" t="inlineStr">
        <is>
          <t>Aadhaar Card.</t>
        </is>
      </c>
      <c r="K2918" s="4" t="inlineStr">
        <is>
          <t>MS-M17</t>
        </is>
      </c>
      <c r="L2918" s="6" t="n">
        <v>46323</v>
      </c>
      <c r="M2918" s="4" t="inlineStr">
        <is>
          <t>Approved</t>
        </is>
      </c>
      <c r="N2918" s="4" t="inlineStr">
        <is>
          <t>list_item</t>
        </is>
      </c>
    </row>
    <row r="2919" ht="40" customHeight="1">
      <c r="A2919" s="8" t="inlineStr">
        <is>
          <t>M17-P0009</t>
        </is>
      </c>
      <c r="B2919" s="8" t="inlineStr">
        <is>
          <t>M17</t>
        </is>
      </c>
      <c r="C2919" s="8" t="inlineStr">
        <is>
          <t>Grant In Aid To Old Age Home</t>
        </is>
      </c>
      <c r="D2919" s="8" t="inlineStr">
        <is>
          <t>Applicant documents</t>
        </is>
      </c>
      <c r="E2919" s="8" t="inlineStr"/>
      <c r="F2919" s="8" t="inlineStr">
        <is>
          <t>documents.en.documents_required[0].children[1]</t>
        </is>
      </c>
      <c r="G2919" s="8" t="inlineStr">
        <is>
          <t>M17@20261028-cc52e2ad</t>
        </is>
      </c>
      <c r="H2919" s="8" t="n">
        <v>1</v>
      </c>
      <c r="I2919" s="8" t="n">
        <v>1</v>
      </c>
      <c r="J2919" s="8" t="inlineStr">
        <is>
          <t>2-Passport Sized Photograph (Signed Across).</t>
        </is>
      </c>
      <c r="K2919" s="8" t="inlineStr">
        <is>
          <t>MS-M17</t>
        </is>
      </c>
      <c r="L2919" s="9" t="n">
        <v>46323</v>
      </c>
      <c r="M2919" s="8" t="inlineStr">
        <is>
          <t>Approved</t>
        </is>
      </c>
      <c r="N2919" s="8" t="inlineStr">
        <is>
          <t>list_item</t>
        </is>
      </c>
    </row>
    <row r="2920" ht="40" customHeight="1">
      <c r="A2920" s="4" t="inlineStr">
        <is>
          <t>M17-P0010</t>
        </is>
      </c>
      <c r="B2920" s="4" t="inlineStr">
        <is>
          <t>M17</t>
        </is>
      </c>
      <c r="C2920" s="4" t="inlineStr">
        <is>
          <t>Grant In Aid To Old Age Home</t>
        </is>
      </c>
      <c r="D2920" s="4" t="inlineStr">
        <is>
          <t>Applicant documents</t>
        </is>
      </c>
      <c r="E2920" s="4" t="inlineStr"/>
      <c r="F2920" s="4" t="inlineStr">
        <is>
          <t>documents.en.documents_required[0].children[2]</t>
        </is>
      </c>
      <c r="G2920" s="4" t="inlineStr">
        <is>
          <t>M17@20261028-cc52e2ad</t>
        </is>
      </c>
      <c r="H2920" s="4" t="n">
        <v>1</v>
      </c>
      <c r="I2920" s="4" t="n">
        <v>1</v>
      </c>
      <c r="J2920" s="4" t="inlineStr">
        <is>
          <t>Residential Certificate / Domicile Certificate of the State of Maharashtra.</t>
        </is>
      </c>
      <c r="K2920" s="4" t="inlineStr">
        <is>
          <t>MS-M17</t>
        </is>
      </c>
      <c r="L2920" s="6" t="n">
        <v>46323</v>
      </c>
      <c r="M2920" s="4" t="inlineStr">
        <is>
          <t>Approved</t>
        </is>
      </c>
      <c r="N2920" s="4" t="inlineStr">
        <is>
          <t>list_item</t>
        </is>
      </c>
    </row>
    <row r="2921" ht="40" customHeight="1">
      <c r="A2921" s="8" t="inlineStr">
        <is>
          <t>M17-P0011</t>
        </is>
      </c>
      <c r="B2921" s="8" t="inlineStr">
        <is>
          <t>M17</t>
        </is>
      </c>
      <c r="C2921" s="8" t="inlineStr">
        <is>
          <t>Grant In Aid To Old Age Home</t>
        </is>
      </c>
      <c r="D2921" s="8" t="inlineStr">
        <is>
          <t>Applicant documents</t>
        </is>
      </c>
      <c r="E2921" s="8" t="inlineStr"/>
      <c r="F2921" s="8" t="inlineStr">
        <is>
          <t>documents.en.documents_required[0].children[3]</t>
        </is>
      </c>
      <c r="G2921" s="8" t="inlineStr">
        <is>
          <t>M17@20261028-cc52e2ad</t>
        </is>
      </c>
      <c r="H2921" s="8" t="n">
        <v>1</v>
      </c>
      <c r="I2921" s="8" t="n">
        <v>1</v>
      </c>
      <c r="J2921" s="8" t="inlineStr">
        <is>
          <t>Details of the Bank Account (Bank Name, Branch Name, Address, IFSC, etc).</t>
        </is>
      </c>
      <c r="K2921" s="8" t="inlineStr">
        <is>
          <t>MS-M17</t>
        </is>
      </c>
      <c r="L2921" s="9" t="n">
        <v>46323</v>
      </c>
      <c r="M2921" s="8" t="inlineStr">
        <is>
          <t>Approved</t>
        </is>
      </c>
      <c r="N2921" s="8" t="inlineStr">
        <is>
          <t>list_item</t>
        </is>
      </c>
    </row>
    <row r="2922" ht="40" customHeight="1">
      <c r="A2922" s="4" t="inlineStr">
        <is>
          <t>M17-P0012</t>
        </is>
      </c>
      <c r="B2922" s="4" t="inlineStr">
        <is>
          <t>M17</t>
        </is>
      </c>
      <c r="C2922" s="4" t="inlineStr">
        <is>
          <t>Grant In Aid To Old Age Home</t>
        </is>
      </c>
      <c r="D2922" s="4" t="inlineStr">
        <is>
          <t>Applicant documents</t>
        </is>
      </c>
      <c r="E2922" s="4" t="inlineStr"/>
      <c r="F2922" s="4" t="inlineStr">
        <is>
          <t>documents.en.documents_required[0].children[4]</t>
        </is>
      </c>
      <c r="G2922" s="4" t="inlineStr">
        <is>
          <t>M17@20261028-cc52e2ad</t>
        </is>
      </c>
      <c r="H2922" s="4" t="n">
        <v>1</v>
      </c>
      <c r="I2922" s="4" t="n">
        <v>1</v>
      </c>
      <c r="J2922" s="4" t="inlineStr">
        <is>
          <t>Proof of Age (Birth Certificate, etc).</t>
        </is>
      </c>
      <c r="K2922" s="4" t="inlineStr">
        <is>
          <t>MS-M17</t>
        </is>
      </c>
      <c r="L2922" s="6" t="n">
        <v>46323</v>
      </c>
      <c r="M2922" s="4" t="inlineStr">
        <is>
          <t>Approved</t>
        </is>
      </c>
      <c r="N2922" s="4" t="inlineStr">
        <is>
          <t>list_item</t>
        </is>
      </c>
    </row>
    <row r="2923" ht="40" customHeight="1">
      <c r="A2923" s="8" t="inlineStr">
        <is>
          <t>M17-P0013</t>
        </is>
      </c>
      <c r="B2923" s="8" t="inlineStr">
        <is>
          <t>M17</t>
        </is>
      </c>
      <c r="C2923" s="8" t="inlineStr">
        <is>
          <t>Grant In Aid To Old Age Home</t>
        </is>
      </c>
      <c r="D2923" s="8" t="inlineStr">
        <is>
          <t>Applicant documents</t>
        </is>
      </c>
      <c r="E2923" s="8" t="inlineStr"/>
      <c r="F2923" s="8" t="inlineStr">
        <is>
          <t>documents.en.documents_required[0].children[5]</t>
        </is>
      </c>
      <c r="G2923" s="8" t="inlineStr">
        <is>
          <t>M17@20261028-cc52e2ad</t>
        </is>
      </c>
      <c r="H2923" s="8" t="n">
        <v>1</v>
      </c>
      <c r="I2923" s="8" t="n">
        <v>1</v>
      </c>
      <c r="J2923" s="8" t="inlineStr">
        <is>
          <t>Any other document required by the District Social Welfare Office.</t>
        </is>
      </c>
      <c r="K2923" s="8" t="inlineStr">
        <is>
          <t>MS-M17</t>
        </is>
      </c>
      <c r="L2923" s="9" t="n">
        <v>46323</v>
      </c>
      <c r="M2923" s="8" t="inlineStr">
        <is>
          <t>Approved</t>
        </is>
      </c>
      <c r="N2923" s="8" t="inlineStr">
        <is>
          <t>list_item</t>
        </is>
      </c>
    </row>
    <row r="2924" ht="40" customHeight="1">
      <c r="A2924" s="4" t="inlineStr">
        <is>
          <t>M17-P0014</t>
        </is>
      </c>
      <c r="B2924" s="4" t="inlineStr">
        <is>
          <t>M17</t>
        </is>
      </c>
      <c r="C2924" s="4" t="inlineStr">
        <is>
          <t>Grant In Aid To Old Age Home</t>
        </is>
      </c>
      <c r="D2924" s="4" t="inlineStr">
        <is>
          <t>Application process</t>
        </is>
      </c>
      <c r="E2924" s="4" t="inlineStr"/>
      <c r="F2924" s="4" t="inlineStr">
        <is>
          <t>en.applicationProcess[0].process[0]</t>
        </is>
      </c>
      <c r="G2924" s="4" t="inlineStr">
        <is>
          <t>M17@20261028-cc52e2ad</t>
        </is>
      </c>
      <c r="H2924" s="4" t="n">
        <v>1</v>
      </c>
      <c r="I2924" s="4" t="n">
        <v>1</v>
      </c>
      <c r="J2924" s="4" t="inlineStr">
        <is>
          <t>Step 1: Visit the District Social Welfare Office, and request a hard copy of the format of the application form for the scheme from the concerned authority.</t>
        </is>
      </c>
      <c r="K2924" s="4" t="inlineStr">
        <is>
          <t>MS-M17</t>
        </is>
      </c>
      <c r="L2924" s="6" t="n">
        <v>46323</v>
      </c>
      <c r="M2924" s="4" t="inlineStr">
        <is>
          <t>Approved</t>
        </is>
      </c>
      <c r="N2924" s="4" t="inlineStr">
        <is>
          <t>paragraph</t>
        </is>
      </c>
    </row>
    <row r="2925" ht="40" customHeight="1">
      <c r="A2925" s="8" t="inlineStr">
        <is>
          <t>M17-P0015</t>
        </is>
      </c>
      <c r="B2925" s="8" t="inlineStr">
        <is>
          <t>M17</t>
        </is>
      </c>
      <c r="C2925" s="8" t="inlineStr">
        <is>
          <t>Grant In Aid To Old Age Home</t>
        </is>
      </c>
      <c r="D2925" s="8" t="inlineStr">
        <is>
          <t>Application process</t>
        </is>
      </c>
      <c r="E2925" s="8" t="inlineStr"/>
      <c r="F2925" s="8" t="inlineStr">
        <is>
          <t>en.applicationProcess[0].process[1]</t>
        </is>
      </c>
      <c r="G2925" s="8" t="inlineStr">
        <is>
          <t>M17@20261028-cc52e2ad</t>
        </is>
      </c>
      <c r="H2925" s="8" t="n">
        <v>1</v>
      </c>
      <c r="I2925" s="8" t="n">
        <v>1</v>
      </c>
      <c r="J2925" s="8" t="inlineStr">
        <is>
          <t>Step 2: In the application form, fill in all the mandatory fields, paste the passport-sized photograph (signed across), and attach all the (self-attested) mandatory documents.</t>
        </is>
      </c>
      <c r="K2925" s="8" t="inlineStr">
        <is>
          <t>MS-M17</t>
        </is>
      </c>
      <c r="L2925" s="9" t="n">
        <v>46323</v>
      </c>
      <c r="M2925" s="8" t="inlineStr">
        <is>
          <t>Approved</t>
        </is>
      </c>
      <c r="N2925" s="8" t="inlineStr">
        <is>
          <t>paragraph</t>
        </is>
      </c>
    </row>
    <row r="2926" ht="40" customHeight="1">
      <c r="A2926" s="4" t="inlineStr">
        <is>
          <t>M17-P0016</t>
        </is>
      </c>
      <c r="B2926" s="4" t="inlineStr">
        <is>
          <t>M17</t>
        </is>
      </c>
      <c r="C2926" s="4" t="inlineStr">
        <is>
          <t>Grant In Aid To Old Age Home</t>
        </is>
      </c>
      <c r="D2926" s="4" t="inlineStr">
        <is>
          <t>Application process</t>
        </is>
      </c>
      <c r="E2926" s="4" t="inlineStr"/>
      <c r="F2926" s="4" t="inlineStr">
        <is>
          <t>en.applicationProcess[0].process[2]</t>
        </is>
      </c>
      <c r="G2926" s="4" t="inlineStr">
        <is>
          <t>M17@20261028-cc52e2ad</t>
        </is>
      </c>
      <c r="H2926" s="4" t="n">
        <v>1</v>
      </c>
      <c r="I2926" s="4" t="n">
        <v>1</v>
      </c>
      <c r="J2926" s="4" t="inlineStr">
        <is>
          <t>Step 3: Submit the duly filled and signed application form along with the documents to the Assistant Commissioner, District Social Welfare Office.</t>
        </is>
      </c>
      <c r="K2926" s="4" t="inlineStr">
        <is>
          <t>MS-M17</t>
        </is>
      </c>
      <c r="L2926" s="6" t="n">
        <v>46323</v>
      </c>
      <c r="M2926" s="4" t="inlineStr">
        <is>
          <t>Approved</t>
        </is>
      </c>
      <c r="N2926" s="4" t="inlineStr">
        <is>
          <t>paragraph</t>
        </is>
      </c>
    </row>
    <row r="2927" ht="40" customHeight="1">
      <c r="A2927" s="8" t="inlineStr">
        <is>
          <t>M17-P0017</t>
        </is>
      </c>
      <c r="B2927" s="8" t="inlineStr">
        <is>
          <t>M17</t>
        </is>
      </c>
      <c r="C2927" s="8" t="inlineStr">
        <is>
          <t>Grant In Aid To Old Age Home</t>
        </is>
      </c>
      <c r="D2927" s="8" t="inlineStr">
        <is>
          <t>Application process</t>
        </is>
      </c>
      <c r="E2927" s="8" t="inlineStr"/>
      <c r="F2927" s="8" t="inlineStr">
        <is>
          <t>en.applicationProcess[0].process[3]</t>
        </is>
      </c>
      <c r="G2927" s="8" t="inlineStr">
        <is>
          <t>M17@20261028-cc52e2ad</t>
        </is>
      </c>
      <c r="H2927" s="8" t="n">
        <v>1</v>
      </c>
      <c r="I2927" s="8" t="n">
        <v>1</v>
      </c>
      <c r="J2927" s="8" t="inlineStr">
        <is>
          <t>Step 4: Acquire the receipt/acknowledgment of the successful submission of the application form from the District Social Welfare Office.</t>
        </is>
      </c>
      <c r="K2927" s="8" t="inlineStr">
        <is>
          <t>MS-M17</t>
        </is>
      </c>
      <c r="L2927" s="9" t="n">
        <v>46323</v>
      </c>
      <c r="M2927" s="8" t="inlineStr">
        <is>
          <t>Approved</t>
        </is>
      </c>
      <c r="N2927" s="8" t="inlineStr">
        <is>
          <t>paragraph</t>
        </is>
      </c>
    </row>
    <row r="2928" ht="54" customHeight="1">
      <c r="A2928" s="4" t="inlineStr">
        <is>
          <t>M17-P0018</t>
        </is>
      </c>
      <c r="B2928" s="4" t="inlineStr">
        <is>
          <t>M17</t>
        </is>
      </c>
      <c r="C2928" s="4" t="inlineStr">
        <is>
          <t>Grant In Aid To Old Age Home</t>
        </is>
      </c>
      <c r="D2928" s="4" t="inlineStr">
        <is>
          <t>FAQ</t>
        </is>
      </c>
      <c r="E2928" s="4" t="inlineStr"/>
      <c r="F2928" s="4" t="inlineStr">
        <is>
          <t>faqs.en.faqs[0]</t>
        </is>
      </c>
      <c r="G2928" s="4" t="inlineStr">
        <is>
          <t>M17@20261028-cc52e2ad</t>
        </is>
      </c>
      <c r="H2928" s="4" t="n">
        <v>1</v>
      </c>
      <c r="I2928" s="4" t="n">
        <v>1</v>
      </c>
      <c r="J2928" s="4" t="inlineStr">
        <is>
          <t>What Are The Objectives Of This Scheme?
The objective of this scheme is to accommodate old men and women, destitute, and disabled victims, into Old Age Homes.</t>
        </is>
      </c>
      <c r="K2928" s="4" t="inlineStr">
        <is>
          <t>MS-M17</t>
        </is>
      </c>
      <c r="L2928" s="6" t="n">
        <v>46323</v>
      </c>
      <c r="M2928" s="4" t="inlineStr">
        <is>
          <t>Approved</t>
        </is>
      </c>
      <c r="N2928" s="4" t="inlineStr">
        <is>
          <t>faq</t>
        </is>
      </c>
    </row>
    <row r="2929" ht="40" customHeight="1">
      <c r="A2929" s="8" t="inlineStr">
        <is>
          <t>M17-P0019</t>
        </is>
      </c>
      <c r="B2929" s="8" t="inlineStr">
        <is>
          <t>M17</t>
        </is>
      </c>
      <c r="C2929" s="8" t="inlineStr">
        <is>
          <t>Grant In Aid To Old Age Home</t>
        </is>
      </c>
      <c r="D2929" s="8" t="inlineStr">
        <is>
          <t>FAQ</t>
        </is>
      </c>
      <c r="E2929" s="8" t="inlineStr"/>
      <c r="F2929" s="8" t="inlineStr">
        <is>
          <t>faqs.en.faqs[1]</t>
        </is>
      </c>
      <c r="G2929" s="8" t="inlineStr">
        <is>
          <t>M17@20261028-cc52e2ad</t>
        </is>
      </c>
      <c r="H2929" s="8" t="n">
        <v>1</v>
      </c>
      <c r="I2929" s="8" t="n">
        <v>1</v>
      </c>
      <c r="J2929" s="8" t="inlineStr">
        <is>
          <t>Can Destitute People Also Apply To This Scheme?
Yes, destitute people can also apply to this scheme.</t>
        </is>
      </c>
      <c r="K2929" s="8" t="inlineStr">
        <is>
          <t>MS-M17</t>
        </is>
      </c>
      <c r="L2929" s="9" t="n">
        <v>46323</v>
      </c>
      <c r="M2929" s="8" t="inlineStr">
        <is>
          <t>Approved</t>
        </is>
      </c>
      <c r="N2929" s="8" t="inlineStr">
        <is>
          <t>faq</t>
        </is>
      </c>
    </row>
    <row r="2930" ht="54" customHeight="1">
      <c r="A2930" s="4" t="inlineStr">
        <is>
          <t>M17-P0020</t>
        </is>
      </c>
      <c r="B2930" s="4" t="inlineStr">
        <is>
          <t>M17</t>
        </is>
      </c>
      <c r="C2930" s="4" t="inlineStr">
        <is>
          <t>Grant In Aid To Old Age Home</t>
        </is>
      </c>
      <c r="D2930" s="4" t="inlineStr">
        <is>
          <t>FAQ</t>
        </is>
      </c>
      <c r="E2930" s="4" t="inlineStr"/>
      <c r="F2930" s="4" t="inlineStr">
        <is>
          <t>faqs.en.faqs[2]</t>
        </is>
      </c>
      <c r="G2930" s="4" t="inlineStr">
        <is>
          <t>M17@20261028-cc52e2ad</t>
        </is>
      </c>
      <c r="H2930" s="4" t="n">
        <v>1</v>
      </c>
      <c r="I2930" s="4" t="n">
        <v>1</v>
      </c>
      <c r="J2930" s="4" t="inlineStr">
        <is>
          <t>Apart From Accommodation, What Additional Facilities Are Provided?
Apart from accommodation, food, resort, Free lodging &amp; Boarding &amp; Medical Assistance, etc are provided.</t>
        </is>
      </c>
      <c r="K2930" s="4" t="inlineStr">
        <is>
          <t>MS-M17</t>
        </is>
      </c>
      <c r="L2930" s="6" t="n">
        <v>46323</v>
      </c>
      <c r="M2930" s="4" t="inlineStr">
        <is>
          <t>Approved</t>
        </is>
      </c>
      <c r="N2930" s="4" t="inlineStr">
        <is>
          <t>faq</t>
        </is>
      </c>
    </row>
    <row r="2931" ht="40" customHeight="1">
      <c r="A2931" s="8" t="inlineStr">
        <is>
          <t>M17-P0021</t>
        </is>
      </c>
      <c r="B2931" s="8" t="inlineStr">
        <is>
          <t>M17</t>
        </is>
      </c>
      <c r="C2931" s="8" t="inlineStr">
        <is>
          <t>Grant In Aid To Old Age Home</t>
        </is>
      </c>
      <c r="D2931" s="8" t="inlineStr">
        <is>
          <t>FAQ</t>
        </is>
      </c>
      <c r="E2931" s="8" t="inlineStr"/>
      <c r="F2931" s="8" t="inlineStr">
        <is>
          <t>faqs.en.faqs[3]</t>
        </is>
      </c>
      <c r="G2931" s="8" t="inlineStr">
        <is>
          <t>M17@20261028-cc52e2ad</t>
        </is>
      </c>
      <c r="H2931" s="8" t="n">
        <v>1</v>
      </c>
      <c r="I2931" s="8" t="n">
        <v>1</v>
      </c>
      <c r="J2931" s="8" t="inlineStr">
        <is>
          <t>How Much Shall Be The Cost Of Lodging &amp; Boarding?
Lodging &amp; Boarding in this scheme are completely free of cost.</t>
        </is>
      </c>
      <c r="K2931" s="8" t="inlineStr">
        <is>
          <t>MS-M17</t>
        </is>
      </c>
      <c r="L2931" s="9" t="n">
        <v>46323</v>
      </c>
      <c r="M2931" s="8" t="inlineStr">
        <is>
          <t>Approved</t>
        </is>
      </c>
      <c r="N2931" s="8" t="inlineStr">
        <is>
          <t>faq</t>
        </is>
      </c>
    </row>
    <row r="2932" ht="40" customHeight="1">
      <c r="A2932" s="4" t="inlineStr">
        <is>
          <t>M17-P0022</t>
        </is>
      </c>
      <c r="B2932" s="4" t="inlineStr">
        <is>
          <t>M17</t>
        </is>
      </c>
      <c r="C2932" s="4" t="inlineStr">
        <is>
          <t>Grant In Aid To Old Age Home</t>
        </is>
      </c>
      <c r="D2932" s="4" t="inlineStr">
        <is>
          <t>FAQ</t>
        </is>
      </c>
      <c r="E2932" s="4" t="inlineStr"/>
      <c r="F2932" s="4" t="inlineStr">
        <is>
          <t>faqs.en.faqs[4]</t>
        </is>
      </c>
      <c r="G2932" s="4" t="inlineStr">
        <is>
          <t>M17@20261028-cc52e2ad</t>
        </is>
      </c>
      <c r="H2932" s="4" t="n">
        <v>1</v>
      </c>
      <c r="I2932" s="4" t="n">
        <v>1</v>
      </c>
      <c r="J2932" s="4" t="inlineStr">
        <is>
          <t>Can A Person With Disability Who Is A Crime Victim Apply To This Scheme?
Yes, this scheme is open to Person with Disability who is a crime victim.</t>
        </is>
      </c>
      <c r="K2932" s="4" t="inlineStr">
        <is>
          <t>MS-M17</t>
        </is>
      </c>
      <c r="L2932" s="6" t="n">
        <v>46323</v>
      </c>
      <c r="M2932" s="4" t="inlineStr">
        <is>
          <t>Approved</t>
        </is>
      </c>
      <c r="N2932" s="4" t="inlineStr">
        <is>
          <t>faq</t>
        </is>
      </c>
    </row>
    <row r="2933" ht="40" customHeight="1">
      <c r="A2933" s="8" t="inlineStr">
        <is>
          <t>M17-P0023</t>
        </is>
      </c>
      <c r="B2933" s="8" t="inlineStr">
        <is>
          <t>M17</t>
        </is>
      </c>
      <c r="C2933" s="8" t="inlineStr">
        <is>
          <t>Grant In Aid To Old Age Home</t>
        </is>
      </c>
      <c r="D2933" s="8" t="inlineStr">
        <is>
          <t>FAQ</t>
        </is>
      </c>
      <c r="E2933" s="8" t="inlineStr"/>
      <c r="F2933" s="8" t="inlineStr">
        <is>
          <t>faqs.en.faqs[5]</t>
        </is>
      </c>
      <c r="G2933" s="8" t="inlineStr">
        <is>
          <t>M17@20261028-cc52e2ad</t>
        </is>
      </c>
      <c r="H2933" s="8" t="n">
        <v>1</v>
      </c>
      <c r="I2933" s="8" t="n">
        <v>1</v>
      </c>
      <c r="J2933" s="8" t="inlineStr">
        <is>
          <t>What Is The Age Criteria For Old Age Men?
The age criteria for old age men is 60 years and above.</t>
        </is>
      </c>
      <c r="K2933" s="8" t="inlineStr">
        <is>
          <t>MS-M17</t>
        </is>
      </c>
      <c r="L2933" s="9" t="n">
        <v>46323</v>
      </c>
      <c r="M2933" s="8" t="inlineStr">
        <is>
          <t>Approved</t>
        </is>
      </c>
      <c r="N2933" s="8" t="inlineStr">
        <is>
          <t>faq</t>
        </is>
      </c>
    </row>
    <row r="2934" ht="40" customHeight="1">
      <c r="A2934" s="4" t="inlineStr">
        <is>
          <t>M17-P0024</t>
        </is>
      </c>
      <c r="B2934" s="4" t="inlineStr">
        <is>
          <t>M17</t>
        </is>
      </c>
      <c r="C2934" s="4" t="inlineStr">
        <is>
          <t>Grant In Aid To Old Age Home</t>
        </is>
      </c>
      <c r="D2934" s="4" t="inlineStr">
        <is>
          <t>FAQ</t>
        </is>
      </c>
      <c r="E2934" s="4" t="inlineStr"/>
      <c r="F2934" s="4" t="inlineStr">
        <is>
          <t>faqs.en.faqs[6]</t>
        </is>
      </c>
      <c r="G2934" s="4" t="inlineStr">
        <is>
          <t>M17@20261028-cc52e2ad</t>
        </is>
      </c>
      <c r="H2934" s="4" t="n">
        <v>1</v>
      </c>
      <c r="I2934" s="4" t="n">
        <v>1</v>
      </c>
      <c r="J2934" s="4" t="inlineStr">
        <is>
          <t>What Is The Age Criteria For Old Age Women?
The age criteria for old age men is 55 years and above.</t>
        </is>
      </c>
      <c r="K2934" s="4" t="inlineStr">
        <is>
          <t>MS-M17</t>
        </is>
      </c>
      <c r="L2934" s="6" t="n">
        <v>46323</v>
      </c>
      <c r="M2934" s="4" t="inlineStr">
        <is>
          <t>Approved</t>
        </is>
      </c>
      <c r="N2934" s="4" t="inlineStr">
        <is>
          <t>faq</t>
        </is>
      </c>
    </row>
    <row r="2935" ht="68" customHeight="1">
      <c r="A2935" s="8" t="inlineStr">
        <is>
          <t>M17-P0025</t>
        </is>
      </c>
      <c r="B2935" s="8" t="inlineStr">
        <is>
          <t>M17</t>
        </is>
      </c>
      <c r="C2935" s="8" t="inlineStr">
        <is>
          <t>Grant In Aid To Old Age Home</t>
        </is>
      </c>
      <c r="D2935" s="8" t="inlineStr">
        <is>
          <t>FAQ</t>
        </is>
      </c>
      <c r="E2935" s="8" t="inlineStr"/>
      <c r="F2935" s="8" t="inlineStr">
        <is>
          <t>faqs.en.faqs[7]</t>
        </is>
      </c>
      <c r="G2935" s="8" t="inlineStr">
        <is>
          <t>M17@20261028-cc52e2ad</t>
        </is>
      </c>
      <c r="H2935" s="8" t="n">
        <v>1</v>
      </c>
      <c r="I2935" s="8" t="n">
        <v>1</v>
      </c>
      <c r="J2935" s="8" t="inlineStr">
        <is>
          <t>Is The Residential Certificate / Domicile Certificate Of The State Of Maharashtra, A Mandatory Document For This Scheme?
Yes, the Residential Certificate / Domicile Certificate of the State of Maharashtra is a mandatory document for this scheme.</t>
        </is>
      </c>
      <c r="K2935" s="8" t="inlineStr">
        <is>
          <t>MS-M17</t>
        </is>
      </c>
      <c r="L2935" s="9" t="n">
        <v>46323</v>
      </c>
      <c r="M2935" s="8" t="inlineStr">
        <is>
          <t>Approved</t>
        </is>
      </c>
      <c r="N2935" s="8" t="inlineStr">
        <is>
          <t>faq</t>
        </is>
      </c>
    </row>
    <row r="2936" ht="40" customHeight="1">
      <c r="A2936" s="4" t="inlineStr">
        <is>
          <t>M17-P0026</t>
        </is>
      </c>
      <c r="B2936" s="4" t="inlineStr">
        <is>
          <t>M17</t>
        </is>
      </c>
      <c r="C2936" s="4" t="inlineStr">
        <is>
          <t>Grant In Aid To Old Age Home</t>
        </is>
      </c>
      <c r="D2936" s="4" t="inlineStr">
        <is>
          <t>FAQ</t>
        </is>
      </c>
      <c r="E2936" s="4" t="inlineStr"/>
      <c r="F2936" s="4" t="inlineStr">
        <is>
          <t>faqs.en.faqs[8]</t>
        </is>
      </c>
      <c r="G2936" s="4" t="inlineStr">
        <is>
          <t>M17@20261028-cc52e2ad</t>
        </is>
      </c>
      <c r="H2936" s="4" t="n">
        <v>1</v>
      </c>
      <c r="I2936" s="4" t="n">
        <v>1</v>
      </c>
      <c r="J2936" s="4" t="inlineStr">
        <is>
          <t>Can I Reapply To This Scheme If I Am Already Availing The Benefits Of This Scheme?
No, you can not reapply to this scheme if you already have availed of its benefits.</t>
        </is>
      </c>
      <c r="K2936" s="4" t="inlineStr">
        <is>
          <t>MS-M17</t>
        </is>
      </c>
      <c r="L2936" s="6" t="n">
        <v>46323</v>
      </c>
      <c r="M2936" s="4" t="inlineStr">
        <is>
          <t>Approved</t>
        </is>
      </c>
      <c r="N2936" s="4" t="inlineStr">
        <is>
          <t>faq</t>
        </is>
      </c>
    </row>
    <row r="2937" ht="40" customHeight="1">
      <c r="A2937" s="8" t="inlineStr">
        <is>
          <t>M17-P0027</t>
        </is>
      </c>
      <c r="B2937" s="8" t="inlineStr">
        <is>
          <t>M17</t>
        </is>
      </c>
      <c r="C2937" s="8" t="inlineStr">
        <is>
          <t>Grant In Aid To Old Age Home</t>
        </is>
      </c>
      <c r="D2937" s="8" t="inlineStr">
        <is>
          <t>FAQ</t>
        </is>
      </c>
      <c r="E2937" s="8" t="inlineStr"/>
      <c r="F2937" s="8" t="inlineStr">
        <is>
          <t>faqs.en.faqs[9]</t>
        </is>
      </c>
      <c r="G2937" s="8" t="inlineStr">
        <is>
          <t>M17@20261028-cc52e2ad</t>
        </is>
      </c>
      <c r="H2937" s="8" t="n">
        <v>1</v>
      </c>
      <c r="I2937" s="8" t="n">
        <v>1</v>
      </c>
      <c r="J2937" s="8" t="inlineStr">
        <is>
          <t>What Is The Full Form Of SJSA?
The full form of SJSA is "Social Justice &amp; Special Assistance".</t>
        </is>
      </c>
      <c r="K2937" s="8" t="inlineStr">
        <is>
          <t>MS-M17</t>
        </is>
      </c>
      <c r="L2937" s="9" t="n">
        <v>46323</v>
      </c>
      <c r="M2937" s="8" t="inlineStr">
        <is>
          <t>Approved</t>
        </is>
      </c>
      <c r="N2937" s="8" t="inlineStr">
        <is>
          <t>faq</t>
        </is>
      </c>
    </row>
    <row r="2938" ht="40" customHeight="1">
      <c r="A2938" s="4" t="inlineStr">
        <is>
          <t>M17-P0028</t>
        </is>
      </c>
      <c r="B2938" s="4" t="inlineStr">
        <is>
          <t>M17</t>
        </is>
      </c>
      <c r="C2938" s="4" t="inlineStr">
        <is>
          <t>Grant In Aid To Old Age Home</t>
        </is>
      </c>
      <c r="D2938" s="4" t="inlineStr">
        <is>
          <t>FAQ</t>
        </is>
      </c>
      <c r="E2938" s="4" t="inlineStr"/>
      <c r="F2938" s="4" t="inlineStr">
        <is>
          <t>faqs.en.faqs[10]</t>
        </is>
      </c>
      <c r="G2938" s="4" t="inlineStr">
        <is>
          <t>M17@20261028-cc52e2ad</t>
        </is>
      </c>
      <c r="H2938" s="4" t="n">
        <v>1</v>
      </c>
      <c r="I2938" s="4" t="n">
        <v>1</v>
      </c>
      <c r="J2938" s="4" t="inlineStr">
        <is>
          <t>Is This A State Funded Or A Centrally Funded Scheme?
This is a 100% State Funded scheme.</t>
        </is>
      </c>
      <c r="K2938" s="4" t="inlineStr">
        <is>
          <t>MS-M17</t>
        </is>
      </c>
      <c r="L2938" s="6" t="n">
        <v>46323</v>
      </c>
      <c r="M2938" s="4" t="inlineStr">
        <is>
          <t>Approved</t>
        </is>
      </c>
      <c r="N2938" s="4" t="inlineStr">
        <is>
          <t>faq</t>
        </is>
      </c>
    </row>
    <row r="2939" ht="40" customHeight="1">
      <c r="A2939" s="8" t="inlineStr">
        <is>
          <t>M17-P0029</t>
        </is>
      </c>
      <c r="B2939" s="8" t="inlineStr">
        <is>
          <t>M17</t>
        </is>
      </c>
      <c r="C2939" s="8" t="inlineStr">
        <is>
          <t>Grant In Aid To Old Age Home</t>
        </is>
      </c>
      <c r="D2939" s="8" t="inlineStr">
        <is>
          <t>FAQ</t>
        </is>
      </c>
      <c r="E2939" s="8" t="inlineStr"/>
      <c r="F2939" s="8" t="inlineStr">
        <is>
          <t>faqs.en.faqs[11]</t>
        </is>
      </c>
      <c r="G2939" s="8" t="inlineStr">
        <is>
          <t>M17@20261028-cc52e2ad</t>
        </is>
      </c>
      <c r="H2939" s="8" t="n">
        <v>1</v>
      </c>
      <c r="I2939" s="8" t="n">
        <v>1</v>
      </c>
      <c r="J2939" s="8" t="inlineStr">
        <is>
          <t>Is There Any Application Fee?
No, the entire application process is entirely free of cost.</t>
        </is>
      </c>
      <c r="K2939" s="8" t="inlineStr">
        <is>
          <t>MS-M17</t>
        </is>
      </c>
      <c r="L2939" s="9" t="n">
        <v>46323</v>
      </c>
      <c r="M2939" s="8" t="inlineStr">
        <is>
          <t>Approved</t>
        </is>
      </c>
      <c r="N2939" s="8" t="inlineStr">
        <is>
          <t>faq</t>
        </is>
      </c>
    </row>
    <row r="2940" ht="40" customHeight="1">
      <c r="A2940" s="4" t="inlineStr">
        <is>
          <t>M17-P0030</t>
        </is>
      </c>
      <c r="B2940" s="4" t="inlineStr">
        <is>
          <t>M17</t>
        </is>
      </c>
      <c r="C2940" s="4" t="inlineStr">
        <is>
          <t>Grant In Aid To Old Age Home</t>
        </is>
      </c>
      <c r="D2940" s="4" t="inlineStr">
        <is>
          <t>FAQ</t>
        </is>
      </c>
      <c r="E2940" s="4" t="inlineStr"/>
      <c r="F2940" s="4" t="inlineStr">
        <is>
          <t>faqs.en.faqs[12]</t>
        </is>
      </c>
      <c r="G2940" s="4" t="inlineStr">
        <is>
          <t>M17@20261028-cc52e2ad</t>
        </is>
      </c>
      <c r="H2940" s="4" t="n">
        <v>1</v>
      </c>
      <c r="I2940" s="4" t="n">
        <v>1</v>
      </c>
      <c r="J2940" s="4" t="inlineStr">
        <is>
          <t>Is There Any Compensation For The Delay In The Disbursal Of The Scheme Benefits?
No, there is no such mention in the scheme guidelines.</t>
        </is>
      </c>
      <c r="K2940" s="4" t="inlineStr">
        <is>
          <t>MS-M17</t>
        </is>
      </c>
      <c r="L2940" s="6" t="n">
        <v>46323</v>
      </c>
      <c r="M2940" s="4" t="inlineStr">
        <is>
          <t>Approved</t>
        </is>
      </c>
      <c r="N2940" s="4" t="inlineStr">
        <is>
          <t>faq</t>
        </is>
      </c>
    </row>
    <row r="2941" ht="40" customHeight="1">
      <c r="A2941" s="8" t="inlineStr">
        <is>
          <t>M17-P0031</t>
        </is>
      </c>
      <c r="B2941" s="8" t="inlineStr">
        <is>
          <t>M17</t>
        </is>
      </c>
      <c r="C2941" s="8" t="inlineStr">
        <is>
          <t>Grant In Aid To Old Age Home</t>
        </is>
      </c>
      <c r="D2941" s="8" t="inlineStr">
        <is>
          <t>FAQ</t>
        </is>
      </c>
      <c r="E2941" s="8" t="inlineStr"/>
      <c r="F2941" s="8" t="inlineStr">
        <is>
          <t>faqs.en.faqs[13]</t>
        </is>
      </c>
      <c r="G2941" s="8" t="inlineStr">
        <is>
          <t>M17@20261028-cc52e2ad</t>
        </is>
      </c>
      <c r="H2941" s="8" t="n">
        <v>1</v>
      </c>
      <c r="I2941" s="8" t="n">
        <v>1</v>
      </c>
      <c r="J2941" s="8" t="inlineStr">
        <is>
          <t>How Do I Know If A Field In The Application Form Is Mandatory?
The mandatory fields have an asterisk (*) mark at the end.</t>
        </is>
      </c>
      <c r="K2941" s="8" t="inlineStr">
        <is>
          <t>MS-M17</t>
        </is>
      </c>
      <c r="L2941" s="9" t="n">
        <v>46323</v>
      </c>
      <c r="M2941" s="8" t="inlineStr">
        <is>
          <t>Approved</t>
        </is>
      </c>
      <c r="N2941" s="8" t="inlineStr">
        <is>
          <t>faq</t>
        </is>
      </c>
    </row>
    <row r="2942" ht="68" customHeight="1">
      <c r="A2942" s="4" t="inlineStr">
        <is>
          <t>M17-P0032</t>
        </is>
      </c>
      <c r="B2942" s="4" t="inlineStr">
        <is>
          <t>M17</t>
        </is>
      </c>
      <c r="C2942" s="4" t="inlineStr">
        <is>
          <t>Grant In Aid To Old Age Home</t>
        </is>
      </c>
      <c r="D2942" s="4" t="inlineStr">
        <is>
          <t>FAQ</t>
        </is>
      </c>
      <c r="E2942" s="4" t="inlineStr"/>
      <c r="F2942" s="4" t="inlineStr">
        <is>
          <t>faqs.en.faqs[14]</t>
        </is>
      </c>
      <c r="G2942" s="4" t="inlineStr">
        <is>
          <t>M17@20261028-cc52e2ad</t>
        </is>
      </c>
      <c r="H2942" s="4" t="n">
        <v>1</v>
      </c>
      <c r="I2942" s="4" t="n">
        <v>1</v>
      </c>
      <c r="J2942" s="4" t="inlineStr">
        <is>
          <t>Can Applicants From The Neighboring States Gujarat, Madhya Pradesh, Chhattisgarh, Telangana, Etc Also Apply To This Scheme?
No, only the citizens who are permanent residents of the state of Maharashtra are eligible to apply.</t>
        </is>
      </c>
      <c r="K2942" s="4" t="inlineStr">
        <is>
          <t>MS-M17</t>
        </is>
      </c>
      <c r="L2942" s="6" t="n">
        <v>46323</v>
      </c>
      <c r="M2942" s="4" t="inlineStr">
        <is>
          <t>Approved</t>
        </is>
      </c>
      <c r="N2942" s="4" t="inlineStr">
        <is>
          <t>faq</t>
        </is>
      </c>
    </row>
    <row r="2943" ht="54" customHeight="1">
      <c r="A2943" s="8" t="inlineStr">
        <is>
          <t>M17-P0033</t>
        </is>
      </c>
      <c r="B2943" s="8" t="inlineStr">
        <is>
          <t>M17</t>
        </is>
      </c>
      <c r="C2943" s="8" t="inlineStr">
        <is>
          <t>Grant In Aid To Old Age Home</t>
        </is>
      </c>
      <c r="D2943" s="8" t="inlineStr">
        <is>
          <t>FAQ</t>
        </is>
      </c>
      <c r="E2943" s="8" t="inlineStr"/>
      <c r="F2943" s="8" t="inlineStr">
        <is>
          <t>faqs.en.faqs[15]</t>
        </is>
      </c>
      <c r="G2943" s="8" t="inlineStr">
        <is>
          <t>M17@20261028-cc52e2ad</t>
        </is>
      </c>
      <c r="H2943" s="8" t="n">
        <v>1</v>
      </c>
      <c r="I2943" s="8" t="n">
        <v>1</v>
      </c>
      <c r="J2943" s="8" t="inlineStr">
        <is>
          <t>Where Can I Find The URL To The Website Of The Dept. Of Social Justice &amp; Special Assistance?
The URL to the official website of the Department of Social Justice &amp; Special Assistance, Government of Maharashtra is - https://sjsa.maharashtra.gov.in/</t>
        </is>
      </c>
      <c r="K2943" s="8" t="inlineStr">
        <is>
          <t>MS-M17</t>
        </is>
      </c>
      <c r="L2943" s="9" t="n">
        <v>46323</v>
      </c>
      <c r="M2943" s="8" t="inlineStr">
        <is>
          <t>Approved</t>
        </is>
      </c>
      <c r="N2943" s="8" t="inlineStr">
        <is>
          <t>faq</t>
        </is>
      </c>
    </row>
    <row r="2944" ht="54" customHeight="1">
      <c r="A2944" s="4" t="inlineStr">
        <is>
          <t>M17-P0034</t>
        </is>
      </c>
      <c r="B2944" s="4" t="inlineStr">
        <is>
          <t>M17</t>
        </is>
      </c>
      <c r="C2944" s="4" t="inlineStr">
        <is>
          <t>Grant In Aid To Old Age Home</t>
        </is>
      </c>
      <c r="D2944" s="4" t="inlineStr">
        <is>
          <t>FAQ</t>
        </is>
      </c>
      <c r="E2944" s="4" t="inlineStr"/>
      <c r="F2944" s="4" t="inlineStr">
        <is>
          <t>faqs.en.faqs[16]</t>
        </is>
      </c>
      <c r="G2944" s="4" t="inlineStr">
        <is>
          <t>M17@20261028-cc52e2ad</t>
        </is>
      </c>
      <c r="H2944" s="4" t="n">
        <v>1</v>
      </c>
      <c r="I2944" s="4" t="n">
        <v>1</v>
      </c>
      <c r="J2944" s="4" t="inlineStr">
        <is>
          <t>Where Can I Find The Link To The Scheme Guidelines?
The Scheme Guidelines can be found at this link - https://sjsa.maharashtra.gov.in/en/scheme-category/disability-welfare</t>
        </is>
      </c>
      <c r="K2944" s="4" t="inlineStr">
        <is>
          <t>MS-M17</t>
        </is>
      </c>
      <c r="L2944" s="6" t="n">
        <v>46323</v>
      </c>
      <c r="M2944" s="4" t="inlineStr">
        <is>
          <t>Approved</t>
        </is>
      </c>
      <c r="N2944" s="4" t="inlineStr">
        <is>
          <t>faq</t>
        </is>
      </c>
    </row>
    <row r="2945" ht="68" customHeight="1">
      <c r="A2945" s="8" t="inlineStr">
        <is>
          <t>M17-P0035</t>
        </is>
      </c>
      <c r="B2945" s="8" t="inlineStr">
        <is>
          <t>M17</t>
        </is>
      </c>
      <c r="C2945" s="8" t="inlineStr">
        <is>
          <t>Grant In Aid To Old Age Home</t>
        </is>
      </c>
      <c r="D2945" s="8" t="inlineStr">
        <is>
          <t>FAQ</t>
        </is>
      </c>
      <c r="E2945" s="8" t="inlineStr"/>
      <c r="F2945" s="8" t="inlineStr">
        <is>
          <t>faqs.en.faqs[17]</t>
        </is>
      </c>
      <c r="G2945" s="8" t="inlineStr">
        <is>
          <t>M17@20261028-cc52e2ad</t>
        </is>
      </c>
      <c r="H2945" s="8" t="n">
        <v>1</v>
      </c>
      <c r="I2945" s="8" t="n">
        <v>1</v>
      </c>
      <c r="J2945" s="8" t="inlineStr">
        <is>
          <t>What Is The Address Of The Department Of Social Justice &amp; Special Assistance, Government Of Maharashtra?
The address of the Department of Social Justice &amp; Special Assistance, Government of Maharashtra is: 437, Shankar Sheth Rd, Police Colony, Swargate, Pune, Maharashtra 411042</t>
        </is>
      </c>
      <c r="K2945" s="8" t="inlineStr">
        <is>
          <t>MS-M17</t>
        </is>
      </c>
      <c r="L2945" s="9" t="n">
        <v>46323</v>
      </c>
      <c r="M2945" s="8" t="inlineStr">
        <is>
          <t>Approved</t>
        </is>
      </c>
      <c r="N2945" s="8" t="inlineStr">
        <is>
          <t>faq</t>
        </is>
      </c>
    </row>
    <row r="2946" ht="54" customHeight="1">
      <c r="A2946" s="4" t="inlineStr">
        <is>
          <t>M17-P0036</t>
        </is>
      </c>
      <c r="B2946" s="4" t="inlineStr">
        <is>
          <t>M17</t>
        </is>
      </c>
      <c r="C2946" s="4" t="inlineStr">
        <is>
          <t>Grant In Aid To Old Age Home</t>
        </is>
      </c>
      <c r="D2946" s="4" t="inlineStr">
        <is>
          <t>FAQ</t>
        </is>
      </c>
      <c r="E2946" s="4" t="inlineStr"/>
      <c r="F2946" s="4" t="inlineStr">
        <is>
          <t>faqs.en.faqs[18]</t>
        </is>
      </c>
      <c r="G2946" s="4" t="inlineStr">
        <is>
          <t>M17@20261028-cc52e2ad</t>
        </is>
      </c>
      <c r="H2946" s="4" t="n">
        <v>1</v>
      </c>
      <c r="I2946" s="4" t="n">
        <v>1</v>
      </c>
      <c r="J2946" s="4" t="inlineStr">
        <is>
          <t>Where Can I Find The Addresses Of The District Social Welfare Offices?
The addresses of the District Social Welfare Offices can be found at - https://sjsa.maharashtra.gov.in/en/contacts</t>
        </is>
      </c>
      <c r="K2946" s="4" t="inlineStr">
        <is>
          <t>MS-M17</t>
        </is>
      </c>
      <c r="L2946" s="6" t="n">
        <v>46323</v>
      </c>
      <c r="M2946" s="4" t="inlineStr">
        <is>
          <t>Approved</t>
        </is>
      </c>
      <c r="N2946" s="4" t="inlineStr">
        <is>
          <t>faq</t>
        </is>
      </c>
    </row>
    <row r="2947" ht="54" customHeight="1">
      <c r="A2947" s="8" t="inlineStr">
        <is>
          <t>M17-P0037</t>
        </is>
      </c>
      <c r="B2947" s="8" t="inlineStr">
        <is>
          <t>M17</t>
        </is>
      </c>
      <c r="C2947" s="8" t="inlineStr">
        <is>
          <t>Grant In Aid To Old Age Home</t>
        </is>
      </c>
      <c r="D2947" s="8" t="inlineStr">
        <is>
          <t>FAQ</t>
        </is>
      </c>
      <c r="E2947" s="8" t="inlineStr"/>
      <c r="F2947" s="8" t="inlineStr">
        <is>
          <t>faqs.en.faqs[19]</t>
        </is>
      </c>
      <c r="G2947" s="8" t="inlineStr">
        <is>
          <t>M17@20261028-cc52e2ad</t>
        </is>
      </c>
      <c r="H2947" s="8" t="n">
        <v>1</v>
      </c>
      <c r="I2947" s="8" t="n">
        <v>1</v>
      </c>
      <c r="J2947" s="8" t="inlineStr">
        <is>
          <t>Where Can I Post My Grievances Related To This Scheme?
You can post your grievances at the Grievance Redressal Portal by the Govt. of Maharashtra: https://grievances.maharashtra.gov.in/en</t>
        </is>
      </c>
      <c r="K2947" s="8" t="inlineStr">
        <is>
          <t>MS-M17</t>
        </is>
      </c>
      <c r="L2947" s="9" t="n">
        <v>46323</v>
      </c>
      <c r="M2947" s="8" t="inlineStr">
        <is>
          <t>Approved</t>
        </is>
      </c>
      <c r="N2947" s="8" t="inlineStr">
        <is>
          <t>faq</t>
        </is>
      </c>
    </row>
    <row r="2948" ht="40" customHeight="1">
      <c r="A2948" s="4" t="inlineStr">
        <is>
          <t>M17-P0038</t>
        </is>
      </c>
      <c r="B2948" s="4" t="inlineStr">
        <is>
          <t>M17</t>
        </is>
      </c>
      <c r="C2948" s="4" t="inlineStr">
        <is>
          <t>Grant In Aid To Old Age Home</t>
        </is>
      </c>
      <c r="D2948" s="4" t="inlineStr">
        <is>
          <t>FAQ</t>
        </is>
      </c>
      <c r="E2948" s="4" t="inlineStr"/>
      <c r="F2948" s="4" t="inlineStr">
        <is>
          <t>faqs.en.faqs[20]</t>
        </is>
      </c>
      <c r="G2948" s="4" t="inlineStr">
        <is>
          <t>M17@20261028-cc52e2ad</t>
        </is>
      </c>
      <c r="H2948" s="4" t="n">
        <v>1</v>
      </c>
      <c r="I2948" s="4" t="n">
        <v>1</v>
      </c>
      <c r="J2948" s="4" t="inlineStr">
        <is>
          <t>Is There An Income-Related Criterion For This Scheme?
No, there is no income-related criterion for this scheme.</t>
        </is>
      </c>
      <c r="K2948" s="4" t="inlineStr">
        <is>
          <t>MS-M17</t>
        </is>
      </c>
      <c r="L2948" s="6" t="n">
        <v>46323</v>
      </c>
      <c r="M2948" s="4" t="inlineStr">
        <is>
          <t>Approved</t>
        </is>
      </c>
      <c r="N2948" s="4" t="inlineStr">
        <is>
          <t>faq</t>
        </is>
      </c>
    </row>
    <row r="2949" ht="54" customHeight="1">
      <c r="A2949" s="8" t="inlineStr">
        <is>
          <t>M17-P0039</t>
        </is>
      </c>
      <c r="B2949" s="8" t="inlineStr">
        <is>
          <t>M17</t>
        </is>
      </c>
      <c r="C2949" s="8" t="inlineStr">
        <is>
          <t>Grant In Aid To Old Age Home</t>
        </is>
      </c>
      <c r="D2949" s="8" t="inlineStr">
        <is>
          <t>FAQ</t>
        </is>
      </c>
      <c r="E2949" s="8" t="inlineStr"/>
      <c r="F2949" s="8" t="inlineStr">
        <is>
          <t>faqs.en.faqs[21]</t>
        </is>
      </c>
      <c r="G2949" s="8" t="inlineStr">
        <is>
          <t>M17@20261028-cc52e2ad</t>
        </is>
      </c>
      <c r="H2949" s="8" t="n">
        <v>1</v>
      </c>
      <c r="I2949" s="8" t="n">
        <v>1</v>
      </c>
      <c r="J2949" s="8" t="inlineStr">
        <is>
          <t>Where Can I Find The Format Of The Application Form? Is It Available Online?
You need to visit the District Social Welfare Office and request a hard copy of the format of the application form for the scheme from the concerned authority.</t>
        </is>
      </c>
      <c r="K2949" s="8" t="inlineStr">
        <is>
          <t>MS-M17</t>
        </is>
      </c>
      <c r="L2949" s="9" t="n">
        <v>46323</v>
      </c>
      <c r="M2949" s="8" t="inlineStr">
        <is>
          <t>Approved</t>
        </is>
      </c>
      <c r="N2949" s="8" t="inlineStr">
        <is>
          <t>faq</t>
        </is>
      </c>
    </row>
    <row r="2950" ht="166" customHeight="1">
      <c r="A2950" s="4" t="inlineStr">
        <is>
          <t>M18-P0001</t>
        </is>
      </c>
      <c r="B2950" s="4" t="inlineStr">
        <is>
          <t>M18</t>
        </is>
      </c>
      <c r="C2950" s="4" t="inlineStr">
        <is>
          <t>Training Of Motor Driving To VJNT, SBS &amp; OBC</t>
        </is>
      </c>
      <c r="D2950" s="4" t="inlineStr">
        <is>
          <t>Details</t>
        </is>
      </c>
      <c r="E2950" s="4" t="inlineStr"/>
      <c r="F2950" s="4" t="inlineStr">
        <is>
          <t>en.schemeContent.detailedDescription[0]</t>
        </is>
      </c>
      <c r="G2950" s="4" t="inlineStr">
        <is>
          <t>M18@20261028-ef817fa6</t>
        </is>
      </c>
      <c r="H2950" s="4" t="n">
        <v>1</v>
      </c>
      <c r="I2950" s="4" t="n">
        <v>2</v>
      </c>
      <c r="J2950" s="4" t="inlineStr">
        <is>
          <t>The Government of Maharashtra launched a scheme that provides light and heavy motor driving, and conductor training to the needy Vimukta Jati, Nomadic Tribes, and Other Backward Class (VJNT, OBC &amp; SBC) candidates. The scheme’s objective is to create employment chances for Vimukta Jati/Nomadic Tribes, Other Backward Classes, and Special Backward Class youth. The scheme provides light and heavy motor driving or conductor training to the needy VJNT, OBC &amp; SBC candidates. The training is given through private motor driving schools. Under this scheme, the selected candidates are provided training with free lodging, boarding facility, License Fees, etc. Applicant should belong to VJNT, OBC, or SBC Category and Applicant should fulfill all the conditions of Age, Education, and fitness as per the Motor Vehicle Act. The government aims to provide training and Economic Uplifting with the help of employment to the youth.  Application is to be submitted to Motor Driving School approved by the</t>
        </is>
      </c>
      <c r="K2950" s="4" t="inlineStr">
        <is>
          <t>MS-M18</t>
        </is>
      </c>
      <c r="L2950" s="6" t="n">
        <v>46323</v>
      </c>
      <c r="M2950" s="4" t="inlineStr">
        <is>
          <t>Approved</t>
        </is>
      </c>
      <c r="N2950" s="4" t="inlineStr">
        <is>
          <t>paragraph</t>
        </is>
      </c>
    </row>
    <row r="2951" ht="40" customHeight="1">
      <c r="A2951" s="8" t="inlineStr">
        <is>
          <t>M18-P0001</t>
        </is>
      </c>
      <c r="B2951" s="8" t="inlineStr">
        <is>
          <t>M18</t>
        </is>
      </c>
      <c r="C2951" s="8" t="inlineStr">
        <is>
          <t>Training Of Motor Driving To VJNT, SBS &amp; OBC</t>
        </is>
      </c>
      <c r="D2951" s="8" t="inlineStr">
        <is>
          <t>Details</t>
        </is>
      </c>
      <c r="E2951" s="8" t="inlineStr"/>
      <c r="F2951" s="8" t="inlineStr">
        <is>
          <t>en.schemeContent.detailedDescription[0]</t>
        </is>
      </c>
      <c r="G2951" s="8" t="inlineStr">
        <is>
          <t>M18@20261028-ef817fa6</t>
        </is>
      </c>
      <c r="H2951" s="8" t="n">
        <v>2</v>
      </c>
      <c r="I2951" s="8" t="n">
        <v>2</v>
      </c>
      <c r="J2951" s="8" t="inlineStr">
        <is>
          <t xml:space="preserve"> Government of Maharashtra under the Social Justice and special assistance department.</t>
        </is>
      </c>
      <c r="K2951" s="8" t="inlineStr">
        <is>
          <t>MS-M18</t>
        </is>
      </c>
      <c r="L2951" s="9" t="n">
        <v>46323</v>
      </c>
      <c r="M2951" s="8" t="inlineStr">
        <is>
          <t>Approved</t>
        </is>
      </c>
      <c r="N2951" s="8" t="inlineStr">
        <is>
          <t>paragraph</t>
        </is>
      </c>
    </row>
    <row r="2952" ht="40" customHeight="1">
      <c r="A2952" s="4" t="inlineStr">
        <is>
          <t>M18-P0002</t>
        </is>
      </c>
      <c r="B2952" s="4" t="inlineStr">
        <is>
          <t>M18</t>
        </is>
      </c>
      <c r="C2952" s="4" t="inlineStr">
        <is>
          <t>Training Of Motor Driving To VJNT, SBS &amp; OBC</t>
        </is>
      </c>
      <c r="D2952" s="4" t="inlineStr">
        <is>
          <t>Details</t>
        </is>
      </c>
      <c r="E2952" s="4" t="inlineStr"/>
      <c r="F2952" s="4" t="inlineStr">
        <is>
          <t>en.schemeContent.detailedDescription[2]</t>
        </is>
      </c>
      <c r="G2952" s="4" t="inlineStr">
        <is>
          <t>M18@20261028-ef817fa6</t>
        </is>
      </c>
      <c r="H2952" s="4" t="n">
        <v>1</v>
      </c>
      <c r="I2952" s="4" t="n">
        <v>1</v>
      </c>
      <c r="J2952" s="4" t="inlineStr">
        <is>
          <t>Light Motor Driving Rs.4264/- for 40 Days.</t>
        </is>
      </c>
      <c r="K2952" s="4" t="inlineStr">
        <is>
          <t>MS-M18</t>
        </is>
      </c>
      <c r="L2952" s="6" t="n">
        <v>46323</v>
      </c>
      <c r="M2952" s="4" t="inlineStr">
        <is>
          <t>Approved</t>
        </is>
      </c>
      <c r="N2952" s="4" t="inlineStr">
        <is>
          <t>paragraph</t>
        </is>
      </c>
    </row>
    <row r="2953" ht="40" customHeight="1">
      <c r="A2953" s="8" t="inlineStr">
        <is>
          <t>M18-P0003</t>
        </is>
      </c>
      <c r="B2953" s="8" t="inlineStr">
        <is>
          <t>M18</t>
        </is>
      </c>
      <c r="C2953" s="8" t="inlineStr">
        <is>
          <t>Training Of Motor Driving To VJNT, SBS &amp; OBC</t>
        </is>
      </c>
      <c r="D2953" s="8" t="inlineStr">
        <is>
          <t>Details</t>
        </is>
      </c>
      <c r="E2953" s="8" t="inlineStr"/>
      <c r="F2953" s="8" t="inlineStr">
        <is>
          <t>en.schemeContent.detailedDescription[3]</t>
        </is>
      </c>
      <c r="G2953" s="8" t="inlineStr">
        <is>
          <t>M18@20261028-ef817fa6</t>
        </is>
      </c>
      <c r="H2953" s="8" t="n">
        <v>1</v>
      </c>
      <c r="I2953" s="8" t="n">
        <v>1</v>
      </c>
      <c r="J2953" s="8" t="inlineStr">
        <is>
          <t>Heavy Motor Driving Rs.4960/- for 40 Days.</t>
        </is>
      </c>
      <c r="K2953" s="8" t="inlineStr">
        <is>
          <t>MS-M18</t>
        </is>
      </c>
      <c r="L2953" s="9" t="n">
        <v>46323</v>
      </c>
      <c r="M2953" s="8" t="inlineStr">
        <is>
          <t>Approved</t>
        </is>
      </c>
      <c r="N2953" s="8" t="inlineStr">
        <is>
          <t>paragraph</t>
        </is>
      </c>
    </row>
    <row r="2954" ht="40" customHeight="1">
      <c r="A2954" s="4" t="inlineStr">
        <is>
          <t>M18-P0004</t>
        </is>
      </c>
      <c r="B2954" s="4" t="inlineStr">
        <is>
          <t>M18</t>
        </is>
      </c>
      <c r="C2954" s="4" t="inlineStr">
        <is>
          <t>Training Of Motor Driving To VJNT, SBS &amp; OBC</t>
        </is>
      </c>
      <c r="D2954" s="4" t="inlineStr">
        <is>
          <t>Details</t>
        </is>
      </c>
      <c r="E2954" s="4" t="inlineStr"/>
      <c r="F2954" s="4" t="inlineStr">
        <is>
          <t>en.schemeContent.detailedDescription[4]</t>
        </is>
      </c>
      <c r="G2954" s="4" t="inlineStr">
        <is>
          <t>M18@20261028-ef817fa6</t>
        </is>
      </c>
      <c r="H2954" s="4" t="n">
        <v>1</v>
      </c>
      <c r="I2954" s="4" t="n">
        <v>1</v>
      </c>
      <c r="J2954" s="4" t="inlineStr">
        <is>
          <t>Conductor Rs.1728/- for 8 Days.</t>
        </is>
      </c>
      <c r="K2954" s="4" t="inlineStr">
        <is>
          <t>MS-M18</t>
        </is>
      </c>
      <c r="L2954" s="6" t="n">
        <v>46323</v>
      </c>
      <c r="M2954" s="4" t="inlineStr">
        <is>
          <t>Approved</t>
        </is>
      </c>
      <c r="N2954" s="4" t="inlineStr">
        <is>
          <t>paragraph</t>
        </is>
      </c>
    </row>
    <row r="2955" ht="40" customHeight="1">
      <c r="A2955" s="8" t="inlineStr">
        <is>
          <t>M18-P0005</t>
        </is>
      </c>
      <c r="B2955" s="8" t="inlineStr">
        <is>
          <t>M18</t>
        </is>
      </c>
      <c r="C2955" s="8" t="inlineStr">
        <is>
          <t>Training Of Motor Driving To VJNT, SBS &amp; OBC</t>
        </is>
      </c>
      <c r="D2955" s="8" t="inlineStr">
        <is>
          <t>Details</t>
        </is>
      </c>
      <c r="E2955" s="8" t="inlineStr"/>
      <c r="F2955" s="8" t="inlineStr">
        <is>
          <t>en.schemeContent.detailedDescription[5]</t>
        </is>
      </c>
      <c r="G2955" s="8" t="inlineStr">
        <is>
          <t>M18@20261028-ef817fa6</t>
        </is>
      </c>
      <c r="H2955" s="8" t="n">
        <v>1</v>
      </c>
      <c r="I2955" s="8" t="n">
        <v>1</v>
      </c>
      <c r="J2955" s="8" t="inlineStr">
        <is>
          <t>As per the corrigendum dated 15 March 2012 Rs.100/- per student is paid for sending the license by post as particular fee &amp; postage charges.</t>
        </is>
      </c>
      <c r="K2955" s="8" t="inlineStr">
        <is>
          <t>MS-M18</t>
        </is>
      </c>
      <c r="L2955" s="9" t="n">
        <v>46323</v>
      </c>
      <c r="M2955" s="8" t="inlineStr">
        <is>
          <t>Approved</t>
        </is>
      </c>
      <c r="N2955" s="8" t="inlineStr">
        <is>
          <t>paragraph</t>
        </is>
      </c>
    </row>
    <row r="2956" ht="40" customHeight="1">
      <c r="A2956" s="4" t="inlineStr">
        <is>
          <t>M18-P0006</t>
        </is>
      </c>
      <c r="B2956" s="4" t="inlineStr">
        <is>
          <t>M18</t>
        </is>
      </c>
      <c r="C2956" s="4" t="inlineStr">
        <is>
          <t>Training Of Motor Driving To VJNT, SBS &amp; OBC</t>
        </is>
      </c>
      <c r="D2956" s="4" t="inlineStr">
        <is>
          <t>Benefits</t>
        </is>
      </c>
      <c r="E2956" s="4" t="inlineStr"/>
      <c r="F2956" s="4" t="inlineStr">
        <is>
          <t>en.schemeContent.benefits[0]</t>
        </is>
      </c>
      <c r="G2956" s="4" t="inlineStr">
        <is>
          <t>M18@20261028-ef817fa6</t>
        </is>
      </c>
      <c r="H2956" s="4" t="n">
        <v>1</v>
      </c>
      <c r="I2956" s="4" t="n">
        <v>1</v>
      </c>
      <c r="J2956" s="4" t="inlineStr">
        <is>
          <t>1)	If the trainee is not living at headquarters during the training period, the institution should pay Rs.300/-  for Driver and Rs.150/- for the Conductor trainee as a stipend.</t>
        </is>
      </c>
      <c r="K2956" s="4" t="inlineStr">
        <is>
          <t>MS-M18</t>
        </is>
      </c>
      <c r="L2956" s="6" t="n">
        <v>46323</v>
      </c>
      <c r="M2956" s="4" t="inlineStr">
        <is>
          <t>Approved</t>
        </is>
      </c>
      <c r="N2956" s="4" t="inlineStr">
        <is>
          <t>paragraph</t>
        </is>
      </c>
    </row>
    <row r="2957" ht="40" customHeight="1">
      <c r="A2957" s="8" t="inlineStr">
        <is>
          <t>M18-P0007</t>
        </is>
      </c>
      <c r="B2957" s="8" t="inlineStr">
        <is>
          <t>M18</t>
        </is>
      </c>
      <c r="C2957" s="8" t="inlineStr">
        <is>
          <t>Training Of Motor Driving To VJNT, SBS &amp; OBC</t>
        </is>
      </c>
      <c r="D2957" s="8" t="inlineStr">
        <is>
          <t>Eligibility</t>
        </is>
      </c>
      <c r="E2957" s="8" t="inlineStr"/>
      <c r="F2957" s="8" t="inlineStr">
        <is>
          <t>en.eligibilityCriteria.eligibilityDescription[0].children[0]</t>
        </is>
      </c>
      <c r="G2957" s="8" t="inlineStr">
        <is>
          <t>M18@20261028-ef817fa6</t>
        </is>
      </c>
      <c r="H2957" s="8" t="n">
        <v>1</v>
      </c>
      <c r="I2957" s="8" t="n">
        <v>1</v>
      </c>
      <c r="J2957" s="8" t="inlineStr">
        <is>
          <t>Applicant should belong to VJNT, OBC or SBC Category.</t>
        </is>
      </c>
      <c r="K2957" s="8" t="inlineStr">
        <is>
          <t>MS-M18</t>
        </is>
      </c>
      <c r="L2957" s="9" t="n">
        <v>46323</v>
      </c>
      <c r="M2957" s="8" t="inlineStr">
        <is>
          <t>Approved</t>
        </is>
      </c>
      <c r="N2957" s="8" t="inlineStr">
        <is>
          <t>list_item</t>
        </is>
      </c>
    </row>
    <row r="2958" ht="40" customHeight="1">
      <c r="A2958" s="4" t="inlineStr">
        <is>
          <t>M18-P0008</t>
        </is>
      </c>
      <c r="B2958" s="4" t="inlineStr">
        <is>
          <t>M18</t>
        </is>
      </c>
      <c r="C2958" s="4" t="inlineStr">
        <is>
          <t>Training Of Motor Driving To VJNT, SBS &amp; OBC</t>
        </is>
      </c>
      <c r="D2958" s="4" t="inlineStr">
        <is>
          <t>Eligibility</t>
        </is>
      </c>
      <c r="E2958" s="4" t="inlineStr"/>
      <c r="F2958" s="4" t="inlineStr">
        <is>
          <t>en.eligibilityCriteria.eligibilityDescription[0].children[1]</t>
        </is>
      </c>
      <c r="G2958" s="4" t="inlineStr">
        <is>
          <t>M18@20261028-ef817fa6</t>
        </is>
      </c>
      <c r="H2958" s="4" t="n">
        <v>1</v>
      </c>
      <c r="I2958" s="4" t="n">
        <v>1</v>
      </c>
      <c r="J2958" s="4" t="inlineStr">
        <is>
          <t>Applicant should fulfil all the conditions of Age, Education, and fitness as per the Motor Vehicle Act.</t>
        </is>
      </c>
      <c r="K2958" s="4" t="inlineStr">
        <is>
          <t>MS-M18</t>
        </is>
      </c>
      <c r="L2958" s="6" t="n">
        <v>46323</v>
      </c>
      <c r="M2958" s="4" t="inlineStr">
        <is>
          <t>Approved</t>
        </is>
      </c>
      <c r="N2958" s="4" t="inlineStr">
        <is>
          <t>list_item</t>
        </is>
      </c>
    </row>
    <row r="2959" ht="54" customHeight="1">
      <c r="A2959" s="8" t="inlineStr">
        <is>
          <t>M18-P0009</t>
        </is>
      </c>
      <c r="B2959" s="8" t="inlineStr">
        <is>
          <t>M18</t>
        </is>
      </c>
      <c r="C2959" s="8" t="inlineStr">
        <is>
          <t>Training Of Motor Driving To VJNT, SBS &amp; OBC</t>
        </is>
      </c>
      <c r="D2959" s="8" t="inlineStr">
        <is>
          <t>Eligibility</t>
        </is>
      </c>
      <c r="E2959" s="8" t="inlineStr"/>
      <c r="F2959" s="8" t="inlineStr">
        <is>
          <t>en.eligibilityCriteria.eligibilityDescription[0].children[2]</t>
        </is>
      </c>
      <c r="G2959" s="8" t="inlineStr">
        <is>
          <t>M18@20261028-ef817fa6</t>
        </is>
      </c>
      <c r="H2959" s="8" t="n">
        <v>1</v>
      </c>
      <c r="I2959" s="8" t="n">
        <v>1</v>
      </c>
      <c r="J2959" s="8" t="inlineStr">
        <is>
          <t>During the training period payment for reaching &amp; coming back from the training institute, Medical checkups, photographs, learning and permanent licence, travelling licence, batch and provision of lodging and boarding are provided by the training institution.</t>
        </is>
      </c>
      <c r="K2959" s="8" t="inlineStr">
        <is>
          <t>MS-M18</t>
        </is>
      </c>
      <c r="L2959" s="9" t="n">
        <v>46323</v>
      </c>
      <c r="M2959" s="8" t="inlineStr">
        <is>
          <t>Approved</t>
        </is>
      </c>
      <c r="N2959" s="8" t="inlineStr">
        <is>
          <t>list_item</t>
        </is>
      </c>
    </row>
    <row r="2960" ht="40" customHeight="1">
      <c r="A2960" s="4" t="inlineStr">
        <is>
          <t>M18-P0010</t>
        </is>
      </c>
      <c r="B2960" s="4" t="inlineStr">
        <is>
          <t>M18</t>
        </is>
      </c>
      <c r="C2960" s="4" t="inlineStr">
        <is>
          <t>Training Of Motor Driving To VJNT, SBS &amp; OBC</t>
        </is>
      </c>
      <c r="D2960" s="4" t="inlineStr">
        <is>
          <t>Applicant documents</t>
        </is>
      </c>
      <c r="E2960" s="4" t="inlineStr"/>
      <c r="F2960" s="4" t="inlineStr">
        <is>
          <t>documents.en.documents_required[0].children[0].children[0]</t>
        </is>
      </c>
      <c r="G2960" s="4" t="inlineStr">
        <is>
          <t>M18@20261028-ef817fa6</t>
        </is>
      </c>
      <c r="H2960" s="4" t="n">
        <v>1</v>
      </c>
      <c r="I2960" s="4" t="n">
        <v>1</v>
      </c>
      <c r="J2960" s="4" t="inlineStr">
        <is>
          <t>Aadhaar Number.</t>
        </is>
      </c>
      <c r="K2960" s="4" t="inlineStr">
        <is>
          <t>MS-M18</t>
        </is>
      </c>
      <c r="L2960" s="6" t="n">
        <v>46323</v>
      </c>
      <c r="M2960" s="4" t="inlineStr">
        <is>
          <t>Approved</t>
        </is>
      </c>
      <c r="N2960" s="4" t="inlineStr">
        <is>
          <t>list_item</t>
        </is>
      </c>
    </row>
    <row r="2961" ht="40" customHeight="1">
      <c r="A2961" s="8" t="inlineStr">
        <is>
          <t>M18-P0011</t>
        </is>
      </c>
      <c r="B2961" s="8" t="inlineStr">
        <is>
          <t>M18</t>
        </is>
      </c>
      <c r="C2961" s="8" t="inlineStr">
        <is>
          <t>Training Of Motor Driving To VJNT, SBS &amp; OBC</t>
        </is>
      </c>
      <c r="D2961" s="8" t="inlineStr">
        <is>
          <t>Applicant documents</t>
        </is>
      </c>
      <c r="E2961" s="8" t="inlineStr"/>
      <c r="F2961" s="8" t="inlineStr">
        <is>
          <t>documents.en.documents_required[0].children[0].children[1]</t>
        </is>
      </c>
      <c r="G2961" s="8" t="inlineStr">
        <is>
          <t>M18@20261028-ef817fa6</t>
        </is>
      </c>
      <c r="H2961" s="8" t="n">
        <v>1</v>
      </c>
      <c r="I2961" s="8" t="n">
        <v>1</v>
      </c>
      <c r="J2961" s="8" t="inlineStr">
        <is>
          <t>Proof of Identity.</t>
        </is>
      </c>
      <c r="K2961" s="8" t="inlineStr">
        <is>
          <t>MS-M18</t>
        </is>
      </c>
      <c r="L2961" s="9" t="n">
        <v>46323</v>
      </c>
      <c r="M2961" s="8" t="inlineStr">
        <is>
          <t>Approved</t>
        </is>
      </c>
      <c r="N2961" s="8" t="inlineStr">
        <is>
          <t>list_item</t>
        </is>
      </c>
    </row>
    <row r="2962" ht="40" customHeight="1">
      <c r="A2962" s="4" t="inlineStr">
        <is>
          <t>M18-P0012</t>
        </is>
      </c>
      <c r="B2962" s="4" t="inlineStr">
        <is>
          <t>M18</t>
        </is>
      </c>
      <c r="C2962" s="4" t="inlineStr">
        <is>
          <t>Training Of Motor Driving To VJNT, SBS &amp; OBC</t>
        </is>
      </c>
      <c r="D2962" s="4" t="inlineStr">
        <is>
          <t>Applicant documents</t>
        </is>
      </c>
      <c r="E2962" s="4" t="inlineStr"/>
      <c r="F2962" s="4" t="inlineStr">
        <is>
          <t>documents.en.documents_required[0].children[0].children[2]</t>
        </is>
      </c>
      <c r="G2962" s="4" t="inlineStr">
        <is>
          <t>M18@20261028-ef817fa6</t>
        </is>
      </c>
      <c r="H2962" s="4" t="n">
        <v>1</v>
      </c>
      <c r="I2962" s="4" t="n">
        <v>1</v>
      </c>
      <c r="J2962" s="4" t="inlineStr">
        <is>
          <t>Proof of Age (Birth Certificate).</t>
        </is>
      </c>
      <c r="K2962" s="4" t="inlineStr">
        <is>
          <t>MS-M18</t>
        </is>
      </c>
      <c r="L2962" s="6" t="n">
        <v>46323</v>
      </c>
      <c r="M2962" s="4" t="inlineStr">
        <is>
          <t>Approved</t>
        </is>
      </c>
      <c r="N2962" s="4" t="inlineStr">
        <is>
          <t>list_item</t>
        </is>
      </c>
    </row>
    <row r="2963" ht="40" customHeight="1">
      <c r="A2963" s="8" t="inlineStr">
        <is>
          <t>M18-P0013</t>
        </is>
      </c>
      <c r="B2963" s="8" t="inlineStr">
        <is>
          <t>M18</t>
        </is>
      </c>
      <c r="C2963" s="8" t="inlineStr">
        <is>
          <t>Training Of Motor Driving To VJNT, SBS &amp; OBC</t>
        </is>
      </c>
      <c r="D2963" s="8" t="inlineStr">
        <is>
          <t>Applicant documents</t>
        </is>
      </c>
      <c r="E2963" s="8" t="inlineStr"/>
      <c r="F2963" s="8" t="inlineStr">
        <is>
          <t>documents.en.documents_required[0].children[0].children[3]</t>
        </is>
      </c>
      <c r="G2963" s="8" t="inlineStr">
        <is>
          <t>M18@20261028-ef817fa6</t>
        </is>
      </c>
      <c r="H2963" s="8" t="n">
        <v>1</v>
      </c>
      <c r="I2963" s="8" t="n">
        <v>1</v>
      </c>
      <c r="J2963" s="8" t="inlineStr">
        <is>
          <t>Proof of Address.</t>
        </is>
      </c>
      <c r="K2963" s="8" t="inlineStr">
        <is>
          <t>MS-M18</t>
        </is>
      </c>
      <c r="L2963" s="9" t="n">
        <v>46323</v>
      </c>
      <c r="M2963" s="8" t="inlineStr">
        <is>
          <t>Approved</t>
        </is>
      </c>
      <c r="N2963" s="8" t="inlineStr">
        <is>
          <t>list_item</t>
        </is>
      </c>
    </row>
    <row r="2964" ht="40" customHeight="1">
      <c r="A2964" s="4" t="inlineStr">
        <is>
          <t>M18-P0014</t>
        </is>
      </c>
      <c r="B2964" s="4" t="inlineStr">
        <is>
          <t>M18</t>
        </is>
      </c>
      <c r="C2964" s="4" t="inlineStr">
        <is>
          <t>Training Of Motor Driving To VJNT, SBS &amp; OBC</t>
        </is>
      </c>
      <c r="D2964" s="4" t="inlineStr">
        <is>
          <t>Applicant documents</t>
        </is>
      </c>
      <c r="E2964" s="4" t="inlineStr"/>
      <c r="F2964" s="4" t="inlineStr">
        <is>
          <t>documents.en.documents_required[0].children[0].children[4]</t>
        </is>
      </c>
      <c r="G2964" s="4" t="inlineStr">
        <is>
          <t>M18@20261028-ef817fa6</t>
        </is>
      </c>
      <c r="H2964" s="4" t="n">
        <v>1</v>
      </c>
      <c r="I2964" s="4" t="n">
        <v>1</v>
      </c>
      <c r="J2964" s="4" t="inlineStr">
        <is>
          <t>Domicile Certificate of Maharashtra.</t>
        </is>
      </c>
      <c r="K2964" s="4" t="inlineStr">
        <is>
          <t>MS-M18</t>
        </is>
      </c>
      <c r="L2964" s="6" t="n">
        <v>46323</v>
      </c>
      <c r="M2964" s="4" t="inlineStr">
        <is>
          <t>Approved</t>
        </is>
      </c>
      <c r="N2964" s="4" t="inlineStr">
        <is>
          <t>list_item</t>
        </is>
      </c>
    </row>
    <row r="2965" ht="40" customHeight="1">
      <c r="A2965" s="8" t="inlineStr">
        <is>
          <t>M18-P0015</t>
        </is>
      </c>
      <c r="B2965" s="8" t="inlineStr">
        <is>
          <t>M18</t>
        </is>
      </c>
      <c r="C2965" s="8" t="inlineStr">
        <is>
          <t>Training Of Motor Driving To VJNT, SBS &amp; OBC</t>
        </is>
      </c>
      <c r="D2965" s="8" t="inlineStr">
        <is>
          <t>Applicant documents</t>
        </is>
      </c>
      <c r="E2965" s="8" t="inlineStr"/>
      <c r="F2965" s="8" t="inlineStr">
        <is>
          <t>documents.en.documents_required[0].children[0].children[5]</t>
        </is>
      </c>
      <c r="G2965" s="8" t="inlineStr">
        <is>
          <t>M18@20261028-ef817fa6</t>
        </is>
      </c>
      <c r="H2965" s="8" t="n">
        <v>1</v>
      </c>
      <c r="I2965" s="8" t="n">
        <v>1</v>
      </c>
      <c r="J2965" s="8" t="inlineStr">
        <is>
          <t>Caste Certificate VJNT or SBC Community (duly signed by an authorized Revenue Officer, not below the rank of Tehsildar).</t>
        </is>
      </c>
      <c r="K2965" s="8" t="inlineStr">
        <is>
          <t>MS-M18</t>
        </is>
      </c>
      <c r="L2965" s="9" t="n">
        <v>46323</v>
      </c>
      <c r="M2965" s="8" t="inlineStr">
        <is>
          <t>Approved</t>
        </is>
      </c>
      <c r="N2965" s="8" t="inlineStr">
        <is>
          <t>list_item</t>
        </is>
      </c>
    </row>
    <row r="2966" ht="40" customHeight="1">
      <c r="A2966" s="4" t="inlineStr">
        <is>
          <t>M18-P0016</t>
        </is>
      </c>
      <c r="B2966" s="4" t="inlineStr">
        <is>
          <t>M18</t>
        </is>
      </c>
      <c r="C2966" s="4" t="inlineStr">
        <is>
          <t>Training Of Motor Driving To VJNT, SBS &amp; OBC</t>
        </is>
      </c>
      <c r="D2966" s="4" t="inlineStr">
        <is>
          <t>Applicant documents</t>
        </is>
      </c>
      <c r="E2966" s="4" t="inlineStr"/>
      <c r="F2966" s="4" t="inlineStr">
        <is>
          <t>documents.en.documents_required[0].children[0].children[6]</t>
        </is>
      </c>
      <c r="G2966" s="4" t="inlineStr">
        <is>
          <t>M18@20261028-ef817fa6</t>
        </is>
      </c>
      <c r="H2966" s="4" t="n">
        <v>1</v>
      </c>
      <c r="I2966" s="4" t="n">
        <v>1</v>
      </c>
      <c r="J2966" s="4" t="inlineStr">
        <is>
          <t>Marksheet of the Latest Educational Qualification.</t>
        </is>
      </c>
      <c r="K2966" s="4" t="inlineStr">
        <is>
          <t>MS-M18</t>
        </is>
      </c>
      <c r="L2966" s="6" t="n">
        <v>46323</v>
      </c>
      <c r="M2966" s="4" t="inlineStr">
        <is>
          <t>Approved</t>
        </is>
      </c>
      <c r="N2966" s="4" t="inlineStr">
        <is>
          <t>list_item</t>
        </is>
      </c>
    </row>
    <row r="2967" ht="40" customHeight="1">
      <c r="A2967" s="8" t="inlineStr">
        <is>
          <t>M18-P0017</t>
        </is>
      </c>
      <c r="B2967" s="8" t="inlineStr">
        <is>
          <t>M18</t>
        </is>
      </c>
      <c r="C2967" s="8" t="inlineStr">
        <is>
          <t>Training Of Motor Driving To VJNT, SBS &amp; OBC</t>
        </is>
      </c>
      <c r="D2967" s="8" t="inlineStr">
        <is>
          <t>Applicant documents</t>
        </is>
      </c>
      <c r="E2967" s="8" t="inlineStr"/>
      <c r="F2967" s="8" t="inlineStr">
        <is>
          <t>documents.en.documents_required[0].children[0].children[7]</t>
        </is>
      </c>
      <c r="G2967" s="8" t="inlineStr">
        <is>
          <t>M18@20261028-ef817fa6</t>
        </is>
      </c>
      <c r="H2967" s="8" t="n">
        <v>1</v>
      </c>
      <c r="I2967" s="8" t="n">
        <v>1</v>
      </c>
      <c r="J2967" s="8" t="inlineStr">
        <is>
          <t>Bank Account Details.</t>
        </is>
      </c>
      <c r="K2967" s="8" t="inlineStr">
        <is>
          <t>MS-M18</t>
        </is>
      </c>
      <c r="L2967" s="9" t="n">
        <v>46323</v>
      </c>
      <c r="M2967" s="8" t="inlineStr">
        <is>
          <t>Approved</t>
        </is>
      </c>
      <c r="N2967" s="8" t="inlineStr">
        <is>
          <t>list_item</t>
        </is>
      </c>
    </row>
    <row r="2968" ht="40" customHeight="1">
      <c r="A2968" s="4" t="inlineStr">
        <is>
          <t>M18-P0018</t>
        </is>
      </c>
      <c r="B2968" s="4" t="inlineStr">
        <is>
          <t>M18</t>
        </is>
      </c>
      <c r="C2968" s="4" t="inlineStr">
        <is>
          <t>Training Of Motor Driving To VJNT, SBS &amp; OBC</t>
        </is>
      </c>
      <c r="D2968" s="4" t="inlineStr">
        <is>
          <t>Applicant documents</t>
        </is>
      </c>
      <c r="E2968" s="4" t="inlineStr"/>
      <c r="F2968" s="4" t="inlineStr">
        <is>
          <t>documents.en.documents_required[0].children[0].children[8]</t>
        </is>
      </c>
      <c r="G2968" s="4" t="inlineStr">
        <is>
          <t>M18@20261028-ef817fa6</t>
        </is>
      </c>
      <c r="H2968" s="4" t="n">
        <v>1</v>
      </c>
      <c r="I2968" s="4" t="n">
        <v>1</v>
      </c>
      <c r="J2968" s="4" t="inlineStr">
        <is>
          <t>Passport-sized Photograph.</t>
        </is>
      </c>
      <c r="K2968" s="4" t="inlineStr">
        <is>
          <t>MS-M18</t>
        </is>
      </c>
      <c r="L2968" s="6" t="n">
        <v>46323</v>
      </c>
      <c r="M2968" s="4" t="inlineStr">
        <is>
          <t>Approved</t>
        </is>
      </c>
      <c r="N2968" s="4" t="inlineStr">
        <is>
          <t>list_item</t>
        </is>
      </c>
    </row>
    <row r="2969" ht="40" customHeight="1">
      <c r="A2969" s="8" t="inlineStr">
        <is>
          <t>M18-P0019</t>
        </is>
      </c>
      <c r="B2969" s="8" t="inlineStr">
        <is>
          <t>M18</t>
        </is>
      </c>
      <c r="C2969" s="8" t="inlineStr">
        <is>
          <t>Training Of Motor Driving To VJNT, SBS &amp; OBC</t>
        </is>
      </c>
      <c r="D2969" s="8" t="inlineStr">
        <is>
          <t>Application process</t>
        </is>
      </c>
      <c r="E2969" s="8" t="inlineStr"/>
      <c r="F2969" s="8" t="inlineStr">
        <is>
          <t>en.applicationProcess[0].process[0]</t>
        </is>
      </c>
      <c r="G2969" s="8" t="inlineStr">
        <is>
          <t>M18@20261028-ef817fa6</t>
        </is>
      </c>
      <c r="H2969" s="8" t="n">
        <v>1</v>
      </c>
      <c r="I2969" s="8" t="n">
        <v>1</v>
      </c>
      <c r="J2969" s="8" t="inlineStr">
        <is>
          <t>Step 1: Visit the Official Website of Mahadbt Portal.</t>
        </is>
      </c>
      <c r="K2969" s="8" t="inlineStr">
        <is>
          <t>MS-M18</t>
        </is>
      </c>
      <c r="L2969" s="9" t="n">
        <v>46323</v>
      </c>
      <c r="M2969" s="8" t="inlineStr">
        <is>
          <t>Approved</t>
        </is>
      </c>
      <c r="N2969" s="8" t="inlineStr">
        <is>
          <t>paragraph</t>
        </is>
      </c>
    </row>
    <row r="2970" ht="54" customHeight="1">
      <c r="A2970" s="4" t="inlineStr">
        <is>
          <t>M18-P0020</t>
        </is>
      </c>
      <c r="B2970" s="4" t="inlineStr">
        <is>
          <t>M18</t>
        </is>
      </c>
      <c r="C2970" s="4" t="inlineStr">
        <is>
          <t>Training Of Motor Driving To VJNT, SBS &amp; OBC</t>
        </is>
      </c>
      <c r="D2970" s="4" t="inlineStr">
        <is>
          <t>Application process</t>
        </is>
      </c>
      <c r="E2970" s="4" t="inlineStr"/>
      <c r="F2970" s="4" t="inlineStr">
        <is>
          <t>en.applicationProcess[0].process[2]</t>
        </is>
      </c>
      <c r="G2970" s="4" t="inlineStr">
        <is>
          <t>M18@20261028-ef817fa6</t>
        </is>
      </c>
      <c r="H2970" s="4" t="n">
        <v>1</v>
      </c>
      <c r="I2970" s="4" t="n">
        <v>1</v>
      </c>
      <c r="J2970" s="4" t="inlineStr">
        <is>
          <t>Step 2: Click on "New Applicant Registration". Register using your Name, Mobile Number, and Email ID. Create a Username and Password. Your Mobile Number and Email ID will be verified via OTP.</t>
        </is>
      </c>
      <c r="K2970" s="4" t="inlineStr">
        <is>
          <t>MS-M18</t>
        </is>
      </c>
      <c r="L2970" s="6" t="n">
        <v>46323</v>
      </c>
      <c r="M2970" s="4" t="inlineStr">
        <is>
          <t>Approved</t>
        </is>
      </c>
      <c r="N2970" s="4" t="inlineStr">
        <is>
          <t>paragraph</t>
        </is>
      </c>
    </row>
    <row r="2971" ht="40" customHeight="1">
      <c r="A2971" s="8" t="inlineStr">
        <is>
          <t>M18-P0021</t>
        </is>
      </c>
      <c r="B2971" s="8" t="inlineStr">
        <is>
          <t>M18</t>
        </is>
      </c>
      <c r="C2971" s="8" t="inlineStr">
        <is>
          <t>Training Of Motor Driving To VJNT, SBS &amp; OBC</t>
        </is>
      </c>
      <c r="D2971" s="8" t="inlineStr">
        <is>
          <t>Application process</t>
        </is>
      </c>
      <c r="E2971" s="8" t="inlineStr"/>
      <c r="F2971" s="8" t="inlineStr">
        <is>
          <t>en.applicationProcess[0].process[4]</t>
        </is>
      </c>
      <c r="G2971" s="8" t="inlineStr">
        <is>
          <t>M18@20261028-ef817fa6</t>
        </is>
      </c>
      <c r="H2971" s="8" t="n">
        <v>1</v>
      </c>
      <c r="I2971" s="8" t="n">
        <v>1</v>
      </c>
      <c r="J2971" s="8" t="inlineStr">
        <is>
          <t>Note: The username should contain only alphabets and numbers. The username should be greater than 4 characters and less than 15 characters.</t>
        </is>
      </c>
      <c r="K2971" s="8" t="inlineStr">
        <is>
          <t>MS-M18</t>
        </is>
      </c>
      <c r="L2971" s="9" t="n">
        <v>46323</v>
      </c>
      <c r="M2971" s="8" t="inlineStr">
        <is>
          <t>Approved</t>
        </is>
      </c>
      <c r="N2971" s="8" t="inlineStr">
        <is>
          <t>paragraph</t>
        </is>
      </c>
    </row>
    <row r="2972" ht="54" customHeight="1">
      <c r="A2972" s="4" t="inlineStr">
        <is>
          <t>M18-P0022</t>
        </is>
      </c>
      <c r="B2972" s="4" t="inlineStr">
        <is>
          <t>M18</t>
        </is>
      </c>
      <c r="C2972" s="4" t="inlineStr">
        <is>
          <t>Training Of Motor Driving To VJNT, SBS &amp; OBC</t>
        </is>
      </c>
      <c r="D2972" s="4" t="inlineStr">
        <is>
          <t>Application process</t>
        </is>
      </c>
      <c r="E2972" s="4" t="inlineStr"/>
      <c r="F2972" s="4" t="inlineStr">
        <is>
          <t>en.applicationProcess[0].process[6]</t>
        </is>
      </c>
      <c r="G2972" s="4" t="inlineStr">
        <is>
          <t>M18@20261028-ef817fa6</t>
        </is>
      </c>
      <c r="H2972" s="4" t="n">
        <v>1</v>
      </c>
      <c r="I2972" s="4" t="n">
        <v>1</v>
      </c>
      <c r="J2972" s="4" t="inlineStr">
        <is>
          <t>Note: Password Length should be a minimum of 8 characters and a maximum of 20 characters. Password must contain at least 1 UpperCase Alphabet, 1 Lowercase Alphabet, 1 Number, and 1 Special Character.</t>
        </is>
      </c>
      <c r="K2972" s="4" t="inlineStr">
        <is>
          <t>MS-M18</t>
        </is>
      </c>
      <c r="L2972" s="6" t="n">
        <v>46323</v>
      </c>
      <c r="M2972" s="4" t="inlineStr">
        <is>
          <t>Approved</t>
        </is>
      </c>
      <c r="N2972" s="4" t="inlineStr">
        <is>
          <t>paragraph</t>
        </is>
      </c>
    </row>
    <row r="2973" ht="40" customHeight="1">
      <c r="A2973" s="8" t="inlineStr">
        <is>
          <t>M18-P0023</t>
        </is>
      </c>
      <c r="B2973" s="8" t="inlineStr">
        <is>
          <t>M18</t>
        </is>
      </c>
      <c r="C2973" s="8" t="inlineStr">
        <is>
          <t>Training Of Motor Driving To VJNT, SBS &amp; OBC</t>
        </is>
      </c>
      <c r="D2973" s="8" t="inlineStr">
        <is>
          <t>Application process</t>
        </is>
      </c>
      <c r="E2973" s="8" t="inlineStr"/>
      <c r="F2973" s="8" t="inlineStr">
        <is>
          <t>en.applicationProcess[0].process[8]</t>
        </is>
      </c>
      <c r="G2973" s="8" t="inlineStr">
        <is>
          <t>M18@20261028-ef817fa6</t>
        </is>
      </c>
      <c r="H2973" s="8" t="n">
        <v>1</v>
      </c>
      <c r="I2973" s="8" t="n">
        <v>1</v>
      </c>
      <c r="J2973" s="8" t="inlineStr">
        <is>
          <t>Step 3: Now visit to Login Page and log in using your Username and Password. You will be directed to Home Page.</t>
        </is>
      </c>
      <c r="K2973" s="8" t="inlineStr">
        <is>
          <t>MS-M18</t>
        </is>
      </c>
      <c r="L2973" s="9" t="n">
        <v>46323</v>
      </c>
      <c r="M2973" s="8" t="inlineStr">
        <is>
          <t>Approved</t>
        </is>
      </c>
      <c r="N2973" s="8" t="inlineStr">
        <is>
          <t>paragraph</t>
        </is>
      </c>
    </row>
    <row r="2974" ht="40" customHeight="1">
      <c r="A2974" s="4" t="inlineStr">
        <is>
          <t>M18-P0024</t>
        </is>
      </c>
      <c r="B2974" s="4" t="inlineStr">
        <is>
          <t>M18</t>
        </is>
      </c>
      <c r="C2974" s="4" t="inlineStr">
        <is>
          <t>Training Of Motor Driving To VJNT, SBS &amp; OBC</t>
        </is>
      </c>
      <c r="D2974" s="4" t="inlineStr">
        <is>
          <t>Application process</t>
        </is>
      </c>
      <c r="E2974" s="4" t="inlineStr"/>
      <c r="F2974" s="4" t="inlineStr">
        <is>
          <t>en.applicationProcess[0].process[9]</t>
        </is>
      </c>
      <c r="G2974" s="4" t="inlineStr">
        <is>
          <t>M18@20261028-ef817fa6</t>
        </is>
      </c>
      <c r="H2974" s="4" t="n">
        <v>1</v>
      </c>
      <c r="I2974" s="4" t="n">
        <v>1</v>
      </c>
      <c r="J2974" s="4" t="inlineStr">
        <is>
          <t>In the left pane, click "Aadhaar Bank Link" to link your Aadhaar with your Bank Account.</t>
        </is>
      </c>
      <c r="K2974" s="4" t="inlineStr">
        <is>
          <t>MS-M18</t>
        </is>
      </c>
      <c r="L2974" s="6" t="n">
        <v>46323</v>
      </c>
      <c r="M2974" s="4" t="inlineStr">
        <is>
          <t>Approved</t>
        </is>
      </c>
      <c r="N2974" s="4" t="inlineStr">
        <is>
          <t>paragraph</t>
        </is>
      </c>
    </row>
    <row r="2975" ht="54" customHeight="1">
      <c r="A2975" s="8" t="inlineStr">
        <is>
          <t>M18-P0025</t>
        </is>
      </c>
      <c r="B2975" s="8" t="inlineStr">
        <is>
          <t>M18</t>
        </is>
      </c>
      <c r="C2975" s="8" t="inlineStr">
        <is>
          <t>Training Of Motor Driving To VJNT, SBS &amp; OBC</t>
        </is>
      </c>
      <c r="D2975" s="8" t="inlineStr">
        <is>
          <t>Application process</t>
        </is>
      </c>
      <c r="E2975" s="8" t="inlineStr"/>
      <c r="F2975" s="8" t="inlineStr">
        <is>
          <t>en.applicationProcess[0].process[11]</t>
        </is>
      </c>
      <c r="G2975" s="8" t="inlineStr">
        <is>
          <t>M18@20261028-ef817fa6</t>
        </is>
      </c>
      <c r="H2975" s="8" t="n">
        <v>1</v>
      </c>
      <c r="I2975" s="8" t="n">
        <v>1</v>
      </c>
      <c r="J2975" s="8" t="inlineStr">
        <is>
          <t>Step 4: In the left pane, click "Profile". Fill in all the mandatory details and upload the mandatory documents (Personal Details, Address Information, Other Information, Current Course, Past Qualification, and Hostel Details). Click "Save".</t>
        </is>
      </c>
      <c r="K2975" s="8" t="inlineStr">
        <is>
          <t>MS-M18</t>
        </is>
      </c>
      <c r="L2975" s="9" t="n">
        <v>46323</v>
      </c>
      <c r="M2975" s="8" t="inlineStr">
        <is>
          <t>Approved</t>
        </is>
      </c>
      <c r="N2975" s="8" t="inlineStr">
        <is>
          <t>paragraph</t>
        </is>
      </c>
    </row>
    <row r="2976" ht="40" customHeight="1">
      <c r="A2976" s="4" t="inlineStr">
        <is>
          <t>M18-P0026</t>
        </is>
      </c>
      <c r="B2976" s="4" t="inlineStr">
        <is>
          <t>M18</t>
        </is>
      </c>
      <c r="C2976" s="4" t="inlineStr">
        <is>
          <t>Training Of Motor Driving To VJNT, SBS &amp; OBC</t>
        </is>
      </c>
      <c r="D2976" s="4" t="inlineStr">
        <is>
          <t>Application process</t>
        </is>
      </c>
      <c r="E2976" s="4" t="inlineStr"/>
      <c r="F2976" s="4" t="inlineStr">
        <is>
          <t>en.applicationProcess[0].process[13]</t>
        </is>
      </c>
      <c r="G2976" s="4" t="inlineStr">
        <is>
          <t>M18@20261028-ef817fa6</t>
        </is>
      </c>
      <c r="H2976" s="4" t="n">
        <v>1</v>
      </c>
      <c r="I2976" s="4" t="n">
        <v>1</v>
      </c>
      <c r="J2976" s="4" t="inlineStr">
        <is>
          <t>Step 5: In the left pane, click "All Schemes". A list of schemes will appear. Click on "Training of Motor Driving To VJNT, SBC &amp; OBCS.</t>
        </is>
      </c>
      <c r="K2976" s="4" t="inlineStr">
        <is>
          <t>MS-M18</t>
        </is>
      </c>
      <c r="L2976" s="6" t="n">
        <v>46323</v>
      </c>
      <c r="M2976" s="4" t="inlineStr">
        <is>
          <t>Approved</t>
        </is>
      </c>
      <c r="N2976" s="4" t="inlineStr">
        <is>
          <t>paragraph</t>
        </is>
      </c>
    </row>
    <row r="2977" ht="54" customHeight="1">
      <c r="A2977" s="8" t="inlineStr">
        <is>
          <t>M18-P0027</t>
        </is>
      </c>
      <c r="B2977" s="8" t="inlineStr">
        <is>
          <t>M18</t>
        </is>
      </c>
      <c r="C2977" s="8" t="inlineStr">
        <is>
          <t>Training Of Motor Driving To VJNT, SBS &amp; OBC</t>
        </is>
      </c>
      <c r="D2977" s="8" t="inlineStr">
        <is>
          <t>Application process</t>
        </is>
      </c>
      <c r="E2977" s="8" t="inlineStr"/>
      <c r="F2977" s="8" t="inlineStr">
        <is>
          <t>en.applicationProcess[0].process[15]</t>
        </is>
      </c>
      <c r="G2977" s="8" t="inlineStr">
        <is>
          <t>M18@20261028-ef817fa6</t>
        </is>
      </c>
      <c r="H2977" s="8" t="n">
        <v>1</v>
      </c>
      <c r="I2977" s="8" t="n">
        <v>1</v>
      </c>
      <c r="J2977" s="8" t="inlineStr">
        <is>
          <t>Step 6: Fill in all the additional information and upload the mandatory documents. Click "Submit" to submit your application. A pop-up will appear, displaying your Application ID. Save the Application ID for future reference. Click "OK".</t>
        </is>
      </c>
      <c r="K2977" s="8" t="inlineStr">
        <is>
          <t>MS-M18</t>
        </is>
      </c>
      <c r="L2977" s="9" t="n">
        <v>46323</v>
      </c>
      <c r="M2977" s="8" t="inlineStr">
        <is>
          <t>Approved</t>
        </is>
      </c>
      <c r="N2977" s="8" t="inlineStr">
        <is>
          <t>paragraph</t>
        </is>
      </c>
    </row>
    <row r="2978" ht="40" customHeight="1">
      <c r="A2978" s="4" t="inlineStr">
        <is>
          <t>M18-P0028</t>
        </is>
      </c>
      <c r="B2978" s="4" t="inlineStr">
        <is>
          <t>M18</t>
        </is>
      </c>
      <c r="C2978" s="4" t="inlineStr">
        <is>
          <t>Training Of Motor Driving To VJNT, SBS &amp; OBC</t>
        </is>
      </c>
      <c r="D2978" s="4" t="inlineStr">
        <is>
          <t>Application process</t>
        </is>
      </c>
      <c r="E2978" s="4" t="inlineStr"/>
      <c r="F2978" s="4" t="inlineStr">
        <is>
          <t>en.applicationProcess[0].process[17]</t>
        </is>
      </c>
      <c r="G2978" s="4" t="inlineStr">
        <is>
          <t>M18@20261028-ef817fa6</t>
        </is>
      </c>
      <c r="H2978" s="4" t="n">
        <v>1</v>
      </c>
      <c r="I2978" s="4" t="n">
        <v>1</v>
      </c>
      <c r="J2978" s="4" t="inlineStr">
        <is>
          <t>Optional: You can track the status of your application (Under Scrutiny / Approved / Rejected / Fund Disbursed) by clicking on "My Applied Scheme History" in the left pane.</t>
        </is>
      </c>
      <c r="K2978" s="4" t="inlineStr">
        <is>
          <t>MS-M18</t>
        </is>
      </c>
      <c r="L2978" s="6" t="n">
        <v>46323</v>
      </c>
      <c r="M2978" s="4" t="inlineStr">
        <is>
          <t>Approved</t>
        </is>
      </c>
      <c r="N2978" s="4" t="inlineStr">
        <is>
          <t>paragraph</t>
        </is>
      </c>
    </row>
    <row r="2979" ht="96" customHeight="1">
      <c r="A2979" s="8" t="inlineStr">
        <is>
          <t>M18-P0029</t>
        </is>
      </c>
      <c r="B2979" s="8" t="inlineStr">
        <is>
          <t>M18</t>
        </is>
      </c>
      <c r="C2979" s="8" t="inlineStr">
        <is>
          <t>Training Of Motor Driving To VJNT, SBS &amp; OBC</t>
        </is>
      </c>
      <c r="D2979" s="8" t="inlineStr">
        <is>
          <t>FAQ</t>
        </is>
      </c>
      <c r="E2979" s="8" t="inlineStr"/>
      <c r="F2979" s="8" t="inlineStr">
        <is>
          <t>faqs.en.faqs[0]</t>
        </is>
      </c>
      <c r="G2979" s="8" t="inlineStr">
        <is>
          <t>M18@20261028-ef817fa6</t>
        </is>
      </c>
      <c r="H2979" s="8" t="n">
        <v>1</v>
      </c>
      <c r="I2979" s="8" t="n">
        <v>1</v>
      </c>
      <c r="J2979" s="8" t="inlineStr">
        <is>
          <t xml:space="preserve"> Is there any specific motor driving training scheme available for individuals belonging to the VJNT, SBS, and OBC categories?
The availability of specific motor driving training schemes may vary depending on the policies and initiatives of the government or relevant authorities in your region. It is recommended to check with local transport offices or government websites for information about schemes targeting these categories.</t>
        </is>
      </c>
      <c r="K2979" s="8" t="inlineStr">
        <is>
          <t>MS-M18</t>
        </is>
      </c>
      <c r="L2979" s="9" t="n">
        <v>46323</v>
      </c>
      <c r="M2979" s="8" t="inlineStr">
        <is>
          <t>Approved</t>
        </is>
      </c>
      <c r="N2979" s="8" t="inlineStr">
        <is>
          <t>faq</t>
        </is>
      </c>
    </row>
    <row r="2980" ht="96" customHeight="1">
      <c r="A2980" s="4" t="inlineStr">
        <is>
          <t>M18-P0030</t>
        </is>
      </c>
      <c r="B2980" s="4" t="inlineStr">
        <is>
          <t>M18</t>
        </is>
      </c>
      <c r="C2980" s="4" t="inlineStr">
        <is>
          <t>Training Of Motor Driving To VJNT, SBS &amp; OBC</t>
        </is>
      </c>
      <c r="D2980" s="4" t="inlineStr">
        <is>
          <t>FAQ</t>
        </is>
      </c>
      <c r="E2980" s="4" t="inlineStr"/>
      <c r="F2980" s="4" t="inlineStr">
        <is>
          <t>faqs.en.faqs[1]</t>
        </is>
      </c>
      <c r="G2980" s="4" t="inlineStr">
        <is>
          <t>M18@20261028-ef817fa6</t>
        </is>
      </c>
      <c r="H2980" s="4" t="n">
        <v>1</v>
      </c>
      <c r="I2980" s="4" t="n">
        <v>1</v>
      </c>
      <c r="J2980" s="4" t="inlineStr">
        <is>
          <t>What are the eligibility criteria for motor driving training for VJNT, SBS, and OBC categories?
The eligibility criteria can differ based on the policies of the governing body responsible for motor driving training. Generally, there are no specific restrictions for these categories, and eligibility criteria may focus on factors such as age, educational qualifications, and residency.</t>
        </is>
      </c>
      <c r="K2980" s="4" t="inlineStr">
        <is>
          <t>MS-M18</t>
        </is>
      </c>
      <c r="L2980" s="6" t="n">
        <v>46323</v>
      </c>
      <c r="M2980" s="4" t="inlineStr">
        <is>
          <t>Approved</t>
        </is>
      </c>
      <c r="N2980" s="4" t="inlineStr">
        <is>
          <t>faq</t>
        </is>
      </c>
    </row>
    <row r="2981" ht="82" customHeight="1">
      <c r="A2981" s="8" t="inlineStr">
        <is>
          <t>M18-P0031</t>
        </is>
      </c>
      <c r="B2981" s="8" t="inlineStr">
        <is>
          <t>M18</t>
        </is>
      </c>
      <c r="C2981" s="8" t="inlineStr">
        <is>
          <t>Training Of Motor Driving To VJNT, SBS &amp; OBC</t>
        </is>
      </c>
      <c r="D2981" s="8" t="inlineStr">
        <is>
          <t>FAQ</t>
        </is>
      </c>
      <c r="E2981" s="8" t="inlineStr"/>
      <c r="F2981" s="8" t="inlineStr">
        <is>
          <t>faqs.en.faqs[2]</t>
        </is>
      </c>
      <c r="G2981" s="8" t="inlineStr">
        <is>
          <t>M18@20261028-ef817fa6</t>
        </is>
      </c>
      <c r="H2981" s="8" t="n">
        <v>1</v>
      </c>
      <c r="I2981" s="8" t="n">
        <v>1</v>
      </c>
      <c r="J2981" s="8" t="inlineStr">
        <is>
          <t>Can I apply for motor driving training online?
Some regions or schemes may offer online application facilities through dedicated portals. In Maharashtra, the Mahadbt portal allows individuals to apply for various schemes, including motor driving training, online. It is advisable to check with the relevant authorities or the Mahadbt portal for specific instructions on the application process.</t>
        </is>
      </c>
      <c r="K2981" s="8" t="inlineStr">
        <is>
          <t>MS-M18</t>
        </is>
      </c>
      <c r="L2981" s="9" t="n">
        <v>46323</v>
      </c>
      <c r="M2981" s="8" t="inlineStr">
        <is>
          <t>Approved</t>
        </is>
      </c>
      <c r="N2981" s="8" t="inlineStr">
        <is>
          <t>faq</t>
        </is>
      </c>
    </row>
    <row r="2982" ht="82" customHeight="1">
      <c r="A2982" s="4" t="inlineStr">
        <is>
          <t>M18-P0032</t>
        </is>
      </c>
      <c r="B2982" s="4" t="inlineStr">
        <is>
          <t>M18</t>
        </is>
      </c>
      <c r="C2982" s="4" t="inlineStr">
        <is>
          <t>Training Of Motor Driving To VJNT, SBS &amp; OBC</t>
        </is>
      </c>
      <c r="D2982" s="4" t="inlineStr">
        <is>
          <t>FAQ</t>
        </is>
      </c>
      <c r="E2982" s="4" t="inlineStr"/>
      <c r="F2982" s="4" t="inlineStr">
        <is>
          <t>faqs.en.faqs[3]</t>
        </is>
      </c>
      <c r="G2982" s="4" t="inlineStr">
        <is>
          <t>M18@20261028-ef817fa6</t>
        </is>
      </c>
      <c r="H2982" s="4" t="n">
        <v>1</v>
      </c>
      <c r="I2982" s="4" t="n">
        <v>1</v>
      </c>
      <c r="J2982" s="4" t="inlineStr">
        <is>
          <t>What documents are typically required for motor driving training application?
The required documents can vary, but common documents include proof of identity (such as Aadhaar card or passport), proof of address, caste certificate (for VJNT, SBS, or OBC categories), income certificate, and any other documents specified by the governing body or the specific scheme.</t>
        </is>
      </c>
      <c r="K2982" s="4" t="inlineStr">
        <is>
          <t>MS-M18</t>
        </is>
      </c>
      <c r="L2982" s="6" t="n">
        <v>46323</v>
      </c>
      <c r="M2982" s="4" t="inlineStr">
        <is>
          <t>Approved</t>
        </is>
      </c>
      <c r="N2982" s="4" t="inlineStr">
        <is>
          <t>faq</t>
        </is>
      </c>
    </row>
    <row r="2983" ht="68" customHeight="1">
      <c r="A2983" s="8" t="inlineStr">
        <is>
          <t>M18-P0033</t>
        </is>
      </c>
      <c r="B2983" s="8" t="inlineStr">
        <is>
          <t>M18</t>
        </is>
      </c>
      <c r="C2983" s="8" t="inlineStr">
        <is>
          <t>Training Of Motor Driving To VJNT, SBS &amp; OBC</t>
        </is>
      </c>
      <c r="D2983" s="8" t="inlineStr">
        <is>
          <t>FAQ</t>
        </is>
      </c>
      <c r="E2983" s="8" t="inlineStr"/>
      <c r="F2983" s="8" t="inlineStr">
        <is>
          <t>faqs.en.faqs[4]</t>
        </is>
      </c>
      <c r="G2983" s="8" t="inlineStr">
        <is>
          <t>M18@20261028-ef817fa6</t>
        </is>
      </c>
      <c r="H2983" s="8" t="n">
        <v>1</v>
      </c>
      <c r="I2983" s="8" t="n">
        <v>1</v>
      </c>
      <c r="J2983" s="8" t="inlineStr">
        <is>
          <t>How long does the motor driving training program usually last?
The duration of motor driving training programs can vary depending on the type of vehicle (car, motorcycle, etc.) and the curriculum set by the training institute. Generally, it can range from a few weeks to a couple of months.</t>
        </is>
      </c>
      <c r="K2983" s="8" t="inlineStr">
        <is>
          <t>MS-M18</t>
        </is>
      </c>
      <c r="L2983" s="9" t="n">
        <v>46323</v>
      </c>
      <c r="M2983" s="8" t="inlineStr">
        <is>
          <t>Approved</t>
        </is>
      </c>
      <c r="N2983" s="8" t="inlineStr">
        <is>
          <t>faq</t>
        </is>
      </c>
    </row>
    <row r="2984" ht="82" customHeight="1">
      <c r="A2984" s="4" t="inlineStr">
        <is>
          <t>M18-P0034</t>
        </is>
      </c>
      <c r="B2984" s="4" t="inlineStr">
        <is>
          <t>M18</t>
        </is>
      </c>
      <c r="C2984" s="4" t="inlineStr">
        <is>
          <t>Training Of Motor Driving To VJNT, SBS &amp; OBC</t>
        </is>
      </c>
      <c r="D2984" s="4" t="inlineStr">
        <is>
          <t>FAQ</t>
        </is>
      </c>
      <c r="E2984" s="4" t="inlineStr"/>
      <c r="F2984" s="4" t="inlineStr">
        <is>
          <t>faqs.en.faqs[5]</t>
        </is>
      </c>
      <c r="G2984" s="4" t="inlineStr">
        <is>
          <t>M18@20261028-ef817fa6</t>
        </is>
      </c>
      <c r="H2984" s="4" t="n">
        <v>1</v>
      </c>
      <c r="I2984" s="4" t="n">
        <v>1</v>
      </c>
      <c r="J2984" s="4" t="inlineStr">
        <is>
          <t>Is there any financial assistance or subsidy available for motor driving training?
Some government schemes or initiatives may provide financial assistance or subsidies for motor driving training, particularly for individuals belonging to economically weaker sections or specific categories. It is advisable to inquire about such provisions from the relevant authorities or check the eligibility criteria of specific schemes.</t>
        </is>
      </c>
      <c r="K2984" s="4" t="inlineStr">
        <is>
          <t>MS-M18</t>
        </is>
      </c>
      <c r="L2984" s="6" t="n">
        <v>46323</v>
      </c>
      <c r="M2984" s="4" t="inlineStr">
        <is>
          <t>Approved</t>
        </is>
      </c>
      <c r="N2984" s="4" t="inlineStr">
        <is>
          <t>faq</t>
        </is>
      </c>
    </row>
    <row r="2985" ht="82" customHeight="1">
      <c r="A2985" s="8" t="inlineStr">
        <is>
          <t>M18-P0035</t>
        </is>
      </c>
      <c r="B2985" s="8" t="inlineStr">
        <is>
          <t>M18</t>
        </is>
      </c>
      <c r="C2985" s="8" t="inlineStr">
        <is>
          <t>Training Of Motor Driving To VJNT, SBS &amp; OBC</t>
        </is>
      </c>
      <c r="D2985" s="8" t="inlineStr">
        <is>
          <t>FAQ</t>
        </is>
      </c>
      <c r="E2985" s="8" t="inlineStr"/>
      <c r="F2985" s="8" t="inlineStr">
        <is>
          <t>faqs.en.faqs[6]</t>
        </is>
      </c>
      <c r="G2985" s="8" t="inlineStr">
        <is>
          <t>M18@20261028-ef817fa6</t>
        </is>
      </c>
      <c r="H2985" s="8" t="n">
        <v>1</v>
      </c>
      <c r="I2985" s="8" t="n">
        <v>1</v>
      </c>
      <c r="J2985" s="8" t="inlineStr">
        <is>
          <t>Are there any driving license fee waivers or concessions for VJNT, SBS, and OBC categories?
Driving license fee waivers or concessions can vary depending on regional policies and schemes. Some regions may offer fee waivers or reduced fees for individuals belonging to certain categories. It is recommended to inquire with the local transport office or relevant authorities for accurate information.</t>
        </is>
      </c>
      <c r="K2985" s="8" t="inlineStr">
        <is>
          <t>MS-M18</t>
        </is>
      </c>
      <c r="L2985" s="9" t="n">
        <v>46323</v>
      </c>
      <c r="M2985" s="8" t="inlineStr">
        <is>
          <t>Approved</t>
        </is>
      </c>
      <c r="N2985" s="8" t="inlineStr">
        <is>
          <t>faq</t>
        </is>
      </c>
    </row>
    <row r="2986" ht="82" customHeight="1">
      <c r="A2986" s="4" t="inlineStr">
        <is>
          <t>M19-P0001</t>
        </is>
      </c>
      <c r="B2986" s="4" t="inlineStr">
        <is>
          <t>M19</t>
        </is>
      </c>
      <c r="C2986" s="4" t="inlineStr">
        <is>
          <t>Mukhyamantri - Majhi Ladki Bahin Yojana</t>
        </is>
      </c>
      <c r="D2986" s="4" t="inlineStr">
        <is>
          <t>Details</t>
        </is>
      </c>
      <c r="E2986" s="4" t="inlineStr"/>
      <c r="F2986" s="4" t="inlineStr">
        <is>
          <t>en.schemeContent.detailedDescription[0]</t>
        </is>
      </c>
      <c r="G2986" s="4" t="inlineStr">
        <is>
          <t>M19@20261028-8107d501</t>
        </is>
      </c>
      <c r="H2986" s="4" t="n">
        <v>1</v>
      </c>
      <c r="I2986" s="4" t="n">
        <v>1</v>
      </c>
      <c r="J2986" s="4" t="inlineStr">
        <is>
          <t>The "Mukhyamantri - Majhi Ladki Bahin Yojana" scheme was launched by the Women and Child Development Department, Government of Maharashtra. The scheme aims to give economic freedom to women in the state age group of 21 to 65 years, improving their health and nutrition and strengthening their decisive role in the family. The women will get a financial benefit of ₹1,500/- through direct benefit transfer (DBT).</t>
        </is>
      </c>
      <c r="K2986" s="4" t="inlineStr">
        <is>
          <t>MS-M19</t>
        </is>
      </c>
      <c r="L2986" s="6" t="n">
        <v>46323</v>
      </c>
      <c r="M2986" s="4" t="inlineStr">
        <is>
          <t>Approved</t>
        </is>
      </c>
      <c r="N2986" s="4" t="inlineStr">
        <is>
          <t>paragraph</t>
        </is>
      </c>
    </row>
    <row r="2987" ht="40" customHeight="1">
      <c r="A2987" s="8" t="inlineStr">
        <is>
          <t>M19-P0002</t>
        </is>
      </c>
      <c r="B2987" s="8" t="inlineStr">
        <is>
          <t>M19</t>
        </is>
      </c>
      <c r="C2987" s="8" t="inlineStr">
        <is>
          <t>Mukhyamantri - Majhi Ladki Bahin Yojana</t>
        </is>
      </c>
      <c r="D2987" s="8" t="inlineStr">
        <is>
          <t>Benefits</t>
        </is>
      </c>
      <c r="E2987" s="8" t="inlineStr">
        <is>
          <t>Financial Assistance of ₹1,500/- per month.</t>
        </is>
      </c>
      <c r="F2987" s="8" t="inlineStr">
        <is>
          <t>en.schemeContent.benefits[0].children[0]</t>
        </is>
      </c>
      <c r="G2987" s="8" t="inlineStr">
        <is>
          <t>M19@20261028-8107d501</t>
        </is>
      </c>
      <c r="H2987" s="8" t="n">
        <v>1</v>
      </c>
      <c r="I2987" s="8" t="n">
        <v>1</v>
      </c>
      <c r="J2987" s="8" t="inlineStr">
        <is>
          <t>Financial Assistance of ₹1,500/- per month.</t>
        </is>
      </c>
      <c r="K2987" s="8" t="inlineStr">
        <is>
          <t>MS-M19</t>
        </is>
      </c>
      <c r="L2987" s="9" t="n">
        <v>46323</v>
      </c>
      <c r="M2987" s="8" t="inlineStr">
        <is>
          <t>Approved</t>
        </is>
      </c>
      <c r="N2987" s="8" t="inlineStr">
        <is>
          <t>list_item</t>
        </is>
      </c>
    </row>
    <row r="2988" ht="40" customHeight="1">
      <c r="A2988" s="4" t="inlineStr">
        <is>
          <t>M19-P0003</t>
        </is>
      </c>
      <c r="B2988" s="4" t="inlineStr">
        <is>
          <t>M19</t>
        </is>
      </c>
      <c r="C2988" s="4" t="inlineStr">
        <is>
          <t>Mukhyamantri - Majhi Ladki Bahin Yojana</t>
        </is>
      </c>
      <c r="D2988" s="4" t="inlineStr">
        <is>
          <t>Eligibility</t>
        </is>
      </c>
      <c r="E2988" s="4" t="inlineStr"/>
      <c r="F2988" s="4" t="inlineStr">
        <is>
          <t>en.eligibilityCriteria.eligibilityDescription[0].children[0]</t>
        </is>
      </c>
      <c r="G2988" s="4" t="inlineStr">
        <is>
          <t>M19@20261028-8107d501</t>
        </is>
      </c>
      <c r="H2988" s="4" t="n">
        <v>1</v>
      </c>
      <c r="I2988" s="4" t="n">
        <v>1</v>
      </c>
      <c r="J2988" s="4" t="inlineStr">
        <is>
          <t>The applicant should be a female.</t>
        </is>
      </c>
      <c r="K2988" s="4" t="inlineStr">
        <is>
          <t>MS-M19</t>
        </is>
      </c>
      <c r="L2988" s="6" t="n">
        <v>46323</v>
      </c>
      <c r="M2988" s="4" t="inlineStr">
        <is>
          <t>Approved</t>
        </is>
      </c>
      <c r="N2988" s="4" t="inlineStr">
        <is>
          <t>list_item</t>
        </is>
      </c>
    </row>
    <row r="2989" ht="40" customHeight="1">
      <c r="A2989" s="8" t="inlineStr">
        <is>
          <t>M19-P0004</t>
        </is>
      </c>
      <c r="B2989" s="8" t="inlineStr">
        <is>
          <t>M19</t>
        </is>
      </c>
      <c r="C2989" s="8" t="inlineStr">
        <is>
          <t>Mukhyamantri - Majhi Ladki Bahin Yojana</t>
        </is>
      </c>
      <c r="D2989" s="8" t="inlineStr">
        <is>
          <t>Eligibility</t>
        </is>
      </c>
      <c r="E2989" s="8" t="inlineStr"/>
      <c r="F2989" s="8" t="inlineStr">
        <is>
          <t>en.eligibilityCriteria.eligibilityDescription[0].children[1]</t>
        </is>
      </c>
      <c r="G2989" s="8" t="inlineStr">
        <is>
          <t>M19@20261028-8107d501</t>
        </is>
      </c>
      <c r="H2989" s="8" t="n">
        <v>1</v>
      </c>
      <c r="I2989" s="8" t="n">
        <v>1</v>
      </c>
      <c r="J2989" s="8" t="inlineStr">
        <is>
          <t>The applicant should be a resident of Maharashtra state.</t>
        </is>
      </c>
      <c r="K2989" s="8" t="inlineStr">
        <is>
          <t>MS-M19</t>
        </is>
      </c>
      <c r="L2989" s="9" t="n">
        <v>46323</v>
      </c>
      <c r="M2989" s="8" t="inlineStr">
        <is>
          <t>Approved</t>
        </is>
      </c>
      <c r="N2989" s="8" t="inlineStr">
        <is>
          <t>list_item</t>
        </is>
      </c>
    </row>
    <row r="2990" ht="40" customHeight="1">
      <c r="A2990" s="4" t="inlineStr">
        <is>
          <t>M19-P0005</t>
        </is>
      </c>
      <c r="B2990" s="4" t="inlineStr">
        <is>
          <t>M19</t>
        </is>
      </c>
      <c r="C2990" s="4" t="inlineStr">
        <is>
          <t>Mukhyamantri - Majhi Ladki Bahin Yojana</t>
        </is>
      </c>
      <c r="D2990" s="4" t="inlineStr">
        <is>
          <t>Eligibility</t>
        </is>
      </c>
      <c r="E2990" s="4" t="inlineStr"/>
      <c r="F2990" s="4" t="inlineStr">
        <is>
          <t>en.eligibilityCriteria.eligibilityDescription[0].children[2]</t>
        </is>
      </c>
      <c r="G2990" s="4" t="inlineStr">
        <is>
          <t>M19@20261028-8107d501</t>
        </is>
      </c>
      <c r="H2990" s="4" t="n">
        <v>1</v>
      </c>
      <c r="I2990" s="4" t="n">
        <v>1</v>
      </c>
      <c r="J2990" s="4" t="inlineStr">
        <is>
          <t>The applicant's age should be between 21-65 years.</t>
        </is>
      </c>
      <c r="K2990" s="4" t="inlineStr">
        <is>
          <t>MS-M19</t>
        </is>
      </c>
      <c r="L2990" s="6" t="n">
        <v>46323</v>
      </c>
      <c r="M2990" s="4" t="inlineStr">
        <is>
          <t>Approved</t>
        </is>
      </c>
      <c r="N2990" s="4" t="inlineStr">
        <is>
          <t>list_item</t>
        </is>
      </c>
    </row>
    <row r="2991" ht="40" customHeight="1">
      <c r="A2991" s="8" t="inlineStr">
        <is>
          <t>M19-P0006</t>
        </is>
      </c>
      <c r="B2991" s="8" t="inlineStr">
        <is>
          <t>M19</t>
        </is>
      </c>
      <c r="C2991" s="8" t="inlineStr">
        <is>
          <t>Mukhyamantri - Majhi Ladki Bahin Yojana</t>
        </is>
      </c>
      <c r="D2991" s="8" t="inlineStr">
        <is>
          <t>Eligibility</t>
        </is>
      </c>
      <c r="E2991" s="8" t="inlineStr"/>
      <c r="F2991" s="8" t="inlineStr">
        <is>
          <t>en.eligibilityCriteria.eligibilityDescription[0].children[3]</t>
        </is>
      </c>
      <c r="G2991" s="8" t="inlineStr">
        <is>
          <t>M19@20261028-8107d501</t>
        </is>
      </c>
      <c r="H2991" s="8" t="n">
        <v>1</v>
      </c>
      <c r="I2991" s="8" t="n">
        <v>1</v>
      </c>
      <c r="J2991" s="8" t="inlineStr">
        <is>
          <t>The applicant should have their bank account with an Aadhaar link.</t>
        </is>
      </c>
      <c r="K2991" s="8" t="inlineStr">
        <is>
          <t>MS-M19</t>
        </is>
      </c>
      <c r="L2991" s="9" t="n">
        <v>46323</v>
      </c>
      <c r="M2991" s="8" t="inlineStr">
        <is>
          <t>Approved</t>
        </is>
      </c>
      <c r="N2991" s="8" t="inlineStr">
        <is>
          <t>list_item</t>
        </is>
      </c>
    </row>
    <row r="2992" ht="40" customHeight="1">
      <c r="A2992" s="4" t="inlineStr">
        <is>
          <t>M19-P0007</t>
        </is>
      </c>
      <c r="B2992" s="4" t="inlineStr">
        <is>
          <t>M19</t>
        </is>
      </c>
      <c r="C2992" s="4" t="inlineStr">
        <is>
          <t>Mukhyamantri - Majhi Ladki Bahin Yojana</t>
        </is>
      </c>
      <c r="D2992" s="4" t="inlineStr">
        <is>
          <t>Eligibility</t>
        </is>
      </c>
      <c r="E2992" s="4" t="inlineStr"/>
      <c r="F2992" s="4" t="inlineStr">
        <is>
          <t>en.eligibilityCriteria.eligibilityDescription[0].children[4]</t>
        </is>
      </c>
      <c r="G2992" s="4" t="inlineStr">
        <is>
          <t>M19@20261028-8107d501</t>
        </is>
      </c>
      <c r="H2992" s="4" t="n">
        <v>1</v>
      </c>
      <c r="I2992" s="4" t="n">
        <v>1</v>
      </c>
      <c r="J2992" s="4" t="inlineStr">
        <is>
          <t>The annual income of the applicant's family should not exceed ₹2,50,000/-.</t>
        </is>
      </c>
      <c r="K2992" s="4" t="inlineStr">
        <is>
          <t>MS-M19</t>
        </is>
      </c>
      <c r="L2992" s="6" t="n">
        <v>46323</v>
      </c>
      <c r="M2992" s="4" t="inlineStr">
        <is>
          <t>Approved</t>
        </is>
      </c>
      <c r="N2992" s="4" t="inlineStr">
        <is>
          <t>list_item</t>
        </is>
      </c>
    </row>
    <row r="2993" ht="40" customHeight="1">
      <c r="A2993" s="8" t="inlineStr">
        <is>
          <t>M19-P0008</t>
        </is>
      </c>
      <c r="B2993" s="8" t="inlineStr">
        <is>
          <t>M19</t>
        </is>
      </c>
      <c r="C2993" s="8" t="inlineStr">
        <is>
          <t>Mukhyamantri - Majhi Ladki Bahin Yojana</t>
        </is>
      </c>
      <c r="D2993" s="8" t="inlineStr">
        <is>
          <t>Eligibility</t>
        </is>
      </c>
      <c r="E2993" s="8" t="inlineStr"/>
      <c r="F2993" s="8" t="inlineStr">
        <is>
          <t>en.eligibilityCriteria.eligibilityDescription[0].children[5]</t>
        </is>
      </c>
      <c r="G2993" s="8" t="inlineStr">
        <is>
          <t>M19@20261028-8107d501</t>
        </is>
      </c>
      <c r="H2993" s="8" t="n">
        <v>1</v>
      </c>
      <c r="I2993" s="8" t="n">
        <v>1</v>
      </c>
      <c r="J2993" s="8" t="inlineStr">
        <is>
          <t>Outsourced employees, voluntary workers, and contract workers with income up to ₹2,50,000/- are eligible.</t>
        </is>
      </c>
      <c r="K2993" s="8" t="inlineStr">
        <is>
          <t>MS-M19</t>
        </is>
      </c>
      <c r="L2993" s="9" t="n">
        <v>46323</v>
      </c>
      <c r="M2993" s="8" t="inlineStr">
        <is>
          <t>Approved</t>
        </is>
      </c>
      <c r="N2993" s="8" t="inlineStr">
        <is>
          <t>list_item</t>
        </is>
      </c>
    </row>
    <row r="2994" ht="40" customHeight="1">
      <c r="A2994" s="4" t="inlineStr">
        <is>
          <t>M19-P0009</t>
        </is>
      </c>
      <c r="B2994" s="4" t="inlineStr">
        <is>
          <t>M19</t>
        </is>
      </c>
      <c r="C2994" s="4" t="inlineStr">
        <is>
          <t>Mukhyamantri - Majhi Ladki Bahin Yojana</t>
        </is>
      </c>
      <c r="D2994" s="4" t="inlineStr">
        <is>
          <t>Eligibility</t>
        </is>
      </c>
      <c r="E2994" s="4" t="inlineStr"/>
      <c r="F2994" s="4" t="inlineStr">
        <is>
          <t>en.eligibilityCriteria.eligibilityDescription[0].children[6]</t>
        </is>
      </c>
      <c r="G2994" s="4" t="inlineStr">
        <is>
          <t>M19@20261028-8107d501</t>
        </is>
      </c>
      <c r="H2994" s="4" t="n">
        <v>1</v>
      </c>
      <c r="I2994" s="4" t="n">
        <v>1</v>
      </c>
      <c r="J2994" s="4" t="inlineStr">
        <is>
          <t>The applicant should be any one of the following:</t>
        </is>
      </c>
      <c r="K2994" s="4" t="inlineStr">
        <is>
          <t>MS-M19</t>
        </is>
      </c>
      <c r="L2994" s="6" t="n">
        <v>46323</v>
      </c>
      <c r="M2994" s="4" t="inlineStr">
        <is>
          <t>Approved</t>
        </is>
      </c>
      <c r="N2994" s="4" t="inlineStr">
        <is>
          <t>list_item</t>
        </is>
      </c>
    </row>
    <row r="2995" ht="40" customHeight="1">
      <c r="A2995" s="8" t="inlineStr">
        <is>
          <t>M19-P0010</t>
        </is>
      </c>
      <c r="B2995" s="8" t="inlineStr">
        <is>
          <t>M19</t>
        </is>
      </c>
      <c r="C2995" s="8" t="inlineStr">
        <is>
          <t>Mukhyamantri - Majhi Ladki Bahin Yojana</t>
        </is>
      </c>
      <c r="D2995" s="8" t="inlineStr">
        <is>
          <t>Eligibility</t>
        </is>
      </c>
      <c r="E2995" s="8" t="inlineStr"/>
      <c r="F2995" s="8" t="inlineStr">
        <is>
          <t>en.eligibilityCriteria.eligibilityDescription[1].children[0].children[0]</t>
        </is>
      </c>
      <c r="G2995" s="8" t="inlineStr">
        <is>
          <t>M19@20261028-8107d501</t>
        </is>
      </c>
      <c r="H2995" s="8" t="n">
        <v>1</v>
      </c>
      <c r="I2995" s="8" t="n">
        <v>1</v>
      </c>
      <c r="J2995" s="8" t="inlineStr">
        <is>
          <t>Married Woman</t>
        </is>
      </c>
      <c r="K2995" s="8" t="inlineStr">
        <is>
          <t>MS-M19</t>
        </is>
      </c>
      <c r="L2995" s="9" t="n">
        <v>46323</v>
      </c>
      <c r="M2995" s="8" t="inlineStr">
        <is>
          <t>Approved</t>
        </is>
      </c>
      <c r="N2995" s="8" t="inlineStr">
        <is>
          <t>list_item</t>
        </is>
      </c>
    </row>
    <row r="2996" ht="40" customHeight="1">
      <c r="A2996" s="4" t="inlineStr">
        <is>
          <t>M19-P0011</t>
        </is>
      </c>
      <c r="B2996" s="4" t="inlineStr">
        <is>
          <t>M19</t>
        </is>
      </c>
      <c r="C2996" s="4" t="inlineStr">
        <is>
          <t>Mukhyamantri - Majhi Ladki Bahin Yojana</t>
        </is>
      </c>
      <c r="D2996" s="4" t="inlineStr">
        <is>
          <t>Eligibility</t>
        </is>
      </c>
      <c r="E2996" s="4" t="inlineStr"/>
      <c r="F2996" s="4" t="inlineStr">
        <is>
          <t>en.eligibilityCriteria.eligibilityDescription[1].children[0].children[1]</t>
        </is>
      </c>
      <c r="G2996" s="4" t="inlineStr">
        <is>
          <t>M19@20261028-8107d501</t>
        </is>
      </c>
      <c r="H2996" s="4" t="n">
        <v>1</v>
      </c>
      <c r="I2996" s="4" t="n">
        <v>1</v>
      </c>
      <c r="J2996" s="4" t="inlineStr">
        <is>
          <t>Widowed</t>
        </is>
      </c>
      <c r="K2996" s="4" t="inlineStr">
        <is>
          <t>MS-M19</t>
        </is>
      </c>
      <c r="L2996" s="6" t="n">
        <v>46323</v>
      </c>
      <c r="M2996" s="4" t="inlineStr">
        <is>
          <t>Approved</t>
        </is>
      </c>
      <c r="N2996" s="4" t="inlineStr">
        <is>
          <t>list_item</t>
        </is>
      </c>
    </row>
    <row r="2997" ht="40" customHeight="1">
      <c r="A2997" s="8" t="inlineStr">
        <is>
          <t>M19-P0012</t>
        </is>
      </c>
      <c r="B2997" s="8" t="inlineStr">
        <is>
          <t>M19</t>
        </is>
      </c>
      <c r="C2997" s="8" t="inlineStr">
        <is>
          <t>Mukhyamantri - Majhi Ladki Bahin Yojana</t>
        </is>
      </c>
      <c r="D2997" s="8" t="inlineStr">
        <is>
          <t>Eligibility</t>
        </is>
      </c>
      <c r="E2997" s="8" t="inlineStr"/>
      <c r="F2997" s="8" t="inlineStr">
        <is>
          <t>en.eligibilityCriteria.eligibilityDescription[1].children[0].children[2]</t>
        </is>
      </c>
      <c r="G2997" s="8" t="inlineStr">
        <is>
          <t>M19@20261028-8107d501</t>
        </is>
      </c>
      <c r="H2997" s="8" t="n">
        <v>1</v>
      </c>
      <c r="I2997" s="8" t="n">
        <v>1</v>
      </c>
      <c r="J2997" s="8" t="inlineStr">
        <is>
          <t>Divorced Woman</t>
        </is>
      </c>
      <c r="K2997" s="8" t="inlineStr">
        <is>
          <t>MS-M19</t>
        </is>
      </c>
      <c r="L2997" s="9" t="n">
        <v>46323</v>
      </c>
      <c r="M2997" s="8" t="inlineStr">
        <is>
          <t>Approved</t>
        </is>
      </c>
      <c r="N2997" s="8" t="inlineStr">
        <is>
          <t>list_item</t>
        </is>
      </c>
    </row>
    <row r="2998" ht="40" customHeight="1">
      <c r="A2998" s="4" t="inlineStr">
        <is>
          <t>M19-P0013</t>
        </is>
      </c>
      <c r="B2998" s="4" t="inlineStr">
        <is>
          <t>M19</t>
        </is>
      </c>
      <c r="C2998" s="4" t="inlineStr">
        <is>
          <t>Mukhyamantri - Majhi Ladki Bahin Yojana</t>
        </is>
      </c>
      <c r="D2998" s="4" t="inlineStr">
        <is>
          <t>Eligibility</t>
        </is>
      </c>
      <c r="E2998" s="4" t="inlineStr"/>
      <c r="F2998" s="4" t="inlineStr">
        <is>
          <t>en.eligibilityCriteria.eligibilityDescription[1].children[0].children[3]</t>
        </is>
      </c>
      <c r="G2998" s="4" t="inlineStr">
        <is>
          <t>M19@20261028-8107d501</t>
        </is>
      </c>
      <c r="H2998" s="4" t="n">
        <v>1</v>
      </c>
      <c r="I2998" s="4" t="n">
        <v>1</v>
      </c>
      <c r="J2998" s="4" t="inlineStr">
        <is>
          <t>Abandoned and Destitute Women</t>
        </is>
      </c>
      <c r="K2998" s="4" t="inlineStr">
        <is>
          <t>MS-M19</t>
        </is>
      </c>
      <c r="L2998" s="6" t="n">
        <v>46323</v>
      </c>
      <c r="M2998" s="4" t="inlineStr">
        <is>
          <t>Approved</t>
        </is>
      </c>
      <c r="N2998" s="4" t="inlineStr">
        <is>
          <t>list_item</t>
        </is>
      </c>
    </row>
    <row r="2999" ht="40" customHeight="1">
      <c r="A2999" s="8" t="inlineStr">
        <is>
          <t>M19-P0014</t>
        </is>
      </c>
      <c r="B2999" s="8" t="inlineStr">
        <is>
          <t>M19</t>
        </is>
      </c>
      <c r="C2999" s="8" t="inlineStr">
        <is>
          <t>Mukhyamantri - Majhi Ladki Bahin Yojana</t>
        </is>
      </c>
      <c r="D2999" s="8" t="inlineStr">
        <is>
          <t>Eligibility</t>
        </is>
      </c>
      <c r="E2999" s="8" t="inlineStr"/>
      <c r="F2999" s="8" t="inlineStr">
        <is>
          <t>en.eligibilityCriteria.eligibilityDescription[1].children[0].children[4]</t>
        </is>
      </c>
      <c r="G2999" s="8" t="inlineStr">
        <is>
          <t>M19@20261028-8107d501</t>
        </is>
      </c>
      <c r="H2999" s="8" t="n">
        <v>1</v>
      </c>
      <c r="I2999" s="8" t="n">
        <v>1</v>
      </c>
      <c r="J2999" s="8" t="inlineStr">
        <is>
          <t>One Unmarried Woman in the family</t>
        </is>
      </c>
      <c r="K2999" s="8" t="inlineStr">
        <is>
          <t>MS-M19</t>
        </is>
      </c>
      <c r="L2999" s="9" t="n">
        <v>46323</v>
      </c>
      <c r="M2999" s="8" t="inlineStr">
        <is>
          <t>Approved</t>
        </is>
      </c>
      <c r="N2999" s="8" t="inlineStr">
        <is>
          <t>list_item</t>
        </is>
      </c>
    </row>
    <row r="3000" ht="40" customHeight="1">
      <c r="A3000" s="4" t="inlineStr">
        <is>
          <t>M19-P0015</t>
        </is>
      </c>
      <c r="B3000" s="4" t="inlineStr">
        <is>
          <t>M19</t>
        </is>
      </c>
      <c r="C3000" s="4" t="inlineStr">
        <is>
          <t>Mukhyamantri - Majhi Ladki Bahin Yojana</t>
        </is>
      </c>
      <c r="D3000" s="4" t="inlineStr">
        <is>
          <t>Exclusions</t>
        </is>
      </c>
      <c r="E3000" s="4" t="inlineStr"/>
      <c r="F3000" s="4" t="inlineStr">
        <is>
          <t>en.schemeContent.exclusions[0].children[0]</t>
        </is>
      </c>
      <c r="G3000" s="4" t="inlineStr">
        <is>
          <t>M19@20261028-8107d501</t>
        </is>
      </c>
      <c r="H3000" s="4" t="n">
        <v>1</v>
      </c>
      <c r="I3000" s="4" t="n">
        <v>1</v>
      </c>
      <c r="J3000" s="4" t="inlineStr">
        <is>
          <t>The combined annual family income is more than ₹2,50,000/-.</t>
        </is>
      </c>
      <c r="K3000" s="4" t="inlineStr">
        <is>
          <t>MS-M19</t>
        </is>
      </c>
      <c r="L3000" s="6" t="n">
        <v>46323</v>
      </c>
      <c r="M3000" s="4" t="inlineStr">
        <is>
          <t>Approved</t>
        </is>
      </c>
      <c r="N3000" s="4" t="inlineStr">
        <is>
          <t>list_item</t>
        </is>
      </c>
    </row>
    <row r="3001" ht="40" customHeight="1">
      <c r="A3001" s="8" t="inlineStr">
        <is>
          <t>M19-P0016</t>
        </is>
      </c>
      <c r="B3001" s="8" t="inlineStr">
        <is>
          <t>M19</t>
        </is>
      </c>
      <c r="C3001" s="8" t="inlineStr">
        <is>
          <t>Mukhyamantri - Majhi Ladki Bahin Yojana</t>
        </is>
      </c>
      <c r="D3001" s="8" t="inlineStr">
        <is>
          <t>Exclusions</t>
        </is>
      </c>
      <c r="E3001" s="8" t="inlineStr"/>
      <c r="F3001" s="8" t="inlineStr">
        <is>
          <t>en.schemeContent.exclusions[0].children[1]</t>
        </is>
      </c>
      <c r="G3001" s="8" t="inlineStr">
        <is>
          <t>M19@20261028-8107d501</t>
        </is>
      </c>
      <c r="H3001" s="8" t="n">
        <v>1</v>
      </c>
      <c r="I3001" s="8" t="n">
        <v>1</v>
      </c>
      <c r="J3001" s="8" t="inlineStr">
        <is>
          <t>The family member is an income taxpayer.</t>
        </is>
      </c>
      <c r="K3001" s="8" t="inlineStr">
        <is>
          <t>MS-M19</t>
        </is>
      </c>
      <c r="L3001" s="9" t="n">
        <v>46323</v>
      </c>
      <c r="M3001" s="8" t="inlineStr">
        <is>
          <t>Approved</t>
        </is>
      </c>
      <c r="N3001" s="8" t="inlineStr">
        <is>
          <t>list_item</t>
        </is>
      </c>
    </row>
    <row r="3002" ht="54" customHeight="1">
      <c r="A3002" s="4" t="inlineStr">
        <is>
          <t>M19-P0017</t>
        </is>
      </c>
      <c r="B3002" s="4" t="inlineStr">
        <is>
          <t>M19</t>
        </is>
      </c>
      <c r="C3002" s="4" t="inlineStr">
        <is>
          <t>Mukhyamantri - Majhi Ladki Bahin Yojana</t>
        </is>
      </c>
      <c r="D3002" s="4" t="inlineStr">
        <is>
          <t>Exclusions</t>
        </is>
      </c>
      <c r="E3002" s="4" t="inlineStr"/>
      <c r="F3002" s="4" t="inlineStr">
        <is>
          <t>en.schemeContent.exclusions[0].children[2]</t>
        </is>
      </c>
      <c r="G3002" s="4" t="inlineStr">
        <is>
          <t>M19@20261028-8107d501</t>
        </is>
      </c>
      <c r="H3002" s="4" t="n">
        <v>1</v>
      </c>
      <c r="I3002" s="4" t="n">
        <v>1</v>
      </c>
      <c r="J3002" s="4" t="inlineStr">
        <is>
          <t>The family members are working as regular/permanent employees in a government department/undertaking/board/government of India or local body of the state government or are drawing pensions after retirement.</t>
        </is>
      </c>
      <c r="K3002" s="4" t="inlineStr">
        <is>
          <t>MS-M19</t>
        </is>
      </c>
      <c r="L3002" s="6" t="n">
        <v>46323</v>
      </c>
      <c r="M3002" s="4" t="inlineStr">
        <is>
          <t>Approved</t>
        </is>
      </c>
      <c r="N3002" s="4" t="inlineStr">
        <is>
          <t>list_item</t>
        </is>
      </c>
    </row>
    <row r="3003" ht="40" customHeight="1">
      <c r="A3003" s="8" t="inlineStr">
        <is>
          <t>M19-P0018</t>
        </is>
      </c>
      <c r="B3003" s="8" t="inlineStr">
        <is>
          <t>M19</t>
        </is>
      </c>
      <c r="C3003" s="8" t="inlineStr">
        <is>
          <t>Mukhyamantri - Majhi Ladki Bahin Yojana</t>
        </is>
      </c>
      <c r="D3003" s="8" t="inlineStr">
        <is>
          <t>Exclusions</t>
        </is>
      </c>
      <c r="E3003" s="8" t="inlineStr"/>
      <c r="F3003" s="8" t="inlineStr">
        <is>
          <t>en.schemeContent.exclusions[0].children[3]</t>
        </is>
      </c>
      <c r="G3003" s="8" t="inlineStr">
        <is>
          <t>M19@20261028-8107d501</t>
        </is>
      </c>
      <c r="H3003" s="8" t="n">
        <v>1</v>
      </c>
      <c r="I3003" s="8" t="n">
        <v>1</v>
      </c>
      <c r="J3003" s="8" t="inlineStr">
        <is>
          <t>The beneficiary women received ₹1,500 per month through the financial scheme implemented by other departments of the government.</t>
        </is>
      </c>
      <c r="K3003" s="8" t="inlineStr">
        <is>
          <t>MS-M19</t>
        </is>
      </c>
      <c r="L3003" s="9" t="n">
        <v>46323</v>
      </c>
      <c r="M3003" s="8" t="inlineStr">
        <is>
          <t>Approved</t>
        </is>
      </c>
      <c r="N3003" s="8" t="inlineStr">
        <is>
          <t>list_item</t>
        </is>
      </c>
    </row>
    <row r="3004" ht="40" customHeight="1">
      <c r="A3004" s="4" t="inlineStr">
        <is>
          <t>M19-P0019</t>
        </is>
      </c>
      <c r="B3004" s="4" t="inlineStr">
        <is>
          <t>M19</t>
        </is>
      </c>
      <c r="C3004" s="4" t="inlineStr">
        <is>
          <t>Mukhyamantri - Majhi Ladki Bahin Yojana</t>
        </is>
      </c>
      <c r="D3004" s="4" t="inlineStr">
        <is>
          <t>Exclusions</t>
        </is>
      </c>
      <c r="E3004" s="4" t="inlineStr"/>
      <c r="F3004" s="4" t="inlineStr">
        <is>
          <t>en.schemeContent.exclusions[0].children[4]</t>
        </is>
      </c>
      <c r="G3004" s="4" t="inlineStr">
        <is>
          <t>M19@20261028-8107d501</t>
        </is>
      </c>
      <c r="H3004" s="4" t="n">
        <v>1</v>
      </c>
      <c r="I3004" s="4" t="n">
        <v>1</v>
      </c>
      <c r="J3004" s="4" t="inlineStr">
        <is>
          <t>The family member is a present or former MP/MLA.</t>
        </is>
      </c>
      <c r="K3004" s="4" t="inlineStr">
        <is>
          <t>MS-M19</t>
        </is>
      </c>
      <c r="L3004" s="6" t="n">
        <v>46323</v>
      </c>
      <c r="M3004" s="4" t="inlineStr">
        <is>
          <t>Approved</t>
        </is>
      </c>
      <c r="N3004" s="4" t="inlineStr">
        <is>
          <t>list_item</t>
        </is>
      </c>
    </row>
    <row r="3005" ht="40" customHeight="1">
      <c r="A3005" s="8" t="inlineStr">
        <is>
          <t>M19-P0020</t>
        </is>
      </c>
      <c r="B3005" s="8" t="inlineStr">
        <is>
          <t>M19</t>
        </is>
      </c>
      <c r="C3005" s="8" t="inlineStr">
        <is>
          <t>Mukhyamantri - Majhi Ladki Bahin Yojana</t>
        </is>
      </c>
      <c r="D3005" s="8" t="inlineStr">
        <is>
          <t>Exclusions</t>
        </is>
      </c>
      <c r="E3005" s="8" t="inlineStr"/>
      <c r="F3005" s="8" t="inlineStr">
        <is>
          <t>en.schemeContent.exclusions[0].children[5]</t>
        </is>
      </c>
      <c r="G3005" s="8" t="inlineStr">
        <is>
          <t>M19@20261028-8107d501</t>
        </is>
      </c>
      <c r="H3005" s="8" t="n">
        <v>1</v>
      </c>
      <c r="I3005" s="8" t="n">
        <v>1</v>
      </c>
      <c r="J3005" s="8" t="inlineStr">
        <is>
          <t>The family member is the Chairman/Vice-Chairman/Director/Member of the Board/Corporation/Undertaking of the Government of India or State Government.</t>
        </is>
      </c>
      <c r="K3005" s="8" t="inlineStr">
        <is>
          <t>MS-M19</t>
        </is>
      </c>
      <c r="L3005" s="9" t="n">
        <v>46323</v>
      </c>
      <c r="M3005" s="8" t="inlineStr">
        <is>
          <t>Approved</t>
        </is>
      </c>
      <c r="N3005" s="8" t="inlineStr">
        <is>
          <t>list_item</t>
        </is>
      </c>
    </row>
    <row r="3006" ht="40" customHeight="1">
      <c r="A3006" s="4" t="inlineStr">
        <is>
          <t>M19-P0021</t>
        </is>
      </c>
      <c r="B3006" s="4" t="inlineStr">
        <is>
          <t>M19</t>
        </is>
      </c>
      <c r="C3006" s="4" t="inlineStr">
        <is>
          <t>Mukhyamantri - Majhi Ladki Bahin Yojana</t>
        </is>
      </c>
      <c r="D3006" s="4" t="inlineStr">
        <is>
          <t>Exclusions</t>
        </is>
      </c>
      <c r="E3006" s="4" t="inlineStr"/>
      <c r="F3006" s="4" t="inlineStr">
        <is>
          <t>en.schemeContent.exclusions[0].children[6]</t>
        </is>
      </c>
      <c r="G3006" s="4" t="inlineStr">
        <is>
          <t>M19@20261028-8107d501</t>
        </is>
      </c>
      <c r="H3006" s="4" t="n">
        <v>1</v>
      </c>
      <c r="I3006" s="4" t="n">
        <v>1</v>
      </c>
      <c r="J3006" s="4" t="inlineStr">
        <is>
          <t>A person has a four-wheeler (excluding a tractor) registered in the name of their family members.</t>
        </is>
      </c>
      <c r="K3006" s="4" t="inlineStr">
        <is>
          <t>MS-M19</t>
        </is>
      </c>
      <c r="L3006" s="6" t="n">
        <v>46323</v>
      </c>
      <c r="M3006" s="4" t="inlineStr">
        <is>
          <t>Approved</t>
        </is>
      </c>
      <c r="N3006" s="4" t="inlineStr">
        <is>
          <t>list_item</t>
        </is>
      </c>
    </row>
    <row r="3007" ht="40" customHeight="1">
      <c r="A3007" s="8" t="inlineStr">
        <is>
          <t>M19-P0022</t>
        </is>
      </c>
      <c r="B3007" s="8" t="inlineStr">
        <is>
          <t>M19</t>
        </is>
      </c>
      <c r="C3007" s="8" t="inlineStr">
        <is>
          <t>Mukhyamantri - Majhi Ladki Bahin Yojana</t>
        </is>
      </c>
      <c r="D3007" s="8" t="inlineStr">
        <is>
          <t>Applicant documents</t>
        </is>
      </c>
      <c r="E3007" s="8" t="inlineStr"/>
      <c r="F3007" s="8" t="inlineStr">
        <is>
          <t>documents.en.documents_required[0].children[0]</t>
        </is>
      </c>
      <c r="G3007" s="8" t="inlineStr">
        <is>
          <t>M19@20261028-8107d501</t>
        </is>
      </c>
      <c r="H3007" s="8" t="n">
        <v>1</v>
      </c>
      <c r="I3007" s="8" t="n">
        <v>1</v>
      </c>
      <c r="J3007" s="8" t="inlineStr">
        <is>
          <t>Photograph of the Beneficiary Woman</t>
        </is>
      </c>
      <c r="K3007" s="8" t="inlineStr">
        <is>
          <t>MS-M19</t>
        </is>
      </c>
      <c r="L3007" s="9" t="n">
        <v>46323</v>
      </c>
      <c r="M3007" s="8" t="inlineStr">
        <is>
          <t>Approved</t>
        </is>
      </c>
      <c r="N3007" s="8" t="inlineStr">
        <is>
          <t>list_item</t>
        </is>
      </c>
    </row>
    <row r="3008" ht="40" customHeight="1">
      <c r="A3008" s="4" t="inlineStr">
        <is>
          <t>M19-P0023</t>
        </is>
      </c>
      <c r="B3008" s="4" t="inlineStr">
        <is>
          <t>M19</t>
        </is>
      </c>
      <c r="C3008" s="4" t="inlineStr">
        <is>
          <t>Mukhyamantri - Majhi Ladki Bahin Yojana</t>
        </is>
      </c>
      <c r="D3008" s="4" t="inlineStr">
        <is>
          <t>Applicant documents</t>
        </is>
      </c>
      <c r="E3008" s="4" t="inlineStr"/>
      <c r="F3008" s="4" t="inlineStr">
        <is>
          <t>documents.en.documents_required[0].children[1]</t>
        </is>
      </c>
      <c r="G3008" s="4" t="inlineStr">
        <is>
          <t>M19@20261028-8107d501</t>
        </is>
      </c>
      <c r="H3008" s="4" t="n">
        <v>1</v>
      </c>
      <c r="I3008" s="4" t="n">
        <v>1</v>
      </c>
      <c r="J3008" s="4" t="inlineStr">
        <is>
          <t>Aadhaar Card</t>
        </is>
      </c>
      <c r="K3008" s="4" t="inlineStr">
        <is>
          <t>MS-M19</t>
        </is>
      </c>
      <c r="L3008" s="6" t="n">
        <v>46323</v>
      </c>
      <c r="M3008" s="4" t="inlineStr">
        <is>
          <t>Approved</t>
        </is>
      </c>
      <c r="N3008" s="4" t="inlineStr">
        <is>
          <t>list_item</t>
        </is>
      </c>
    </row>
    <row r="3009" ht="54" customHeight="1">
      <c r="A3009" s="8" t="inlineStr">
        <is>
          <t>M19-P0024</t>
        </is>
      </c>
      <c r="B3009" s="8" t="inlineStr">
        <is>
          <t>M19</t>
        </is>
      </c>
      <c r="C3009" s="8" t="inlineStr">
        <is>
          <t>Mukhyamantri - Majhi Ladki Bahin Yojana</t>
        </is>
      </c>
      <c r="D3009" s="8" t="inlineStr">
        <is>
          <t>Applicant documents</t>
        </is>
      </c>
      <c r="E3009" s="8" t="inlineStr"/>
      <c r="F3009" s="8" t="inlineStr">
        <is>
          <t>documents.en.documents_required[0].children[2]</t>
        </is>
      </c>
      <c r="G3009" s="8" t="inlineStr">
        <is>
          <t>M19@20261028-8107d501</t>
        </is>
      </c>
      <c r="H3009" s="8" t="n">
        <v>1</v>
      </c>
      <c r="I3009" s="8" t="n">
        <v>1</v>
      </c>
      <c r="J3009" s="8" t="inlineStr">
        <is>
          <t>Domicile Certificate (If the Domicile Certificate is not available, any one of the following can be submitted: Ration Card issued before 15 years, Voter ID card issued before 15 years, Birth Certificate, or School Leaving Certificate).</t>
        </is>
      </c>
      <c r="K3009" s="8" t="inlineStr">
        <is>
          <t>MS-M19</t>
        </is>
      </c>
      <c r="L3009" s="9" t="n">
        <v>46323</v>
      </c>
      <c r="M3009" s="8" t="inlineStr">
        <is>
          <t>Approved</t>
        </is>
      </c>
      <c r="N3009" s="8" t="inlineStr">
        <is>
          <t>list_item</t>
        </is>
      </c>
    </row>
    <row r="3010" ht="54" customHeight="1">
      <c r="A3010" s="4" t="inlineStr">
        <is>
          <t>M19-P0025</t>
        </is>
      </c>
      <c r="B3010" s="4" t="inlineStr">
        <is>
          <t>M19</t>
        </is>
      </c>
      <c r="C3010" s="4" t="inlineStr">
        <is>
          <t>Mukhyamantri - Majhi Ladki Bahin Yojana</t>
        </is>
      </c>
      <c r="D3010" s="4" t="inlineStr">
        <is>
          <t>Applicant documents</t>
        </is>
      </c>
      <c r="E3010" s="4" t="inlineStr"/>
      <c r="F3010" s="4" t="inlineStr">
        <is>
          <t>documents.en.documents_required[0].children[3]</t>
        </is>
      </c>
      <c r="G3010" s="4" t="inlineStr">
        <is>
          <t>M19@20261028-8107d501</t>
        </is>
      </c>
      <c r="H3010" s="4" t="n">
        <v>1</v>
      </c>
      <c r="I3010" s="4" t="n">
        <v>1</v>
      </c>
      <c r="J3010" s="4" t="inlineStr">
        <is>
          <t>For Women Born Abroad (Submit the Husband's Ration Card issued before 15 years, Voter ID card issued before 15 years, Birth Certificate, School Leaving Certificate, or Domicile Certificate).</t>
        </is>
      </c>
      <c r="K3010" s="4" t="inlineStr">
        <is>
          <t>MS-M19</t>
        </is>
      </c>
      <c r="L3010" s="6" t="n">
        <v>46323</v>
      </c>
      <c r="M3010" s="4" t="inlineStr">
        <is>
          <t>Approved</t>
        </is>
      </c>
      <c r="N3010" s="4" t="inlineStr">
        <is>
          <t>list_item</t>
        </is>
      </c>
    </row>
    <row r="3011" ht="40" customHeight="1">
      <c r="A3011" s="8" t="inlineStr">
        <is>
          <t>M19-P0026</t>
        </is>
      </c>
      <c r="B3011" s="8" t="inlineStr">
        <is>
          <t>M19</t>
        </is>
      </c>
      <c r="C3011" s="8" t="inlineStr">
        <is>
          <t>Mukhyamantri - Majhi Ladki Bahin Yojana</t>
        </is>
      </c>
      <c r="D3011" s="8" t="inlineStr">
        <is>
          <t>Applicant documents</t>
        </is>
      </c>
      <c r="E3011" s="8" t="inlineStr"/>
      <c r="F3011" s="8" t="inlineStr">
        <is>
          <t>documents.en.documents_required[0].children[4]</t>
        </is>
      </c>
      <c r="G3011" s="8" t="inlineStr">
        <is>
          <t>M19@20261028-8107d501</t>
        </is>
      </c>
      <c r="H3011" s="8" t="n">
        <v>1</v>
      </c>
      <c r="I3011" s="8" t="n">
        <v>1</v>
      </c>
      <c r="J3011" s="8" t="inlineStr">
        <is>
          <t>Income Certificate (Not required if the woman has a Yellow or Orange Ration Card. Required if the woman has a White Ration Card or no Ration Card).</t>
        </is>
      </c>
      <c r="K3011" s="8" t="inlineStr">
        <is>
          <t>MS-M19</t>
        </is>
      </c>
      <c r="L3011" s="9" t="n">
        <v>46323</v>
      </c>
      <c r="M3011" s="8" t="inlineStr">
        <is>
          <t>Approved</t>
        </is>
      </c>
      <c r="N3011" s="8" t="inlineStr">
        <is>
          <t>list_item</t>
        </is>
      </c>
    </row>
    <row r="3012" ht="40" customHeight="1">
      <c r="A3012" s="4" t="inlineStr">
        <is>
          <t>M19-P0027</t>
        </is>
      </c>
      <c r="B3012" s="4" t="inlineStr">
        <is>
          <t>M19</t>
        </is>
      </c>
      <c r="C3012" s="4" t="inlineStr">
        <is>
          <t>Mukhyamantri - Majhi Ladki Bahin Yojana</t>
        </is>
      </c>
      <c r="D3012" s="4" t="inlineStr">
        <is>
          <t>Applicant documents</t>
        </is>
      </c>
      <c r="E3012" s="4" t="inlineStr"/>
      <c r="F3012" s="4" t="inlineStr">
        <is>
          <t>documents.en.documents_required[0].children[5]</t>
        </is>
      </c>
      <c r="G3012" s="4" t="inlineStr">
        <is>
          <t>M19@20261028-8107d501</t>
        </is>
      </c>
      <c r="H3012" s="4" t="n">
        <v>1</v>
      </c>
      <c r="I3012" s="4" t="n">
        <v>1</v>
      </c>
      <c r="J3012" s="4" t="inlineStr">
        <is>
          <t>Marriage Certificate (If your name is not listed on the Ration Card and you are newly married, your husband’s Ration Card can be used as proof of income)</t>
        </is>
      </c>
      <c r="K3012" s="4" t="inlineStr">
        <is>
          <t>MS-M19</t>
        </is>
      </c>
      <c r="L3012" s="6" t="n">
        <v>46323</v>
      </c>
      <c r="M3012" s="4" t="inlineStr">
        <is>
          <t>Approved</t>
        </is>
      </c>
      <c r="N3012" s="4" t="inlineStr">
        <is>
          <t>list_item</t>
        </is>
      </c>
    </row>
    <row r="3013" ht="40" customHeight="1">
      <c r="A3013" s="8" t="inlineStr">
        <is>
          <t>M19-P0028</t>
        </is>
      </c>
      <c r="B3013" s="8" t="inlineStr">
        <is>
          <t>M19</t>
        </is>
      </c>
      <c r="C3013" s="8" t="inlineStr">
        <is>
          <t>Mukhyamantri - Majhi Ladki Bahin Yojana</t>
        </is>
      </c>
      <c r="D3013" s="8" t="inlineStr">
        <is>
          <t>Applicant documents</t>
        </is>
      </c>
      <c r="E3013" s="8" t="inlineStr"/>
      <c r="F3013" s="8" t="inlineStr">
        <is>
          <t>documents.en.documents_required[0].children[6]</t>
        </is>
      </c>
      <c r="G3013" s="8" t="inlineStr">
        <is>
          <t>M19@20261028-8107d501</t>
        </is>
      </c>
      <c r="H3013" s="8" t="n">
        <v>1</v>
      </c>
      <c r="I3013" s="8" t="n">
        <v>1</v>
      </c>
      <c r="J3013" s="8" t="inlineStr">
        <is>
          <t>Bank Account Details (account should be Aadhaar-linked)</t>
        </is>
      </c>
      <c r="K3013" s="8" t="inlineStr">
        <is>
          <t>MS-M19</t>
        </is>
      </c>
      <c r="L3013" s="9" t="n">
        <v>46323</v>
      </c>
      <c r="M3013" s="8" t="inlineStr">
        <is>
          <t>Approved</t>
        </is>
      </c>
      <c r="N3013" s="8" t="inlineStr">
        <is>
          <t>list_item</t>
        </is>
      </c>
    </row>
    <row r="3014" ht="40" customHeight="1">
      <c r="A3014" s="4" t="inlineStr">
        <is>
          <t>M19-P0029</t>
        </is>
      </c>
      <c r="B3014" s="4" t="inlineStr">
        <is>
          <t>M19</t>
        </is>
      </c>
      <c r="C3014" s="4" t="inlineStr">
        <is>
          <t>Mukhyamantri - Majhi Ladki Bahin Yojana</t>
        </is>
      </c>
      <c r="D3014" s="4" t="inlineStr">
        <is>
          <t>Applicant documents</t>
        </is>
      </c>
      <c r="E3014" s="4" t="inlineStr"/>
      <c r="F3014" s="4" t="inlineStr">
        <is>
          <t>documents.en.documents_required[0].children[7]</t>
        </is>
      </c>
      <c r="G3014" s="4" t="inlineStr">
        <is>
          <t>M19@20261028-8107d501</t>
        </is>
      </c>
      <c r="H3014" s="4" t="n">
        <v>1</v>
      </c>
      <c r="I3014" s="4" t="n">
        <v>1</v>
      </c>
      <c r="J3014" s="4" t="inlineStr">
        <is>
          <t>Affirmation Letter</t>
        </is>
      </c>
      <c r="K3014" s="4" t="inlineStr">
        <is>
          <t>MS-M19</t>
        </is>
      </c>
      <c r="L3014" s="6" t="n">
        <v>46323</v>
      </c>
      <c r="M3014" s="4" t="inlineStr">
        <is>
          <t>Approved</t>
        </is>
      </c>
      <c r="N3014" s="4" t="inlineStr">
        <is>
          <t>list_item</t>
        </is>
      </c>
    </row>
    <row r="3015" ht="40" customHeight="1">
      <c r="A3015" s="8" t="inlineStr">
        <is>
          <t>M19-P0030</t>
        </is>
      </c>
      <c r="B3015" s="8" t="inlineStr">
        <is>
          <t>M19</t>
        </is>
      </c>
      <c r="C3015" s="8" t="inlineStr">
        <is>
          <t>Mukhyamantri - Majhi Ladki Bahin Yojana</t>
        </is>
      </c>
      <c r="D3015" s="8" t="inlineStr">
        <is>
          <t>Application process</t>
        </is>
      </c>
      <c r="E3015" s="8" t="inlineStr">
        <is>
          <t>Registration Process:</t>
        </is>
      </c>
      <c r="F3015" s="8" t="inlineStr">
        <is>
          <t>en.applicationProcess[0].process[0]</t>
        </is>
      </c>
      <c r="G3015" s="8" t="inlineStr">
        <is>
          <t>M19@20261028-8107d501</t>
        </is>
      </c>
      <c r="H3015" s="8" t="n">
        <v>1</v>
      </c>
      <c r="I3015" s="8" t="n">
        <v>1</v>
      </c>
      <c r="J3015" s="8" t="inlineStr">
        <is>
          <t>Registration Process:</t>
        </is>
      </c>
      <c r="K3015" s="8" t="inlineStr">
        <is>
          <t>MS-M19</t>
        </is>
      </c>
      <c r="L3015" s="9" t="n">
        <v>46323</v>
      </c>
      <c r="M3015" s="8" t="inlineStr">
        <is>
          <t>Approved</t>
        </is>
      </c>
      <c r="N3015" s="8" t="inlineStr">
        <is>
          <t>paragraph</t>
        </is>
      </c>
    </row>
    <row r="3016" ht="40" customHeight="1">
      <c r="A3016" s="4" t="inlineStr">
        <is>
          <t>M19-P0031</t>
        </is>
      </c>
      <c r="B3016" s="4" t="inlineStr">
        <is>
          <t>M19</t>
        </is>
      </c>
      <c r="C3016" s="4" t="inlineStr">
        <is>
          <t>Mukhyamantri - Majhi Ladki Bahin Yojana</t>
        </is>
      </c>
      <c r="D3016" s="4" t="inlineStr">
        <is>
          <t>Application process</t>
        </is>
      </c>
      <c r="E3016" s="4" t="inlineStr">
        <is>
          <t>Registration Process:</t>
        </is>
      </c>
      <c r="F3016" s="4" t="inlineStr">
        <is>
          <t>en.applicationProcess[0].process[1]</t>
        </is>
      </c>
      <c r="G3016" s="4" t="inlineStr">
        <is>
          <t>M19@20261028-8107d501</t>
        </is>
      </c>
      <c r="H3016" s="4" t="n">
        <v>1</v>
      </c>
      <c r="I3016" s="4" t="n">
        <v>1</v>
      </c>
      <c r="J3016" s="4" t="inlineStr">
        <is>
          <t>Step 01: The interested applicant visit the official website.</t>
        </is>
      </c>
      <c r="K3016" s="4" t="inlineStr">
        <is>
          <t>MS-M19</t>
        </is>
      </c>
      <c r="L3016" s="6" t="n">
        <v>46323</v>
      </c>
      <c r="M3016" s="4" t="inlineStr">
        <is>
          <t>Approved</t>
        </is>
      </c>
      <c r="N3016" s="4" t="inlineStr">
        <is>
          <t>paragraph</t>
        </is>
      </c>
    </row>
    <row r="3017" ht="40" customHeight="1">
      <c r="A3017" s="8" t="inlineStr">
        <is>
          <t>M19-P0032</t>
        </is>
      </c>
      <c r="B3017" s="8" t="inlineStr">
        <is>
          <t>M19</t>
        </is>
      </c>
      <c r="C3017" s="8" t="inlineStr">
        <is>
          <t>Mukhyamantri - Majhi Ladki Bahin Yojana</t>
        </is>
      </c>
      <c r="D3017" s="8" t="inlineStr">
        <is>
          <t>Application process</t>
        </is>
      </c>
      <c r="E3017" s="8" t="inlineStr">
        <is>
          <t>Registration Process:</t>
        </is>
      </c>
      <c r="F3017" s="8" t="inlineStr">
        <is>
          <t>en.applicationProcess[0].process[2]</t>
        </is>
      </c>
      <c r="G3017" s="8" t="inlineStr">
        <is>
          <t>M19@20261028-8107d501</t>
        </is>
      </c>
      <c r="H3017" s="8" t="n">
        <v>1</v>
      </c>
      <c r="I3017" s="8" t="n">
        <v>1</v>
      </c>
      <c r="J3017" s="8" t="inlineStr">
        <is>
          <t>Step 02: Select "Applicant Login" and click on "Create Account."</t>
        </is>
      </c>
      <c r="K3017" s="8" t="inlineStr">
        <is>
          <t>MS-M19</t>
        </is>
      </c>
      <c r="L3017" s="9" t="n">
        <v>46323</v>
      </c>
      <c r="M3017" s="8" t="inlineStr">
        <is>
          <t>Approved</t>
        </is>
      </c>
      <c r="N3017" s="8" t="inlineStr">
        <is>
          <t>paragraph</t>
        </is>
      </c>
    </row>
    <row r="3018" ht="54" customHeight="1">
      <c r="A3018" s="4" t="inlineStr">
        <is>
          <t>M19-P0033</t>
        </is>
      </c>
      <c r="B3018" s="4" t="inlineStr">
        <is>
          <t>M19</t>
        </is>
      </c>
      <c r="C3018" s="4" t="inlineStr">
        <is>
          <t>Mukhyamantri - Majhi Ladki Bahin Yojana</t>
        </is>
      </c>
      <c r="D3018" s="4" t="inlineStr">
        <is>
          <t>Application process</t>
        </is>
      </c>
      <c r="E3018" s="4" t="inlineStr">
        <is>
          <t>Registration Process:</t>
        </is>
      </c>
      <c r="F3018" s="4" t="inlineStr">
        <is>
          <t>en.applicationProcess[0].process[3]</t>
        </is>
      </c>
      <c r="G3018" s="4" t="inlineStr">
        <is>
          <t>M19@20261028-8107d501</t>
        </is>
      </c>
      <c r="H3018" s="4" t="n">
        <v>1</v>
      </c>
      <c r="I3018" s="4" t="n">
        <v>1</v>
      </c>
      <c r="J3018" s="4" t="inlineStr">
        <is>
          <t>Step 03: Complete the registration form with the following details: Full Name as per Aadhaar, Mobile No, Password, Confirm Password, District, Taluka, Village, Municipal Corporation / Council, Authorized Person &amp; Accept Terms and Conditions.</t>
        </is>
      </c>
      <c r="K3018" s="4" t="inlineStr">
        <is>
          <t>MS-M19</t>
        </is>
      </c>
      <c r="L3018" s="6" t="n">
        <v>46323</v>
      </c>
      <c r="M3018" s="4" t="inlineStr">
        <is>
          <t>Approved</t>
        </is>
      </c>
      <c r="N3018" s="4" t="inlineStr">
        <is>
          <t>paragraph</t>
        </is>
      </c>
    </row>
    <row r="3019" ht="40" customHeight="1">
      <c r="A3019" s="8" t="inlineStr">
        <is>
          <t>M19-P0034</t>
        </is>
      </c>
      <c r="B3019" s="8" t="inlineStr">
        <is>
          <t>M19</t>
        </is>
      </c>
      <c r="C3019" s="8" t="inlineStr">
        <is>
          <t>Mukhyamantri - Majhi Ladki Bahin Yojana</t>
        </is>
      </c>
      <c r="D3019" s="8" t="inlineStr">
        <is>
          <t>Application process</t>
        </is>
      </c>
      <c r="E3019" s="8" t="inlineStr">
        <is>
          <t>Registration Process:</t>
        </is>
      </c>
      <c r="F3019" s="8" t="inlineStr">
        <is>
          <t>en.applicationProcess[0].process[4]</t>
        </is>
      </c>
      <c r="G3019" s="8" t="inlineStr">
        <is>
          <t>M19@20261028-8107d501</t>
        </is>
      </c>
      <c r="H3019" s="8" t="n">
        <v>1</v>
      </c>
      <c r="I3019" s="8" t="n">
        <v>1</v>
      </c>
      <c r="J3019" s="8" t="inlineStr">
        <is>
          <t>Step 04: Enter the Captcha code and click "Sign-up." You will receive an OTP.</t>
        </is>
      </c>
      <c r="K3019" s="8" t="inlineStr">
        <is>
          <t>MS-M19</t>
        </is>
      </c>
      <c r="L3019" s="9" t="n">
        <v>46323</v>
      </c>
      <c r="M3019" s="8" t="inlineStr">
        <is>
          <t>Approved</t>
        </is>
      </c>
      <c r="N3019" s="8" t="inlineStr">
        <is>
          <t>paragraph</t>
        </is>
      </c>
    </row>
    <row r="3020" ht="40" customHeight="1">
      <c r="A3020" s="4" t="inlineStr">
        <is>
          <t>M19-P0035</t>
        </is>
      </c>
      <c r="B3020" s="4" t="inlineStr">
        <is>
          <t>M19</t>
        </is>
      </c>
      <c r="C3020" s="4" t="inlineStr">
        <is>
          <t>Mukhyamantri - Majhi Ladki Bahin Yojana</t>
        </is>
      </c>
      <c r="D3020" s="4" t="inlineStr">
        <is>
          <t>Application process</t>
        </is>
      </c>
      <c r="E3020" s="4" t="inlineStr">
        <is>
          <t>Registration Process:</t>
        </is>
      </c>
      <c r="F3020" s="4" t="inlineStr">
        <is>
          <t>en.applicationProcess[0].process[5]</t>
        </is>
      </c>
      <c r="G3020" s="4" t="inlineStr">
        <is>
          <t>M19@20261028-8107d501</t>
        </is>
      </c>
      <c r="H3020" s="4" t="n">
        <v>1</v>
      </c>
      <c r="I3020" s="4" t="n">
        <v>1</v>
      </c>
      <c r="J3020" s="4" t="inlineStr">
        <is>
          <t>Step 05: Enter the OTP and the Captcha code again.</t>
        </is>
      </c>
      <c r="K3020" s="4" t="inlineStr">
        <is>
          <t>MS-M19</t>
        </is>
      </c>
      <c r="L3020" s="6" t="n">
        <v>46323</v>
      </c>
      <c r="M3020" s="4" t="inlineStr">
        <is>
          <t>Approved</t>
        </is>
      </c>
      <c r="N3020" s="4" t="inlineStr">
        <is>
          <t>paragraph</t>
        </is>
      </c>
    </row>
    <row r="3021" ht="40" customHeight="1">
      <c r="A3021" s="8" t="inlineStr">
        <is>
          <t>M19-P0036</t>
        </is>
      </c>
      <c r="B3021" s="8" t="inlineStr">
        <is>
          <t>M19</t>
        </is>
      </c>
      <c r="C3021" s="8" t="inlineStr">
        <is>
          <t>Mukhyamantri - Majhi Ladki Bahin Yojana</t>
        </is>
      </c>
      <c r="D3021" s="8" t="inlineStr">
        <is>
          <t>Application process</t>
        </is>
      </c>
      <c r="E3021" s="8" t="inlineStr">
        <is>
          <t>Registration Process:</t>
        </is>
      </c>
      <c r="F3021" s="8" t="inlineStr">
        <is>
          <t>en.applicationProcess[0].process[6]</t>
        </is>
      </c>
      <c r="G3021" s="8" t="inlineStr">
        <is>
          <t>M19@20261028-8107d501</t>
        </is>
      </c>
      <c r="H3021" s="8" t="n">
        <v>1</v>
      </c>
      <c r="I3021" s="8" t="n">
        <v>1</v>
      </c>
      <c r="J3021" s="8" t="inlineStr">
        <is>
          <t>Step 06: Click "Verify the OTP" to receive a message confirming that your login was successful.</t>
        </is>
      </c>
      <c r="K3021" s="8" t="inlineStr">
        <is>
          <t>MS-M19</t>
        </is>
      </c>
      <c r="L3021" s="9" t="n">
        <v>46323</v>
      </c>
      <c r="M3021" s="8" t="inlineStr">
        <is>
          <t>Approved</t>
        </is>
      </c>
      <c r="N3021" s="8" t="inlineStr">
        <is>
          <t>paragraph</t>
        </is>
      </c>
    </row>
    <row r="3022" ht="40" customHeight="1">
      <c r="A3022" s="4" t="inlineStr">
        <is>
          <t>M19-P0037</t>
        </is>
      </c>
      <c r="B3022" s="4" t="inlineStr">
        <is>
          <t>M19</t>
        </is>
      </c>
      <c r="C3022" s="4" t="inlineStr">
        <is>
          <t>Mukhyamantri - Majhi Ladki Bahin Yojana</t>
        </is>
      </c>
      <c r="D3022" s="4" t="inlineStr">
        <is>
          <t>Application process</t>
        </is>
      </c>
      <c r="E3022" s="4" t="inlineStr">
        <is>
          <t>Application Process:</t>
        </is>
      </c>
      <c r="F3022" s="4" t="inlineStr">
        <is>
          <t>en.applicationProcess[0].process[8]</t>
        </is>
      </c>
      <c r="G3022" s="4" t="inlineStr">
        <is>
          <t>M19@20261028-8107d501</t>
        </is>
      </c>
      <c r="H3022" s="4" t="n">
        <v>1</v>
      </c>
      <c r="I3022" s="4" t="n">
        <v>1</v>
      </c>
      <c r="J3022" s="4" t="inlineStr">
        <is>
          <t>Application Process:</t>
        </is>
      </c>
      <c r="K3022" s="4" t="inlineStr">
        <is>
          <t>MS-M19</t>
        </is>
      </c>
      <c r="L3022" s="6" t="n">
        <v>46323</v>
      </c>
      <c r="M3022" s="4" t="inlineStr">
        <is>
          <t>Approved</t>
        </is>
      </c>
      <c r="N3022" s="4" t="inlineStr">
        <is>
          <t>paragraph</t>
        </is>
      </c>
    </row>
    <row r="3023" ht="40" customHeight="1">
      <c r="A3023" s="8" t="inlineStr">
        <is>
          <t>M19-P0038</t>
        </is>
      </c>
      <c r="B3023" s="8" t="inlineStr">
        <is>
          <t>M19</t>
        </is>
      </c>
      <c r="C3023" s="8" t="inlineStr">
        <is>
          <t>Mukhyamantri - Majhi Ladki Bahin Yojana</t>
        </is>
      </c>
      <c r="D3023" s="8" t="inlineStr">
        <is>
          <t>Application process</t>
        </is>
      </c>
      <c r="E3023" s="8" t="inlineStr">
        <is>
          <t>Application Process:</t>
        </is>
      </c>
      <c r="F3023" s="8" t="inlineStr">
        <is>
          <t>en.applicationProcess[0].process[9]</t>
        </is>
      </c>
      <c r="G3023" s="8" t="inlineStr">
        <is>
          <t>M19@20261028-8107d501</t>
        </is>
      </c>
      <c r="H3023" s="8" t="n">
        <v>1</v>
      </c>
      <c r="I3023" s="8" t="n">
        <v>1</v>
      </c>
      <c r="J3023" s="8" t="inlineStr">
        <is>
          <t>Step 01: Log in to the portal using your Mobile number, Password, and Captcha to log in.</t>
        </is>
      </c>
      <c r="K3023" s="8" t="inlineStr">
        <is>
          <t>MS-M19</t>
        </is>
      </c>
      <c r="L3023" s="9" t="n">
        <v>46323</v>
      </c>
      <c r="M3023" s="8" t="inlineStr">
        <is>
          <t>Approved</t>
        </is>
      </c>
      <c r="N3023" s="8" t="inlineStr">
        <is>
          <t>paragraph</t>
        </is>
      </c>
    </row>
    <row r="3024" ht="40" customHeight="1">
      <c r="A3024" s="4" t="inlineStr">
        <is>
          <t>M19-P0039</t>
        </is>
      </c>
      <c r="B3024" s="4" t="inlineStr">
        <is>
          <t>M19</t>
        </is>
      </c>
      <c r="C3024" s="4" t="inlineStr">
        <is>
          <t>Mukhyamantri - Majhi Ladki Bahin Yojana</t>
        </is>
      </c>
      <c r="D3024" s="4" t="inlineStr">
        <is>
          <t>Application process</t>
        </is>
      </c>
      <c r="E3024" s="4" t="inlineStr">
        <is>
          <t>Application Process:</t>
        </is>
      </c>
      <c r="F3024" s="4" t="inlineStr">
        <is>
          <t>en.applicationProcess[0].process[10]</t>
        </is>
      </c>
      <c r="G3024" s="4" t="inlineStr">
        <is>
          <t>M19@20261028-8107d501</t>
        </is>
      </c>
      <c r="H3024" s="4" t="n">
        <v>1</v>
      </c>
      <c r="I3024" s="4" t="n">
        <v>1</v>
      </c>
      <c r="J3024" s="4" t="inlineStr">
        <is>
          <t>Step 02: Click on "Application of Mukhyamantri - Majhi Ladki Bahin Yojana" and enter your Aadhaar Number and Captcha.</t>
        </is>
      </c>
      <c r="K3024" s="4" t="inlineStr">
        <is>
          <t>MS-M19</t>
        </is>
      </c>
      <c r="L3024" s="6" t="n">
        <v>46323</v>
      </c>
      <c r="M3024" s="4" t="inlineStr">
        <is>
          <t>Approved</t>
        </is>
      </c>
      <c r="N3024" s="4" t="inlineStr">
        <is>
          <t>paragraph</t>
        </is>
      </c>
    </row>
    <row r="3025" ht="40" customHeight="1">
      <c r="A3025" s="8" t="inlineStr">
        <is>
          <t>M19-P0040</t>
        </is>
      </c>
      <c r="B3025" s="8" t="inlineStr">
        <is>
          <t>M19</t>
        </is>
      </c>
      <c r="C3025" s="8" t="inlineStr">
        <is>
          <t>Mukhyamantri - Majhi Ladki Bahin Yojana</t>
        </is>
      </c>
      <c r="D3025" s="8" t="inlineStr">
        <is>
          <t>Application process</t>
        </is>
      </c>
      <c r="E3025" s="8" t="inlineStr">
        <is>
          <t>Application Process:</t>
        </is>
      </c>
      <c r="F3025" s="8" t="inlineStr">
        <is>
          <t>en.applicationProcess[0].process[11]</t>
        </is>
      </c>
      <c r="G3025" s="8" t="inlineStr">
        <is>
          <t>M19@20261028-8107d501</t>
        </is>
      </c>
      <c r="H3025" s="8" t="n">
        <v>1</v>
      </c>
      <c r="I3025" s="8" t="n">
        <v>1</v>
      </c>
      <c r="J3025" s="8" t="inlineStr">
        <is>
          <t>Step 03: Click on "Valid Aadhaar" and complete the registration form with the applicant's name, bank details, and permanent address.</t>
        </is>
      </c>
      <c r="K3025" s="8" t="inlineStr">
        <is>
          <t>MS-M19</t>
        </is>
      </c>
      <c r="L3025" s="9" t="n">
        <v>46323</v>
      </c>
      <c r="M3025" s="8" t="inlineStr">
        <is>
          <t>Approved</t>
        </is>
      </c>
      <c r="N3025" s="8" t="inlineStr">
        <is>
          <t>paragraph</t>
        </is>
      </c>
    </row>
    <row r="3026" ht="40" customHeight="1">
      <c r="A3026" s="4" t="inlineStr">
        <is>
          <t>M19-P0041</t>
        </is>
      </c>
      <c r="B3026" s="4" t="inlineStr">
        <is>
          <t>M19</t>
        </is>
      </c>
      <c r="C3026" s="4" t="inlineStr">
        <is>
          <t>Mukhyamantri - Majhi Ladki Bahin Yojana</t>
        </is>
      </c>
      <c r="D3026" s="4" t="inlineStr">
        <is>
          <t>Application process</t>
        </is>
      </c>
      <c r="E3026" s="4" t="inlineStr">
        <is>
          <t>Application Process:</t>
        </is>
      </c>
      <c r="F3026" s="4" t="inlineStr">
        <is>
          <t>en.applicationProcess[0].process[12]</t>
        </is>
      </c>
      <c r="G3026" s="4" t="inlineStr">
        <is>
          <t>M19@20261028-8107d501</t>
        </is>
      </c>
      <c r="H3026" s="4" t="n">
        <v>1</v>
      </c>
      <c r="I3026" s="4" t="n">
        <v>1</v>
      </c>
      <c r="J3026" s="4" t="inlineStr">
        <is>
          <t>Step 04: Upload relevant documents such as an Aadhaar card, Domicile certificate, Ration card, etc.</t>
        </is>
      </c>
      <c r="K3026" s="4" t="inlineStr">
        <is>
          <t>MS-M19</t>
        </is>
      </c>
      <c r="L3026" s="6" t="n">
        <v>46323</v>
      </c>
      <c r="M3026" s="4" t="inlineStr">
        <is>
          <t>Approved</t>
        </is>
      </c>
      <c r="N3026" s="4" t="inlineStr">
        <is>
          <t>paragraph</t>
        </is>
      </c>
    </row>
    <row r="3027" ht="40" customHeight="1">
      <c r="A3027" s="8" t="inlineStr">
        <is>
          <t>M19-P0042</t>
        </is>
      </c>
      <c r="B3027" s="8" t="inlineStr">
        <is>
          <t>M19</t>
        </is>
      </c>
      <c r="C3027" s="8" t="inlineStr">
        <is>
          <t>Mukhyamantri - Majhi Ladki Bahin Yojana</t>
        </is>
      </c>
      <c r="D3027" s="8" t="inlineStr">
        <is>
          <t>Application process</t>
        </is>
      </c>
      <c r="E3027" s="8" t="inlineStr">
        <is>
          <t>Application Process:</t>
        </is>
      </c>
      <c r="F3027" s="8" t="inlineStr">
        <is>
          <t>en.applicationProcess[0].process[13]</t>
        </is>
      </c>
      <c r="G3027" s="8" t="inlineStr">
        <is>
          <t>M19@20261028-8107d501</t>
        </is>
      </c>
      <c r="H3027" s="8" t="n">
        <v>1</v>
      </c>
      <c r="I3027" s="8" t="n">
        <v>1</v>
      </c>
      <c r="J3027" s="8" t="inlineStr">
        <is>
          <t>Step 05: Click "Submit" to receive your application ID via SMS.</t>
        </is>
      </c>
      <c r="K3027" s="8" t="inlineStr">
        <is>
          <t>MS-M19</t>
        </is>
      </c>
      <c r="L3027" s="9" t="n">
        <v>46323</v>
      </c>
      <c r="M3027" s="8" t="inlineStr">
        <is>
          <t>Approved</t>
        </is>
      </c>
      <c r="N3027" s="8" t="inlineStr">
        <is>
          <t>paragraph</t>
        </is>
      </c>
    </row>
    <row r="3028" ht="40" customHeight="1">
      <c r="A3028" s="4" t="inlineStr">
        <is>
          <t>M19-P0043</t>
        </is>
      </c>
      <c r="B3028" s="4" t="inlineStr">
        <is>
          <t>M19</t>
        </is>
      </c>
      <c r="C3028" s="4" t="inlineStr">
        <is>
          <t>Mukhyamantri - Majhi Ladki Bahin Yojana</t>
        </is>
      </c>
      <c r="D3028" s="4" t="inlineStr">
        <is>
          <t>Application process</t>
        </is>
      </c>
      <c r="E3028" s="4" t="inlineStr">
        <is>
          <t>Check the Status:</t>
        </is>
      </c>
      <c r="F3028" s="4" t="inlineStr">
        <is>
          <t>en.applicationProcess[0].process[15]</t>
        </is>
      </c>
      <c r="G3028" s="4" t="inlineStr">
        <is>
          <t>M19@20261028-8107d501</t>
        </is>
      </c>
      <c r="H3028" s="4" t="n">
        <v>1</v>
      </c>
      <c r="I3028" s="4" t="n">
        <v>1</v>
      </c>
      <c r="J3028" s="4" t="inlineStr">
        <is>
          <t>Check the Status:</t>
        </is>
      </c>
      <c r="K3028" s="4" t="inlineStr">
        <is>
          <t>MS-M19</t>
        </is>
      </c>
      <c r="L3028" s="6" t="n">
        <v>46323</v>
      </c>
      <c r="M3028" s="4" t="inlineStr">
        <is>
          <t>Approved</t>
        </is>
      </c>
      <c r="N3028" s="4" t="inlineStr">
        <is>
          <t>paragraph</t>
        </is>
      </c>
    </row>
    <row r="3029" ht="40" customHeight="1">
      <c r="A3029" s="8" t="inlineStr">
        <is>
          <t>M19-P0044</t>
        </is>
      </c>
      <c r="B3029" s="8" t="inlineStr">
        <is>
          <t>M19</t>
        </is>
      </c>
      <c r="C3029" s="8" t="inlineStr">
        <is>
          <t>Mukhyamantri - Majhi Ladki Bahin Yojana</t>
        </is>
      </c>
      <c r="D3029" s="8" t="inlineStr">
        <is>
          <t>Application process</t>
        </is>
      </c>
      <c r="E3029" s="8" t="inlineStr">
        <is>
          <t>Check the Status:</t>
        </is>
      </c>
      <c r="F3029" s="8" t="inlineStr">
        <is>
          <t>en.applicationProcess[0].process[16]</t>
        </is>
      </c>
      <c r="G3029" s="8" t="inlineStr">
        <is>
          <t>M19@20261028-8107d501</t>
        </is>
      </c>
      <c r="H3029" s="8" t="n">
        <v>1</v>
      </c>
      <c r="I3029" s="8" t="n">
        <v>1</v>
      </c>
      <c r="J3029" s="8" t="inlineStr">
        <is>
          <t>Step 01: Log in to the portal using your Mobile number, Password, and Captcha to log in.</t>
        </is>
      </c>
      <c r="K3029" s="8" t="inlineStr">
        <is>
          <t>MS-M19</t>
        </is>
      </c>
      <c r="L3029" s="9" t="n">
        <v>46323</v>
      </c>
      <c r="M3029" s="8" t="inlineStr">
        <is>
          <t>Approved</t>
        </is>
      </c>
      <c r="N3029" s="8" t="inlineStr">
        <is>
          <t>paragraph</t>
        </is>
      </c>
    </row>
    <row r="3030" ht="40" customHeight="1">
      <c r="A3030" s="4" t="inlineStr">
        <is>
          <t>M19-P0045</t>
        </is>
      </c>
      <c r="B3030" s="4" t="inlineStr">
        <is>
          <t>M19</t>
        </is>
      </c>
      <c r="C3030" s="4" t="inlineStr">
        <is>
          <t>Mukhyamantri - Majhi Ladki Bahin Yojana</t>
        </is>
      </c>
      <c r="D3030" s="4" t="inlineStr">
        <is>
          <t>Application process</t>
        </is>
      </c>
      <c r="E3030" s="4" t="inlineStr">
        <is>
          <t>Check the Status:</t>
        </is>
      </c>
      <c r="F3030" s="4" t="inlineStr">
        <is>
          <t>en.applicationProcess[0].process[17]</t>
        </is>
      </c>
      <c r="G3030" s="4" t="inlineStr">
        <is>
          <t>M19@20261028-8107d501</t>
        </is>
      </c>
      <c r="H3030" s="4" t="n">
        <v>1</v>
      </c>
      <c r="I3030" s="4" t="n">
        <v>1</v>
      </c>
      <c r="J3030" s="4" t="inlineStr">
        <is>
          <t>Step 02: Click on "Applications Made Earlier" to view the status of your applications.</t>
        </is>
      </c>
      <c r="K3030" s="4" t="inlineStr">
        <is>
          <t>MS-M19</t>
        </is>
      </c>
      <c r="L3030" s="6" t="n">
        <v>46323</v>
      </c>
      <c r="M3030" s="4" t="inlineStr">
        <is>
          <t>Approved</t>
        </is>
      </c>
      <c r="N3030" s="4" t="inlineStr">
        <is>
          <t>paragraph</t>
        </is>
      </c>
    </row>
    <row r="3031" ht="54" customHeight="1">
      <c r="A3031" s="8" t="inlineStr">
        <is>
          <t>M19-P0046</t>
        </is>
      </c>
      <c r="B3031" s="8" t="inlineStr">
        <is>
          <t>M19</t>
        </is>
      </c>
      <c r="C3031" s="8" t="inlineStr">
        <is>
          <t>Mukhyamantri - Majhi Ladki Bahin Yojana</t>
        </is>
      </c>
      <c r="D3031" s="8" t="inlineStr">
        <is>
          <t>FAQ</t>
        </is>
      </c>
      <c r="E3031" s="8" t="inlineStr"/>
      <c r="F3031" s="8" t="inlineStr">
        <is>
          <t>faqs.en.faqs[0]</t>
        </is>
      </c>
      <c r="G3031" s="8" t="inlineStr">
        <is>
          <t>M19@20261028-8107d501</t>
        </is>
      </c>
      <c r="H3031" s="8" t="n">
        <v>1</v>
      </c>
      <c r="I3031" s="8" t="n">
        <v>1</v>
      </c>
      <c r="J3031" s="8" t="inlineStr">
        <is>
          <t>What is the Mukhyamantri - Majhi Ladki Bahin Yojana?
This scheme is aimed at providing financial and social support to economically weaker women in Maharashtra, especially those facing hardships.</t>
        </is>
      </c>
      <c r="K3031" s="8" t="inlineStr">
        <is>
          <t>MS-M19</t>
        </is>
      </c>
      <c r="L3031" s="9" t="n">
        <v>46323</v>
      </c>
      <c r="M3031" s="8" t="inlineStr">
        <is>
          <t>Approved</t>
        </is>
      </c>
      <c r="N3031" s="8" t="inlineStr">
        <is>
          <t>faq</t>
        </is>
      </c>
    </row>
    <row r="3032" ht="54" customHeight="1">
      <c r="A3032" s="4" t="inlineStr">
        <is>
          <t>M19-P0047</t>
        </is>
      </c>
      <c r="B3032" s="4" t="inlineStr">
        <is>
          <t>M19</t>
        </is>
      </c>
      <c r="C3032" s="4" t="inlineStr">
        <is>
          <t>Mukhyamantri - Majhi Ladki Bahin Yojana</t>
        </is>
      </c>
      <c r="D3032" s="4" t="inlineStr">
        <is>
          <t>FAQ</t>
        </is>
      </c>
      <c r="E3032" s="4" t="inlineStr"/>
      <c r="F3032" s="4" t="inlineStr">
        <is>
          <t>faqs.en.faqs[1]</t>
        </is>
      </c>
      <c r="G3032" s="4" t="inlineStr">
        <is>
          <t>M19@20261028-8107d501</t>
        </is>
      </c>
      <c r="H3032" s="4" t="n">
        <v>1</v>
      </c>
      <c r="I3032" s="4" t="n">
        <v>1</v>
      </c>
      <c r="J3032" s="4" t="inlineStr">
        <is>
          <t>Who is eligible to apply for the scheme?
Women who are residents of Maharashtra and belong to economically weaker sections are eligible, provided they meet the scheme's specific criteria.</t>
        </is>
      </c>
      <c r="K3032" s="4" t="inlineStr">
        <is>
          <t>MS-M19</t>
        </is>
      </c>
      <c r="L3032" s="6" t="n">
        <v>46323</v>
      </c>
      <c r="M3032" s="4" t="inlineStr">
        <is>
          <t>Approved</t>
        </is>
      </c>
      <c r="N3032" s="4" t="inlineStr">
        <is>
          <t>faq</t>
        </is>
      </c>
    </row>
    <row r="3033" ht="54" customHeight="1">
      <c r="A3033" s="8" t="inlineStr">
        <is>
          <t>M19-P0048</t>
        </is>
      </c>
      <c r="B3033" s="8" t="inlineStr">
        <is>
          <t>M19</t>
        </is>
      </c>
      <c r="C3033" s="8" t="inlineStr">
        <is>
          <t>Mukhyamantri - Majhi Ladki Bahin Yojana</t>
        </is>
      </c>
      <c r="D3033" s="8" t="inlineStr">
        <is>
          <t>FAQ</t>
        </is>
      </c>
      <c r="E3033" s="8" t="inlineStr"/>
      <c r="F3033" s="8" t="inlineStr">
        <is>
          <t>faqs.en.faqs[2]</t>
        </is>
      </c>
      <c r="G3033" s="8" t="inlineStr">
        <is>
          <t>M19@20261028-8107d501</t>
        </is>
      </c>
      <c r="H3033" s="8" t="n">
        <v>1</v>
      </c>
      <c r="I3033" s="8" t="n">
        <v>1</v>
      </c>
      <c r="J3033" s="8" t="inlineStr">
        <is>
          <t>Is there any fee to apply for the scheme?
No, the application process is free of charge. No money or fee should be paid to anyone for applying.</t>
        </is>
      </c>
      <c r="K3033" s="8" t="inlineStr">
        <is>
          <t>MS-M19</t>
        </is>
      </c>
      <c r="L3033" s="9" t="n">
        <v>46323</v>
      </c>
      <c r="M3033" s="8" t="inlineStr">
        <is>
          <t>Approved</t>
        </is>
      </c>
      <c r="N3033" s="8" t="inlineStr">
        <is>
          <t>faq</t>
        </is>
      </c>
    </row>
    <row r="3034" ht="54" customHeight="1">
      <c r="A3034" s="4" t="inlineStr">
        <is>
          <t>M19-P0049</t>
        </is>
      </c>
      <c r="B3034" s="4" t="inlineStr">
        <is>
          <t>M19</t>
        </is>
      </c>
      <c r="C3034" s="4" t="inlineStr">
        <is>
          <t>Mukhyamantri - Majhi Ladki Bahin Yojana</t>
        </is>
      </c>
      <c r="D3034" s="4" t="inlineStr">
        <is>
          <t>FAQ</t>
        </is>
      </c>
      <c r="E3034" s="4" t="inlineStr"/>
      <c r="F3034" s="4" t="inlineStr">
        <is>
          <t>faqs.en.faqs[3]</t>
        </is>
      </c>
      <c r="G3034" s="4" t="inlineStr">
        <is>
          <t>M19@20261028-8107d501</t>
        </is>
      </c>
      <c r="H3034" s="4" t="n">
        <v>1</v>
      </c>
      <c r="I3034" s="4" t="n">
        <v>1</v>
      </c>
      <c r="J3034" s="4" t="inlineStr">
        <is>
          <t>How will I know if I am selected for the scheme?
Selected beneficiaries will receive an SMS notification. The final list of beneficiaries will also be published at the local level.</t>
        </is>
      </c>
      <c r="K3034" s="4" t="inlineStr">
        <is>
          <t>MS-M19</t>
        </is>
      </c>
      <c r="L3034" s="6" t="n">
        <v>46323</v>
      </c>
      <c r="M3034" s="4" t="inlineStr">
        <is>
          <t>Approved</t>
        </is>
      </c>
      <c r="N3034" s="4" t="inlineStr">
        <is>
          <t>faq</t>
        </is>
      </c>
    </row>
    <row r="3035" ht="40" customHeight="1">
      <c r="A3035" s="8" t="inlineStr">
        <is>
          <t>M19-P0050</t>
        </is>
      </c>
      <c r="B3035" s="8" t="inlineStr">
        <is>
          <t>M19</t>
        </is>
      </c>
      <c r="C3035" s="8" t="inlineStr">
        <is>
          <t>Mukhyamantri - Majhi Ladki Bahin Yojana</t>
        </is>
      </c>
      <c r="D3035" s="8" t="inlineStr">
        <is>
          <t>FAQ</t>
        </is>
      </c>
      <c r="E3035" s="8" t="inlineStr"/>
      <c r="F3035" s="8" t="inlineStr">
        <is>
          <t>faqs.en.faqs[4]</t>
        </is>
      </c>
      <c r="G3035" s="8" t="inlineStr">
        <is>
          <t>M19@20261028-8107d501</t>
        </is>
      </c>
      <c r="H3035" s="8" t="n">
        <v>1</v>
      </c>
      <c r="I3035" s="8" t="n">
        <v>1</v>
      </c>
      <c r="J3035" s="8" t="inlineStr">
        <is>
          <t>How are the benefits disbursed?
Benefits are disbursed through direct bank transfers to the beneficiaries' accounts.</t>
        </is>
      </c>
      <c r="K3035" s="8" t="inlineStr">
        <is>
          <t>MS-M19</t>
        </is>
      </c>
      <c r="L3035" s="9" t="n">
        <v>46323</v>
      </c>
      <c r="M3035" s="8" t="inlineStr">
        <is>
          <t>Approved</t>
        </is>
      </c>
      <c r="N3035" s="8" t="inlineStr">
        <is>
          <t>faq</t>
        </is>
      </c>
    </row>
    <row r="3036" ht="68" customHeight="1">
      <c r="A3036" s="4" t="inlineStr">
        <is>
          <t>M19-P0051</t>
        </is>
      </c>
      <c r="B3036" s="4" t="inlineStr">
        <is>
          <t>M19</t>
        </is>
      </c>
      <c r="C3036" s="4" t="inlineStr">
        <is>
          <t>Mukhyamantri - Majhi Ladki Bahin Yojana</t>
        </is>
      </c>
      <c r="D3036" s="4" t="inlineStr">
        <is>
          <t>FAQ</t>
        </is>
      </c>
      <c r="E3036" s="4" t="inlineStr"/>
      <c r="F3036" s="4" t="inlineStr">
        <is>
          <t>faqs.en.faqs[5]</t>
        </is>
      </c>
      <c r="G3036" s="4" t="inlineStr">
        <is>
          <t>M19@20261028-8107d501</t>
        </is>
      </c>
      <c r="H3036" s="4" t="n">
        <v>1</v>
      </c>
      <c r="I3036" s="4" t="n">
        <v>1</v>
      </c>
      <c r="J3036" s="4" t="inlineStr">
        <is>
          <t>Is there a helpline for the scheme?
Yes, the women's helpline toll-free contact number is 181. The Women and Child Development Commissionerate Pune will set up a call center to assist applicants and resolve any issues related to the scheme.</t>
        </is>
      </c>
      <c r="K3036" s="4" t="inlineStr">
        <is>
          <t>MS-M19</t>
        </is>
      </c>
      <c r="L3036" s="6" t="n">
        <v>46323</v>
      </c>
      <c r="M3036" s="4" t="inlineStr">
        <is>
          <t>Approved</t>
        </is>
      </c>
      <c r="N3036" s="4" t="inlineStr">
        <is>
          <t>faq</t>
        </is>
      </c>
    </row>
    <row r="3037" ht="68" customHeight="1">
      <c r="A3037" s="8" t="inlineStr">
        <is>
          <t>M19-P0052</t>
        </is>
      </c>
      <c r="B3037" s="8" t="inlineStr">
        <is>
          <t>M19</t>
        </is>
      </c>
      <c r="C3037" s="8" t="inlineStr">
        <is>
          <t>Mukhyamantri - Majhi Ladki Bahin Yojana</t>
        </is>
      </c>
      <c r="D3037" s="8" t="inlineStr">
        <is>
          <t>FAQ</t>
        </is>
      </c>
      <c r="E3037" s="8" t="inlineStr"/>
      <c r="F3037" s="8" t="inlineStr">
        <is>
          <t>faqs.en.faqs[6]</t>
        </is>
      </c>
      <c r="G3037" s="8" t="inlineStr">
        <is>
          <t>M19@20261028-8107d501</t>
        </is>
      </c>
      <c r="H3037" s="8" t="n">
        <v>1</v>
      </c>
      <c r="I3037" s="8" t="n">
        <v>1</v>
      </c>
      <c r="J3037" s="8" t="inlineStr">
        <is>
          <t>How can I apply for the scheme?
Applications can be submitted online through the official portal. You must register on the portal, complete your profile, and fill out the application form with all the required details and documents.</t>
        </is>
      </c>
      <c r="K3037" s="8" t="inlineStr">
        <is>
          <t>MS-M19</t>
        </is>
      </c>
      <c r="L3037" s="9" t="n">
        <v>46323</v>
      </c>
      <c r="M3037" s="8" t="inlineStr">
        <is>
          <t>Approved</t>
        </is>
      </c>
      <c r="N3037" s="8" t="inlineStr">
        <is>
          <t>faq</t>
        </is>
      </c>
    </row>
    <row r="3038" ht="68" customHeight="1">
      <c r="A3038" s="4" t="inlineStr">
        <is>
          <t>M19-P0053</t>
        </is>
      </c>
      <c r="B3038" s="4" t="inlineStr">
        <is>
          <t>M19</t>
        </is>
      </c>
      <c r="C3038" s="4" t="inlineStr">
        <is>
          <t>Mukhyamantri - Majhi Ladki Bahin Yojana</t>
        </is>
      </c>
      <c r="D3038" s="4" t="inlineStr">
        <is>
          <t>FAQ</t>
        </is>
      </c>
      <c r="E3038" s="4" t="inlineStr"/>
      <c r="F3038" s="4" t="inlineStr">
        <is>
          <t>faqs.en.faqs[7]</t>
        </is>
      </c>
      <c r="G3038" s="4" t="inlineStr">
        <is>
          <t>M19@20261028-8107d501</t>
        </is>
      </c>
      <c r="H3038" s="4" t="n">
        <v>1</v>
      </c>
      <c r="I3038" s="4" t="n">
        <v>1</v>
      </c>
      <c r="J3038" s="4" t="inlineStr">
        <is>
          <t>What documents are required for the application?
Essential documents include an Aadhaar card, domicile certificate, income certificate, marriage certificate, and bank account details. Additional documents may be required depending on the specific circumstances of the applicant.</t>
        </is>
      </c>
      <c r="K3038" s="4" t="inlineStr">
        <is>
          <t>MS-M19</t>
        </is>
      </c>
      <c r="L3038" s="6" t="n">
        <v>46323</v>
      </c>
      <c r="M3038" s="4" t="inlineStr">
        <is>
          <t>Approved</t>
        </is>
      </c>
      <c r="N3038" s="4" t="inlineStr">
        <is>
          <t>faq</t>
        </is>
      </c>
    </row>
    <row r="3039" ht="54" customHeight="1">
      <c r="A3039" s="8" t="inlineStr">
        <is>
          <t>M19-P0054</t>
        </is>
      </c>
      <c r="B3039" s="8" t="inlineStr">
        <is>
          <t>M19</t>
        </is>
      </c>
      <c r="C3039" s="8" t="inlineStr">
        <is>
          <t>Mukhyamantri - Majhi Ladki Bahin Yojana</t>
        </is>
      </c>
      <c r="D3039" s="8" t="inlineStr">
        <is>
          <t>FAQ</t>
        </is>
      </c>
      <c r="E3039" s="8" t="inlineStr"/>
      <c r="F3039" s="8" t="inlineStr">
        <is>
          <t>faqs.en.faqs[8]</t>
        </is>
      </c>
      <c r="G3039" s="8" t="inlineStr">
        <is>
          <t>M19@20261028-8107d501</t>
        </is>
      </c>
      <c r="H3039" s="8" t="n">
        <v>1</v>
      </c>
      <c r="I3039" s="8" t="n">
        <v>1</v>
      </c>
      <c r="J3039" s="8" t="inlineStr">
        <is>
          <t>What is the process after submitting the application?
After submission, applications are scrutinized by a Taluka/Ward level committee, and a provisional list of eligible beneficiaries is prepared. Applicants will be notified via SMS.</t>
        </is>
      </c>
      <c r="K3039" s="8" t="inlineStr">
        <is>
          <t>MS-M19</t>
        </is>
      </c>
      <c r="L3039" s="9" t="n">
        <v>46323</v>
      </c>
      <c r="M3039" s="8" t="inlineStr">
        <is>
          <t>Approved</t>
        </is>
      </c>
      <c r="N3039" s="8" t="inlineStr">
        <is>
          <t>faq</t>
        </is>
      </c>
    </row>
    <row r="3040" ht="54" customHeight="1">
      <c r="A3040" s="4" t="inlineStr">
        <is>
          <t>M19-P0055</t>
        </is>
      </c>
      <c r="B3040" s="4" t="inlineStr">
        <is>
          <t>M19</t>
        </is>
      </c>
      <c r="C3040" s="4" t="inlineStr">
        <is>
          <t>Mukhyamantri - Majhi Ladki Bahin Yojana</t>
        </is>
      </c>
      <c r="D3040" s="4" t="inlineStr">
        <is>
          <t>FAQ</t>
        </is>
      </c>
      <c r="E3040" s="4" t="inlineStr"/>
      <c r="F3040" s="4" t="inlineStr">
        <is>
          <t>faqs.en.faqs[9]</t>
        </is>
      </c>
      <c r="G3040" s="4" t="inlineStr">
        <is>
          <t>M19@20261028-8107d501</t>
        </is>
      </c>
      <c r="H3040" s="4" t="n">
        <v>1</v>
      </c>
      <c r="I3040" s="4" t="n">
        <v>1</v>
      </c>
      <c r="J3040" s="4" t="inlineStr">
        <is>
          <t>Who reviews the applications at the local level?
Applications are reviewed by a Taluka/Ward level committee, which includes non-governmental members selected by the district's guardian minister.</t>
        </is>
      </c>
      <c r="K3040" s="4" t="inlineStr">
        <is>
          <t>MS-M19</t>
        </is>
      </c>
      <c r="L3040" s="6" t="n">
        <v>46323</v>
      </c>
      <c r="M3040" s="4" t="inlineStr">
        <is>
          <t>Approved</t>
        </is>
      </c>
      <c r="N3040" s="4" t="inlineStr">
        <is>
          <t>faq</t>
        </is>
      </c>
    </row>
    <row r="3041" ht="96" customHeight="1">
      <c r="A3041" s="8" t="inlineStr">
        <is>
          <t>M20-P0001</t>
        </is>
      </c>
      <c r="B3041" s="8" t="inlineStr">
        <is>
          <t>M20</t>
        </is>
      </c>
      <c r="C3041" s="8" t="inlineStr">
        <is>
          <t>Mahatma Jyotirao Phule Jan Arogya Yojana</t>
        </is>
      </c>
      <c r="D3041" s="8" t="inlineStr">
        <is>
          <t>Details</t>
        </is>
      </c>
      <c r="E3041" s="8" t="inlineStr"/>
      <c r="F3041" s="8" t="inlineStr">
        <is>
          <t>en.schemeContent.detailedDescription[0].children[0]</t>
        </is>
      </c>
      <c r="G3041" s="8" t="inlineStr">
        <is>
          <t>M20@20261028-dcae286f</t>
        </is>
      </c>
      <c r="H3041" s="8" t="n">
        <v>1</v>
      </c>
      <c r="I3041" s="8" t="n">
        <v>1</v>
      </c>
      <c r="J3041" s="8" t="inlineStr">
        <is>
          <t>The Mahatma Jyotirao Phule Jan Arogya Yojana (MJPJAY), launched by the Government of Maharashtra under  Public Health and Family Welfare Department,The scheme provides cashless medical services for secondary and tertiary treatments through empaneled hospitals. Initially targeted at low-income families, the scheme now covers all families in the state, offering up to ₹1.5 lakh under MJPJAY and ₹5 lakh under Ayushman Bharat annually. From 1st July 2024, it ensures comprehensive, cashless healthcare for the entire population of Maharashtra.</t>
        </is>
      </c>
      <c r="K3041" s="8" t="inlineStr">
        <is>
          <t>MS-M20</t>
        </is>
      </c>
      <c r="L3041" s="9" t="n">
        <v>46323</v>
      </c>
      <c r="M3041" s="8" t="inlineStr">
        <is>
          <t>Approved</t>
        </is>
      </c>
      <c r="N3041" s="8" t="inlineStr">
        <is>
          <t>paragraph</t>
        </is>
      </c>
    </row>
    <row r="3042" ht="40" customHeight="1">
      <c r="A3042" s="4" t="inlineStr">
        <is>
          <t>M20-P0002</t>
        </is>
      </c>
      <c r="B3042" s="4" t="inlineStr">
        <is>
          <t>M20</t>
        </is>
      </c>
      <c r="C3042" s="4" t="inlineStr">
        <is>
          <t>Mahatma Jyotirao Phule Jan Arogya Yojana</t>
        </is>
      </c>
      <c r="D3042" s="4" t="inlineStr">
        <is>
          <t>Benefits</t>
        </is>
      </c>
      <c r="E3042" s="4" t="inlineStr"/>
      <c r="F3042" s="4" t="inlineStr">
        <is>
          <t>en.schemeContent.benefits[0].children[0]</t>
        </is>
      </c>
      <c r="G3042" s="4" t="inlineStr">
        <is>
          <t>M20@20261028-dcae286f</t>
        </is>
      </c>
      <c r="H3042" s="4" t="n">
        <v>1</v>
      </c>
      <c r="I3042" s="4" t="n">
        <v>1</v>
      </c>
      <c r="J3042" s="4" t="inlineStr">
        <is>
          <t>Health Coverage for Categories A to E (Excluding D): ₹5 lakhs per family per year on a floater basis under both schemes.</t>
        </is>
      </c>
      <c r="K3042" s="4" t="inlineStr">
        <is>
          <t>MS-M20</t>
        </is>
      </c>
      <c r="L3042" s="6" t="n">
        <v>46323</v>
      </c>
      <c r="M3042" s="4" t="inlineStr">
        <is>
          <t>Approved</t>
        </is>
      </c>
      <c r="N3042" s="4" t="inlineStr">
        <is>
          <t>list_item</t>
        </is>
      </c>
    </row>
    <row r="3043" ht="40" customHeight="1">
      <c r="A3043" s="8" t="inlineStr">
        <is>
          <t>M20-P0003</t>
        </is>
      </c>
      <c r="B3043" s="8" t="inlineStr">
        <is>
          <t>M20</t>
        </is>
      </c>
      <c r="C3043" s="8" t="inlineStr">
        <is>
          <t>Mahatma Jyotirao Phule Jan Arogya Yojana</t>
        </is>
      </c>
      <c r="D3043" s="8" t="inlineStr">
        <is>
          <t>Benefits</t>
        </is>
      </c>
      <c r="E3043" s="8" t="inlineStr"/>
      <c r="F3043" s="8" t="inlineStr">
        <is>
          <t>en.schemeContent.benefits[0].children[1]</t>
        </is>
      </c>
      <c r="G3043" s="8" t="inlineStr">
        <is>
          <t>M20@20261028-dcae286f</t>
        </is>
      </c>
      <c r="H3043" s="8" t="n">
        <v>1</v>
      </c>
      <c r="I3043" s="8" t="n">
        <v>1</v>
      </c>
      <c r="J3043" s="8" t="inlineStr">
        <is>
          <t>Health Coverage for Category D: ₹1 lakh per person per year.</t>
        </is>
      </c>
      <c r="K3043" s="8" t="inlineStr">
        <is>
          <t>MS-M20</t>
        </is>
      </c>
      <c r="L3043" s="9" t="n">
        <v>46323</v>
      </c>
      <c r="M3043" s="8" t="inlineStr">
        <is>
          <t>Approved</t>
        </is>
      </c>
      <c r="N3043" s="8" t="inlineStr">
        <is>
          <t>list_item</t>
        </is>
      </c>
    </row>
    <row r="3044" ht="40" customHeight="1">
      <c r="A3044" s="4" t="inlineStr">
        <is>
          <t>M20-P0004</t>
        </is>
      </c>
      <c r="B3044" s="4" t="inlineStr">
        <is>
          <t>M20</t>
        </is>
      </c>
      <c r="C3044" s="4" t="inlineStr">
        <is>
          <t>Mahatma Jyotirao Phule Jan Arogya Yojana</t>
        </is>
      </c>
      <c r="D3044" s="4" t="inlineStr">
        <is>
          <t>Benefits</t>
        </is>
      </c>
      <c r="E3044" s="4" t="inlineStr">
        <is>
          <t>Medical Benefits</t>
        </is>
      </c>
      <c r="F3044" s="4" t="inlineStr">
        <is>
          <t>en.schemeContent.benefits[2]</t>
        </is>
      </c>
      <c r="G3044" s="4" t="inlineStr">
        <is>
          <t>M20@20261028-dcae286f</t>
        </is>
      </c>
      <c r="H3044" s="4" t="n">
        <v>1</v>
      </c>
      <c r="I3044" s="4" t="n">
        <v>1</v>
      </c>
      <c r="J3044" s="4" t="inlineStr">
        <is>
          <t>Medical Benefits</t>
        </is>
      </c>
      <c r="K3044" s="4" t="inlineStr">
        <is>
          <t>MS-M20</t>
        </is>
      </c>
      <c r="L3044" s="6" t="n">
        <v>46323</v>
      </c>
      <c r="M3044" s="4" t="inlineStr">
        <is>
          <t>Approved</t>
        </is>
      </c>
      <c r="N3044" s="4" t="inlineStr">
        <is>
          <t>paragraph</t>
        </is>
      </c>
    </row>
    <row r="3045" ht="40" customHeight="1">
      <c r="A3045" s="8" t="inlineStr">
        <is>
          <t>M20-P0005</t>
        </is>
      </c>
      <c r="B3045" s="8" t="inlineStr">
        <is>
          <t>M20</t>
        </is>
      </c>
      <c r="C3045" s="8" t="inlineStr">
        <is>
          <t>Mahatma Jyotirao Phule Jan Arogya Yojana</t>
        </is>
      </c>
      <c r="D3045" s="8" t="inlineStr">
        <is>
          <t>Benefits</t>
        </is>
      </c>
      <c r="E3045" s="8" t="inlineStr">
        <is>
          <t>Medical Benefits</t>
        </is>
      </c>
      <c r="F3045" s="8" t="inlineStr">
        <is>
          <t>en.schemeContent.benefits[3]</t>
        </is>
      </c>
      <c r="G3045" s="8" t="inlineStr">
        <is>
          <t>M20@20261028-dcae286f</t>
        </is>
      </c>
      <c r="H3045" s="8" t="n">
        <v>1</v>
      </c>
      <c r="I3045" s="8" t="n">
        <v>1</v>
      </c>
      <c r="J3045" s="8" t="inlineStr">
        <is>
          <t>• For categories A to E (Excluding D) - 1356 Health Benefits Packages under 34 specialities.</t>
        </is>
      </c>
      <c r="K3045" s="8" t="inlineStr">
        <is>
          <t>MS-M20</t>
        </is>
      </c>
      <c r="L3045" s="9" t="n">
        <v>46323</v>
      </c>
      <c r="M3045" s="8" t="inlineStr">
        <is>
          <t>Approved</t>
        </is>
      </c>
      <c r="N3045" s="8" t="inlineStr">
        <is>
          <t>paragraph</t>
        </is>
      </c>
    </row>
    <row r="3046" ht="40" customHeight="1">
      <c r="A3046" s="4" t="inlineStr">
        <is>
          <t>M20-P0006</t>
        </is>
      </c>
      <c r="B3046" s="4" t="inlineStr">
        <is>
          <t>M20</t>
        </is>
      </c>
      <c r="C3046" s="4" t="inlineStr">
        <is>
          <t>Mahatma Jyotirao Phule Jan Arogya Yojana</t>
        </is>
      </c>
      <c r="D3046" s="4" t="inlineStr">
        <is>
          <t>Benefits</t>
        </is>
      </c>
      <c r="E3046" s="4" t="inlineStr">
        <is>
          <t>Medical Benefits</t>
        </is>
      </c>
      <c r="F3046" s="4" t="inlineStr">
        <is>
          <t>en.schemeContent.benefits[4]</t>
        </is>
      </c>
      <c r="G3046" s="4" t="inlineStr">
        <is>
          <t>M20@20261028-dcae286f</t>
        </is>
      </c>
      <c r="H3046" s="4" t="n">
        <v>1</v>
      </c>
      <c r="I3046" s="4" t="n">
        <v>1</v>
      </c>
      <c r="J3046" s="4" t="inlineStr">
        <is>
          <t>• For category D – 184 Health Benefits Packages for Road accident patients.</t>
        </is>
      </c>
      <c r="K3046" s="4" t="inlineStr">
        <is>
          <t>MS-M20</t>
        </is>
      </c>
      <c r="L3046" s="6" t="n">
        <v>46323</v>
      </c>
      <c r="M3046" s="4" t="inlineStr">
        <is>
          <t>Approved</t>
        </is>
      </c>
      <c r="N3046" s="4" t="inlineStr">
        <is>
          <t>paragraph</t>
        </is>
      </c>
    </row>
    <row r="3047" ht="40" customHeight="1">
      <c r="A3047" s="8" t="inlineStr">
        <is>
          <t>M20-P0007</t>
        </is>
      </c>
      <c r="B3047" s="8" t="inlineStr">
        <is>
          <t>M20</t>
        </is>
      </c>
      <c r="C3047" s="8" t="inlineStr">
        <is>
          <t>Mahatma Jyotirao Phule Jan Arogya Yojana</t>
        </is>
      </c>
      <c r="D3047" s="8" t="inlineStr">
        <is>
          <t>Benefits</t>
        </is>
      </c>
      <c r="E3047" s="8" t="inlineStr">
        <is>
          <t>Follow-up treatment</t>
        </is>
      </c>
      <c r="F3047" s="8" t="inlineStr">
        <is>
          <t>en.schemeContent.benefits[5]</t>
        </is>
      </c>
      <c r="G3047" s="8" t="inlineStr">
        <is>
          <t>M20@20261028-dcae286f</t>
        </is>
      </c>
      <c r="H3047" s="8" t="n">
        <v>1</v>
      </c>
      <c r="I3047" s="8" t="n">
        <v>1</v>
      </c>
      <c r="J3047" s="8" t="inlineStr">
        <is>
          <t>Follow-up treatment</t>
        </is>
      </c>
      <c r="K3047" s="8" t="inlineStr">
        <is>
          <t>MS-M20</t>
        </is>
      </c>
      <c r="L3047" s="9" t="n">
        <v>46323</v>
      </c>
      <c r="M3047" s="8" t="inlineStr">
        <is>
          <t>Approved</t>
        </is>
      </c>
      <c r="N3047" s="8" t="inlineStr">
        <is>
          <t>paragraph</t>
        </is>
      </c>
    </row>
    <row r="3048" ht="40" customHeight="1">
      <c r="A3048" s="4" t="inlineStr">
        <is>
          <t>M20-P0008</t>
        </is>
      </c>
      <c r="B3048" s="4" t="inlineStr">
        <is>
          <t>M20</t>
        </is>
      </c>
      <c r="C3048" s="4" t="inlineStr">
        <is>
          <t>Mahatma Jyotirao Phule Jan Arogya Yojana</t>
        </is>
      </c>
      <c r="D3048" s="4" t="inlineStr">
        <is>
          <t>Benefits</t>
        </is>
      </c>
      <c r="E3048" s="4" t="inlineStr">
        <is>
          <t>Follow-up treatment</t>
        </is>
      </c>
      <c r="F3048" s="4" t="inlineStr">
        <is>
          <t>en.schemeContent.benefits[6].children[0]</t>
        </is>
      </c>
      <c r="G3048" s="4" t="inlineStr">
        <is>
          <t>M20@20261028-dcae286f</t>
        </is>
      </c>
      <c r="H3048" s="4" t="n">
        <v>1</v>
      </c>
      <c r="I3048" s="4" t="n">
        <v>1</v>
      </c>
      <c r="J3048" s="4" t="inlineStr">
        <is>
          <t>262 Health Benefits Packages for both schemes (for categories A to E)</t>
        </is>
      </c>
      <c r="K3048" s="4" t="inlineStr">
        <is>
          <t>MS-M20</t>
        </is>
      </c>
      <c r="L3048" s="6" t="n">
        <v>46323</v>
      </c>
      <c r="M3048" s="4" t="inlineStr">
        <is>
          <t>Approved</t>
        </is>
      </c>
      <c r="N3048" s="4" t="inlineStr">
        <is>
          <t>list_item</t>
        </is>
      </c>
    </row>
    <row r="3049" ht="40" customHeight="1">
      <c r="A3049" s="8" t="inlineStr">
        <is>
          <t>M20-P0009</t>
        </is>
      </c>
      <c r="B3049" s="8" t="inlineStr">
        <is>
          <t>M20</t>
        </is>
      </c>
      <c r="C3049" s="8" t="inlineStr">
        <is>
          <t>Mahatma Jyotirao Phule Jan Arogya Yojana</t>
        </is>
      </c>
      <c r="D3049" s="8" t="inlineStr">
        <is>
          <t>Benefits</t>
        </is>
      </c>
      <c r="E3049" s="8" t="inlineStr">
        <is>
          <t>Treatment Reserved for Govt. Hospitals</t>
        </is>
      </c>
      <c r="F3049" s="8" t="inlineStr">
        <is>
          <t>en.schemeContent.benefits[7]</t>
        </is>
      </c>
      <c r="G3049" s="8" t="inlineStr">
        <is>
          <t>M20@20261028-dcae286f</t>
        </is>
      </c>
      <c r="H3049" s="8" t="n">
        <v>1</v>
      </c>
      <c r="I3049" s="8" t="n">
        <v>1</v>
      </c>
      <c r="J3049" s="8" t="inlineStr">
        <is>
          <t>Treatment Reserved for Govt. Hospitals</t>
        </is>
      </c>
      <c r="K3049" s="8" t="inlineStr">
        <is>
          <t>MS-M20</t>
        </is>
      </c>
      <c r="L3049" s="9" t="n">
        <v>46323</v>
      </c>
      <c r="M3049" s="8" t="inlineStr">
        <is>
          <t>Approved</t>
        </is>
      </c>
      <c r="N3049" s="8" t="inlineStr">
        <is>
          <t>paragraph</t>
        </is>
      </c>
    </row>
    <row r="3050" ht="40" customHeight="1">
      <c r="A3050" s="4" t="inlineStr">
        <is>
          <t>M20-P0010</t>
        </is>
      </c>
      <c r="B3050" s="4" t="inlineStr">
        <is>
          <t>M20</t>
        </is>
      </c>
      <c r="C3050" s="4" t="inlineStr">
        <is>
          <t>Mahatma Jyotirao Phule Jan Arogya Yojana</t>
        </is>
      </c>
      <c r="D3050" s="4" t="inlineStr">
        <is>
          <t>Benefits</t>
        </is>
      </c>
      <c r="E3050" s="4" t="inlineStr">
        <is>
          <t>Treatment Reserved for Govt. Hospitals</t>
        </is>
      </c>
      <c r="F3050" s="4" t="inlineStr">
        <is>
          <t>en.schemeContent.benefits[8].children[0]</t>
        </is>
      </c>
      <c r="G3050" s="4" t="inlineStr">
        <is>
          <t>M20@20261028-dcae286f</t>
        </is>
      </c>
      <c r="H3050" s="4" t="n">
        <v>1</v>
      </c>
      <c r="I3050" s="4" t="n">
        <v>1</v>
      </c>
      <c r="J3050" s="4" t="inlineStr">
        <is>
          <t>119 Health Benefits Packages for both the schemes (for categories A to E)</t>
        </is>
      </c>
      <c r="K3050" s="4" t="inlineStr">
        <is>
          <t>MS-M20</t>
        </is>
      </c>
      <c r="L3050" s="6" t="n">
        <v>46323</v>
      </c>
      <c r="M3050" s="4" t="inlineStr">
        <is>
          <t>Approved</t>
        </is>
      </c>
      <c r="N3050" s="4" t="inlineStr">
        <is>
          <t>list_item</t>
        </is>
      </c>
    </row>
    <row r="3051" ht="40" customHeight="1">
      <c r="A3051" s="8" t="inlineStr">
        <is>
          <t>M20-P0011</t>
        </is>
      </c>
      <c r="B3051" s="8" t="inlineStr">
        <is>
          <t>M20</t>
        </is>
      </c>
      <c r="C3051" s="8" t="inlineStr">
        <is>
          <t>Mahatma Jyotirao Phule Jan Arogya Yojana</t>
        </is>
      </c>
      <c r="D3051" s="8" t="inlineStr">
        <is>
          <t>Benefits</t>
        </is>
      </c>
      <c r="E3051" s="8" t="inlineStr">
        <is>
          <t>Benefits under Health Packages</t>
        </is>
      </c>
      <c r="F3051" s="8" t="inlineStr">
        <is>
          <t>en.schemeContent.benefits[9]</t>
        </is>
      </c>
      <c r="G3051" s="8" t="inlineStr">
        <is>
          <t>M20@20261028-dcae286f</t>
        </is>
      </c>
      <c r="H3051" s="8" t="n">
        <v>1</v>
      </c>
      <c r="I3051" s="8" t="n">
        <v>1</v>
      </c>
      <c r="J3051" s="8" t="inlineStr">
        <is>
          <t>Benefits under Health Packages</t>
        </is>
      </c>
      <c r="K3051" s="8" t="inlineStr">
        <is>
          <t>MS-M20</t>
        </is>
      </c>
      <c r="L3051" s="9" t="n">
        <v>46323</v>
      </c>
      <c r="M3051" s="8" t="inlineStr">
        <is>
          <t>Approved</t>
        </is>
      </c>
      <c r="N3051" s="8" t="inlineStr">
        <is>
          <t>paragraph</t>
        </is>
      </c>
    </row>
    <row r="3052" ht="40" customHeight="1">
      <c r="A3052" s="4" t="inlineStr">
        <is>
          <t>M20-P0012</t>
        </is>
      </c>
      <c r="B3052" s="4" t="inlineStr">
        <is>
          <t>M20</t>
        </is>
      </c>
      <c r="C3052" s="4" t="inlineStr">
        <is>
          <t>Mahatma Jyotirao Phule Jan Arogya Yojana</t>
        </is>
      </c>
      <c r="D3052" s="4" t="inlineStr">
        <is>
          <t>Benefits</t>
        </is>
      </c>
      <c r="E3052" s="4" t="inlineStr">
        <is>
          <t>Benefits under Health Packages</t>
        </is>
      </c>
      <c r="F3052" s="4" t="inlineStr">
        <is>
          <t>en.schemeContent.benefits[10]</t>
        </is>
      </c>
      <c r="G3052" s="4" t="inlineStr">
        <is>
          <t>M20@20261028-dcae286f</t>
        </is>
      </c>
      <c r="H3052" s="4" t="n">
        <v>1</v>
      </c>
      <c r="I3052" s="4" t="n">
        <v>1</v>
      </c>
      <c r="J3052" s="4" t="inlineStr">
        <is>
          <t>The health packages provide comprehensive coverage, ensuring a cashless treatment experience for patients. The benefits include:</t>
        </is>
      </c>
      <c r="K3052" s="4" t="inlineStr">
        <is>
          <t>MS-M20</t>
        </is>
      </c>
      <c r="L3052" s="6" t="n">
        <v>46323</v>
      </c>
      <c r="M3052" s="4" t="inlineStr">
        <is>
          <t>Approved</t>
        </is>
      </c>
      <c r="N3052" s="4" t="inlineStr">
        <is>
          <t>paragraph</t>
        </is>
      </c>
    </row>
    <row r="3053" ht="40" customHeight="1">
      <c r="A3053" s="8" t="inlineStr">
        <is>
          <t>M20-P0013</t>
        </is>
      </c>
      <c r="B3053" s="8" t="inlineStr">
        <is>
          <t>M20</t>
        </is>
      </c>
      <c r="C3053" s="8" t="inlineStr">
        <is>
          <t>Mahatma Jyotirao Phule Jan Arogya Yojana</t>
        </is>
      </c>
      <c r="D3053" s="8" t="inlineStr">
        <is>
          <t>Benefits</t>
        </is>
      </c>
      <c r="E3053" s="8" t="inlineStr">
        <is>
          <t>Hospitalization Costs</t>
        </is>
      </c>
      <c r="F3053" s="8" t="inlineStr">
        <is>
          <t>en.schemeContent.benefits[11]</t>
        </is>
      </c>
      <c r="G3053" s="8" t="inlineStr">
        <is>
          <t>M20@20261028-dcae286f</t>
        </is>
      </c>
      <c r="H3053" s="8" t="n">
        <v>1</v>
      </c>
      <c r="I3053" s="8" t="n">
        <v>1</v>
      </c>
      <c r="J3053" s="8" t="inlineStr">
        <is>
          <t>Hospitalization Costs</t>
        </is>
      </c>
      <c r="K3053" s="8" t="inlineStr">
        <is>
          <t>MS-M20</t>
        </is>
      </c>
      <c r="L3053" s="9" t="n">
        <v>46323</v>
      </c>
      <c r="M3053" s="8" t="inlineStr">
        <is>
          <t>Approved</t>
        </is>
      </c>
      <c r="N3053" s="8" t="inlineStr">
        <is>
          <t>paragraph</t>
        </is>
      </c>
    </row>
    <row r="3054" ht="40" customHeight="1">
      <c r="A3054" s="4" t="inlineStr">
        <is>
          <t>M20-P0014</t>
        </is>
      </c>
      <c r="B3054" s="4" t="inlineStr">
        <is>
          <t>M20</t>
        </is>
      </c>
      <c r="C3054" s="4" t="inlineStr">
        <is>
          <t>Mahatma Jyotirao Phule Jan Arogya Yojana</t>
        </is>
      </c>
      <c r="D3054" s="4" t="inlineStr">
        <is>
          <t>Benefits</t>
        </is>
      </c>
      <c r="E3054" s="4" t="inlineStr">
        <is>
          <t>Hospitalization Costs</t>
        </is>
      </c>
      <c r="F3054" s="4" t="inlineStr">
        <is>
          <t>en.schemeContent.benefits[12].children[0]</t>
        </is>
      </c>
      <c r="G3054" s="4" t="inlineStr">
        <is>
          <t>M20@20261028-dcae286f</t>
        </is>
      </c>
      <c r="H3054" s="4" t="n">
        <v>1</v>
      </c>
      <c r="I3054" s="4" t="n">
        <v>1</v>
      </c>
      <c r="J3054" s="4" t="inlineStr">
        <is>
          <t>Bed charges in general wards.</t>
        </is>
      </c>
      <c r="K3054" s="4" t="inlineStr">
        <is>
          <t>MS-M20</t>
        </is>
      </c>
      <c r="L3054" s="6" t="n">
        <v>46323</v>
      </c>
      <c r="M3054" s="4" t="inlineStr">
        <is>
          <t>Approved</t>
        </is>
      </c>
      <c r="N3054" s="4" t="inlineStr">
        <is>
          <t>list_item</t>
        </is>
      </c>
    </row>
    <row r="3055" ht="40" customHeight="1">
      <c r="A3055" s="8" t="inlineStr">
        <is>
          <t>M20-P0015</t>
        </is>
      </c>
      <c r="B3055" s="8" t="inlineStr">
        <is>
          <t>M20</t>
        </is>
      </c>
      <c r="C3055" s="8" t="inlineStr">
        <is>
          <t>Mahatma Jyotirao Phule Jan Arogya Yojana</t>
        </is>
      </c>
      <c r="D3055" s="8" t="inlineStr">
        <is>
          <t>Benefits</t>
        </is>
      </c>
      <c r="E3055" s="8" t="inlineStr">
        <is>
          <t>Hospitalization Costs</t>
        </is>
      </c>
      <c r="F3055" s="8" t="inlineStr">
        <is>
          <t>en.schemeContent.benefits[12].children[1]</t>
        </is>
      </c>
      <c r="G3055" s="8" t="inlineStr">
        <is>
          <t>M20@20261028-dcae286f</t>
        </is>
      </c>
      <c r="H3055" s="8" t="n">
        <v>1</v>
      </c>
      <c r="I3055" s="8" t="n">
        <v>1</v>
      </c>
      <c r="J3055" s="8" t="inlineStr">
        <is>
          <t>Nursing and boarding charges.</t>
        </is>
      </c>
      <c r="K3055" s="8" t="inlineStr">
        <is>
          <t>MS-M20</t>
        </is>
      </c>
      <c r="L3055" s="9" t="n">
        <v>46323</v>
      </c>
      <c r="M3055" s="8" t="inlineStr">
        <is>
          <t>Approved</t>
        </is>
      </c>
      <c r="N3055" s="8" t="inlineStr">
        <is>
          <t>list_item</t>
        </is>
      </c>
    </row>
    <row r="3056" ht="40" customHeight="1">
      <c r="A3056" s="4" t="inlineStr">
        <is>
          <t>M20-P0016</t>
        </is>
      </c>
      <c r="B3056" s="4" t="inlineStr">
        <is>
          <t>M20</t>
        </is>
      </c>
      <c r="C3056" s="4" t="inlineStr">
        <is>
          <t>Mahatma Jyotirao Phule Jan Arogya Yojana</t>
        </is>
      </c>
      <c r="D3056" s="4" t="inlineStr">
        <is>
          <t>Benefits</t>
        </is>
      </c>
      <c r="E3056" s="4" t="inlineStr">
        <is>
          <t>Hospitalization Costs</t>
        </is>
      </c>
      <c r="F3056" s="4" t="inlineStr">
        <is>
          <t>en.schemeContent.benefits[12].children[2]</t>
        </is>
      </c>
      <c r="G3056" s="4" t="inlineStr">
        <is>
          <t>M20@20261028-dcae286f</t>
        </is>
      </c>
      <c r="H3056" s="4" t="n">
        <v>1</v>
      </c>
      <c r="I3056" s="4" t="n">
        <v>1</v>
      </c>
      <c r="J3056" s="4" t="inlineStr">
        <is>
          <t>Surgeons, anaesthetists, medical practitioners, and consultants' fees.</t>
        </is>
      </c>
      <c r="K3056" s="4" t="inlineStr">
        <is>
          <t>MS-M20</t>
        </is>
      </c>
      <c r="L3056" s="6" t="n">
        <v>46323</v>
      </c>
      <c r="M3056" s="4" t="inlineStr">
        <is>
          <t>Approved</t>
        </is>
      </c>
      <c r="N3056" s="4" t="inlineStr">
        <is>
          <t>list_item</t>
        </is>
      </c>
    </row>
    <row r="3057" ht="40" customHeight="1">
      <c r="A3057" s="8" t="inlineStr">
        <is>
          <t>M20-P0017</t>
        </is>
      </c>
      <c r="B3057" s="8" t="inlineStr">
        <is>
          <t>M20</t>
        </is>
      </c>
      <c r="C3057" s="8" t="inlineStr">
        <is>
          <t>Mahatma Jyotirao Phule Jan Arogya Yojana</t>
        </is>
      </c>
      <c r="D3057" s="8" t="inlineStr">
        <is>
          <t>Benefits</t>
        </is>
      </c>
      <c r="E3057" s="8" t="inlineStr">
        <is>
          <t>Medical Expenses</t>
        </is>
      </c>
      <c r="F3057" s="8" t="inlineStr">
        <is>
          <t>en.schemeContent.benefits[13]</t>
        </is>
      </c>
      <c r="G3057" s="8" t="inlineStr">
        <is>
          <t>M20@20261028-dcae286f</t>
        </is>
      </c>
      <c r="H3057" s="8" t="n">
        <v>1</v>
      </c>
      <c r="I3057" s="8" t="n">
        <v>1</v>
      </c>
      <c r="J3057" s="8" t="inlineStr">
        <is>
          <t>Medical Expenses</t>
        </is>
      </c>
      <c r="K3057" s="8" t="inlineStr">
        <is>
          <t>MS-M20</t>
        </is>
      </c>
      <c r="L3057" s="9" t="n">
        <v>46323</v>
      </c>
      <c r="M3057" s="8" t="inlineStr">
        <is>
          <t>Approved</t>
        </is>
      </c>
      <c r="N3057" s="8" t="inlineStr">
        <is>
          <t>paragraph</t>
        </is>
      </c>
    </row>
    <row r="3058" ht="40" customHeight="1">
      <c r="A3058" s="4" t="inlineStr">
        <is>
          <t>M20-P0018</t>
        </is>
      </c>
      <c r="B3058" s="4" t="inlineStr">
        <is>
          <t>M20</t>
        </is>
      </c>
      <c r="C3058" s="4" t="inlineStr">
        <is>
          <t>Mahatma Jyotirao Phule Jan Arogya Yojana</t>
        </is>
      </c>
      <c r="D3058" s="4" t="inlineStr">
        <is>
          <t>Benefits</t>
        </is>
      </c>
      <c r="E3058" s="4" t="inlineStr">
        <is>
          <t>Medical Expenses</t>
        </is>
      </c>
      <c r="F3058" s="4" t="inlineStr">
        <is>
          <t>en.schemeContent.benefits[14].children[0]</t>
        </is>
      </c>
      <c r="G3058" s="4" t="inlineStr">
        <is>
          <t>M20@20261028-dcae286f</t>
        </is>
      </c>
      <c r="H3058" s="4" t="n">
        <v>1</v>
      </c>
      <c r="I3058" s="4" t="n">
        <v>1</v>
      </c>
      <c r="J3058" s="4" t="inlineStr">
        <is>
          <t>Charges for oxygen, O.T., and ICU facilities.</t>
        </is>
      </c>
      <c r="K3058" s="4" t="inlineStr">
        <is>
          <t>MS-M20</t>
        </is>
      </c>
      <c r="L3058" s="6" t="n">
        <v>46323</v>
      </c>
      <c r="M3058" s="4" t="inlineStr">
        <is>
          <t>Approved</t>
        </is>
      </c>
      <c r="N3058" s="4" t="inlineStr">
        <is>
          <t>list_item</t>
        </is>
      </c>
    </row>
    <row r="3059" ht="40" customHeight="1">
      <c r="A3059" s="8" t="inlineStr">
        <is>
          <t>M20-P0019</t>
        </is>
      </c>
      <c r="B3059" s="8" t="inlineStr">
        <is>
          <t>M20</t>
        </is>
      </c>
      <c r="C3059" s="8" t="inlineStr">
        <is>
          <t>Mahatma Jyotirao Phule Jan Arogya Yojana</t>
        </is>
      </c>
      <c r="D3059" s="8" t="inlineStr">
        <is>
          <t>Benefits</t>
        </is>
      </c>
      <c r="E3059" s="8" t="inlineStr">
        <is>
          <t>Medical Expenses</t>
        </is>
      </c>
      <c r="F3059" s="8" t="inlineStr">
        <is>
          <t>en.schemeContent.benefits[14].children[1]</t>
        </is>
      </c>
      <c r="G3059" s="8" t="inlineStr">
        <is>
          <t>M20@20261028-dcae286f</t>
        </is>
      </c>
      <c r="H3059" s="8" t="n">
        <v>1</v>
      </c>
      <c r="I3059" s="8" t="n">
        <v>1</v>
      </c>
      <c r="J3059" s="8" t="inlineStr">
        <is>
          <t>Cost of surgical appliances, drugs, disposables, consumables, implants, and prosthetic devices.</t>
        </is>
      </c>
      <c r="K3059" s="8" t="inlineStr">
        <is>
          <t>MS-M20</t>
        </is>
      </c>
      <c r="L3059" s="9" t="n">
        <v>46323</v>
      </c>
      <c r="M3059" s="8" t="inlineStr">
        <is>
          <t>Approved</t>
        </is>
      </c>
      <c r="N3059" s="8" t="inlineStr">
        <is>
          <t>list_item</t>
        </is>
      </c>
    </row>
    <row r="3060" ht="40" customHeight="1">
      <c r="A3060" s="4" t="inlineStr">
        <is>
          <t>M20-P0020</t>
        </is>
      </c>
      <c r="B3060" s="4" t="inlineStr">
        <is>
          <t>M20</t>
        </is>
      </c>
      <c r="C3060" s="4" t="inlineStr">
        <is>
          <t>Mahatma Jyotirao Phule Jan Arogya Yojana</t>
        </is>
      </c>
      <c r="D3060" s="4" t="inlineStr">
        <is>
          <t>Benefits</t>
        </is>
      </c>
      <c r="E3060" s="4" t="inlineStr">
        <is>
          <t>Medical Expenses</t>
        </is>
      </c>
      <c r="F3060" s="4" t="inlineStr">
        <is>
          <t>en.schemeContent.benefits[14].children[2]</t>
        </is>
      </c>
      <c r="G3060" s="4" t="inlineStr">
        <is>
          <t>M20@20261028-dcae286f</t>
        </is>
      </c>
      <c r="H3060" s="4" t="n">
        <v>1</v>
      </c>
      <c r="I3060" s="4" t="n">
        <v>1</v>
      </c>
      <c r="J3060" s="4" t="inlineStr">
        <is>
          <t>Expenses for blood transfusion (as per State Government policy).</t>
        </is>
      </c>
      <c r="K3060" s="4" t="inlineStr">
        <is>
          <t>MS-M20</t>
        </is>
      </c>
      <c r="L3060" s="6" t="n">
        <v>46323</v>
      </c>
      <c r="M3060" s="4" t="inlineStr">
        <is>
          <t>Approved</t>
        </is>
      </c>
      <c r="N3060" s="4" t="inlineStr">
        <is>
          <t>list_item</t>
        </is>
      </c>
    </row>
    <row r="3061" ht="40" customHeight="1">
      <c r="A3061" s="8" t="inlineStr">
        <is>
          <t>M20-P0021</t>
        </is>
      </c>
      <c r="B3061" s="8" t="inlineStr">
        <is>
          <t>M20</t>
        </is>
      </c>
      <c r="C3061" s="8" t="inlineStr">
        <is>
          <t>Mahatma Jyotirao Phule Jan Arogya Yojana</t>
        </is>
      </c>
      <c r="D3061" s="8" t="inlineStr">
        <is>
          <t>Benefits</t>
        </is>
      </c>
      <c r="E3061" s="8" t="inlineStr">
        <is>
          <t>Diagnostics and Support Services</t>
        </is>
      </c>
      <c r="F3061" s="8" t="inlineStr">
        <is>
          <t>en.schemeContent.benefits[15]</t>
        </is>
      </c>
      <c r="G3061" s="8" t="inlineStr">
        <is>
          <t>M20@20261028-dcae286f</t>
        </is>
      </c>
      <c r="H3061" s="8" t="n">
        <v>1</v>
      </c>
      <c r="I3061" s="8" t="n">
        <v>1</v>
      </c>
      <c r="J3061" s="8" t="inlineStr">
        <is>
          <t>Diagnostics and Support Services</t>
        </is>
      </c>
      <c r="K3061" s="8" t="inlineStr">
        <is>
          <t>MS-M20</t>
        </is>
      </c>
      <c r="L3061" s="9" t="n">
        <v>46323</v>
      </c>
      <c r="M3061" s="8" t="inlineStr">
        <is>
          <t>Approved</t>
        </is>
      </c>
      <c r="N3061" s="8" t="inlineStr">
        <is>
          <t>paragraph</t>
        </is>
      </c>
    </row>
    <row r="3062" ht="40" customHeight="1">
      <c r="A3062" s="4" t="inlineStr">
        <is>
          <t>M20-P0022</t>
        </is>
      </c>
      <c r="B3062" s="4" t="inlineStr">
        <is>
          <t>M20</t>
        </is>
      </c>
      <c r="C3062" s="4" t="inlineStr">
        <is>
          <t>Mahatma Jyotirao Phule Jan Arogya Yojana</t>
        </is>
      </c>
      <c r="D3062" s="4" t="inlineStr">
        <is>
          <t>Benefits</t>
        </is>
      </c>
      <c r="E3062" s="4" t="inlineStr">
        <is>
          <t>Diagnostics and Support Services</t>
        </is>
      </c>
      <c r="F3062" s="4" t="inlineStr">
        <is>
          <t>en.schemeContent.benefits[16].children[0]</t>
        </is>
      </c>
      <c r="G3062" s="4" t="inlineStr">
        <is>
          <t>M20@20261028-dcae286f</t>
        </is>
      </c>
      <c r="H3062" s="4" t="n">
        <v>1</v>
      </c>
      <c r="I3062" s="4" t="n">
        <v>1</v>
      </c>
      <c r="J3062" s="4" t="inlineStr">
        <is>
          <t>X-rays and diagnostic tests.</t>
        </is>
      </c>
      <c r="K3062" s="4" t="inlineStr">
        <is>
          <t>MS-M20</t>
        </is>
      </c>
      <c r="L3062" s="6" t="n">
        <v>46323</v>
      </c>
      <c r="M3062" s="4" t="inlineStr">
        <is>
          <t>Approved</t>
        </is>
      </c>
      <c r="N3062" s="4" t="inlineStr">
        <is>
          <t>list_item</t>
        </is>
      </c>
    </row>
    <row r="3063" ht="40" customHeight="1">
      <c r="A3063" s="8" t="inlineStr">
        <is>
          <t>M20-P0023</t>
        </is>
      </c>
      <c r="B3063" s="8" t="inlineStr">
        <is>
          <t>M20</t>
        </is>
      </c>
      <c r="C3063" s="8" t="inlineStr">
        <is>
          <t>Mahatma Jyotirao Phule Jan Arogya Yojana</t>
        </is>
      </c>
      <c r="D3063" s="8" t="inlineStr">
        <is>
          <t>Benefits</t>
        </is>
      </c>
      <c r="E3063" s="8" t="inlineStr">
        <is>
          <t>Diagnostics and Support Services</t>
        </is>
      </c>
      <c r="F3063" s="8" t="inlineStr">
        <is>
          <t>en.schemeContent.benefits[16].children[1]</t>
        </is>
      </c>
      <c r="G3063" s="8" t="inlineStr">
        <is>
          <t>M20@20261028-dcae286f</t>
        </is>
      </c>
      <c r="H3063" s="8" t="n">
        <v>1</v>
      </c>
      <c r="I3063" s="8" t="n">
        <v>1</v>
      </c>
      <c r="J3063" s="8" t="inlineStr">
        <is>
          <t>Food for inpatients during hospitalization.</t>
        </is>
      </c>
      <c r="K3063" s="8" t="inlineStr">
        <is>
          <t>MS-M20</t>
        </is>
      </c>
      <c r="L3063" s="9" t="n">
        <v>46323</v>
      </c>
      <c r="M3063" s="8" t="inlineStr">
        <is>
          <t>Approved</t>
        </is>
      </c>
      <c r="N3063" s="8" t="inlineStr">
        <is>
          <t>list_item</t>
        </is>
      </c>
    </row>
    <row r="3064" ht="40" customHeight="1">
      <c r="A3064" s="4" t="inlineStr">
        <is>
          <t>M20-P0024</t>
        </is>
      </c>
      <c r="B3064" s="4" t="inlineStr">
        <is>
          <t>M20</t>
        </is>
      </c>
      <c r="C3064" s="4" t="inlineStr">
        <is>
          <t>Mahatma Jyotirao Phule Jan Arogya Yojana</t>
        </is>
      </c>
      <c r="D3064" s="4" t="inlineStr">
        <is>
          <t>Benefits</t>
        </is>
      </c>
      <c r="E3064" s="4" t="inlineStr">
        <is>
          <t>Transportation Costs</t>
        </is>
      </c>
      <c r="F3064" s="4" t="inlineStr">
        <is>
          <t>en.schemeContent.benefits[17]</t>
        </is>
      </c>
      <c r="G3064" s="4" t="inlineStr">
        <is>
          <t>M20@20261028-dcae286f</t>
        </is>
      </c>
      <c r="H3064" s="4" t="n">
        <v>1</v>
      </c>
      <c r="I3064" s="4" t="n">
        <v>1</v>
      </c>
      <c r="J3064" s="4" t="inlineStr">
        <is>
          <t>Transportation Costs</t>
        </is>
      </c>
      <c r="K3064" s="4" t="inlineStr">
        <is>
          <t>MS-M20</t>
        </is>
      </c>
      <c r="L3064" s="6" t="n">
        <v>46323</v>
      </c>
      <c r="M3064" s="4" t="inlineStr">
        <is>
          <t>Approved</t>
        </is>
      </c>
      <c r="N3064" s="4" t="inlineStr">
        <is>
          <t>paragraph</t>
        </is>
      </c>
    </row>
    <row r="3065" ht="40" customHeight="1">
      <c r="A3065" s="8" t="inlineStr">
        <is>
          <t>M20-P0025</t>
        </is>
      </c>
      <c r="B3065" s="8" t="inlineStr">
        <is>
          <t>M20</t>
        </is>
      </c>
      <c r="C3065" s="8" t="inlineStr">
        <is>
          <t>Mahatma Jyotirao Phule Jan Arogya Yojana</t>
        </is>
      </c>
      <c r="D3065" s="8" t="inlineStr">
        <is>
          <t>Benefits</t>
        </is>
      </c>
      <c r="E3065" s="8" t="inlineStr">
        <is>
          <t>Transportation Costs</t>
        </is>
      </c>
      <c r="F3065" s="8" t="inlineStr">
        <is>
          <t>en.schemeContent.benefits[18].children[0]</t>
        </is>
      </c>
      <c r="G3065" s="8" t="inlineStr">
        <is>
          <t>M20@20261028-dcae286f</t>
        </is>
      </c>
      <c r="H3065" s="8" t="n">
        <v>1</v>
      </c>
      <c r="I3065" s="8" t="n">
        <v>1</v>
      </c>
      <c r="J3065" s="8" t="inlineStr">
        <is>
          <t>One-time transport cost by State Transport or second-class rail fare from the hospital to the patient’s residence.</t>
        </is>
      </c>
      <c r="K3065" s="8" t="inlineStr">
        <is>
          <t>MS-M20</t>
        </is>
      </c>
      <c r="L3065" s="9" t="n">
        <v>46323</v>
      </c>
      <c r="M3065" s="8" t="inlineStr">
        <is>
          <t>Approved</t>
        </is>
      </c>
      <c r="N3065" s="8" t="inlineStr">
        <is>
          <t>list_item</t>
        </is>
      </c>
    </row>
    <row r="3066" ht="40" customHeight="1">
      <c r="A3066" s="4" t="inlineStr">
        <is>
          <t>M20-P0026</t>
        </is>
      </c>
      <c r="B3066" s="4" t="inlineStr">
        <is>
          <t>M20</t>
        </is>
      </c>
      <c r="C3066" s="4" t="inlineStr">
        <is>
          <t>Mahatma Jyotirao Phule Jan Arogya Yojana</t>
        </is>
      </c>
      <c r="D3066" s="4" t="inlineStr">
        <is>
          <t>Benefits</t>
        </is>
      </c>
      <c r="E3066" s="4" t="inlineStr">
        <is>
          <t>Transportation Costs</t>
        </is>
      </c>
      <c r="F3066" s="4" t="inlineStr">
        <is>
          <t>en.schemeContent.benefits[18].children[1]</t>
        </is>
      </c>
      <c r="G3066" s="4" t="inlineStr">
        <is>
          <t>M20@20261028-dcae286f</t>
        </is>
      </c>
      <c r="H3066" s="4" t="n">
        <v>1</v>
      </c>
      <c r="I3066" s="4" t="n">
        <v>1</v>
      </c>
      <c r="J3066" s="4" t="inlineStr">
        <is>
          <t>In the unfortunate event of a patient's death, the cost of transporting the deceased's body from the network hospital to their village or township.</t>
        </is>
      </c>
      <c r="K3066" s="4" t="inlineStr">
        <is>
          <t>MS-M20</t>
        </is>
      </c>
      <c r="L3066" s="6" t="n">
        <v>46323</v>
      </c>
      <c r="M3066" s="4" t="inlineStr">
        <is>
          <t>Approved</t>
        </is>
      </c>
      <c r="N3066" s="4" t="inlineStr">
        <is>
          <t>list_item</t>
        </is>
      </c>
    </row>
    <row r="3067" ht="40" customHeight="1">
      <c r="A3067" s="8" t="inlineStr">
        <is>
          <t>M20-P0027</t>
        </is>
      </c>
      <c r="B3067" s="8" t="inlineStr">
        <is>
          <t>M20</t>
        </is>
      </c>
      <c r="C3067" s="8" t="inlineStr">
        <is>
          <t>Mahatma Jyotirao Phule Jan Arogya Yojana</t>
        </is>
      </c>
      <c r="D3067" s="8" t="inlineStr">
        <is>
          <t>Benefits</t>
        </is>
      </c>
      <c r="E3067" s="8" t="inlineStr">
        <is>
          <t>Transportation Costs</t>
        </is>
      </c>
      <c r="F3067" s="8" t="inlineStr">
        <is>
          <t>en.schemeContent.benefits[18].children[2]</t>
        </is>
      </c>
      <c r="G3067" s="8" t="inlineStr">
        <is>
          <t>M20@20261028-dcae286f</t>
        </is>
      </c>
      <c r="H3067" s="8" t="n">
        <v>1</v>
      </c>
      <c r="I3067" s="8" t="n">
        <v>1</v>
      </c>
      <c r="J3067" s="8" t="inlineStr">
        <is>
          <t>The package covers all costs from the date of reporting to discharge, including treatment complications, ensuring a truly cashless experience for patients.</t>
        </is>
      </c>
      <c r="K3067" s="8" t="inlineStr">
        <is>
          <t>MS-M20</t>
        </is>
      </c>
      <c r="L3067" s="9" t="n">
        <v>46323</v>
      </c>
      <c r="M3067" s="8" t="inlineStr">
        <is>
          <t>Approved</t>
        </is>
      </c>
      <c r="N3067" s="8" t="inlineStr">
        <is>
          <t>list_item</t>
        </is>
      </c>
    </row>
    <row r="3068" ht="40" customHeight="1">
      <c r="A3068" s="4" t="inlineStr">
        <is>
          <t>M20-P0028</t>
        </is>
      </c>
      <c r="B3068" s="4" t="inlineStr">
        <is>
          <t>M20</t>
        </is>
      </c>
      <c r="C3068" s="4" t="inlineStr">
        <is>
          <t>Mahatma Jyotirao Phule Jan Arogya Yojana</t>
        </is>
      </c>
      <c r="D3068" s="4" t="inlineStr">
        <is>
          <t>Benefits</t>
        </is>
      </c>
      <c r="E3068" s="4" t="inlineStr">
        <is>
          <t>Scheme on Assurance Mode</t>
        </is>
      </c>
      <c r="F3068" s="4" t="inlineStr">
        <is>
          <t>en.schemeContent.benefits[20]</t>
        </is>
      </c>
      <c r="G3068" s="4" t="inlineStr">
        <is>
          <t>M20@20261028-dcae286f</t>
        </is>
      </c>
      <c r="H3068" s="4" t="n">
        <v>1</v>
      </c>
      <c r="I3068" s="4" t="n">
        <v>1</v>
      </c>
      <c r="J3068" s="4" t="inlineStr">
        <is>
          <t>Scheme on Assurance Mode</t>
        </is>
      </c>
      <c r="K3068" s="4" t="inlineStr">
        <is>
          <t>MS-M20</t>
        </is>
      </c>
      <c r="L3068" s="6" t="n">
        <v>46323</v>
      </c>
      <c r="M3068" s="4" t="inlineStr">
        <is>
          <t>Approved</t>
        </is>
      </c>
      <c r="N3068" s="4" t="inlineStr">
        <is>
          <t>paragraph</t>
        </is>
      </c>
    </row>
    <row r="3069" ht="96" customHeight="1">
      <c r="A3069" s="8" t="inlineStr">
        <is>
          <t>M20-P0029</t>
        </is>
      </c>
      <c r="B3069" s="8" t="inlineStr">
        <is>
          <t>M20</t>
        </is>
      </c>
      <c r="C3069" s="8" t="inlineStr">
        <is>
          <t>Mahatma Jyotirao Phule Jan Arogya Yojana</t>
        </is>
      </c>
      <c r="D3069" s="8" t="inlineStr">
        <is>
          <t>Benefits</t>
        </is>
      </c>
      <c r="E3069" s="8" t="inlineStr">
        <is>
          <t>Scheme on Assurance Mode</t>
        </is>
      </c>
      <c r="F3069" s="8" t="inlineStr">
        <is>
          <t>en.schemeContent.benefits[21]</t>
        </is>
      </c>
      <c r="G3069" s="8" t="inlineStr">
        <is>
          <t>M20@20261028-dcae286f</t>
        </is>
      </c>
      <c r="H3069" s="8" t="n">
        <v>1</v>
      </c>
      <c r="I3069" s="8" t="n">
        <v>1</v>
      </c>
      <c r="J3069" s="8" t="inlineStr">
        <is>
          <t>The Integrated Scheme is being implemented on an Assurance Basis. This means that the claims of the network hospitals for the expenses of the patients undergoing treatment under the scheme are being paid directly by the State Health Assurance Societies to the respective network hospitals. Accordingly, the State Health Assurance Society is paying claims up to ₹5 lakh per family per year of groups A, B, C and E and ₹1 lakh per person per year for road accident victims of group D.</t>
        </is>
      </c>
      <c r="K3069" s="8" t="inlineStr">
        <is>
          <t>MS-M20</t>
        </is>
      </c>
      <c r="L3069" s="9" t="n">
        <v>46323</v>
      </c>
      <c r="M3069" s="8" t="inlineStr">
        <is>
          <t>Approved</t>
        </is>
      </c>
      <c r="N3069" s="8" t="inlineStr">
        <is>
          <t>paragraph</t>
        </is>
      </c>
    </row>
    <row r="3070" ht="40" customHeight="1">
      <c r="A3070" s="4" t="inlineStr">
        <is>
          <t>M20-P0030</t>
        </is>
      </c>
      <c r="B3070" s="4" t="inlineStr">
        <is>
          <t>M20</t>
        </is>
      </c>
      <c r="C3070" s="4" t="inlineStr">
        <is>
          <t>Mahatma Jyotirao Phule Jan Arogya Yojana</t>
        </is>
      </c>
      <c r="D3070" s="4" t="inlineStr">
        <is>
          <t>Eligibility</t>
        </is>
      </c>
      <c r="E3070" s="4" t="inlineStr"/>
      <c r="F3070" s="4" t="inlineStr">
        <is>
          <t>en.eligibilityCriteria.eligibilityDescription[0]</t>
        </is>
      </c>
      <c r="G3070" s="4" t="inlineStr">
        <is>
          <t>M20@20261028-dcae286f</t>
        </is>
      </c>
      <c r="H3070" s="4" t="n">
        <v>1</v>
      </c>
      <c r="I3070" s="4" t="n">
        <v>1</v>
      </c>
      <c r="J3070" s="4" t="inlineStr">
        <is>
          <t>Category A: Families holding Yellow, Antyodaya Anna Yojana (AAY), Annapurna Yojna and Orange Ration Card.</t>
        </is>
      </c>
      <c r="K3070" s="4" t="inlineStr">
        <is>
          <t>MS-M20</t>
        </is>
      </c>
      <c r="L3070" s="6" t="n">
        <v>46323</v>
      </c>
      <c r="M3070" s="4" t="inlineStr">
        <is>
          <t>Approved</t>
        </is>
      </c>
      <c r="N3070" s="4" t="inlineStr">
        <is>
          <t>paragraph</t>
        </is>
      </c>
    </row>
    <row r="3071" ht="40" customHeight="1">
      <c r="A3071" s="8" t="inlineStr">
        <is>
          <t>M20-P0031</t>
        </is>
      </c>
      <c r="B3071" s="8" t="inlineStr">
        <is>
          <t>M20</t>
        </is>
      </c>
      <c r="C3071" s="8" t="inlineStr">
        <is>
          <t>Mahatma Jyotirao Phule Jan Arogya Yojana</t>
        </is>
      </c>
      <c r="D3071" s="8" t="inlineStr">
        <is>
          <t>Eligibility</t>
        </is>
      </c>
      <c r="E3071" s="8" t="inlineStr">
        <is>
          <t>Category B</t>
        </is>
      </c>
      <c r="F3071" s="8" t="inlineStr">
        <is>
          <t>en.eligibilityCriteria.eligibilityDescription[1]</t>
        </is>
      </c>
      <c r="G3071" s="8" t="inlineStr">
        <is>
          <t>M20@20261028-dcae286f</t>
        </is>
      </c>
      <c r="H3071" s="8" t="n">
        <v>1</v>
      </c>
      <c r="I3071" s="8" t="n">
        <v>1</v>
      </c>
      <c r="J3071" s="8" t="inlineStr">
        <is>
          <t>Category B</t>
        </is>
      </c>
      <c r="K3071" s="8" t="inlineStr">
        <is>
          <t>MS-M20</t>
        </is>
      </c>
      <c r="L3071" s="9" t="n">
        <v>46323</v>
      </c>
      <c r="M3071" s="8" t="inlineStr">
        <is>
          <t>Approved</t>
        </is>
      </c>
      <c r="N3071" s="8" t="inlineStr">
        <is>
          <t>paragraph</t>
        </is>
      </c>
    </row>
    <row r="3072" ht="40" customHeight="1">
      <c r="A3072" s="4" t="inlineStr">
        <is>
          <t>M20-P0032</t>
        </is>
      </c>
      <c r="B3072" s="4" t="inlineStr">
        <is>
          <t>M20</t>
        </is>
      </c>
      <c r="C3072" s="4" t="inlineStr">
        <is>
          <t>Mahatma Jyotirao Phule Jan Arogya Yojana</t>
        </is>
      </c>
      <c r="D3072" s="4" t="inlineStr">
        <is>
          <t>Eligibility</t>
        </is>
      </c>
      <c r="E3072" s="4" t="inlineStr">
        <is>
          <t>Category B</t>
        </is>
      </c>
      <c r="F3072" s="4" t="inlineStr">
        <is>
          <t>en.eligibilityCriteria.eligibilityDescription[2]</t>
        </is>
      </c>
      <c r="G3072" s="4" t="inlineStr">
        <is>
          <t>M20@20261028-dcae286f</t>
        </is>
      </c>
      <c r="H3072" s="4" t="n">
        <v>1</v>
      </c>
      <c r="I3072" s="4" t="n">
        <v>1</v>
      </c>
      <c r="J3072" s="4" t="inlineStr">
        <is>
          <t>• White ration card holder families (including Govt./Semi Gov employees).</t>
        </is>
      </c>
      <c r="K3072" s="4" t="inlineStr">
        <is>
          <t>MS-M20</t>
        </is>
      </c>
      <c r="L3072" s="6" t="n">
        <v>46323</v>
      </c>
      <c r="M3072" s="4" t="inlineStr">
        <is>
          <t>Approved</t>
        </is>
      </c>
      <c r="N3072" s="4" t="inlineStr">
        <is>
          <t>paragraph</t>
        </is>
      </c>
    </row>
    <row r="3073" ht="40" customHeight="1">
      <c r="A3073" s="8" t="inlineStr">
        <is>
          <t>M20-P0033</t>
        </is>
      </c>
      <c r="B3073" s="8" t="inlineStr">
        <is>
          <t>M20</t>
        </is>
      </c>
      <c r="C3073" s="8" t="inlineStr">
        <is>
          <t>Mahatma Jyotirao Phule Jan Arogya Yojana</t>
        </is>
      </c>
      <c r="D3073" s="8" t="inlineStr">
        <is>
          <t>Eligibility</t>
        </is>
      </c>
      <c r="E3073" s="8" t="inlineStr">
        <is>
          <t>Category B</t>
        </is>
      </c>
      <c r="F3073" s="8" t="inlineStr">
        <is>
          <t>en.eligibilityCriteria.eligibilityDescription[3]</t>
        </is>
      </c>
      <c r="G3073" s="8" t="inlineStr">
        <is>
          <t>M20@20261028-dcae286f</t>
        </is>
      </c>
      <c r="H3073" s="8" t="n">
        <v>1</v>
      </c>
      <c r="I3073" s="8" t="n">
        <v>1</v>
      </c>
      <c r="J3073" s="8" t="inlineStr">
        <is>
          <t>• A family without having any kind of ration card but having domicile certificate of Maharashtra</t>
        </is>
      </c>
      <c r="K3073" s="8" t="inlineStr">
        <is>
          <t>MS-M20</t>
        </is>
      </c>
      <c r="L3073" s="9" t="n">
        <v>46323</v>
      </c>
      <c r="M3073" s="8" t="inlineStr">
        <is>
          <t>Approved</t>
        </is>
      </c>
      <c r="N3073" s="8" t="inlineStr">
        <is>
          <t>paragraph</t>
        </is>
      </c>
    </row>
    <row r="3074" ht="40" customHeight="1">
      <c r="A3074" s="4" t="inlineStr">
        <is>
          <t>M20-P0034</t>
        </is>
      </c>
      <c r="B3074" s="4" t="inlineStr">
        <is>
          <t>M20</t>
        </is>
      </c>
      <c r="C3074" s="4" t="inlineStr">
        <is>
          <t>Mahatma Jyotirao Phule Jan Arogya Yojana</t>
        </is>
      </c>
      <c r="D3074" s="4" t="inlineStr">
        <is>
          <t>Eligibility</t>
        </is>
      </c>
      <c r="E3074" s="4" t="inlineStr">
        <is>
          <t>Category C</t>
        </is>
      </c>
      <c r="F3074" s="4" t="inlineStr">
        <is>
          <t>en.eligibilityCriteria.eligibilityDescription[4]</t>
        </is>
      </c>
      <c r="G3074" s="4" t="inlineStr">
        <is>
          <t>M20@20261028-dcae286f</t>
        </is>
      </c>
      <c r="H3074" s="4" t="n">
        <v>1</v>
      </c>
      <c r="I3074" s="4" t="n">
        <v>1</v>
      </c>
      <c r="J3074" s="4" t="inlineStr">
        <is>
          <t>Category C</t>
        </is>
      </c>
      <c r="K3074" s="4" t="inlineStr">
        <is>
          <t>MS-M20</t>
        </is>
      </c>
      <c r="L3074" s="6" t="n">
        <v>46323</v>
      </c>
      <c r="M3074" s="4" t="inlineStr">
        <is>
          <t>Approved</t>
        </is>
      </c>
      <c r="N3074" s="4" t="inlineStr">
        <is>
          <t>paragraph</t>
        </is>
      </c>
    </row>
    <row r="3075" ht="40" customHeight="1">
      <c r="A3075" s="8" t="inlineStr">
        <is>
          <t>M20-P0035</t>
        </is>
      </c>
      <c r="B3075" s="8" t="inlineStr">
        <is>
          <t>M20</t>
        </is>
      </c>
      <c r="C3075" s="8" t="inlineStr">
        <is>
          <t>Mahatma Jyotirao Phule Jan Arogya Yojana</t>
        </is>
      </c>
      <c r="D3075" s="8" t="inlineStr">
        <is>
          <t>Eligibility</t>
        </is>
      </c>
      <c r="E3075" s="8" t="inlineStr">
        <is>
          <t>Category C</t>
        </is>
      </c>
      <c r="F3075" s="8" t="inlineStr">
        <is>
          <t>en.eligibilityCriteria.eligibilityDescription[5]</t>
        </is>
      </c>
      <c r="G3075" s="8" t="inlineStr">
        <is>
          <t>M20@20261028-dcae286f</t>
        </is>
      </c>
      <c r="H3075" s="8" t="n">
        <v>1</v>
      </c>
      <c r="I3075" s="8" t="n">
        <v>1</v>
      </c>
      <c r="J3075" s="8" t="inlineStr">
        <is>
          <t>• Students in Govt. and Govt. recognized Ashram School</t>
        </is>
      </c>
      <c r="K3075" s="8" t="inlineStr">
        <is>
          <t>MS-M20</t>
        </is>
      </c>
      <c r="L3075" s="9" t="n">
        <v>46323</v>
      </c>
      <c r="M3075" s="8" t="inlineStr">
        <is>
          <t>Approved</t>
        </is>
      </c>
      <c r="N3075" s="8" t="inlineStr">
        <is>
          <t>paragraph</t>
        </is>
      </c>
    </row>
    <row r="3076" ht="40" customHeight="1">
      <c r="A3076" s="4" t="inlineStr">
        <is>
          <t>M20-P0036</t>
        </is>
      </c>
      <c r="B3076" s="4" t="inlineStr">
        <is>
          <t>M20</t>
        </is>
      </c>
      <c r="C3076" s="4" t="inlineStr">
        <is>
          <t>Mahatma Jyotirao Phule Jan Arogya Yojana</t>
        </is>
      </c>
      <c r="D3076" s="4" t="inlineStr">
        <is>
          <t>Eligibility</t>
        </is>
      </c>
      <c r="E3076" s="4" t="inlineStr">
        <is>
          <t>Category C</t>
        </is>
      </c>
      <c r="F3076" s="4" t="inlineStr">
        <is>
          <t>en.eligibilityCriteria.eligibilityDescription[6]</t>
        </is>
      </c>
      <c r="G3076" s="4" t="inlineStr">
        <is>
          <t>M20@20261028-dcae286f</t>
        </is>
      </c>
      <c r="H3076" s="4" t="n">
        <v>1</v>
      </c>
      <c r="I3076" s="4" t="n">
        <v>1</v>
      </c>
      <c r="J3076" s="4" t="inlineStr">
        <is>
          <t>• Children in Govt. and Govt. recognized Orphanages</t>
        </is>
      </c>
      <c r="K3076" s="4" t="inlineStr">
        <is>
          <t>MS-M20</t>
        </is>
      </c>
      <c r="L3076" s="6" t="n">
        <v>46323</v>
      </c>
      <c r="M3076" s="4" t="inlineStr">
        <is>
          <t>Approved</t>
        </is>
      </c>
      <c r="N3076" s="4" t="inlineStr">
        <is>
          <t>paragraph</t>
        </is>
      </c>
    </row>
    <row r="3077" ht="40" customHeight="1">
      <c r="A3077" s="8" t="inlineStr">
        <is>
          <t>M20-P0037</t>
        </is>
      </c>
      <c r="B3077" s="8" t="inlineStr">
        <is>
          <t>M20</t>
        </is>
      </c>
      <c r="C3077" s="8" t="inlineStr">
        <is>
          <t>Mahatma Jyotirao Phule Jan Arogya Yojana</t>
        </is>
      </c>
      <c r="D3077" s="8" t="inlineStr">
        <is>
          <t>Eligibility</t>
        </is>
      </c>
      <c r="E3077" s="8" t="inlineStr">
        <is>
          <t>Category C</t>
        </is>
      </c>
      <c r="F3077" s="8" t="inlineStr">
        <is>
          <t>en.eligibilityCriteria.eligibilityDescription[7]</t>
        </is>
      </c>
      <c r="G3077" s="8" t="inlineStr">
        <is>
          <t>M20@20261028-dcae286f</t>
        </is>
      </c>
      <c r="H3077" s="8" t="n">
        <v>1</v>
      </c>
      <c r="I3077" s="8" t="n">
        <v>1</v>
      </c>
      <c r="J3077" s="8" t="inlineStr">
        <is>
          <t>• Women in Govt. and Govt. recognized Women's Ashram</t>
        </is>
      </c>
      <c r="K3077" s="8" t="inlineStr">
        <is>
          <t>MS-M20</t>
        </is>
      </c>
      <c r="L3077" s="9" t="n">
        <v>46323</v>
      </c>
      <c r="M3077" s="8" t="inlineStr">
        <is>
          <t>Approved</t>
        </is>
      </c>
      <c r="N3077" s="8" t="inlineStr">
        <is>
          <t>paragraph</t>
        </is>
      </c>
    </row>
    <row r="3078" ht="40" customHeight="1">
      <c r="A3078" s="4" t="inlineStr">
        <is>
          <t>M20-P0038</t>
        </is>
      </c>
      <c r="B3078" s="4" t="inlineStr">
        <is>
          <t>M20</t>
        </is>
      </c>
      <c r="C3078" s="4" t="inlineStr">
        <is>
          <t>Mahatma Jyotirao Phule Jan Arogya Yojana</t>
        </is>
      </c>
      <c r="D3078" s="4" t="inlineStr">
        <is>
          <t>Eligibility</t>
        </is>
      </c>
      <c r="E3078" s="4" t="inlineStr">
        <is>
          <t>Category C</t>
        </is>
      </c>
      <c r="F3078" s="4" t="inlineStr">
        <is>
          <t>en.eligibilityCriteria.eligibilityDescription[8]</t>
        </is>
      </c>
      <c r="G3078" s="4" t="inlineStr">
        <is>
          <t>M20@20261028-dcae286f</t>
        </is>
      </c>
      <c r="H3078" s="4" t="n">
        <v>1</v>
      </c>
      <c r="I3078" s="4" t="n">
        <v>1</v>
      </c>
      <c r="J3078" s="4" t="inlineStr">
        <is>
          <t>• Sr. citizens in Govt. and Govt. recognized old age homes</t>
        </is>
      </c>
      <c r="K3078" s="4" t="inlineStr">
        <is>
          <t>MS-M20</t>
        </is>
      </c>
      <c r="L3078" s="6" t="n">
        <v>46323</v>
      </c>
      <c r="M3078" s="4" t="inlineStr">
        <is>
          <t>Approved</t>
        </is>
      </c>
      <c r="N3078" s="4" t="inlineStr">
        <is>
          <t>paragraph</t>
        </is>
      </c>
    </row>
    <row r="3079" ht="40" customHeight="1">
      <c r="A3079" s="8" t="inlineStr">
        <is>
          <t>M20-P0039</t>
        </is>
      </c>
      <c r="B3079" s="8" t="inlineStr">
        <is>
          <t>M20</t>
        </is>
      </c>
      <c r="C3079" s="8" t="inlineStr">
        <is>
          <t>Mahatma Jyotirao Phule Jan Arogya Yojana</t>
        </is>
      </c>
      <c r="D3079" s="8" t="inlineStr">
        <is>
          <t>Eligibility</t>
        </is>
      </c>
      <c r="E3079" s="8" t="inlineStr">
        <is>
          <t>Category C</t>
        </is>
      </c>
      <c r="F3079" s="8" t="inlineStr">
        <is>
          <t>en.eligibilityCriteria.eligibilityDescription[9]</t>
        </is>
      </c>
      <c r="G3079" s="8" t="inlineStr">
        <is>
          <t>M20@20261028-dcae286f</t>
        </is>
      </c>
      <c r="H3079" s="8" t="n">
        <v>1</v>
      </c>
      <c r="I3079" s="8" t="n">
        <v>1</v>
      </c>
      <c r="J3079" s="8" t="inlineStr">
        <is>
          <t>• Journalists and their dependent family members as per criteria of Directorate General of Information and Public Relations Office.</t>
        </is>
      </c>
      <c r="K3079" s="8" t="inlineStr">
        <is>
          <t>MS-M20</t>
        </is>
      </c>
      <c r="L3079" s="9" t="n">
        <v>46323</v>
      </c>
      <c r="M3079" s="8" t="inlineStr">
        <is>
          <t>Approved</t>
        </is>
      </c>
      <c r="N3079" s="8" t="inlineStr">
        <is>
          <t>paragraph</t>
        </is>
      </c>
    </row>
    <row r="3080" ht="40" customHeight="1">
      <c r="A3080" s="4" t="inlineStr">
        <is>
          <t>M20-P0040</t>
        </is>
      </c>
      <c r="B3080" s="4" t="inlineStr">
        <is>
          <t>M20</t>
        </is>
      </c>
      <c r="C3080" s="4" t="inlineStr">
        <is>
          <t>Mahatma Jyotirao Phule Jan Arogya Yojana</t>
        </is>
      </c>
      <c r="D3080" s="4" t="inlineStr">
        <is>
          <t>Eligibility</t>
        </is>
      </c>
      <c r="E3080" s="4" t="inlineStr">
        <is>
          <t>Category C</t>
        </is>
      </c>
      <c r="F3080" s="4" t="inlineStr">
        <is>
          <t>en.eligibilityCriteria.eligibilityDescription[10]</t>
        </is>
      </c>
      <c r="G3080" s="4" t="inlineStr">
        <is>
          <t>M20@20261028-dcae286f</t>
        </is>
      </c>
      <c r="H3080" s="4" t="n">
        <v>1</v>
      </c>
      <c r="I3080" s="4" t="n">
        <v>1</v>
      </c>
      <c r="J3080" s="4" t="inlineStr">
        <is>
          <t>• Construction workers and their families (who are resident of outside of Maharashtra) registered with Maharashtra Building and Other Construction Workers Board.</t>
        </is>
      </c>
      <c r="K3080" s="4" t="inlineStr">
        <is>
          <t>MS-M20</t>
        </is>
      </c>
      <c r="L3080" s="6" t="n">
        <v>46323</v>
      </c>
      <c r="M3080" s="4" t="inlineStr">
        <is>
          <t>Approved</t>
        </is>
      </c>
      <c r="N3080" s="4" t="inlineStr">
        <is>
          <t>paragraph</t>
        </is>
      </c>
    </row>
    <row r="3081" ht="40" customHeight="1">
      <c r="A3081" s="8" t="inlineStr">
        <is>
          <t>M20-P0041</t>
        </is>
      </c>
      <c r="B3081" s="8" t="inlineStr">
        <is>
          <t>M20</t>
        </is>
      </c>
      <c r="C3081" s="8" t="inlineStr">
        <is>
          <t>Mahatma Jyotirao Phule Jan Arogya Yojana</t>
        </is>
      </c>
      <c r="D3081" s="8" t="inlineStr">
        <is>
          <t>Eligibility</t>
        </is>
      </c>
      <c r="E3081" s="8" t="inlineStr">
        <is>
          <t>Category D</t>
        </is>
      </c>
      <c r="F3081" s="8" t="inlineStr">
        <is>
          <t>en.eligibilityCriteria.eligibilityDescription[11]</t>
        </is>
      </c>
      <c r="G3081" s="8" t="inlineStr">
        <is>
          <t>M20@20261028-dcae286f</t>
        </is>
      </c>
      <c r="H3081" s="8" t="n">
        <v>1</v>
      </c>
      <c r="I3081" s="8" t="n">
        <v>1</v>
      </c>
      <c r="J3081" s="8" t="inlineStr">
        <is>
          <t>Category D</t>
        </is>
      </c>
      <c r="K3081" s="8" t="inlineStr">
        <is>
          <t>MS-M20</t>
        </is>
      </c>
      <c r="L3081" s="9" t="n">
        <v>46323</v>
      </c>
      <c r="M3081" s="8" t="inlineStr">
        <is>
          <t>Approved</t>
        </is>
      </c>
      <c r="N3081" s="8" t="inlineStr">
        <is>
          <t>paragraph</t>
        </is>
      </c>
    </row>
    <row r="3082" ht="40" customHeight="1">
      <c r="A3082" s="4" t="inlineStr">
        <is>
          <t>M20-P0042</t>
        </is>
      </c>
      <c r="B3082" s="4" t="inlineStr">
        <is>
          <t>M20</t>
        </is>
      </c>
      <c r="C3082" s="4" t="inlineStr">
        <is>
          <t>Mahatma Jyotirao Phule Jan Arogya Yojana</t>
        </is>
      </c>
      <c r="D3082" s="4" t="inlineStr">
        <is>
          <t>Eligibility</t>
        </is>
      </c>
      <c r="E3082" s="4" t="inlineStr">
        <is>
          <t>Category D</t>
        </is>
      </c>
      <c r="F3082" s="4" t="inlineStr">
        <is>
          <t>en.eligibilityCriteria.eligibilityDescription[12].children[0]</t>
        </is>
      </c>
      <c r="G3082" s="4" t="inlineStr">
        <is>
          <t>M20@20261028-dcae286f</t>
        </is>
      </c>
      <c r="H3082" s="4" t="n">
        <v>1</v>
      </c>
      <c r="I3082" s="4" t="n">
        <v>1</v>
      </c>
      <c r="J3082" s="4" t="inlineStr">
        <is>
          <t>Road traffic accident victims from outside Maharashtra and outside India who met with an accident on roads in Maharashtra</t>
        </is>
      </c>
      <c r="K3082" s="4" t="inlineStr">
        <is>
          <t>MS-M20</t>
        </is>
      </c>
      <c r="L3082" s="6" t="n">
        <v>46323</v>
      </c>
      <c r="M3082" s="4" t="inlineStr">
        <is>
          <t>Approved</t>
        </is>
      </c>
      <c r="N3082" s="4" t="inlineStr">
        <is>
          <t>list_item</t>
        </is>
      </c>
    </row>
    <row r="3083" ht="40" customHeight="1">
      <c r="A3083" s="8" t="inlineStr">
        <is>
          <t>M20-P0043</t>
        </is>
      </c>
      <c r="B3083" s="8" t="inlineStr">
        <is>
          <t>M20</t>
        </is>
      </c>
      <c r="C3083" s="8" t="inlineStr">
        <is>
          <t>Mahatma Jyotirao Phule Jan Arogya Yojana</t>
        </is>
      </c>
      <c r="D3083" s="8" t="inlineStr">
        <is>
          <t>Eligibility</t>
        </is>
      </c>
      <c r="E3083" s="8" t="inlineStr">
        <is>
          <t>Category E</t>
        </is>
      </c>
      <c r="F3083" s="8" t="inlineStr">
        <is>
          <t>en.eligibilityCriteria.eligibilityDescription[13]</t>
        </is>
      </c>
      <c r="G3083" s="8" t="inlineStr">
        <is>
          <t>M20@20261028-dcae286f</t>
        </is>
      </c>
      <c r="H3083" s="8" t="n">
        <v>1</v>
      </c>
      <c r="I3083" s="8" t="n">
        <v>1</v>
      </c>
      <c r="J3083" s="8" t="inlineStr">
        <is>
          <t>Category E</t>
        </is>
      </c>
      <c r="K3083" s="8" t="inlineStr">
        <is>
          <t>MS-M20</t>
        </is>
      </c>
      <c r="L3083" s="9" t="n">
        <v>46323</v>
      </c>
      <c r="M3083" s="8" t="inlineStr">
        <is>
          <t>Approved</t>
        </is>
      </c>
      <c r="N3083" s="8" t="inlineStr">
        <is>
          <t>paragraph</t>
        </is>
      </c>
    </row>
    <row r="3084" ht="40" customHeight="1">
      <c r="A3084" s="4" t="inlineStr">
        <is>
          <t>M20-P0044</t>
        </is>
      </c>
      <c r="B3084" s="4" t="inlineStr">
        <is>
          <t>M20</t>
        </is>
      </c>
      <c r="C3084" s="4" t="inlineStr">
        <is>
          <t>Mahatma Jyotirao Phule Jan Arogya Yojana</t>
        </is>
      </c>
      <c r="D3084" s="4" t="inlineStr">
        <is>
          <t>Eligibility</t>
        </is>
      </c>
      <c r="E3084" s="4" t="inlineStr">
        <is>
          <t>Category E</t>
        </is>
      </c>
      <c r="F3084" s="4" t="inlineStr">
        <is>
          <t>en.eligibilityCriteria.eligibilityDescription[14]</t>
        </is>
      </c>
      <c r="G3084" s="4" t="inlineStr">
        <is>
          <t>M20@20261028-dcae286f</t>
        </is>
      </c>
      <c r="H3084" s="4" t="n">
        <v>1</v>
      </c>
      <c r="I3084" s="4" t="n">
        <v>1</v>
      </c>
      <c r="J3084" s="4" t="inlineStr">
        <is>
          <t>Families holding below mentioned ration cards from 865 villages of Belgaon, Karwar, Kalburgi and Bidar Districts of Maharashtra- Karnataka border</t>
        </is>
      </c>
      <c r="K3084" s="4" t="inlineStr">
        <is>
          <t>MS-M20</t>
        </is>
      </c>
      <c r="L3084" s="6" t="n">
        <v>46323</v>
      </c>
      <c r="M3084" s="4" t="inlineStr">
        <is>
          <t>Approved</t>
        </is>
      </c>
      <c r="N3084" s="4" t="inlineStr">
        <is>
          <t>paragraph</t>
        </is>
      </c>
    </row>
    <row r="3085" ht="40" customHeight="1">
      <c r="A3085" s="8" t="inlineStr">
        <is>
          <t>M20-P0045</t>
        </is>
      </c>
      <c r="B3085" s="8" t="inlineStr">
        <is>
          <t>M20</t>
        </is>
      </c>
      <c r="C3085" s="8" t="inlineStr">
        <is>
          <t>Mahatma Jyotirao Phule Jan Arogya Yojana</t>
        </is>
      </c>
      <c r="D3085" s="8" t="inlineStr">
        <is>
          <t>Eligibility</t>
        </is>
      </c>
      <c r="E3085" s="8" t="inlineStr">
        <is>
          <t>Category E</t>
        </is>
      </c>
      <c r="F3085" s="8" t="inlineStr">
        <is>
          <t>en.eligibilityCriteria.eligibilityDescription[15]</t>
        </is>
      </c>
      <c r="G3085" s="8" t="inlineStr">
        <is>
          <t>M20@20261028-dcae286f</t>
        </is>
      </c>
      <c r="H3085" s="8" t="n">
        <v>1</v>
      </c>
      <c r="I3085" s="8" t="n">
        <v>1</v>
      </c>
      <c r="J3085" s="8" t="inlineStr">
        <is>
          <t>1) Antyodaya Anna Yojana (AAY)</t>
        </is>
      </c>
      <c r="K3085" s="8" t="inlineStr">
        <is>
          <t>MS-M20</t>
        </is>
      </c>
      <c r="L3085" s="9" t="n">
        <v>46323</v>
      </c>
      <c r="M3085" s="8" t="inlineStr">
        <is>
          <t>Approved</t>
        </is>
      </c>
      <c r="N3085" s="8" t="inlineStr">
        <is>
          <t>paragraph</t>
        </is>
      </c>
    </row>
    <row r="3086" ht="40" customHeight="1">
      <c r="A3086" s="4" t="inlineStr">
        <is>
          <t>M20-P0046</t>
        </is>
      </c>
      <c r="B3086" s="4" t="inlineStr">
        <is>
          <t>M20</t>
        </is>
      </c>
      <c r="C3086" s="4" t="inlineStr">
        <is>
          <t>Mahatma Jyotirao Phule Jan Arogya Yojana</t>
        </is>
      </c>
      <c r="D3086" s="4" t="inlineStr">
        <is>
          <t>Eligibility</t>
        </is>
      </c>
      <c r="E3086" s="4" t="inlineStr">
        <is>
          <t>Category E</t>
        </is>
      </c>
      <c r="F3086" s="4" t="inlineStr">
        <is>
          <t>en.eligibilityCriteria.eligibilityDescription[16]</t>
        </is>
      </c>
      <c r="G3086" s="4" t="inlineStr">
        <is>
          <t>M20@20261028-dcae286f</t>
        </is>
      </c>
      <c r="H3086" s="4" t="n">
        <v>1</v>
      </c>
      <c r="I3086" s="4" t="n">
        <v>1</v>
      </c>
      <c r="J3086" s="4" t="inlineStr">
        <is>
          <t>2) Priority House Holder (PHH)</t>
        </is>
      </c>
      <c r="K3086" s="4" t="inlineStr">
        <is>
          <t>MS-M20</t>
        </is>
      </c>
      <c r="L3086" s="6" t="n">
        <v>46323</v>
      </c>
      <c r="M3086" s="4" t="inlineStr">
        <is>
          <t>Approved</t>
        </is>
      </c>
      <c r="N3086" s="4" t="inlineStr">
        <is>
          <t>paragraph</t>
        </is>
      </c>
    </row>
    <row r="3087" ht="40" customHeight="1">
      <c r="A3087" s="8" t="inlineStr">
        <is>
          <t>M20-P0047</t>
        </is>
      </c>
      <c r="B3087" s="8" t="inlineStr">
        <is>
          <t>M20</t>
        </is>
      </c>
      <c r="C3087" s="8" t="inlineStr">
        <is>
          <t>Mahatma Jyotirao Phule Jan Arogya Yojana</t>
        </is>
      </c>
      <c r="D3087" s="8" t="inlineStr">
        <is>
          <t>Eligibility</t>
        </is>
      </c>
      <c r="E3087" s="8" t="inlineStr">
        <is>
          <t>Category E</t>
        </is>
      </c>
      <c r="F3087" s="8" t="inlineStr">
        <is>
          <t>en.eligibilityCriteria.eligibilityDescription[17]</t>
        </is>
      </c>
      <c r="G3087" s="8" t="inlineStr">
        <is>
          <t>M20@20261028-dcae286f</t>
        </is>
      </c>
      <c r="H3087" s="8" t="n">
        <v>1</v>
      </c>
      <c r="I3087" s="8" t="n">
        <v>1</v>
      </c>
      <c r="J3087" s="8" t="inlineStr">
        <is>
          <t>3) Annapurna Yojna</t>
        </is>
      </c>
      <c r="K3087" s="8" t="inlineStr">
        <is>
          <t>MS-M20</t>
        </is>
      </c>
      <c r="L3087" s="9" t="n">
        <v>46323</v>
      </c>
      <c r="M3087" s="8" t="inlineStr">
        <is>
          <t>Approved</t>
        </is>
      </c>
      <c r="N3087" s="8" t="inlineStr">
        <is>
          <t>paragraph</t>
        </is>
      </c>
    </row>
    <row r="3088" ht="40" customHeight="1">
      <c r="A3088" s="4" t="inlineStr">
        <is>
          <t>M20-P0048</t>
        </is>
      </c>
      <c r="B3088" s="4" t="inlineStr">
        <is>
          <t>M20</t>
        </is>
      </c>
      <c r="C3088" s="4" t="inlineStr">
        <is>
          <t>Mahatma Jyotirao Phule Jan Arogya Yojana</t>
        </is>
      </c>
      <c r="D3088" s="4" t="inlineStr">
        <is>
          <t>Applicant documents</t>
        </is>
      </c>
      <c r="E3088" s="4" t="inlineStr">
        <is>
          <t>List of valid photo ID proofs to be accepted along with document of eligible criteria:</t>
        </is>
      </c>
      <c r="F3088" s="4" t="inlineStr">
        <is>
          <t>documents.en.documents_required[0]</t>
        </is>
      </c>
      <c r="G3088" s="4" t="inlineStr">
        <is>
          <t>M20@20261028-dcae286f</t>
        </is>
      </c>
      <c r="H3088" s="4" t="n">
        <v>1</v>
      </c>
      <c r="I3088" s="4" t="n">
        <v>1</v>
      </c>
      <c r="J3088" s="4" t="inlineStr">
        <is>
          <t>List of valid photo ID proofs to be accepted along with document of eligible criteria:</t>
        </is>
      </c>
      <c r="K3088" s="4" t="inlineStr">
        <is>
          <t>MS-M20</t>
        </is>
      </c>
      <c r="L3088" s="6" t="n">
        <v>46323</v>
      </c>
      <c r="M3088" s="4" t="inlineStr">
        <is>
          <t>Approved</t>
        </is>
      </c>
      <c r="N3088" s="4" t="inlineStr">
        <is>
          <t>paragraph</t>
        </is>
      </c>
    </row>
    <row r="3089" ht="54" customHeight="1">
      <c r="A3089" s="8" t="inlineStr">
        <is>
          <t>M20-P0049</t>
        </is>
      </c>
      <c r="B3089" s="8" t="inlineStr">
        <is>
          <t>M20</t>
        </is>
      </c>
      <c r="C3089" s="8" t="inlineStr">
        <is>
          <t>Mahatma Jyotirao Phule Jan Arogya Yojana</t>
        </is>
      </c>
      <c r="D3089" s="8" t="inlineStr">
        <is>
          <t>Applicant documents</t>
        </is>
      </c>
      <c r="E3089" s="8" t="inlineStr">
        <is>
          <t>List of valid photo ID proofs to be accepted along with document of eligible criteria:</t>
        </is>
      </c>
      <c r="F3089" s="8" t="inlineStr">
        <is>
          <t>documents.en.documents_required[1]</t>
        </is>
      </c>
      <c r="G3089" s="8" t="inlineStr">
        <is>
          <t>M20@20261028-dcae286f</t>
        </is>
      </c>
      <c r="H3089" s="8" t="n">
        <v>1</v>
      </c>
      <c r="I3089" s="8" t="n">
        <v>1</v>
      </c>
      <c r="J3089" s="8" t="inlineStr">
        <is>
          <t>1. Aadhaar Card or Aadhaar Registration Slip with a photo of the beneficiary. An Aadhaar Card would be insisted upon as an identification document and in the absence of an Aadhaar card/number; any document that is accepted for issuance of an Aadhaar card will also be accepted.</t>
        </is>
      </c>
      <c r="K3089" s="8" t="inlineStr">
        <is>
          <t>MS-M20</t>
        </is>
      </c>
      <c r="L3089" s="9" t="n">
        <v>46323</v>
      </c>
      <c r="M3089" s="8" t="inlineStr">
        <is>
          <t>Approved</t>
        </is>
      </c>
      <c r="N3089" s="8" t="inlineStr">
        <is>
          <t>paragraph</t>
        </is>
      </c>
    </row>
    <row r="3090" ht="40" customHeight="1">
      <c r="A3090" s="4" t="inlineStr">
        <is>
          <t>M20-P0050</t>
        </is>
      </c>
      <c r="B3090" s="4" t="inlineStr">
        <is>
          <t>M20</t>
        </is>
      </c>
      <c r="C3090" s="4" t="inlineStr">
        <is>
          <t>Mahatma Jyotirao Phule Jan Arogya Yojana</t>
        </is>
      </c>
      <c r="D3090" s="4" t="inlineStr">
        <is>
          <t>Applicant documents</t>
        </is>
      </c>
      <c r="E3090" s="4" t="inlineStr">
        <is>
          <t>List of valid photo ID proofs to be accepted along with document of eligible criteria:</t>
        </is>
      </c>
      <c r="F3090" s="4" t="inlineStr">
        <is>
          <t>documents.en.documents_required[2]</t>
        </is>
      </c>
      <c r="G3090" s="4" t="inlineStr">
        <is>
          <t>M20@20261028-dcae286f</t>
        </is>
      </c>
      <c r="H3090" s="4" t="n">
        <v>1</v>
      </c>
      <c r="I3090" s="4" t="n">
        <v>1</v>
      </c>
      <c r="J3090" s="4" t="inlineStr">
        <is>
          <t>2. Pan Card</t>
        </is>
      </c>
      <c r="K3090" s="4" t="inlineStr">
        <is>
          <t>MS-M20</t>
        </is>
      </c>
      <c r="L3090" s="6" t="n">
        <v>46323</v>
      </c>
      <c r="M3090" s="4" t="inlineStr">
        <is>
          <t>Approved</t>
        </is>
      </c>
      <c r="N3090" s="4" t="inlineStr">
        <is>
          <t>paragraph</t>
        </is>
      </c>
    </row>
    <row r="3091" ht="40" customHeight="1">
      <c r="A3091" s="8" t="inlineStr">
        <is>
          <t>M20-P0051</t>
        </is>
      </c>
      <c r="B3091" s="8" t="inlineStr">
        <is>
          <t>M20</t>
        </is>
      </c>
      <c r="C3091" s="8" t="inlineStr">
        <is>
          <t>Mahatma Jyotirao Phule Jan Arogya Yojana</t>
        </is>
      </c>
      <c r="D3091" s="8" t="inlineStr">
        <is>
          <t>Applicant documents</t>
        </is>
      </c>
      <c r="E3091" s="8" t="inlineStr">
        <is>
          <t>List of valid photo ID proofs to be accepted along with document of eligible criteria:</t>
        </is>
      </c>
      <c r="F3091" s="8" t="inlineStr">
        <is>
          <t>documents.en.documents_required[3]</t>
        </is>
      </c>
      <c r="G3091" s="8" t="inlineStr">
        <is>
          <t>M20@20261028-dcae286f</t>
        </is>
      </c>
      <c r="H3091" s="8" t="n">
        <v>1</v>
      </c>
      <c r="I3091" s="8" t="n">
        <v>1</v>
      </c>
      <c r="J3091" s="8" t="inlineStr">
        <is>
          <t>3. Voter ID</t>
        </is>
      </c>
      <c r="K3091" s="8" t="inlineStr">
        <is>
          <t>MS-M20</t>
        </is>
      </c>
      <c r="L3091" s="9" t="n">
        <v>46323</v>
      </c>
      <c r="M3091" s="8" t="inlineStr">
        <is>
          <t>Approved</t>
        </is>
      </c>
      <c r="N3091" s="8" t="inlineStr">
        <is>
          <t>paragraph</t>
        </is>
      </c>
    </row>
    <row r="3092" ht="40" customHeight="1">
      <c r="A3092" s="4" t="inlineStr">
        <is>
          <t>M20-P0052</t>
        </is>
      </c>
      <c r="B3092" s="4" t="inlineStr">
        <is>
          <t>M20</t>
        </is>
      </c>
      <c r="C3092" s="4" t="inlineStr">
        <is>
          <t>Mahatma Jyotirao Phule Jan Arogya Yojana</t>
        </is>
      </c>
      <c r="D3092" s="4" t="inlineStr">
        <is>
          <t>Applicant documents</t>
        </is>
      </c>
      <c r="E3092" s="4" t="inlineStr">
        <is>
          <t>List of valid photo ID proofs to be accepted along with document of eligible criteria:</t>
        </is>
      </c>
      <c r="F3092" s="4" t="inlineStr">
        <is>
          <t>documents.en.documents_required[4]</t>
        </is>
      </c>
      <c r="G3092" s="4" t="inlineStr">
        <is>
          <t>M20@20261028-dcae286f</t>
        </is>
      </c>
      <c r="H3092" s="4" t="n">
        <v>1</v>
      </c>
      <c r="I3092" s="4" t="n">
        <v>1</v>
      </c>
      <c r="J3092" s="4" t="inlineStr">
        <is>
          <t>4. Driving License</t>
        </is>
      </c>
      <c r="K3092" s="4" t="inlineStr">
        <is>
          <t>MS-M20</t>
        </is>
      </c>
      <c r="L3092" s="6" t="n">
        <v>46323</v>
      </c>
      <c r="M3092" s="4" t="inlineStr">
        <is>
          <t>Approved</t>
        </is>
      </c>
      <c r="N3092" s="4" t="inlineStr">
        <is>
          <t>paragraph</t>
        </is>
      </c>
    </row>
    <row r="3093" ht="40" customHeight="1">
      <c r="A3093" s="8" t="inlineStr">
        <is>
          <t>M20-P0053</t>
        </is>
      </c>
      <c r="B3093" s="8" t="inlineStr">
        <is>
          <t>M20</t>
        </is>
      </c>
      <c r="C3093" s="8" t="inlineStr">
        <is>
          <t>Mahatma Jyotirao Phule Jan Arogya Yojana</t>
        </is>
      </c>
      <c r="D3093" s="8" t="inlineStr">
        <is>
          <t>Applicant documents</t>
        </is>
      </c>
      <c r="E3093" s="8" t="inlineStr">
        <is>
          <t>List of valid photo ID proofs to be accepted along with document of eligible criteria:</t>
        </is>
      </c>
      <c r="F3093" s="8" t="inlineStr">
        <is>
          <t>documents.en.documents_required[5]</t>
        </is>
      </c>
      <c r="G3093" s="8" t="inlineStr">
        <is>
          <t>M20@20261028-dcae286f</t>
        </is>
      </c>
      <c r="H3093" s="8" t="n">
        <v>1</v>
      </c>
      <c r="I3093" s="8" t="n">
        <v>1</v>
      </c>
      <c r="J3093" s="8" t="inlineStr">
        <is>
          <t>5. School/College Id</t>
        </is>
      </c>
      <c r="K3093" s="8" t="inlineStr">
        <is>
          <t>MS-M20</t>
        </is>
      </c>
      <c r="L3093" s="9" t="n">
        <v>46323</v>
      </c>
      <c r="M3093" s="8" t="inlineStr">
        <is>
          <t>Approved</t>
        </is>
      </c>
      <c r="N3093" s="8" t="inlineStr">
        <is>
          <t>paragraph</t>
        </is>
      </c>
    </row>
    <row r="3094" ht="40" customHeight="1">
      <c r="A3094" s="4" t="inlineStr">
        <is>
          <t>M20-P0054</t>
        </is>
      </c>
      <c r="B3094" s="4" t="inlineStr">
        <is>
          <t>M20</t>
        </is>
      </c>
      <c r="C3094" s="4" t="inlineStr">
        <is>
          <t>Mahatma Jyotirao Phule Jan Arogya Yojana</t>
        </is>
      </c>
      <c r="D3094" s="4" t="inlineStr">
        <is>
          <t>Applicant documents</t>
        </is>
      </c>
      <c r="E3094" s="4" t="inlineStr">
        <is>
          <t>List of valid photo ID proofs to be accepted along with document of eligible criteria:</t>
        </is>
      </c>
      <c r="F3094" s="4" t="inlineStr">
        <is>
          <t>documents.en.documents_required[6]</t>
        </is>
      </c>
      <c r="G3094" s="4" t="inlineStr">
        <is>
          <t>M20@20261028-dcae286f</t>
        </is>
      </c>
      <c r="H3094" s="4" t="n">
        <v>1</v>
      </c>
      <c r="I3094" s="4" t="n">
        <v>1</v>
      </c>
      <c r="J3094" s="4" t="inlineStr">
        <is>
          <t>6. Passport</t>
        </is>
      </c>
      <c r="K3094" s="4" t="inlineStr">
        <is>
          <t>MS-M20</t>
        </is>
      </c>
      <c r="L3094" s="6" t="n">
        <v>46323</v>
      </c>
      <c r="M3094" s="4" t="inlineStr">
        <is>
          <t>Approved</t>
        </is>
      </c>
      <c r="N3094" s="4" t="inlineStr">
        <is>
          <t>paragraph</t>
        </is>
      </c>
    </row>
    <row r="3095" ht="40" customHeight="1">
      <c r="A3095" s="8" t="inlineStr">
        <is>
          <t>M20-P0055</t>
        </is>
      </c>
      <c r="B3095" s="8" t="inlineStr">
        <is>
          <t>M20</t>
        </is>
      </c>
      <c r="C3095" s="8" t="inlineStr">
        <is>
          <t>Mahatma Jyotirao Phule Jan Arogya Yojana</t>
        </is>
      </c>
      <c r="D3095" s="8" t="inlineStr">
        <is>
          <t>Applicant documents</t>
        </is>
      </c>
      <c r="E3095" s="8" t="inlineStr">
        <is>
          <t>List of valid photo ID proofs to be accepted along with document of eligible criteria:</t>
        </is>
      </c>
      <c r="F3095" s="8" t="inlineStr">
        <is>
          <t>documents.en.documents_required[7]</t>
        </is>
      </c>
      <c r="G3095" s="8" t="inlineStr">
        <is>
          <t>M20@20261028-dcae286f</t>
        </is>
      </c>
      <c r="H3095" s="8" t="n">
        <v>1</v>
      </c>
      <c r="I3095" s="8" t="n">
        <v>1</v>
      </c>
      <c r="J3095" s="8" t="inlineStr">
        <is>
          <t>7. Freedom Fighter ID card</t>
        </is>
      </c>
      <c r="K3095" s="8" t="inlineStr">
        <is>
          <t>MS-M20</t>
        </is>
      </c>
      <c r="L3095" s="9" t="n">
        <v>46323</v>
      </c>
      <c r="M3095" s="8" t="inlineStr">
        <is>
          <t>Approved</t>
        </is>
      </c>
      <c r="N3095" s="8" t="inlineStr">
        <is>
          <t>paragraph</t>
        </is>
      </c>
    </row>
    <row r="3096" ht="40" customHeight="1">
      <c r="A3096" s="4" t="inlineStr">
        <is>
          <t>M20-P0056</t>
        </is>
      </c>
      <c r="B3096" s="4" t="inlineStr">
        <is>
          <t>M20</t>
        </is>
      </c>
      <c r="C3096" s="4" t="inlineStr">
        <is>
          <t>Mahatma Jyotirao Phule Jan Arogya Yojana</t>
        </is>
      </c>
      <c r="D3096" s="4" t="inlineStr">
        <is>
          <t>Applicant documents</t>
        </is>
      </c>
      <c r="E3096" s="4" t="inlineStr">
        <is>
          <t>List of valid photo ID proofs to be accepted along with document of eligible criteria:</t>
        </is>
      </c>
      <c r="F3096" s="4" t="inlineStr">
        <is>
          <t>documents.en.documents_required[8]</t>
        </is>
      </c>
      <c r="G3096" s="4" t="inlineStr">
        <is>
          <t>M20@20261028-dcae286f</t>
        </is>
      </c>
      <c r="H3096" s="4" t="n">
        <v>1</v>
      </c>
      <c r="I3096" s="4" t="n">
        <v>1</v>
      </c>
      <c r="J3096" s="4" t="inlineStr">
        <is>
          <t>8. Health Card of RGJAY / MJPJAY</t>
        </is>
      </c>
      <c r="K3096" s="4" t="inlineStr">
        <is>
          <t>MS-M20</t>
        </is>
      </c>
      <c r="L3096" s="6" t="n">
        <v>46323</v>
      </c>
      <c r="M3096" s="4" t="inlineStr">
        <is>
          <t>Approved</t>
        </is>
      </c>
      <c r="N3096" s="4" t="inlineStr">
        <is>
          <t>paragraph</t>
        </is>
      </c>
    </row>
    <row r="3097" ht="40" customHeight="1">
      <c r="A3097" s="8" t="inlineStr">
        <is>
          <t>M20-P0057</t>
        </is>
      </c>
      <c r="B3097" s="8" t="inlineStr">
        <is>
          <t>M20</t>
        </is>
      </c>
      <c r="C3097" s="8" t="inlineStr">
        <is>
          <t>Mahatma Jyotirao Phule Jan Arogya Yojana</t>
        </is>
      </c>
      <c r="D3097" s="8" t="inlineStr">
        <is>
          <t>Applicant documents</t>
        </is>
      </c>
      <c r="E3097" s="8" t="inlineStr">
        <is>
          <t>List of valid photo ID proofs to be accepted along with document of eligible criteria:</t>
        </is>
      </c>
      <c r="F3097" s="8" t="inlineStr">
        <is>
          <t>documents.en.documents_required[9]</t>
        </is>
      </c>
      <c r="G3097" s="8" t="inlineStr">
        <is>
          <t>M20@20261028-dcae286f</t>
        </is>
      </c>
      <c r="H3097" s="8" t="n">
        <v>1</v>
      </c>
      <c r="I3097" s="8" t="n">
        <v>1</v>
      </c>
      <c r="J3097" s="8" t="inlineStr">
        <is>
          <t>9. Handicap Certificate</t>
        </is>
      </c>
      <c r="K3097" s="8" t="inlineStr">
        <is>
          <t>MS-M20</t>
        </is>
      </c>
      <c r="L3097" s="9" t="n">
        <v>46323</v>
      </c>
      <c r="M3097" s="8" t="inlineStr">
        <is>
          <t>Approved</t>
        </is>
      </c>
      <c r="N3097" s="8" t="inlineStr">
        <is>
          <t>paragraph</t>
        </is>
      </c>
    </row>
    <row r="3098" ht="40" customHeight="1">
      <c r="A3098" s="4" t="inlineStr">
        <is>
          <t>M20-P0058</t>
        </is>
      </c>
      <c r="B3098" s="4" t="inlineStr">
        <is>
          <t>M20</t>
        </is>
      </c>
      <c r="C3098" s="4" t="inlineStr">
        <is>
          <t>Mahatma Jyotirao Phule Jan Arogya Yojana</t>
        </is>
      </c>
      <c r="D3098" s="4" t="inlineStr">
        <is>
          <t>Applicant documents</t>
        </is>
      </c>
      <c r="E3098" s="4" t="inlineStr">
        <is>
          <t>List of valid photo ID proofs to be accepted along with document of eligible criteria:</t>
        </is>
      </c>
      <c r="F3098" s="4" t="inlineStr">
        <is>
          <t>documents.en.documents_required[10]</t>
        </is>
      </c>
      <c r="G3098" s="4" t="inlineStr">
        <is>
          <t>M20@20261028-dcae286f</t>
        </is>
      </c>
      <c r="H3098" s="4" t="n">
        <v>1</v>
      </c>
      <c r="I3098" s="4" t="n">
        <v>1</v>
      </c>
      <c r="J3098" s="4" t="inlineStr">
        <is>
          <t>10. Nationalized Bank Passbook with Photo</t>
        </is>
      </c>
      <c r="K3098" s="4" t="inlineStr">
        <is>
          <t>MS-M20</t>
        </is>
      </c>
      <c r="L3098" s="6" t="n">
        <v>46323</v>
      </c>
      <c r="M3098" s="4" t="inlineStr">
        <is>
          <t>Approved</t>
        </is>
      </c>
      <c r="N3098" s="4" t="inlineStr">
        <is>
          <t>paragraph</t>
        </is>
      </c>
    </row>
    <row r="3099" ht="40" customHeight="1">
      <c r="A3099" s="8" t="inlineStr">
        <is>
          <t>M20-P0059</t>
        </is>
      </c>
      <c r="B3099" s="8" t="inlineStr">
        <is>
          <t>M20</t>
        </is>
      </c>
      <c r="C3099" s="8" t="inlineStr">
        <is>
          <t>Mahatma Jyotirao Phule Jan Arogya Yojana</t>
        </is>
      </c>
      <c r="D3099" s="8" t="inlineStr">
        <is>
          <t>Applicant documents</t>
        </is>
      </c>
      <c r="E3099" s="8" t="inlineStr">
        <is>
          <t>List of valid photo ID proofs to be accepted along with document of eligible criteria:</t>
        </is>
      </c>
      <c r="F3099" s="8" t="inlineStr">
        <is>
          <t>documents.en.documents_required[11]</t>
        </is>
      </c>
      <c r="G3099" s="8" t="inlineStr">
        <is>
          <t>M20@20261028-dcae286f</t>
        </is>
      </c>
      <c r="H3099" s="8" t="n">
        <v>1</v>
      </c>
      <c r="I3099" s="8" t="n">
        <v>1</v>
      </c>
      <c r="J3099" s="8" t="inlineStr">
        <is>
          <t>11. Senior citizen card issued by the Central Government or State Government</t>
        </is>
      </c>
      <c r="K3099" s="8" t="inlineStr">
        <is>
          <t>MS-M20</t>
        </is>
      </c>
      <c r="L3099" s="9" t="n">
        <v>46323</v>
      </c>
      <c r="M3099" s="8" t="inlineStr">
        <is>
          <t>Approved</t>
        </is>
      </c>
      <c r="N3099" s="8" t="inlineStr">
        <is>
          <t>paragraph</t>
        </is>
      </c>
    </row>
    <row r="3100" ht="40" customHeight="1">
      <c r="A3100" s="4" t="inlineStr">
        <is>
          <t>M20-P0060</t>
        </is>
      </c>
      <c r="B3100" s="4" t="inlineStr">
        <is>
          <t>M20</t>
        </is>
      </c>
      <c r="C3100" s="4" t="inlineStr">
        <is>
          <t>Mahatma Jyotirao Phule Jan Arogya Yojana</t>
        </is>
      </c>
      <c r="D3100" s="4" t="inlineStr">
        <is>
          <t>Applicant documents</t>
        </is>
      </c>
      <c r="E3100" s="4" t="inlineStr">
        <is>
          <t>List of valid photo ID proofs to be accepted along with document of eligible criteria:</t>
        </is>
      </c>
      <c r="F3100" s="4" t="inlineStr">
        <is>
          <t>documents.en.documents_required[12]</t>
        </is>
      </c>
      <c r="G3100" s="4" t="inlineStr">
        <is>
          <t>M20@20261028-dcae286f</t>
        </is>
      </c>
      <c r="H3100" s="4" t="n">
        <v>1</v>
      </c>
      <c r="I3100" s="4" t="n">
        <v>1</v>
      </c>
      <c r="J3100" s="4" t="inlineStr">
        <is>
          <t>12. Defense ex-servicemen card issued by Sainik Board</t>
        </is>
      </c>
      <c r="K3100" s="4" t="inlineStr">
        <is>
          <t>MS-M20</t>
        </is>
      </c>
      <c r="L3100" s="6" t="n">
        <v>46323</v>
      </c>
      <c r="M3100" s="4" t="inlineStr">
        <is>
          <t>Approved</t>
        </is>
      </c>
      <c r="N3100" s="4" t="inlineStr">
        <is>
          <t>paragraph</t>
        </is>
      </c>
    </row>
    <row r="3101" ht="40" customHeight="1">
      <c r="A3101" s="8" t="inlineStr">
        <is>
          <t>M20-P0061</t>
        </is>
      </c>
      <c r="B3101" s="8" t="inlineStr">
        <is>
          <t>M20</t>
        </is>
      </c>
      <c r="C3101" s="8" t="inlineStr">
        <is>
          <t>Mahatma Jyotirao Phule Jan Arogya Yojana</t>
        </is>
      </c>
      <c r="D3101" s="8" t="inlineStr">
        <is>
          <t>Applicant documents</t>
        </is>
      </c>
      <c r="E3101" s="8" t="inlineStr">
        <is>
          <t>List of valid photo ID proofs to be accepted along with document of eligible criteria:</t>
        </is>
      </c>
      <c r="F3101" s="8" t="inlineStr">
        <is>
          <t>documents.en.documents_required[13]</t>
        </is>
      </c>
      <c r="G3101" s="8" t="inlineStr">
        <is>
          <t>M20@20261028-dcae286f</t>
        </is>
      </c>
      <c r="H3101" s="8" t="n">
        <v>1</v>
      </c>
      <c r="I3101" s="8" t="n">
        <v>1</v>
      </c>
      <c r="J3101" s="8" t="inlineStr">
        <is>
          <t>13. Marine Fishery Identity card (Issued by Ministry of Agriculture / Fisheries Department Government of Maharashtra).</t>
        </is>
      </c>
      <c r="K3101" s="8" t="inlineStr">
        <is>
          <t>MS-M20</t>
        </is>
      </c>
      <c r="L3101" s="9" t="n">
        <v>46323</v>
      </c>
      <c r="M3101" s="8" t="inlineStr">
        <is>
          <t>Approved</t>
        </is>
      </c>
      <c r="N3101" s="8" t="inlineStr">
        <is>
          <t>paragraph</t>
        </is>
      </c>
    </row>
    <row r="3102" ht="40" customHeight="1">
      <c r="A3102" s="4" t="inlineStr">
        <is>
          <t>M20-P0062</t>
        </is>
      </c>
      <c r="B3102" s="4" t="inlineStr">
        <is>
          <t>M20</t>
        </is>
      </c>
      <c r="C3102" s="4" t="inlineStr">
        <is>
          <t>Mahatma Jyotirao Phule Jan Arogya Yojana</t>
        </is>
      </c>
      <c r="D3102" s="4" t="inlineStr">
        <is>
          <t>Applicant documents</t>
        </is>
      </c>
      <c r="E3102" s="4" t="inlineStr">
        <is>
          <t>List of valid photo ID proofs to be accepted along with document of eligible criteria:</t>
        </is>
      </c>
      <c r="F3102" s="4" t="inlineStr">
        <is>
          <t>documents.en.documents_required[14]</t>
        </is>
      </c>
      <c r="G3102" s="4" t="inlineStr">
        <is>
          <t>M20@20261028-dcae286f</t>
        </is>
      </c>
      <c r="H3102" s="4" t="n">
        <v>1</v>
      </c>
      <c r="I3102" s="4" t="n">
        <v>1</v>
      </c>
      <c r="J3102" s="4" t="inlineStr">
        <is>
          <t>14. Any photo ID proof issued by the Government of Maharashtra/ Government of India</t>
        </is>
      </c>
      <c r="K3102" s="4" t="inlineStr">
        <is>
          <t>MS-M20</t>
        </is>
      </c>
      <c r="L3102" s="6" t="n">
        <v>46323</v>
      </c>
      <c r="M3102" s="4" t="inlineStr">
        <is>
          <t>Approved</t>
        </is>
      </c>
      <c r="N3102" s="4" t="inlineStr">
        <is>
          <t>paragraph</t>
        </is>
      </c>
    </row>
    <row r="3103" ht="54" customHeight="1">
      <c r="A3103" s="8" t="inlineStr">
        <is>
          <t>M20-P0063</t>
        </is>
      </c>
      <c r="B3103" s="8" t="inlineStr">
        <is>
          <t>M20</t>
        </is>
      </c>
      <c r="C3103" s="8" t="inlineStr">
        <is>
          <t>Mahatma Jyotirao Phule Jan Arogya Yojana</t>
        </is>
      </c>
      <c r="D3103" s="8" t="inlineStr">
        <is>
          <t>Application process</t>
        </is>
      </c>
      <c r="E3103" s="8" t="inlineStr"/>
      <c r="F3103" s="8" t="inlineStr">
        <is>
          <t>en.applicationProcess[0].process[0].children[0]</t>
        </is>
      </c>
      <c r="G3103" s="8" t="inlineStr">
        <is>
          <t>M20@20261028-dcae286f</t>
        </is>
      </c>
      <c r="H3103" s="8" t="n">
        <v>1</v>
      </c>
      <c r="I3103" s="8" t="n">
        <v>1</v>
      </c>
      <c r="J3103" s="8" t="inlineStr">
        <is>
          <t>Step 1: The interested applicant should visit the  any Govt./Pvt. network hospital in State, and request the hard copy of the prescribed format of the application form from the concerned authority.</t>
        </is>
      </c>
      <c r="K3103" s="8" t="inlineStr">
        <is>
          <t>MS-M20</t>
        </is>
      </c>
      <c r="L3103" s="9" t="n">
        <v>46323</v>
      </c>
      <c r="M3103" s="8" t="inlineStr">
        <is>
          <t>Approved</t>
        </is>
      </c>
      <c r="N3103" s="8" t="inlineStr">
        <is>
          <t>paragraph</t>
        </is>
      </c>
    </row>
    <row r="3104" ht="54" customHeight="1">
      <c r="A3104" s="4" t="inlineStr">
        <is>
          <t>M20-P0064</t>
        </is>
      </c>
      <c r="B3104" s="4" t="inlineStr">
        <is>
          <t>M20</t>
        </is>
      </c>
      <c r="C3104" s="4" t="inlineStr">
        <is>
          <t>Mahatma Jyotirao Phule Jan Arogya Yojana</t>
        </is>
      </c>
      <c r="D3104" s="4" t="inlineStr">
        <is>
          <t>Application process</t>
        </is>
      </c>
      <c r="E3104" s="4" t="inlineStr"/>
      <c r="F3104" s="4" t="inlineStr">
        <is>
          <t>en.applicationProcess[0].process[0].children[1]</t>
        </is>
      </c>
      <c r="G3104" s="4" t="inlineStr">
        <is>
          <t>M20@20261028-dcae286f</t>
        </is>
      </c>
      <c r="H3104" s="4" t="n">
        <v>1</v>
      </c>
      <c r="I3104" s="4" t="n">
        <v>1</v>
      </c>
      <c r="J3104" s="4" t="inlineStr">
        <is>
          <t>Step 2: In the application form, fill in all the mandatory fields, paste the passport-sized photograph (signed across, if required), and attach copies of all the mandatory documents (self-attest, if required).</t>
        </is>
      </c>
      <c r="K3104" s="4" t="inlineStr">
        <is>
          <t>MS-M20</t>
        </is>
      </c>
      <c r="L3104" s="6" t="n">
        <v>46323</v>
      </c>
      <c r="M3104" s="4" t="inlineStr">
        <is>
          <t>Approved</t>
        </is>
      </c>
      <c r="N3104" s="4" t="inlineStr">
        <is>
          <t>paragraph</t>
        </is>
      </c>
    </row>
    <row r="3105" ht="40" customHeight="1">
      <c r="A3105" s="8" t="inlineStr">
        <is>
          <t>M20-P0065</t>
        </is>
      </c>
      <c r="B3105" s="8" t="inlineStr">
        <is>
          <t>M20</t>
        </is>
      </c>
      <c r="C3105" s="8" t="inlineStr">
        <is>
          <t>Mahatma Jyotirao Phule Jan Arogya Yojana</t>
        </is>
      </c>
      <c r="D3105" s="8" t="inlineStr">
        <is>
          <t>Application process</t>
        </is>
      </c>
      <c r="E3105" s="8" t="inlineStr"/>
      <c r="F3105" s="8" t="inlineStr">
        <is>
          <t>en.applicationProcess[0].process[0].children[2]</t>
        </is>
      </c>
      <c r="G3105" s="8" t="inlineStr">
        <is>
          <t>M20@20261028-dcae286f</t>
        </is>
      </c>
      <c r="H3105" s="8" t="n">
        <v>1</v>
      </c>
      <c r="I3105" s="8" t="n">
        <v>1</v>
      </c>
      <c r="J3105" s="8" t="inlineStr">
        <is>
          <t>Step 3: Submit the duly filled and signed application form along with the documents, within the prescribed period (if any), to the authority.</t>
        </is>
      </c>
      <c r="K3105" s="8" t="inlineStr">
        <is>
          <t>MS-M20</t>
        </is>
      </c>
      <c r="L3105" s="9" t="n">
        <v>46323</v>
      </c>
      <c r="M3105" s="8" t="inlineStr">
        <is>
          <t>Approved</t>
        </is>
      </c>
      <c r="N3105" s="8" t="inlineStr">
        <is>
          <t>paragraph</t>
        </is>
      </c>
    </row>
    <row r="3106" ht="54" customHeight="1">
      <c r="A3106" s="4" t="inlineStr">
        <is>
          <t>M20-P0066</t>
        </is>
      </c>
      <c r="B3106" s="4" t="inlineStr">
        <is>
          <t>M20</t>
        </is>
      </c>
      <c r="C3106" s="4" t="inlineStr">
        <is>
          <t>Mahatma Jyotirao Phule Jan Arogya Yojana</t>
        </is>
      </c>
      <c r="D3106" s="4" t="inlineStr">
        <is>
          <t>Application process</t>
        </is>
      </c>
      <c r="E3106" s="4" t="inlineStr"/>
      <c r="F3106" s="4" t="inlineStr">
        <is>
          <t>en.applicationProcess[0].process[0].children[3]</t>
        </is>
      </c>
      <c r="G3106" s="4" t="inlineStr">
        <is>
          <t>M20@20261028-dcae286f</t>
        </is>
      </c>
      <c r="H3106" s="4" t="n">
        <v>1</v>
      </c>
      <c r="I3106" s="4" t="n">
        <v>1</v>
      </c>
      <c r="J3106" s="4" t="inlineStr">
        <is>
          <t>Step 4: Request a receipt or acknowledgement from the concerned authority to whom the application has been submitted. Ensure that the receipt contains essential details such as the date and time of submission, and a unique identification number (if applicable).</t>
        </is>
      </c>
      <c r="K3106" s="4" t="inlineStr">
        <is>
          <t>MS-M20</t>
        </is>
      </c>
      <c r="L3106" s="6" t="n">
        <v>46323</v>
      </c>
      <c r="M3106" s="4" t="inlineStr">
        <is>
          <t>Approved</t>
        </is>
      </c>
      <c r="N3106" s="4" t="inlineStr">
        <is>
          <t>paragraph</t>
        </is>
      </c>
    </row>
    <row r="3107" ht="40" customHeight="1">
      <c r="A3107" s="8" t="inlineStr">
        <is>
          <t>M20-P0067</t>
        </is>
      </c>
      <c r="B3107" s="8" t="inlineStr">
        <is>
          <t>M20</t>
        </is>
      </c>
      <c r="C3107" s="8" t="inlineStr">
        <is>
          <t>Mahatma Jyotirao Phule Jan Arogya Yojana</t>
        </is>
      </c>
      <c r="D3107" s="8" t="inlineStr">
        <is>
          <t>Application process</t>
        </is>
      </c>
      <c r="E3107" s="8" t="inlineStr"/>
      <c r="F3107" s="8" t="inlineStr">
        <is>
          <t>en.applicationProcess[0].process[0].children[4]</t>
        </is>
      </c>
      <c r="G3107" s="8" t="inlineStr">
        <is>
          <t>M20@20261028-dcae286f</t>
        </is>
      </c>
      <c r="H3107" s="8" t="n">
        <v>1</v>
      </c>
      <c r="I3107" s="8" t="n">
        <v>1</v>
      </c>
      <c r="J3107" s="8" t="inlineStr">
        <is>
          <t>NOTE: Ensure that the application is submitted within the prescribed period, if any.</t>
        </is>
      </c>
      <c r="K3107" s="8" t="inlineStr">
        <is>
          <t>MS-M20</t>
        </is>
      </c>
      <c r="L3107" s="9" t="n">
        <v>46323</v>
      </c>
      <c r="M3107" s="8" t="inlineStr">
        <is>
          <t>Approved</t>
        </is>
      </c>
      <c r="N3107" s="8" t="inlineStr">
        <is>
          <t>paragraph</t>
        </is>
      </c>
    </row>
    <row r="3108" ht="40" customHeight="1">
      <c r="A3108" s="4" t="inlineStr">
        <is>
          <t>M20-P0068</t>
        </is>
      </c>
      <c r="B3108" s="4" t="inlineStr">
        <is>
          <t>M20</t>
        </is>
      </c>
      <c r="C3108" s="4" t="inlineStr">
        <is>
          <t>Mahatma Jyotirao Phule Jan Arogya Yojana</t>
        </is>
      </c>
      <c r="D3108" s="4" t="inlineStr">
        <is>
          <t>Application process</t>
        </is>
      </c>
      <c r="E3108" s="4" t="inlineStr"/>
      <c r="F3108" s="4" t="inlineStr">
        <is>
          <t>en.applicationProcess[0].process[0].children[5].children[0].children[0]</t>
        </is>
      </c>
      <c r="G3108" s="4" t="inlineStr">
        <is>
          <t>M20@20261028-dcae286f</t>
        </is>
      </c>
      <c r="H3108" s="4" t="n">
        <v>1</v>
      </c>
      <c r="I3108" s="4" t="n">
        <v>1</v>
      </c>
      <c r="J3108" s="4" t="inlineStr">
        <is>
          <t>Note 1:</t>
        </is>
      </c>
      <c r="K3108" s="4" t="inlineStr">
        <is>
          <t>MS-M20</t>
        </is>
      </c>
      <c r="L3108" s="6" t="n">
        <v>46323</v>
      </c>
      <c r="M3108" s="4" t="inlineStr">
        <is>
          <t>Approved</t>
        </is>
      </c>
      <c r="N3108" s="4" t="inlineStr">
        <is>
          <t>text</t>
        </is>
      </c>
    </row>
    <row r="3109" ht="54" customHeight="1">
      <c r="A3109" s="8" t="inlineStr">
        <is>
          <t>M20-P0069</t>
        </is>
      </c>
      <c r="B3109" s="8" t="inlineStr">
        <is>
          <t>M20</t>
        </is>
      </c>
      <c r="C3109" s="8" t="inlineStr">
        <is>
          <t>Mahatma Jyotirao Phule Jan Arogya Yojana</t>
        </is>
      </c>
      <c r="D3109" s="8" t="inlineStr">
        <is>
          <t>Application process</t>
        </is>
      </c>
      <c r="E3109" s="8" t="inlineStr"/>
      <c r="F3109" s="8" t="inlineStr">
        <is>
          <t>en.applicationProcess[0].process[0].children[5].children[0].children[1]</t>
        </is>
      </c>
      <c r="G3109" s="8" t="inlineStr">
        <is>
          <t>M20@20261028-dcae286f</t>
        </is>
      </c>
      <c r="H3109" s="8" t="n">
        <v>1</v>
      </c>
      <c r="I3109" s="8" t="n">
        <v>1</v>
      </c>
      <c r="J3109" s="8" t="inlineStr">
        <is>
          <t xml:space="preserve"> The claim settlement module along with electronic clearance and the payment gateway will be part of the workflow in the State Health Assurance Society (SHAS) portal and will be operated by the Insurer.</t>
        </is>
      </c>
      <c r="K3109" s="8" t="inlineStr">
        <is>
          <t>MS-M20</t>
        </is>
      </c>
      <c r="L3109" s="9" t="n">
        <v>46323</v>
      </c>
      <c r="M3109" s="8" t="inlineStr">
        <is>
          <t>Approved</t>
        </is>
      </c>
      <c r="N3109" s="8" t="inlineStr">
        <is>
          <t>text</t>
        </is>
      </c>
    </row>
    <row r="3110" ht="40" customHeight="1">
      <c r="A3110" s="4" t="inlineStr">
        <is>
          <t>M20-P0070</t>
        </is>
      </c>
      <c r="B3110" s="4" t="inlineStr">
        <is>
          <t>M20</t>
        </is>
      </c>
      <c r="C3110" s="4" t="inlineStr">
        <is>
          <t>Mahatma Jyotirao Phule Jan Arogya Yojana</t>
        </is>
      </c>
      <c r="D3110" s="4" t="inlineStr">
        <is>
          <t>Application process</t>
        </is>
      </c>
      <c r="E3110" s="4" t="inlineStr"/>
      <c r="F3110" s="4" t="inlineStr">
        <is>
          <t>en.applicationProcess[0].process[0].children[5].children[1].children[0]</t>
        </is>
      </c>
      <c r="G3110" s="4" t="inlineStr">
        <is>
          <t>M20@20261028-dcae286f</t>
        </is>
      </c>
      <c r="H3110" s="4" t="n">
        <v>1</v>
      </c>
      <c r="I3110" s="4" t="n">
        <v>1</v>
      </c>
      <c r="J3110" s="4" t="inlineStr">
        <is>
          <t>Note 2:</t>
        </is>
      </c>
      <c r="K3110" s="4" t="inlineStr">
        <is>
          <t>MS-M20</t>
        </is>
      </c>
      <c r="L3110" s="6" t="n">
        <v>46323</v>
      </c>
      <c r="M3110" s="4" t="inlineStr">
        <is>
          <t>Approved</t>
        </is>
      </c>
      <c r="N3110" s="4" t="inlineStr">
        <is>
          <t>text</t>
        </is>
      </c>
    </row>
    <row r="3111" ht="40" customHeight="1">
      <c r="A3111" s="8" t="inlineStr">
        <is>
          <t>M20-P0071</t>
        </is>
      </c>
      <c r="B3111" s="8" t="inlineStr">
        <is>
          <t>M20</t>
        </is>
      </c>
      <c r="C3111" s="8" t="inlineStr">
        <is>
          <t>Mahatma Jyotirao Phule Jan Arogya Yojana</t>
        </is>
      </c>
      <c r="D3111" s="8" t="inlineStr">
        <is>
          <t>Application process</t>
        </is>
      </c>
      <c r="E3111" s="8" t="inlineStr"/>
      <c r="F3111" s="8" t="inlineStr">
        <is>
          <t>en.applicationProcess[0].process[0].children[5].children[1].children[1]</t>
        </is>
      </c>
      <c r="G3111" s="8" t="inlineStr">
        <is>
          <t>M20@20261028-dcae286f</t>
        </is>
      </c>
      <c r="H3111" s="8" t="n">
        <v>1</v>
      </c>
      <c r="I3111" s="8" t="n">
        <v>1</v>
      </c>
      <c r="J3111" s="8" t="inlineStr">
        <is>
          <t xml:space="preserve"> The reports will be available for scrutiny on the State Health Assurance Society (SHAS) </t>
        </is>
      </c>
      <c r="K3111" s="8" t="inlineStr">
        <is>
          <t>MS-M20</t>
        </is>
      </c>
      <c r="L3111" s="9" t="n">
        <v>46323</v>
      </c>
      <c r="M3111" s="8" t="inlineStr">
        <is>
          <t>Approved</t>
        </is>
      </c>
      <c r="N3111" s="8" t="inlineStr">
        <is>
          <t>text</t>
        </is>
      </c>
    </row>
    <row r="3112" ht="40" customHeight="1">
      <c r="A3112" s="4" t="inlineStr">
        <is>
          <t>M20-P0072</t>
        </is>
      </c>
      <c r="B3112" s="4" t="inlineStr">
        <is>
          <t>M20</t>
        </is>
      </c>
      <c r="C3112" s="4" t="inlineStr">
        <is>
          <t>Mahatma Jyotirao Phule Jan Arogya Yojana</t>
        </is>
      </c>
      <c r="D3112" s="4" t="inlineStr">
        <is>
          <t>Application process</t>
        </is>
      </c>
      <c r="E3112" s="4" t="inlineStr"/>
      <c r="F3112" s="4" t="inlineStr">
        <is>
          <t>en.applicationProcess[0].process[0].children[5].children[1].children[2].children[0]</t>
        </is>
      </c>
      <c r="G3112" s="4" t="inlineStr">
        <is>
          <t>M20@20261028-dcae286f</t>
        </is>
      </c>
      <c r="H3112" s="4" t="n">
        <v>1</v>
      </c>
      <c r="I3112" s="4" t="n">
        <v>1</v>
      </c>
      <c r="J3112" s="4" t="inlineStr">
        <is>
          <t>login.</t>
        </is>
      </c>
      <c r="K3112" s="4" t="inlineStr">
        <is>
          <t>MS-M20</t>
        </is>
      </c>
      <c r="L3112" s="6" t="n">
        <v>46323</v>
      </c>
      <c r="M3112" s="4" t="inlineStr">
        <is>
          <t>Approved</t>
        </is>
      </c>
      <c r="N3112" s="4" t="inlineStr">
        <is>
          <t>text</t>
        </is>
      </c>
    </row>
    <row r="3113" ht="40" customHeight="1">
      <c r="A3113" s="8" t="inlineStr">
        <is>
          <t>M20-P0073</t>
        </is>
      </c>
      <c r="B3113" s="8" t="inlineStr">
        <is>
          <t>M20</t>
        </is>
      </c>
      <c r="C3113" s="8" t="inlineStr">
        <is>
          <t>Mahatma Jyotirao Phule Jan Arogya Yojana</t>
        </is>
      </c>
      <c r="D3113" s="8" t="inlineStr">
        <is>
          <t>FAQ</t>
        </is>
      </c>
      <c r="E3113" s="8" t="inlineStr"/>
      <c r="F3113" s="8" t="inlineStr">
        <is>
          <t>faqs.en.faqs[0]</t>
        </is>
      </c>
      <c r="G3113" s="8" t="inlineStr">
        <is>
          <t>M20@20261028-dcae286f</t>
        </is>
      </c>
      <c r="H3113" s="8" t="n">
        <v>1</v>
      </c>
      <c r="I3113" s="8" t="n">
        <v>1</v>
      </c>
      <c r="J3113" s="8" t="inlineStr">
        <is>
          <t>What is the full form of MJPJAY?
MJPJAY's full form is Mahatma Jyotiba Phule Jan Arogya Yojana.</t>
        </is>
      </c>
      <c r="K3113" s="8" t="inlineStr">
        <is>
          <t>MS-M20</t>
        </is>
      </c>
      <c r="L3113" s="9" t="n">
        <v>46323</v>
      </c>
      <c r="M3113" s="8" t="inlineStr">
        <is>
          <t>Approved</t>
        </is>
      </c>
      <c r="N3113" s="8" t="inlineStr">
        <is>
          <t>faq</t>
        </is>
      </c>
    </row>
    <row r="3114" ht="40" customHeight="1">
      <c r="A3114" s="4" t="inlineStr">
        <is>
          <t>M20-P0074</t>
        </is>
      </c>
      <c r="B3114" s="4" t="inlineStr">
        <is>
          <t>M20</t>
        </is>
      </c>
      <c r="C3114" s="4" t="inlineStr">
        <is>
          <t>Mahatma Jyotirao Phule Jan Arogya Yojana</t>
        </is>
      </c>
      <c r="D3114" s="4" t="inlineStr">
        <is>
          <t>FAQ</t>
        </is>
      </c>
      <c r="E3114" s="4" t="inlineStr"/>
      <c r="F3114" s="4" t="inlineStr">
        <is>
          <t>faqs.en.faqs[1]</t>
        </is>
      </c>
      <c r="G3114" s="4" t="inlineStr">
        <is>
          <t>M20@20261028-dcae286f</t>
        </is>
      </c>
      <c r="H3114" s="4" t="n">
        <v>1</v>
      </c>
      <c r="I3114" s="4" t="n">
        <v>1</v>
      </c>
      <c r="J3114" s="4" t="inlineStr">
        <is>
          <t>When was MJPJAY started?
MJPJAY was launched in 28 districts of Maharashtra on April 1st, 2020.</t>
        </is>
      </c>
      <c r="K3114" s="4" t="inlineStr">
        <is>
          <t>MS-M20</t>
        </is>
      </c>
      <c r="L3114" s="6" t="n">
        <v>46323</v>
      </c>
      <c r="M3114" s="4" t="inlineStr">
        <is>
          <t>Approved</t>
        </is>
      </c>
      <c r="N3114" s="4" t="inlineStr">
        <is>
          <t>faq</t>
        </is>
      </c>
    </row>
    <row r="3115" ht="68" customHeight="1">
      <c r="A3115" s="8" t="inlineStr">
        <is>
          <t>M20-P0075</t>
        </is>
      </c>
      <c r="B3115" s="8" t="inlineStr">
        <is>
          <t>M20</t>
        </is>
      </c>
      <c r="C3115" s="8" t="inlineStr">
        <is>
          <t>Mahatma Jyotirao Phule Jan Arogya Yojana</t>
        </is>
      </c>
      <c r="D3115" s="8" t="inlineStr">
        <is>
          <t>FAQ</t>
        </is>
      </c>
      <c r="E3115" s="8" t="inlineStr"/>
      <c r="F3115" s="8" t="inlineStr">
        <is>
          <t>faqs.en.faqs[2]</t>
        </is>
      </c>
      <c r="G3115" s="8" t="inlineStr">
        <is>
          <t>M20@20261028-dcae286f</t>
        </is>
      </c>
      <c r="H3115" s="8" t="n">
        <v>1</v>
      </c>
      <c r="I3115" s="8" t="n">
        <v>1</v>
      </c>
      <c r="J3115" s="8" t="inlineStr">
        <is>
          <t>What is the objective of MJPJAY?
MJPJAY aims to provide cashless, quality medical care to the beneficiaries under the scheme for catastrophic illnesses requiring hospitalization for surgery and treatment under identified specialized services through a network of health care providers.</t>
        </is>
      </c>
      <c r="K3115" s="8" t="inlineStr">
        <is>
          <t>MS-M20</t>
        </is>
      </c>
      <c r="L3115" s="9" t="n">
        <v>46323</v>
      </c>
      <c r="M3115" s="8" t="inlineStr">
        <is>
          <t>Approved</t>
        </is>
      </c>
      <c r="N3115" s="8" t="inlineStr">
        <is>
          <t>faq</t>
        </is>
      </c>
    </row>
    <row r="3116" ht="68" customHeight="1">
      <c r="A3116" s="4" t="inlineStr">
        <is>
          <t>M20-P0076</t>
        </is>
      </c>
      <c r="B3116" s="4" t="inlineStr">
        <is>
          <t>M20</t>
        </is>
      </c>
      <c r="C3116" s="4" t="inlineStr">
        <is>
          <t>Mahatma Jyotirao Phule Jan Arogya Yojana</t>
        </is>
      </c>
      <c r="D3116" s="4" t="inlineStr">
        <is>
          <t>FAQ</t>
        </is>
      </c>
      <c r="E3116" s="4" t="inlineStr"/>
      <c r="F3116" s="4" t="inlineStr">
        <is>
          <t>faqs.en.faqs[3]</t>
        </is>
      </c>
      <c r="G3116" s="4" t="inlineStr">
        <is>
          <t>M20@20261028-dcae286f</t>
        </is>
      </c>
      <c r="H3116" s="4" t="n">
        <v>1</v>
      </c>
      <c r="I3116" s="4" t="n">
        <v>1</v>
      </c>
      <c r="J3116" s="4" t="inlineStr">
        <is>
          <t>How much assistance is available under MJPJAY Yojana?
MJPJAY Yojana 2024 provides coverage up to ₹ 1,50,000/- per policy year per family to meet all expenses related to hospitalization of the beneficiary. For renal transplants, this limit has been increased to ₹ 2,50,000/- per family per policy year.</t>
        </is>
      </c>
      <c r="K3116" s="4" t="inlineStr">
        <is>
          <t>MS-M20</t>
        </is>
      </c>
      <c r="L3116" s="6" t="n">
        <v>46323</v>
      </c>
      <c r="M3116" s="4" t="inlineStr">
        <is>
          <t>Approved</t>
        </is>
      </c>
      <c r="N3116" s="4" t="inlineStr">
        <is>
          <t>faq</t>
        </is>
      </c>
    </row>
    <row r="3117" ht="68" customHeight="1">
      <c r="A3117" s="8" t="inlineStr">
        <is>
          <t>M20-P0077</t>
        </is>
      </c>
      <c r="B3117" s="8" t="inlineStr">
        <is>
          <t>M20</t>
        </is>
      </c>
      <c r="C3117" s="8" t="inlineStr">
        <is>
          <t>Mahatma Jyotirao Phule Jan Arogya Yojana</t>
        </is>
      </c>
      <c r="D3117" s="8" t="inlineStr">
        <is>
          <t>FAQ</t>
        </is>
      </c>
      <c r="E3117" s="8" t="inlineStr"/>
      <c r="F3117" s="8" t="inlineStr">
        <is>
          <t>faqs.en.faqs[4]</t>
        </is>
      </c>
      <c r="G3117" s="8" t="inlineStr">
        <is>
          <t>M20@20261028-dcae286f</t>
        </is>
      </c>
      <c r="H3117" s="8" t="n">
        <v>1</v>
      </c>
      <c r="I3117" s="8" t="n">
        <v>1</v>
      </c>
      <c r="J3117" s="8" t="inlineStr">
        <is>
          <t>Who is eligible for receiving Maintenance Haemodialysis treatment under MJPJAY?
A patient suffering from chronic kidney disease requiring maintenance HD and who has a health card is eligible. If the patient does not have a health card, he or she should have an orange or yellow ration card or an Antyodaya or Annapurna card along with valid ID proof.</t>
        </is>
      </c>
      <c r="K3117" s="8" t="inlineStr">
        <is>
          <t>MS-M20</t>
        </is>
      </c>
      <c r="L3117" s="9" t="n">
        <v>46323</v>
      </c>
      <c r="M3117" s="8" t="inlineStr">
        <is>
          <t>Approved</t>
        </is>
      </c>
      <c r="N3117" s="8" t="inlineStr">
        <is>
          <t>faq</t>
        </is>
      </c>
    </row>
    <row r="3118" ht="362" customHeight="1">
      <c r="A3118" s="4" t="inlineStr">
        <is>
          <t>M20-P0078</t>
        </is>
      </c>
      <c r="B3118" s="4" t="inlineStr">
        <is>
          <t>M20</t>
        </is>
      </c>
      <c r="C3118" s="4" t="inlineStr">
        <is>
          <t>Mahatma Jyotirao Phule Jan Arogya Yojana</t>
        </is>
      </c>
      <c r="D3118" s="4" t="inlineStr">
        <is>
          <t>FAQ</t>
        </is>
      </c>
      <c r="E3118" s="4" t="inlineStr"/>
      <c r="F3118" s="4" t="inlineStr">
        <is>
          <t>faqs.en.faqs[5]</t>
        </is>
      </c>
      <c r="G3118" s="4" t="inlineStr">
        <is>
          <t>M20@20261028-dcae286f</t>
        </is>
      </c>
      <c r="H3118" s="4" t="n">
        <v>1</v>
      </c>
      <c r="I3118" s="4" t="n">
        <v>1</v>
      </c>
      <c r="J3118" s="4" t="inlineStr">
        <is>
          <t>Which services are provided under package of Maintenance Haemodialysis under MJPJAY for the patient?
The package includes pre- and post-treatment diagnostics,consultation, hospital charges, consumables, and medicines.
The detailed package is as follows:
&gt;&gt; Investigations
Creatinine tests (Monthly)
Complete blood count (CBC, Monthly)
HIV/Hep.A/Hep.C tests (once every three months)
Serum electrolytes (as per advise)
Blood glucose, if required
&gt;&gt; Consultion
Clinical examination by Nephrologist/Medical Cordinator.
&gt;&gt; Consumable
-Dialyser (It will be used upto optimal capacity and replaced if needed free of charge under scheme),
-Tubing (It will be used upto optimal capacity and replaced if needed free of charge under scheme),
- Fistula Needle (It will be used upto optimal capacity and replaced if needed free of charge under scheme).
- IV fluids,
- Haemodialysis Part A/B and
o Heparin.
&gt;&gt; Medicines
Inj. Erythropoetin, as per the advice of Nephrologist</t>
        </is>
      </c>
      <c r="K3118" s="4" t="inlineStr">
        <is>
          <t>MS-M20</t>
        </is>
      </c>
      <c r="L3118" s="6" t="n">
        <v>46323</v>
      </c>
      <c r="M3118" s="4" t="inlineStr">
        <is>
          <t>Approved</t>
        </is>
      </c>
      <c r="N3118" s="4" t="inlineStr">
        <is>
          <t>faq</t>
        </is>
      </c>
    </row>
    <row r="3119" ht="54" customHeight="1">
      <c r="A3119" s="8" t="inlineStr">
        <is>
          <t>M20-P0079</t>
        </is>
      </c>
      <c r="B3119" s="8" t="inlineStr">
        <is>
          <t>M20</t>
        </is>
      </c>
      <c r="C3119" s="8" t="inlineStr">
        <is>
          <t>Mahatma Jyotirao Phule Jan Arogya Yojana</t>
        </is>
      </c>
      <c r="D3119" s="8" t="inlineStr">
        <is>
          <t>FAQ</t>
        </is>
      </c>
      <c r="E3119" s="8" t="inlineStr"/>
      <c r="F3119" s="8" t="inlineStr">
        <is>
          <t>faqs.en.faqs[6]</t>
        </is>
      </c>
      <c r="G3119" s="8" t="inlineStr">
        <is>
          <t>M20@20261028-dcae286f</t>
        </is>
      </c>
      <c r="H3119" s="8" t="n">
        <v>1</v>
      </c>
      <c r="I3119" s="8" t="n">
        <v>1</v>
      </c>
      <c r="J3119" s="8" t="inlineStr">
        <is>
          <t>What should be frequency of dialysis cycles under MJPJAY for each approved preauth?
The frequency of dialysis should be a minimum of 8 cycles and a maximum of 12 cycles, as recommended by the nephrologist or medical coordinator based on his or her serum creatinine level.</t>
        </is>
      </c>
      <c r="K3119" s="8" t="inlineStr">
        <is>
          <t>MS-M20</t>
        </is>
      </c>
      <c r="L3119" s="9" t="n">
        <v>46323</v>
      </c>
      <c r="M3119" s="8" t="inlineStr">
        <is>
          <t>Approved</t>
        </is>
      </c>
      <c r="N3119" s="8" t="inlineStr">
        <is>
          <t>faq</t>
        </is>
      </c>
    </row>
    <row r="3120" ht="54" customHeight="1">
      <c r="A3120" s="4" t="inlineStr">
        <is>
          <t>M20-P0080</t>
        </is>
      </c>
      <c r="B3120" s="4" t="inlineStr">
        <is>
          <t>M20</t>
        </is>
      </c>
      <c r="C3120" s="4" t="inlineStr">
        <is>
          <t>Mahatma Jyotirao Phule Jan Arogya Yojana</t>
        </is>
      </c>
      <c r="D3120" s="4" t="inlineStr">
        <is>
          <t>FAQ</t>
        </is>
      </c>
      <c r="E3120" s="4" t="inlineStr"/>
      <c r="F3120" s="4" t="inlineStr">
        <is>
          <t>faqs.en.faqs[7]</t>
        </is>
      </c>
      <c r="G3120" s="4" t="inlineStr">
        <is>
          <t>M20@20261028-dcae286f</t>
        </is>
      </c>
      <c r="H3120" s="4" t="n">
        <v>1</v>
      </c>
      <c r="I3120" s="4" t="n">
        <v>1</v>
      </c>
      <c r="J3120" s="4" t="inlineStr">
        <is>
          <t>Does patient have to pay any extra money for treatment?
No. The patient should not pay any extra money to the hospital or center for services that are covered under the approved package.</t>
        </is>
      </c>
      <c r="K3120" s="4" t="inlineStr">
        <is>
          <t>MS-M20</t>
        </is>
      </c>
      <c r="L3120" s="6" t="n">
        <v>46323</v>
      </c>
      <c r="M3120" s="4" t="inlineStr">
        <is>
          <t>Approved</t>
        </is>
      </c>
      <c r="N3120" s="4" t="inlineStr">
        <is>
          <t>faq</t>
        </is>
      </c>
    </row>
    <row r="3121" ht="110" customHeight="1">
      <c r="A3121" s="8" t="inlineStr">
        <is>
          <t>M20-P0081</t>
        </is>
      </c>
      <c r="B3121" s="8" t="inlineStr">
        <is>
          <t>M20</t>
        </is>
      </c>
      <c r="C3121" s="8" t="inlineStr">
        <is>
          <t>Mahatma Jyotirao Phule Jan Arogya Yojana</t>
        </is>
      </c>
      <c r="D3121" s="8" t="inlineStr">
        <is>
          <t>FAQ</t>
        </is>
      </c>
      <c r="E3121" s="8" t="inlineStr"/>
      <c r="F3121" s="8" t="inlineStr">
        <is>
          <t>faqs.en.faqs[8]</t>
        </is>
      </c>
      <c r="G3121" s="8" t="inlineStr">
        <is>
          <t>M20@20261028-dcae286f</t>
        </is>
      </c>
      <c r="H3121" s="8" t="n">
        <v>1</v>
      </c>
      <c r="I3121" s="8" t="n">
        <v>1</v>
      </c>
      <c r="J3121" s="8" t="inlineStr">
        <is>
          <t>Will Balance Sum Insured used for dialysis patient limit other household members to avail services under MJPJAY?
The maximum sum assured under MJPJAY is ₹ 1,50,000/- per family, on a family-floater basis. If the dialysis patient has utilized a particular amount from the sum assured, other family members can still avail services under MJPJAY till the total amount of ₹ 1,50,000/- gets exhausted. This amount of Sum Insured cannot get extended under any circumstances (except if patient requires a renal transplant, where BSI will be considered as ₹ 2,50,000/-)</t>
        </is>
      </c>
      <c r="K3121" s="8" t="inlineStr">
        <is>
          <t>MS-M20</t>
        </is>
      </c>
      <c r="L3121" s="9" t="n">
        <v>46323</v>
      </c>
      <c r="M3121" s="8" t="inlineStr">
        <is>
          <t>Approved</t>
        </is>
      </c>
      <c r="N3121" s="8" t="inlineStr">
        <is>
          <t>faq</t>
        </is>
      </c>
    </row>
    <row r="3122" ht="82" customHeight="1">
      <c r="A3122" s="4" t="inlineStr">
        <is>
          <t>M20-P0082</t>
        </is>
      </c>
      <c r="B3122" s="4" t="inlineStr">
        <is>
          <t>M20</t>
        </is>
      </c>
      <c r="C3122" s="4" t="inlineStr">
        <is>
          <t>Mahatma Jyotirao Phule Jan Arogya Yojana</t>
        </is>
      </c>
      <c r="D3122" s="4" t="inlineStr">
        <is>
          <t>FAQ</t>
        </is>
      </c>
      <c r="E3122" s="4" t="inlineStr"/>
      <c r="F3122" s="4" t="inlineStr">
        <is>
          <t>faqs.en.faqs[9]</t>
        </is>
      </c>
      <c r="G3122" s="4" t="inlineStr">
        <is>
          <t>M20@20261028-dcae286f</t>
        </is>
      </c>
      <c r="H3122" s="4" t="n">
        <v>1</v>
      </c>
      <c r="I3122" s="4" t="n">
        <v>1</v>
      </c>
      <c r="J3122" s="4" t="inlineStr">
        <is>
          <t>Can HIV or HCV positive cases avail Maintenance Haemodialysis service under MJPJAY ?
Yes. If a patient is a beneficiary of MJPJAY and is HIV or HCV positive, then he or she can still avail services under MJPJAY. Empanelled hospitals and stand-alone dialysis centers must have dedicated machines for HIV or HCV-positive patients. Under no circumstances shall these units be used for other patients.</t>
        </is>
      </c>
      <c r="K3122" s="4" t="inlineStr">
        <is>
          <t>MS-M20</t>
        </is>
      </c>
      <c r="L3122" s="6" t="n">
        <v>46323</v>
      </c>
      <c r="M3122" s="4" t="inlineStr">
        <is>
          <t>Approved</t>
        </is>
      </c>
      <c r="N3122" s="4" t="inlineStr">
        <is>
          <t>faq</t>
        </is>
      </c>
    </row>
    <row r="3123" ht="40" customHeight="1">
      <c r="A3123" s="8" t="inlineStr">
        <is>
          <t>M20-P0083</t>
        </is>
      </c>
      <c r="B3123" s="8" t="inlineStr">
        <is>
          <t>M20</t>
        </is>
      </c>
      <c r="C3123" s="8" t="inlineStr">
        <is>
          <t>Mahatma Jyotirao Phule Jan Arogya Yojana</t>
        </is>
      </c>
      <c r="D3123" s="8" t="inlineStr">
        <is>
          <t>FAQ</t>
        </is>
      </c>
      <c r="E3123" s="8" t="inlineStr"/>
      <c r="F3123" s="8" t="inlineStr">
        <is>
          <t>faqs.en.faqs[10]</t>
        </is>
      </c>
      <c r="G3123" s="8" t="inlineStr">
        <is>
          <t>M20@20261028-dcae286f</t>
        </is>
      </c>
      <c r="H3123" s="8" t="n">
        <v>1</v>
      </c>
      <c r="I3123" s="8" t="n">
        <v>1</v>
      </c>
      <c r="J3123" s="8" t="inlineStr">
        <is>
          <t>If patient requires blood transfusion, is cost of blood transfusion covered under package?
No. Maintenance Haemodialysis package does not cover the cost of a blood transfusion.</t>
        </is>
      </c>
      <c r="K3123" s="8" t="inlineStr">
        <is>
          <t>MS-M20</t>
        </is>
      </c>
      <c r="L3123" s="9" t="n">
        <v>46323</v>
      </c>
      <c r="M3123" s="8" t="inlineStr">
        <is>
          <t>Approved</t>
        </is>
      </c>
      <c r="N3123" s="8" t="inlineStr">
        <is>
          <t>faq</t>
        </is>
      </c>
    </row>
    <row r="3124" ht="82" customHeight="1">
      <c r="A3124" s="4" t="inlineStr">
        <is>
          <t>M20-P0084</t>
        </is>
      </c>
      <c r="B3124" s="4" t="inlineStr">
        <is>
          <t>M20</t>
        </is>
      </c>
      <c r="C3124" s="4" t="inlineStr">
        <is>
          <t>Mahatma Jyotirao Phule Jan Arogya Yojana</t>
        </is>
      </c>
      <c r="D3124" s="4" t="inlineStr">
        <is>
          <t>FAQ</t>
        </is>
      </c>
      <c r="E3124" s="4" t="inlineStr"/>
      <c r="F3124" s="4" t="inlineStr">
        <is>
          <t>faqs.en.faqs[11]</t>
        </is>
      </c>
      <c r="G3124" s="4" t="inlineStr">
        <is>
          <t>M20@20261028-dcae286f</t>
        </is>
      </c>
      <c r="H3124" s="4" t="n">
        <v>1</v>
      </c>
      <c r="I3124" s="4" t="n">
        <v>1</v>
      </c>
      <c r="J3124" s="4" t="inlineStr">
        <is>
          <t>In case of a query or to register a complaint what should I do ?
In case of a query, you can contact Arogyamitra or call the toll-free number. Arogyamitra is available round the clock in the hospital or center and will facilitate and guide you if any problem arises. But if you are not satisfied, then call our toll-free numbers, 155388 or 18002332200, to register a complaint.</t>
        </is>
      </c>
      <c r="K3124" s="4" t="inlineStr">
        <is>
          <t>MS-M20</t>
        </is>
      </c>
      <c r="L3124" s="6" t="n">
        <v>46323</v>
      </c>
      <c r="M3124" s="4" t="inlineStr">
        <is>
          <t>Approved</t>
        </is>
      </c>
      <c r="N3124" s="4" t="inlineStr">
        <is>
          <t>faq</t>
        </is>
      </c>
    </row>
    <row r="3125" ht="68" customHeight="1">
      <c r="A3125" s="8" t="inlineStr">
        <is>
          <t>M21-P0001</t>
        </is>
      </c>
      <c r="B3125" s="8" t="inlineStr">
        <is>
          <t>M21</t>
        </is>
      </c>
      <c r="C3125" s="8" t="inlineStr">
        <is>
          <t>Mukhyamantri Yuva Karya Prashikshan Yojana</t>
        </is>
      </c>
      <c r="D3125" s="8" t="inlineStr">
        <is>
          <t>Details</t>
        </is>
      </c>
      <c r="E3125" s="8" t="inlineStr"/>
      <c r="F3125" s="8" t="inlineStr">
        <is>
          <t>en.schemeContent.detailedDescription[0]</t>
        </is>
      </c>
      <c r="G3125" s="8" t="inlineStr">
        <is>
          <t>M21@20261028-91a37a49</t>
        </is>
      </c>
      <c r="H3125" s="8" t="n">
        <v>1</v>
      </c>
      <c r="I3125" s="8" t="n">
        <v>1</v>
      </c>
      <c r="J3125" s="8" t="inlineStr">
        <is>
          <t>The Mukhyamantri Yuva Karya Prashikshan Yojana scheme was launched by the Department of Skill, Employment, Entrepreneurship and Innovation to enhance candidates' employability through practical training with entrepreneurs. The scheme budget of ₹5,500 crore, and the training programs for approximately 10 lakh candidates per year.</t>
        </is>
      </c>
      <c r="K3125" s="8" t="inlineStr">
        <is>
          <t>MS-M21</t>
        </is>
      </c>
      <c r="L3125" s="9" t="n">
        <v>46323</v>
      </c>
      <c r="M3125" s="8" t="inlineStr">
        <is>
          <t>Approved</t>
        </is>
      </c>
      <c r="N3125" s="8" t="inlineStr">
        <is>
          <t>paragraph</t>
        </is>
      </c>
    </row>
    <row r="3126" ht="40" customHeight="1">
      <c r="A3126" s="4" t="inlineStr">
        <is>
          <t>M21-P0002</t>
        </is>
      </c>
      <c r="B3126" s="4" t="inlineStr">
        <is>
          <t>M21</t>
        </is>
      </c>
      <c r="C3126" s="4" t="inlineStr">
        <is>
          <t>Mukhyamantri Yuva Karya Prashikshan Yojana</t>
        </is>
      </c>
      <c r="D3126" s="4" t="inlineStr">
        <is>
          <t>Details</t>
        </is>
      </c>
      <c r="E3126" s="4" t="inlineStr"/>
      <c r="F3126" s="4" t="inlineStr">
        <is>
          <t>en.schemeContent.detailedDescription[2]</t>
        </is>
      </c>
      <c r="G3126" s="4" t="inlineStr">
        <is>
          <t>M21@20261028-91a37a49</t>
        </is>
      </c>
      <c r="H3126" s="4" t="n">
        <v>1</v>
      </c>
      <c r="I3126" s="4" t="n">
        <v>1</v>
      </c>
      <c r="J3126" s="4" t="inlineStr">
        <is>
          <t>Training Duration: Job Training will be for 6 months.</t>
        </is>
      </c>
      <c r="K3126" s="4" t="inlineStr">
        <is>
          <t>MS-M21</t>
        </is>
      </c>
      <c r="L3126" s="6" t="n">
        <v>46323</v>
      </c>
      <c r="M3126" s="4" t="inlineStr">
        <is>
          <t>Approved</t>
        </is>
      </c>
      <c r="N3126" s="4" t="inlineStr">
        <is>
          <t>paragraph</t>
        </is>
      </c>
    </row>
    <row r="3127" ht="40" customHeight="1">
      <c r="A3127" s="8" t="inlineStr">
        <is>
          <t>M21-P0003</t>
        </is>
      </c>
      <c r="B3127" s="8" t="inlineStr">
        <is>
          <t>M21</t>
        </is>
      </c>
      <c r="C3127" s="8" t="inlineStr">
        <is>
          <t>Mukhyamantri Yuva Karya Prashikshan Yojana</t>
        </is>
      </c>
      <c r="D3127" s="8" t="inlineStr">
        <is>
          <t>Benefits</t>
        </is>
      </c>
      <c r="E3127" s="8" t="inlineStr">
        <is>
          <t>Stipend:</t>
        </is>
      </c>
      <c r="F3127" s="8" t="inlineStr">
        <is>
          <t>en.schemeContent.benefits[0]</t>
        </is>
      </c>
      <c r="G3127" s="8" t="inlineStr">
        <is>
          <t>M21@20261028-91a37a49</t>
        </is>
      </c>
      <c r="H3127" s="8" t="n">
        <v>1</v>
      </c>
      <c r="I3127" s="8" t="n">
        <v>1</v>
      </c>
      <c r="J3127" s="8" t="inlineStr">
        <is>
          <t>Stipend:</t>
        </is>
      </c>
      <c r="K3127" s="8" t="inlineStr">
        <is>
          <t>MS-M21</t>
        </is>
      </c>
      <c r="L3127" s="9" t="n">
        <v>46323</v>
      </c>
      <c r="M3127" s="8" t="inlineStr">
        <is>
          <t>Approved</t>
        </is>
      </c>
      <c r="N3127" s="8" t="inlineStr">
        <is>
          <t>paragraph</t>
        </is>
      </c>
    </row>
    <row r="3128" ht="40" customHeight="1">
      <c r="A3128" s="4" t="inlineStr">
        <is>
          <t>M21-P0004</t>
        </is>
      </c>
      <c r="B3128" s="4" t="inlineStr">
        <is>
          <t>M21</t>
        </is>
      </c>
      <c r="C3128" s="4" t="inlineStr">
        <is>
          <t>Mukhyamantri Yuva Karya Prashikshan Yojana</t>
        </is>
      </c>
      <c r="D3128" s="4" t="inlineStr">
        <is>
          <t>Benefits</t>
        </is>
      </c>
      <c r="E3128" s="4" t="inlineStr">
        <is>
          <t>Stipend:</t>
        </is>
      </c>
      <c r="F3128" s="4" t="inlineStr">
        <is>
          <t>en.schemeContent.benefits[1]</t>
        </is>
      </c>
      <c r="G3128" s="4" t="inlineStr">
        <is>
          <t>M21@20261028-91a37a49</t>
        </is>
      </c>
      <c r="H3128" s="4" t="n">
        <v>1</v>
      </c>
      <c r="I3128" s="4" t="n">
        <v>1</v>
      </c>
      <c r="J3128" s="4" t="inlineStr">
        <is>
          <t>12th Pass - 6,000/-</t>
        </is>
      </c>
      <c r="K3128" s="4" t="inlineStr">
        <is>
          <t>MS-M21</t>
        </is>
      </c>
      <c r="L3128" s="6" t="n">
        <v>46323</v>
      </c>
      <c r="M3128" s="4" t="inlineStr">
        <is>
          <t>Approved</t>
        </is>
      </c>
      <c r="N3128" s="4" t="inlineStr">
        <is>
          <t>paragraph</t>
        </is>
      </c>
    </row>
    <row r="3129" ht="40" customHeight="1">
      <c r="A3129" s="8" t="inlineStr">
        <is>
          <t>M21-P0005</t>
        </is>
      </c>
      <c r="B3129" s="8" t="inlineStr">
        <is>
          <t>M21</t>
        </is>
      </c>
      <c r="C3129" s="8" t="inlineStr">
        <is>
          <t>Mukhyamantri Yuva Karya Prashikshan Yojana</t>
        </is>
      </c>
      <c r="D3129" s="8" t="inlineStr">
        <is>
          <t>Benefits</t>
        </is>
      </c>
      <c r="E3129" s="8" t="inlineStr">
        <is>
          <t>Stipend:</t>
        </is>
      </c>
      <c r="F3129" s="8" t="inlineStr">
        <is>
          <t>en.schemeContent.benefits[2]</t>
        </is>
      </c>
      <c r="G3129" s="8" t="inlineStr">
        <is>
          <t>M21@20261028-91a37a49</t>
        </is>
      </c>
      <c r="H3129" s="8" t="n">
        <v>1</v>
      </c>
      <c r="I3129" s="8" t="n">
        <v>1</v>
      </c>
      <c r="J3129" s="8" t="inlineStr">
        <is>
          <t>ITI / Diploma - 8,000/-</t>
        </is>
      </c>
      <c r="K3129" s="8" t="inlineStr">
        <is>
          <t>MS-M21</t>
        </is>
      </c>
      <c r="L3129" s="9" t="n">
        <v>46323</v>
      </c>
      <c r="M3129" s="8" t="inlineStr">
        <is>
          <t>Approved</t>
        </is>
      </c>
      <c r="N3129" s="8" t="inlineStr">
        <is>
          <t>paragraph</t>
        </is>
      </c>
    </row>
    <row r="3130" ht="40" customHeight="1">
      <c r="A3130" s="4" t="inlineStr">
        <is>
          <t>M21-P0006</t>
        </is>
      </c>
      <c r="B3130" s="4" t="inlineStr">
        <is>
          <t>M21</t>
        </is>
      </c>
      <c r="C3130" s="4" t="inlineStr">
        <is>
          <t>Mukhyamantri Yuva Karya Prashikshan Yojana</t>
        </is>
      </c>
      <c r="D3130" s="4" t="inlineStr">
        <is>
          <t>Benefits</t>
        </is>
      </c>
      <c r="E3130" s="4" t="inlineStr">
        <is>
          <t>Stipend:</t>
        </is>
      </c>
      <c r="F3130" s="4" t="inlineStr">
        <is>
          <t>en.schemeContent.benefits[3]</t>
        </is>
      </c>
      <c r="G3130" s="4" t="inlineStr">
        <is>
          <t>M21@20261028-91a37a49</t>
        </is>
      </c>
      <c r="H3130" s="4" t="n">
        <v>1</v>
      </c>
      <c r="I3130" s="4" t="n">
        <v>1</v>
      </c>
      <c r="J3130" s="4" t="inlineStr">
        <is>
          <t>Degree / Post Graduation - 10,000/-</t>
        </is>
      </c>
      <c r="K3130" s="4" t="inlineStr">
        <is>
          <t>MS-M21</t>
        </is>
      </c>
      <c r="L3130" s="6" t="n">
        <v>46323</v>
      </c>
      <c r="M3130" s="4" t="inlineStr">
        <is>
          <t>Approved</t>
        </is>
      </c>
      <c r="N3130" s="4" t="inlineStr">
        <is>
          <t>paragraph</t>
        </is>
      </c>
    </row>
    <row r="3131" ht="40" customHeight="1">
      <c r="A3131" s="8" t="inlineStr">
        <is>
          <t>M21-P0007</t>
        </is>
      </c>
      <c r="B3131" s="8" t="inlineStr">
        <is>
          <t>M21</t>
        </is>
      </c>
      <c r="C3131" s="8" t="inlineStr">
        <is>
          <t>Mukhyamantri Yuva Karya Prashikshan Yojana</t>
        </is>
      </c>
      <c r="D3131" s="8" t="inlineStr">
        <is>
          <t>Benefits</t>
        </is>
      </c>
      <c r="E3131" s="8" t="inlineStr">
        <is>
          <t>Stipend:</t>
        </is>
      </c>
      <c r="F3131" s="8" t="inlineStr">
        <is>
          <t>en.schemeContent.benefits[5]</t>
        </is>
      </c>
      <c r="G3131" s="8" t="inlineStr">
        <is>
          <t>M21@20261028-91a37a49</t>
        </is>
      </c>
      <c r="H3131" s="8" t="n">
        <v>1</v>
      </c>
      <c r="I3131" s="8" t="n">
        <v>1</v>
      </c>
      <c r="J3131" s="8" t="inlineStr">
        <is>
          <t>Note: Stipends are transferred directly to trainees' bank accounts linked with Aadhaar.</t>
        </is>
      </c>
      <c r="K3131" s="8" t="inlineStr">
        <is>
          <t>MS-M21</t>
        </is>
      </c>
      <c r="L3131" s="9" t="n">
        <v>46323</v>
      </c>
      <c r="M3131" s="8" t="inlineStr">
        <is>
          <t>Approved</t>
        </is>
      </c>
      <c r="N3131" s="8" t="inlineStr">
        <is>
          <t>paragraph</t>
        </is>
      </c>
    </row>
    <row r="3132" ht="40" customHeight="1">
      <c r="A3132" s="4" t="inlineStr">
        <is>
          <t>M21-P0008</t>
        </is>
      </c>
      <c r="B3132" s="4" t="inlineStr">
        <is>
          <t>M21</t>
        </is>
      </c>
      <c r="C3132" s="4" t="inlineStr">
        <is>
          <t>Mukhyamantri Yuva Karya Prashikshan Yojana</t>
        </is>
      </c>
      <c r="D3132" s="4" t="inlineStr">
        <is>
          <t>Eligibility</t>
        </is>
      </c>
      <c r="E3132" s="4" t="inlineStr"/>
      <c r="F3132" s="4" t="inlineStr">
        <is>
          <t>en.eligibilityCriteria.eligibilityDescription[0].children[0]</t>
        </is>
      </c>
      <c r="G3132" s="4" t="inlineStr">
        <is>
          <t>M21@20261028-91a37a49</t>
        </is>
      </c>
      <c r="H3132" s="4" t="n">
        <v>1</v>
      </c>
      <c r="I3132" s="4" t="n">
        <v>1</v>
      </c>
      <c r="J3132" s="4" t="inlineStr">
        <is>
          <t>The candidate should be a resident of Maharashtra.</t>
        </is>
      </c>
      <c r="K3132" s="4" t="inlineStr">
        <is>
          <t>MS-M21</t>
        </is>
      </c>
      <c r="L3132" s="6" t="n">
        <v>46323</v>
      </c>
      <c r="M3132" s="4" t="inlineStr">
        <is>
          <t>Approved</t>
        </is>
      </c>
      <c r="N3132" s="4" t="inlineStr">
        <is>
          <t>list_item</t>
        </is>
      </c>
    </row>
    <row r="3133" ht="40" customHeight="1">
      <c r="A3133" s="8" t="inlineStr">
        <is>
          <t>M21-P0009</t>
        </is>
      </c>
      <c r="B3133" s="8" t="inlineStr">
        <is>
          <t>M21</t>
        </is>
      </c>
      <c r="C3133" s="8" t="inlineStr">
        <is>
          <t>Mukhyamantri Yuva Karya Prashikshan Yojana</t>
        </is>
      </c>
      <c r="D3133" s="8" t="inlineStr">
        <is>
          <t>Eligibility</t>
        </is>
      </c>
      <c r="E3133" s="8" t="inlineStr"/>
      <c r="F3133" s="8" t="inlineStr">
        <is>
          <t>en.eligibilityCriteria.eligibilityDescription[0].children[1]</t>
        </is>
      </c>
      <c r="G3133" s="8" t="inlineStr">
        <is>
          <t>M21@20261028-91a37a49</t>
        </is>
      </c>
      <c r="H3133" s="8" t="n">
        <v>1</v>
      </c>
      <c r="I3133" s="8" t="n">
        <v>1</v>
      </c>
      <c r="J3133" s="8" t="inlineStr">
        <is>
          <t>The candidate's age should be between 18 to 35.</t>
        </is>
      </c>
      <c r="K3133" s="8" t="inlineStr">
        <is>
          <t>MS-M21</t>
        </is>
      </c>
      <c r="L3133" s="9" t="n">
        <v>46323</v>
      </c>
      <c r="M3133" s="8" t="inlineStr">
        <is>
          <t>Approved</t>
        </is>
      </c>
      <c r="N3133" s="8" t="inlineStr">
        <is>
          <t>list_item</t>
        </is>
      </c>
    </row>
    <row r="3134" ht="40" customHeight="1">
      <c r="A3134" s="4" t="inlineStr">
        <is>
          <t>M21-P0010</t>
        </is>
      </c>
      <c r="B3134" s="4" t="inlineStr">
        <is>
          <t>M21</t>
        </is>
      </c>
      <c r="C3134" s="4" t="inlineStr">
        <is>
          <t>Mukhyamantri Yuva Karya Prashikshan Yojana</t>
        </is>
      </c>
      <c r="D3134" s="4" t="inlineStr">
        <is>
          <t>Eligibility</t>
        </is>
      </c>
      <c r="E3134" s="4" t="inlineStr"/>
      <c r="F3134" s="4" t="inlineStr">
        <is>
          <t>en.eligibilityCriteria.eligibilityDescription[0].children[2]</t>
        </is>
      </c>
      <c r="G3134" s="4" t="inlineStr">
        <is>
          <t>M21@20261028-91a37a49</t>
        </is>
      </c>
      <c r="H3134" s="4" t="n">
        <v>1</v>
      </c>
      <c r="I3134" s="4" t="n">
        <v>1</v>
      </c>
      <c r="J3134" s="4" t="inlineStr">
        <is>
          <t>The candidate should have minimum education criteria of 12th Pass/ITI/Diploma/Graduation/Post Graduation.</t>
        </is>
      </c>
      <c r="K3134" s="4" t="inlineStr">
        <is>
          <t>MS-M21</t>
        </is>
      </c>
      <c r="L3134" s="6" t="n">
        <v>46323</v>
      </c>
      <c r="M3134" s="4" t="inlineStr">
        <is>
          <t>Approved</t>
        </is>
      </c>
      <c r="N3134" s="4" t="inlineStr">
        <is>
          <t>list_item</t>
        </is>
      </c>
    </row>
    <row r="3135" ht="40" customHeight="1">
      <c r="A3135" s="8" t="inlineStr">
        <is>
          <t>M21-P0011</t>
        </is>
      </c>
      <c r="B3135" s="8" t="inlineStr">
        <is>
          <t>M21</t>
        </is>
      </c>
      <c r="C3135" s="8" t="inlineStr">
        <is>
          <t>Mukhyamantri Yuva Karya Prashikshan Yojana</t>
        </is>
      </c>
      <c r="D3135" s="8" t="inlineStr">
        <is>
          <t>Eligibility</t>
        </is>
      </c>
      <c r="E3135" s="8" t="inlineStr"/>
      <c r="F3135" s="8" t="inlineStr">
        <is>
          <t>en.eligibilityCriteria.eligibilityDescription[0].children[3]</t>
        </is>
      </c>
      <c r="G3135" s="8" t="inlineStr">
        <is>
          <t>M21@20261028-91a37a49</t>
        </is>
      </c>
      <c r="H3135" s="8" t="n">
        <v>1</v>
      </c>
      <c r="I3135" s="8" t="n">
        <v>1</v>
      </c>
      <c r="J3135" s="8" t="inlineStr">
        <is>
          <t>The candidate should be registered with Aadhaar.</t>
        </is>
      </c>
      <c r="K3135" s="8" t="inlineStr">
        <is>
          <t>MS-M21</t>
        </is>
      </c>
      <c r="L3135" s="9" t="n">
        <v>46323</v>
      </c>
      <c r="M3135" s="8" t="inlineStr">
        <is>
          <t>Approved</t>
        </is>
      </c>
      <c r="N3135" s="8" t="inlineStr">
        <is>
          <t>list_item</t>
        </is>
      </c>
    </row>
    <row r="3136" ht="40" customHeight="1">
      <c r="A3136" s="4" t="inlineStr">
        <is>
          <t>M21-P0012</t>
        </is>
      </c>
      <c r="B3136" s="4" t="inlineStr">
        <is>
          <t>M21</t>
        </is>
      </c>
      <c r="C3136" s="4" t="inlineStr">
        <is>
          <t>Mukhyamantri Yuva Karya Prashikshan Yojana</t>
        </is>
      </c>
      <c r="D3136" s="4" t="inlineStr">
        <is>
          <t>Eligibility</t>
        </is>
      </c>
      <c r="E3136" s="4" t="inlineStr"/>
      <c r="F3136" s="4" t="inlineStr">
        <is>
          <t>en.eligibilityCriteria.eligibilityDescription[0].children[4]</t>
        </is>
      </c>
      <c r="G3136" s="4" t="inlineStr">
        <is>
          <t>M21@20261028-91a37a49</t>
        </is>
      </c>
      <c r="H3136" s="4" t="n">
        <v>1</v>
      </c>
      <c r="I3136" s="4" t="n">
        <v>1</v>
      </c>
      <c r="J3136" s="4" t="inlineStr">
        <is>
          <t>The candidate's bank accounts should be linked with Aadhaar.</t>
        </is>
      </c>
      <c r="K3136" s="4" t="inlineStr">
        <is>
          <t>MS-M21</t>
        </is>
      </c>
      <c r="L3136" s="6" t="n">
        <v>46323</v>
      </c>
      <c r="M3136" s="4" t="inlineStr">
        <is>
          <t>Approved</t>
        </is>
      </c>
      <c r="N3136" s="4" t="inlineStr">
        <is>
          <t>list_item</t>
        </is>
      </c>
    </row>
    <row r="3137" ht="40" customHeight="1">
      <c r="A3137" s="8" t="inlineStr">
        <is>
          <t>M21-P0013</t>
        </is>
      </c>
      <c r="B3137" s="8" t="inlineStr">
        <is>
          <t>M21</t>
        </is>
      </c>
      <c r="C3137" s="8" t="inlineStr">
        <is>
          <t>Mukhyamantri Yuva Karya Prashikshan Yojana</t>
        </is>
      </c>
      <c r="D3137" s="8" t="inlineStr">
        <is>
          <t>Applicant documents</t>
        </is>
      </c>
      <c r="E3137" s="8" t="inlineStr"/>
      <c r="F3137" s="8" t="inlineStr">
        <is>
          <t>documents.en.documents_required[0].children[0]</t>
        </is>
      </c>
      <c r="G3137" s="8" t="inlineStr">
        <is>
          <t>M21@20261028-91a37a49</t>
        </is>
      </c>
      <c r="H3137" s="8" t="n">
        <v>1</v>
      </c>
      <c r="I3137" s="8" t="n">
        <v>1</v>
      </c>
      <c r="J3137" s="8" t="inlineStr">
        <is>
          <t>Passport-size Photograph</t>
        </is>
      </c>
      <c r="K3137" s="8" t="inlineStr">
        <is>
          <t>MS-M21</t>
        </is>
      </c>
      <c r="L3137" s="9" t="n">
        <v>46323</v>
      </c>
      <c r="M3137" s="8" t="inlineStr">
        <is>
          <t>Approved</t>
        </is>
      </c>
      <c r="N3137" s="8" t="inlineStr">
        <is>
          <t>list_item</t>
        </is>
      </c>
    </row>
    <row r="3138" ht="40" customHeight="1">
      <c r="A3138" s="4" t="inlineStr">
        <is>
          <t>M21-P0014</t>
        </is>
      </c>
      <c r="B3138" s="4" t="inlineStr">
        <is>
          <t>M21</t>
        </is>
      </c>
      <c r="C3138" s="4" t="inlineStr">
        <is>
          <t>Mukhyamantri Yuva Karya Prashikshan Yojana</t>
        </is>
      </c>
      <c r="D3138" s="4" t="inlineStr">
        <is>
          <t>Applicant documents</t>
        </is>
      </c>
      <c r="E3138" s="4" t="inlineStr"/>
      <c r="F3138" s="4" t="inlineStr">
        <is>
          <t>documents.en.documents_required[0].children[1]</t>
        </is>
      </c>
      <c r="G3138" s="4" t="inlineStr">
        <is>
          <t>M21@20261028-91a37a49</t>
        </is>
      </c>
      <c r="H3138" s="4" t="n">
        <v>1</v>
      </c>
      <c r="I3138" s="4" t="n">
        <v>1</v>
      </c>
      <c r="J3138" s="4" t="inlineStr">
        <is>
          <t>Aadhaar Card</t>
        </is>
      </c>
      <c r="K3138" s="4" t="inlineStr">
        <is>
          <t>MS-M21</t>
        </is>
      </c>
      <c r="L3138" s="6" t="n">
        <v>46323</v>
      </c>
      <c r="M3138" s="4" t="inlineStr">
        <is>
          <t>Approved</t>
        </is>
      </c>
      <c r="N3138" s="4" t="inlineStr">
        <is>
          <t>list_item</t>
        </is>
      </c>
    </row>
    <row r="3139" ht="40" customHeight="1">
      <c r="A3139" s="8" t="inlineStr">
        <is>
          <t>M21-P0015</t>
        </is>
      </c>
      <c r="B3139" s="8" t="inlineStr">
        <is>
          <t>M21</t>
        </is>
      </c>
      <c r="C3139" s="8" t="inlineStr">
        <is>
          <t>Mukhyamantri Yuva Karya Prashikshan Yojana</t>
        </is>
      </c>
      <c r="D3139" s="8" t="inlineStr">
        <is>
          <t>Applicant documents</t>
        </is>
      </c>
      <c r="E3139" s="8" t="inlineStr"/>
      <c r="F3139" s="8" t="inlineStr">
        <is>
          <t>documents.en.documents_required[0].children[2]</t>
        </is>
      </c>
      <c r="G3139" s="8" t="inlineStr">
        <is>
          <t>M21@20261028-91a37a49</t>
        </is>
      </c>
      <c r="H3139" s="8" t="n">
        <v>1</v>
      </c>
      <c r="I3139" s="8" t="n">
        <v>1</v>
      </c>
      <c r="J3139" s="8" t="inlineStr">
        <is>
          <t>Bank Passbook or Cancelled Cheque</t>
        </is>
      </c>
      <c r="K3139" s="8" t="inlineStr">
        <is>
          <t>MS-M21</t>
        </is>
      </c>
      <c r="L3139" s="9" t="n">
        <v>46323</v>
      </c>
      <c r="M3139" s="8" t="inlineStr">
        <is>
          <t>Approved</t>
        </is>
      </c>
      <c r="N3139" s="8" t="inlineStr">
        <is>
          <t>list_item</t>
        </is>
      </c>
    </row>
    <row r="3140" ht="40" customHeight="1">
      <c r="A3140" s="4" t="inlineStr">
        <is>
          <t>M21-P0016</t>
        </is>
      </c>
      <c r="B3140" s="4" t="inlineStr">
        <is>
          <t>M21</t>
        </is>
      </c>
      <c r="C3140" s="4" t="inlineStr">
        <is>
          <t>Mukhyamantri Yuva Karya Prashikshan Yojana</t>
        </is>
      </c>
      <c r="D3140" s="4" t="inlineStr">
        <is>
          <t>Applicant documents</t>
        </is>
      </c>
      <c r="E3140" s="4" t="inlineStr"/>
      <c r="F3140" s="4" t="inlineStr">
        <is>
          <t>documents.en.documents_required[0].children[3]</t>
        </is>
      </c>
      <c r="G3140" s="4" t="inlineStr">
        <is>
          <t>M21@20261028-91a37a49</t>
        </is>
      </c>
      <c r="H3140" s="4" t="n">
        <v>1</v>
      </c>
      <c r="I3140" s="4" t="n">
        <v>1</v>
      </c>
      <c r="J3140" s="4" t="inlineStr">
        <is>
          <t>Living Certificate</t>
        </is>
      </c>
      <c r="K3140" s="4" t="inlineStr">
        <is>
          <t>MS-M21</t>
        </is>
      </c>
      <c r="L3140" s="6" t="n">
        <v>46323</v>
      </c>
      <c r="M3140" s="4" t="inlineStr">
        <is>
          <t>Approved</t>
        </is>
      </c>
      <c r="N3140" s="4" t="inlineStr">
        <is>
          <t>list_item</t>
        </is>
      </c>
    </row>
    <row r="3141" ht="40" customHeight="1">
      <c r="A3141" s="8" t="inlineStr">
        <is>
          <t>M21-P0017</t>
        </is>
      </c>
      <c r="B3141" s="8" t="inlineStr">
        <is>
          <t>M21</t>
        </is>
      </c>
      <c r="C3141" s="8" t="inlineStr">
        <is>
          <t>Mukhyamantri Yuva Karya Prashikshan Yojana</t>
        </is>
      </c>
      <c r="D3141" s="8" t="inlineStr">
        <is>
          <t>Applicant documents</t>
        </is>
      </c>
      <c r="E3141" s="8" t="inlineStr"/>
      <c r="F3141" s="8" t="inlineStr">
        <is>
          <t>documents.en.documents_required[0].children[4]</t>
        </is>
      </c>
      <c r="G3141" s="8" t="inlineStr">
        <is>
          <t>M21@20261028-91a37a49</t>
        </is>
      </c>
      <c r="H3141" s="8" t="n">
        <v>1</v>
      </c>
      <c r="I3141" s="8" t="n">
        <v>1</v>
      </c>
      <c r="J3141" s="8" t="inlineStr">
        <is>
          <t>Birth Certificate</t>
        </is>
      </c>
      <c r="K3141" s="8" t="inlineStr">
        <is>
          <t>MS-M21</t>
        </is>
      </c>
      <c r="L3141" s="9" t="n">
        <v>46323</v>
      </c>
      <c r="M3141" s="8" t="inlineStr">
        <is>
          <t>Approved</t>
        </is>
      </c>
      <c r="N3141" s="8" t="inlineStr">
        <is>
          <t>list_item</t>
        </is>
      </c>
    </row>
    <row r="3142" ht="40" customHeight="1">
      <c r="A3142" s="4" t="inlineStr">
        <is>
          <t>M21-P0018</t>
        </is>
      </c>
      <c r="B3142" s="4" t="inlineStr">
        <is>
          <t>M21</t>
        </is>
      </c>
      <c r="C3142" s="4" t="inlineStr">
        <is>
          <t>Mukhyamantri Yuva Karya Prashikshan Yojana</t>
        </is>
      </c>
      <c r="D3142" s="4" t="inlineStr">
        <is>
          <t>Applicant documents</t>
        </is>
      </c>
      <c r="E3142" s="4" t="inlineStr"/>
      <c r="F3142" s="4" t="inlineStr">
        <is>
          <t>documents.en.documents_required[0].children[5]</t>
        </is>
      </c>
      <c r="G3142" s="4" t="inlineStr">
        <is>
          <t>M21@20261028-91a37a49</t>
        </is>
      </c>
      <c r="H3142" s="4" t="n">
        <v>1</v>
      </c>
      <c r="I3142" s="4" t="n">
        <v>1</v>
      </c>
      <c r="J3142" s="4" t="inlineStr">
        <is>
          <t>Education Certificate</t>
        </is>
      </c>
      <c r="K3142" s="4" t="inlineStr">
        <is>
          <t>MS-M21</t>
        </is>
      </c>
      <c r="L3142" s="6" t="n">
        <v>46323</v>
      </c>
      <c r="M3142" s="4" t="inlineStr">
        <is>
          <t>Approved</t>
        </is>
      </c>
      <c r="N3142" s="4" t="inlineStr">
        <is>
          <t>list_item</t>
        </is>
      </c>
    </row>
    <row r="3143" ht="40" customHeight="1">
      <c r="A3143" s="8" t="inlineStr">
        <is>
          <t>M21-P0019</t>
        </is>
      </c>
      <c r="B3143" s="8" t="inlineStr">
        <is>
          <t>M21</t>
        </is>
      </c>
      <c r="C3143" s="8" t="inlineStr">
        <is>
          <t>Mukhyamantri Yuva Karya Prashikshan Yojana</t>
        </is>
      </c>
      <c r="D3143" s="8" t="inlineStr">
        <is>
          <t>Applicant documents</t>
        </is>
      </c>
      <c r="E3143" s="8" t="inlineStr"/>
      <c r="F3143" s="8" t="inlineStr">
        <is>
          <t>documents.en.documents_required[0].children[6]</t>
        </is>
      </c>
      <c r="G3143" s="8" t="inlineStr">
        <is>
          <t>M21@20261028-91a37a49</t>
        </is>
      </c>
      <c r="H3143" s="8" t="n">
        <v>1</v>
      </c>
      <c r="I3143" s="8" t="n">
        <v>1</v>
      </c>
      <c r="J3143" s="8" t="inlineStr">
        <is>
          <t>Domicile Certificate or SSC Passing Certificate</t>
        </is>
      </c>
      <c r="K3143" s="8" t="inlineStr">
        <is>
          <t>MS-M21</t>
        </is>
      </c>
      <c r="L3143" s="9" t="n">
        <v>46323</v>
      </c>
      <c r="M3143" s="8" t="inlineStr">
        <is>
          <t>Approved</t>
        </is>
      </c>
      <c r="N3143" s="8" t="inlineStr">
        <is>
          <t>list_item</t>
        </is>
      </c>
    </row>
    <row r="3144" ht="40" customHeight="1">
      <c r="A3144" s="4" t="inlineStr">
        <is>
          <t>M21-P0020</t>
        </is>
      </c>
      <c r="B3144" s="4" t="inlineStr">
        <is>
          <t>M21</t>
        </is>
      </c>
      <c r="C3144" s="4" t="inlineStr">
        <is>
          <t>Mukhyamantri Yuva Karya Prashikshan Yojana</t>
        </is>
      </c>
      <c r="D3144" s="4" t="inlineStr">
        <is>
          <t>Application process</t>
        </is>
      </c>
      <c r="E3144" s="4" t="inlineStr">
        <is>
          <t>Registration Process for Candidate:</t>
        </is>
      </c>
      <c r="F3144" s="4" t="inlineStr">
        <is>
          <t>en.applicationProcess[0].process[0]</t>
        </is>
      </c>
      <c r="G3144" s="4" t="inlineStr">
        <is>
          <t>M21@20261028-91a37a49</t>
        </is>
      </c>
      <c r="H3144" s="4" t="n">
        <v>1</v>
      </c>
      <c r="I3144" s="4" t="n">
        <v>1</v>
      </c>
      <c r="J3144" s="4" t="inlineStr">
        <is>
          <t>Registration Process for Candidate:</t>
        </is>
      </c>
      <c r="K3144" s="4" t="inlineStr">
        <is>
          <t>MS-M21</t>
        </is>
      </c>
      <c r="L3144" s="6" t="n">
        <v>46323</v>
      </c>
      <c r="M3144" s="4" t="inlineStr">
        <is>
          <t>Approved</t>
        </is>
      </c>
      <c r="N3144" s="4" t="inlineStr">
        <is>
          <t>paragraph</t>
        </is>
      </c>
    </row>
    <row r="3145" ht="40" customHeight="1">
      <c r="A3145" s="8" t="inlineStr">
        <is>
          <t>M21-P0021</t>
        </is>
      </c>
      <c r="B3145" s="8" t="inlineStr">
        <is>
          <t>M21</t>
        </is>
      </c>
      <c r="C3145" s="8" t="inlineStr">
        <is>
          <t>Mukhyamantri Yuva Karya Prashikshan Yojana</t>
        </is>
      </c>
      <c r="D3145" s="8" t="inlineStr">
        <is>
          <t>Application process</t>
        </is>
      </c>
      <c r="E3145" s="8" t="inlineStr">
        <is>
          <t>Registration Process for Candidate:</t>
        </is>
      </c>
      <c r="F3145" s="8" t="inlineStr">
        <is>
          <t>en.applicationProcess[0].process[1].children[0]</t>
        </is>
      </c>
      <c r="G3145" s="8" t="inlineStr">
        <is>
          <t>M21@20261028-91a37a49</t>
        </is>
      </c>
      <c r="H3145" s="8" t="n">
        <v>1</v>
      </c>
      <c r="I3145" s="8" t="n">
        <v>1</v>
      </c>
      <c r="J3145" s="8" t="inlineStr">
        <is>
          <t>Go to the official CMYKPY website for job seeker registration and click on “Intern Login”.</t>
        </is>
      </c>
      <c r="K3145" s="8" t="inlineStr">
        <is>
          <t>MS-M21</t>
        </is>
      </c>
      <c r="L3145" s="9" t="n">
        <v>46323</v>
      </c>
      <c r="M3145" s="8" t="inlineStr">
        <is>
          <t>Approved</t>
        </is>
      </c>
      <c r="N3145" s="8" t="inlineStr">
        <is>
          <t>list_item</t>
        </is>
      </c>
    </row>
    <row r="3146" ht="40" customHeight="1">
      <c r="A3146" s="4" t="inlineStr">
        <is>
          <t>M21-P0022</t>
        </is>
      </c>
      <c r="B3146" s="4" t="inlineStr">
        <is>
          <t>M21</t>
        </is>
      </c>
      <c r="C3146" s="4" t="inlineStr">
        <is>
          <t>Mukhyamantri Yuva Karya Prashikshan Yojana</t>
        </is>
      </c>
      <c r="D3146" s="4" t="inlineStr">
        <is>
          <t>Application process</t>
        </is>
      </c>
      <c r="E3146" s="4" t="inlineStr">
        <is>
          <t>Registration Process for Candidate:</t>
        </is>
      </c>
      <c r="F3146" s="4" t="inlineStr">
        <is>
          <t>en.applicationProcess[0].process[1].children[1]</t>
        </is>
      </c>
      <c r="G3146" s="4" t="inlineStr">
        <is>
          <t>M21@20261028-91a37a49</t>
        </is>
      </c>
      <c r="H3146" s="4" t="n">
        <v>1</v>
      </c>
      <c r="I3146" s="4" t="n">
        <v>1</v>
      </c>
      <c r="J3146" s="4" t="inlineStr">
        <is>
          <t>Use your Aadhaar number as the username for your account.</t>
        </is>
      </c>
      <c r="K3146" s="4" t="inlineStr">
        <is>
          <t>MS-M21</t>
        </is>
      </c>
      <c r="L3146" s="6" t="n">
        <v>46323</v>
      </c>
      <c r="M3146" s="4" t="inlineStr">
        <is>
          <t>Approved</t>
        </is>
      </c>
      <c r="N3146" s="4" t="inlineStr">
        <is>
          <t>list_item</t>
        </is>
      </c>
    </row>
    <row r="3147" ht="40" customHeight="1">
      <c r="A3147" s="8" t="inlineStr">
        <is>
          <t>M21-P0023</t>
        </is>
      </c>
      <c r="B3147" s="8" t="inlineStr">
        <is>
          <t>M21</t>
        </is>
      </c>
      <c r="C3147" s="8" t="inlineStr">
        <is>
          <t>Mukhyamantri Yuva Karya Prashikshan Yojana</t>
        </is>
      </c>
      <c r="D3147" s="8" t="inlineStr">
        <is>
          <t>Application process</t>
        </is>
      </c>
      <c r="E3147" s="8" t="inlineStr">
        <is>
          <t>Registration Process for Candidate:</t>
        </is>
      </c>
      <c r="F3147" s="8" t="inlineStr">
        <is>
          <t>en.applicationProcess[0].process[1].children[2]</t>
        </is>
      </c>
      <c r="G3147" s="8" t="inlineStr">
        <is>
          <t>M21@20261028-91a37a49</t>
        </is>
      </c>
      <c r="H3147" s="8" t="n">
        <v>1</v>
      </c>
      <c r="I3147" s="8" t="n">
        <v>1</v>
      </c>
      <c r="J3147" s="8" t="inlineStr">
        <is>
          <t>Fill in your full name, date of birth, gender, email, and mobile number.</t>
        </is>
      </c>
      <c r="K3147" s="8" t="inlineStr">
        <is>
          <t>MS-M21</t>
        </is>
      </c>
      <c r="L3147" s="9" t="n">
        <v>46323</v>
      </c>
      <c r="M3147" s="8" t="inlineStr">
        <is>
          <t>Approved</t>
        </is>
      </c>
      <c r="N3147" s="8" t="inlineStr">
        <is>
          <t>list_item</t>
        </is>
      </c>
    </row>
    <row r="3148" ht="40" customHeight="1">
      <c r="A3148" s="4" t="inlineStr">
        <is>
          <t>M21-P0024</t>
        </is>
      </c>
      <c r="B3148" s="4" t="inlineStr">
        <is>
          <t>M21</t>
        </is>
      </c>
      <c r="C3148" s="4" t="inlineStr">
        <is>
          <t>Mukhyamantri Yuva Karya Prashikshan Yojana</t>
        </is>
      </c>
      <c r="D3148" s="4" t="inlineStr">
        <is>
          <t>Application process</t>
        </is>
      </c>
      <c r="E3148" s="4" t="inlineStr">
        <is>
          <t>Registration Process for Candidate:</t>
        </is>
      </c>
      <c r="F3148" s="4" t="inlineStr">
        <is>
          <t>en.applicationProcess[0].process[1].children[3]</t>
        </is>
      </c>
      <c r="G3148" s="4" t="inlineStr">
        <is>
          <t>M21@20261028-91a37a49</t>
        </is>
      </c>
      <c r="H3148" s="4" t="n">
        <v>1</v>
      </c>
      <c r="I3148" s="4" t="n">
        <v>1</v>
      </c>
      <c r="J3148" s="4" t="inlineStr">
        <is>
          <t>Create a secure password and confirm it.</t>
        </is>
      </c>
      <c r="K3148" s="4" t="inlineStr">
        <is>
          <t>MS-M21</t>
        </is>
      </c>
      <c r="L3148" s="6" t="n">
        <v>46323</v>
      </c>
      <c r="M3148" s="4" t="inlineStr">
        <is>
          <t>Approved</t>
        </is>
      </c>
      <c r="N3148" s="4" t="inlineStr">
        <is>
          <t>list_item</t>
        </is>
      </c>
    </row>
    <row r="3149" ht="40" customHeight="1">
      <c r="A3149" s="8" t="inlineStr">
        <is>
          <t>M21-P0025</t>
        </is>
      </c>
      <c r="B3149" s="8" t="inlineStr">
        <is>
          <t>M21</t>
        </is>
      </c>
      <c r="C3149" s="8" t="inlineStr">
        <is>
          <t>Mukhyamantri Yuva Karya Prashikshan Yojana</t>
        </is>
      </c>
      <c r="D3149" s="8" t="inlineStr">
        <is>
          <t>Application process</t>
        </is>
      </c>
      <c r="E3149" s="8" t="inlineStr">
        <is>
          <t>Registration Process for Candidate:</t>
        </is>
      </c>
      <c r="F3149" s="8" t="inlineStr">
        <is>
          <t>en.applicationProcess[0].process[1].children[4]</t>
        </is>
      </c>
      <c r="G3149" s="8" t="inlineStr">
        <is>
          <t>M21@20261028-91a37a49</t>
        </is>
      </c>
      <c r="H3149" s="8" t="n">
        <v>1</v>
      </c>
      <c r="I3149" s="8" t="n">
        <v>1</v>
      </c>
      <c r="J3149" s="8" t="inlineStr">
        <is>
          <t>After completing all required fields, submit the registration form to finish the process.</t>
        </is>
      </c>
      <c r="K3149" s="8" t="inlineStr">
        <is>
          <t>MS-M21</t>
        </is>
      </c>
      <c r="L3149" s="9" t="n">
        <v>46323</v>
      </c>
      <c r="M3149" s="8" t="inlineStr">
        <is>
          <t>Approved</t>
        </is>
      </c>
      <c r="N3149" s="8" t="inlineStr">
        <is>
          <t>list_item</t>
        </is>
      </c>
    </row>
    <row r="3150" ht="40" customHeight="1">
      <c r="A3150" s="4" t="inlineStr">
        <is>
          <t>M21-P0026</t>
        </is>
      </c>
      <c r="B3150" s="4" t="inlineStr">
        <is>
          <t>M21</t>
        </is>
      </c>
      <c r="C3150" s="4" t="inlineStr">
        <is>
          <t>Mukhyamantri Yuva Karya Prashikshan Yojana</t>
        </is>
      </c>
      <c r="D3150" s="4" t="inlineStr">
        <is>
          <t>Application process</t>
        </is>
      </c>
      <c r="E3150" s="4" t="inlineStr">
        <is>
          <t>Log In Process:</t>
        </is>
      </c>
      <c r="F3150" s="4" t="inlineStr">
        <is>
          <t>en.applicationProcess[0].process[3]</t>
        </is>
      </c>
      <c r="G3150" s="4" t="inlineStr">
        <is>
          <t>M21@20261028-91a37a49</t>
        </is>
      </c>
      <c r="H3150" s="4" t="n">
        <v>1</v>
      </c>
      <c r="I3150" s="4" t="n">
        <v>1</v>
      </c>
      <c r="J3150" s="4" t="inlineStr">
        <is>
          <t>Log In Process:</t>
        </is>
      </c>
      <c r="K3150" s="4" t="inlineStr">
        <is>
          <t>MS-M21</t>
        </is>
      </c>
      <c r="L3150" s="6" t="n">
        <v>46323</v>
      </c>
      <c r="M3150" s="4" t="inlineStr">
        <is>
          <t>Approved</t>
        </is>
      </c>
      <c r="N3150" s="4" t="inlineStr">
        <is>
          <t>paragraph</t>
        </is>
      </c>
    </row>
    <row r="3151" ht="40" customHeight="1">
      <c r="A3151" s="8" t="inlineStr">
        <is>
          <t>M21-P0027</t>
        </is>
      </c>
      <c r="B3151" s="8" t="inlineStr">
        <is>
          <t>M21</t>
        </is>
      </c>
      <c r="C3151" s="8" t="inlineStr">
        <is>
          <t>Mukhyamantri Yuva Karya Prashikshan Yojana</t>
        </is>
      </c>
      <c r="D3151" s="8" t="inlineStr">
        <is>
          <t>Application process</t>
        </is>
      </c>
      <c r="E3151" s="8" t="inlineStr">
        <is>
          <t>Log In Process:</t>
        </is>
      </c>
      <c r="F3151" s="8" t="inlineStr">
        <is>
          <t>en.applicationProcess[0].process[4].children[0]</t>
        </is>
      </c>
      <c r="G3151" s="8" t="inlineStr">
        <is>
          <t>M21@20261028-91a37a49</t>
        </is>
      </c>
      <c r="H3151" s="8" t="n">
        <v>1</v>
      </c>
      <c r="I3151" s="8" t="n">
        <v>1</v>
      </c>
      <c r="J3151" s="8" t="inlineStr">
        <is>
          <t>Fill Your Aadhar Number as a User Name and Password.</t>
        </is>
      </c>
      <c r="K3151" s="8" t="inlineStr">
        <is>
          <t>MS-M21</t>
        </is>
      </c>
      <c r="L3151" s="9" t="n">
        <v>46323</v>
      </c>
      <c r="M3151" s="8" t="inlineStr">
        <is>
          <t>Approved</t>
        </is>
      </c>
      <c r="N3151" s="8" t="inlineStr">
        <is>
          <t>list_item</t>
        </is>
      </c>
    </row>
    <row r="3152" ht="40" customHeight="1">
      <c r="A3152" s="4" t="inlineStr">
        <is>
          <t>M21-P0028</t>
        </is>
      </c>
      <c r="B3152" s="4" t="inlineStr">
        <is>
          <t>M21</t>
        </is>
      </c>
      <c r="C3152" s="4" t="inlineStr">
        <is>
          <t>Mukhyamantri Yuva Karya Prashikshan Yojana</t>
        </is>
      </c>
      <c r="D3152" s="4" t="inlineStr">
        <is>
          <t>Application process</t>
        </is>
      </c>
      <c r="E3152" s="4" t="inlineStr">
        <is>
          <t>Log In Process:</t>
        </is>
      </c>
      <c r="F3152" s="4" t="inlineStr">
        <is>
          <t>en.applicationProcess[0].process[4].children[1]</t>
        </is>
      </c>
      <c r="G3152" s="4" t="inlineStr">
        <is>
          <t>M21@20261028-91a37a49</t>
        </is>
      </c>
      <c r="H3152" s="4" t="n">
        <v>1</v>
      </c>
      <c r="I3152" s="4" t="n">
        <v>1</v>
      </c>
      <c r="J3152" s="4" t="inlineStr">
        <is>
          <t>Complete your profile details, and fill in the personal, address, qualification, and bank details.</t>
        </is>
      </c>
      <c r="K3152" s="4" t="inlineStr">
        <is>
          <t>MS-M21</t>
        </is>
      </c>
      <c r="L3152" s="6" t="n">
        <v>46323</v>
      </c>
      <c r="M3152" s="4" t="inlineStr">
        <is>
          <t>Approved</t>
        </is>
      </c>
      <c r="N3152" s="4" t="inlineStr">
        <is>
          <t>list_item</t>
        </is>
      </c>
    </row>
    <row r="3153" ht="40" customHeight="1">
      <c r="A3153" s="8" t="inlineStr">
        <is>
          <t>M21-P0029</t>
        </is>
      </c>
      <c r="B3153" s="8" t="inlineStr">
        <is>
          <t>M21</t>
        </is>
      </c>
      <c r="C3153" s="8" t="inlineStr">
        <is>
          <t>Mukhyamantri Yuva Karya Prashikshan Yojana</t>
        </is>
      </c>
      <c r="D3153" s="8" t="inlineStr">
        <is>
          <t>Application process</t>
        </is>
      </c>
      <c r="E3153" s="8" t="inlineStr">
        <is>
          <t>Log In Process:</t>
        </is>
      </c>
      <c r="F3153" s="8" t="inlineStr">
        <is>
          <t>en.applicationProcess[0].process[4].children[2]</t>
        </is>
      </c>
      <c r="G3153" s="8" t="inlineStr">
        <is>
          <t>M21@20261028-91a37a49</t>
        </is>
      </c>
      <c r="H3153" s="8" t="n">
        <v>1</v>
      </c>
      <c r="I3153" s="8" t="n">
        <v>1</v>
      </c>
      <c r="J3153" s="8" t="inlineStr">
        <is>
          <t>Upload the photo, qualification document, birth certificate, etc.</t>
        </is>
      </c>
      <c r="K3153" s="8" t="inlineStr">
        <is>
          <t>MS-M21</t>
        </is>
      </c>
      <c r="L3153" s="9" t="n">
        <v>46323</v>
      </c>
      <c r="M3153" s="8" t="inlineStr">
        <is>
          <t>Approved</t>
        </is>
      </c>
      <c r="N3153" s="8" t="inlineStr">
        <is>
          <t>list_item</t>
        </is>
      </c>
    </row>
    <row r="3154" ht="40" customHeight="1">
      <c r="A3154" s="4" t="inlineStr">
        <is>
          <t>M21-P0030</t>
        </is>
      </c>
      <c r="B3154" s="4" t="inlineStr">
        <is>
          <t>M21</t>
        </is>
      </c>
      <c r="C3154" s="4" t="inlineStr">
        <is>
          <t>Mukhyamantri Yuva Karya Prashikshan Yojana</t>
        </is>
      </c>
      <c r="D3154" s="4" t="inlineStr">
        <is>
          <t>Application process</t>
        </is>
      </c>
      <c r="E3154" s="4" t="inlineStr">
        <is>
          <t>Log In Process:</t>
        </is>
      </c>
      <c r="F3154" s="4" t="inlineStr">
        <is>
          <t>en.applicationProcess[0].process[4].children[3]</t>
        </is>
      </c>
      <c r="G3154" s="4" t="inlineStr">
        <is>
          <t>M21@20261028-91a37a49</t>
        </is>
      </c>
      <c r="H3154" s="4" t="n">
        <v>1</v>
      </c>
      <c r="I3154" s="4" t="n">
        <v>1</v>
      </c>
      <c r="J3154" s="4" t="inlineStr">
        <is>
          <t>Click on “Submit” and apply for the job.</t>
        </is>
      </c>
      <c r="K3154" s="4" t="inlineStr">
        <is>
          <t>MS-M21</t>
        </is>
      </c>
      <c r="L3154" s="6" t="n">
        <v>46323</v>
      </c>
      <c r="M3154" s="4" t="inlineStr">
        <is>
          <t>Approved</t>
        </is>
      </c>
      <c r="N3154" s="4" t="inlineStr">
        <is>
          <t>list_item</t>
        </is>
      </c>
    </row>
    <row r="3155" ht="40" customHeight="1">
      <c r="A3155" s="8" t="inlineStr">
        <is>
          <t>M21-P0031</t>
        </is>
      </c>
      <c r="B3155" s="8" t="inlineStr">
        <is>
          <t>M21</t>
        </is>
      </c>
      <c r="C3155" s="8" t="inlineStr">
        <is>
          <t>Mukhyamantri Yuva Karya Prashikshan Yojana</t>
        </is>
      </c>
      <c r="D3155" s="8" t="inlineStr">
        <is>
          <t>FAQ</t>
        </is>
      </c>
      <c r="E3155" s="8" t="inlineStr"/>
      <c r="F3155" s="8" t="inlineStr">
        <is>
          <t>faqs.en.faqs[0]</t>
        </is>
      </c>
      <c r="G3155" s="8" t="inlineStr">
        <is>
          <t>M21@20261028-91a37a49</t>
        </is>
      </c>
      <c r="H3155" s="8" t="n">
        <v>1</v>
      </c>
      <c r="I3155" s="8" t="n">
        <v>1</v>
      </c>
      <c r="J3155" s="8" t="inlineStr">
        <is>
          <t>What is the main objective of the scheme?
The scheme provides practical job training to improve employability among Maharashtra’s youth.</t>
        </is>
      </c>
      <c r="K3155" s="8" t="inlineStr">
        <is>
          <t>MS-M21</t>
        </is>
      </c>
      <c r="L3155" s="9" t="n">
        <v>46323</v>
      </c>
      <c r="M3155" s="8" t="inlineStr">
        <is>
          <t>Approved</t>
        </is>
      </c>
      <c r="N3155" s="8" t="inlineStr">
        <is>
          <t>faq</t>
        </is>
      </c>
    </row>
    <row r="3156" ht="54" customHeight="1">
      <c r="A3156" s="4" t="inlineStr">
        <is>
          <t>M21-P0032</t>
        </is>
      </c>
      <c r="B3156" s="4" t="inlineStr">
        <is>
          <t>M21</t>
        </is>
      </c>
      <c r="C3156" s="4" t="inlineStr">
        <is>
          <t>Mukhyamantri Yuva Karya Prashikshan Yojana</t>
        </is>
      </c>
      <c r="D3156" s="4" t="inlineStr">
        <is>
          <t>FAQ</t>
        </is>
      </c>
      <c r="E3156" s="4" t="inlineStr"/>
      <c r="F3156" s="4" t="inlineStr">
        <is>
          <t>faqs.en.faqs[1]</t>
        </is>
      </c>
      <c r="G3156" s="4" t="inlineStr">
        <is>
          <t>M21@20261028-91a37a49</t>
        </is>
      </c>
      <c r="H3156" s="4" t="n">
        <v>1</v>
      </c>
      <c r="I3156" s="4" t="n">
        <v>1</v>
      </c>
      <c r="J3156" s="4" t="inlineStr">
        <is>
          <t>Who is eligible to apply as a candidate?
Candidates aged 18-35 with a minimum qualification of 12th pass who are residents of Maharashtra.</t>
        </is>
      </c>
      <c r="K3156" s="4" t="inlineStr">
        <is>
          <t>MS-M21</t>
        </is>
      </c>
      <c r="L3156" s="6" t="n">
        <v>46323</v>
      </c>
      <c r="M3156" s="4" t="inlineStr">
        <is>
          <t>Approved</t>
        </is>
      </c>
      <c r="N3156" s="4" t="inlineStr">
        <is>
          <t>faq</t>
        </is>
      </c>
    </row>
    <row r="3157" ht="54" customHeight="1">
      <c r="A3157" s="8" t="inlineStr">
        <is>
          <t>M21-P0033</t>
        </is>
      </c>
      <c r="B3157" s="8" t="inlineStr">
        <is>
          <t>M21</t>
        </is>
      </c>
      <c r="C3157" s="8" t="inlineStr">
        <is>
          <t>Mukhyamantri Yuva Karya Prashikshan Yojana</t>
        </is>
      </c>
      <c r="D3157" s="8" t="inlineStr">
        <is>
          <t>FAQ</t>
        </is>
      </c>
      <c r="E3157" s="8" t="inlineStr"/>
      <c r="F3157" s="8" t="inlineStr">
        <is>
          <t>faqs.en.faqs[2]</t>
        </is>
      </c>
      <c r="G3157" s="8" t="inlineStr">
        <is>
          <t>M21@20261028-91a37a49</t>
        </is>
      </c>
      <c r="H3157" s="8" t="n">
        <v>1</v>
      </c>
      <c r="I3157" s="8" t="n">
        <v>1</v>
      </c>
      <c r="J3157" s="8" t="inlineStr">
        <is>
          <t>How much stipend can candidates receive?
Stipend ranges from ₹6,000 to ₹10,000 per month, depending on the candidate’s educational qualification.</t>
        </is>
      </c>
      <c r="K3157" s="8" t="inlineStr">
        <is>
          <t>MS-M21</t>
        </is>
      </c>
      <c r="L3157" s="9" t="n">
        <v>46323</v>
      </c>
      <c r="M3157" s="8" t="inlineStr">
        <is>
          <t>Approved</t>
        </is>
      </c>
      <c r="N3157" s="8" t="inlineStr">
        <is>
          <t>faq</t>
        </is>
      </c>
    </row>
    <row r="3158" ht="40" customHeight="1">
      <c r="A3158" s="4" t="inlineStr">
        <is>
          <t>M21-P0034</t>
        </is>
      </c>
      <c r="B3158" s="4" t="inlineStr">
        <is>
          <t>M21</t>
        </is>
      </c>
      <c r="C3158" s="4" t="inlineStr">
        <is>
          <t>Mukhyamantri Yuva Karya Prashikshan Yojana</t>
        </is>
      </c>
      <c r="D3158" s="4" t="inlineStr">
        <is>
          <t>FAQ</t>
        </is>
      </c>
      <c r="E3158" s="4" t="inlineStr"/>
      <c r="F3158" s="4" t="inlineStr">
        <is>
          <t>faqs.en.faqs[3]</t>
        </is>
      </c>
      <c r="G3158" s="4" t="inlineStr">
        <is>
          <t>M21@20261028-91a37a49</t>
        </is>
      </c>
      <c r="H3158" s="4" t="n">
        <v>1</v>
      </c>
      <c r="I3158" s="4" t="n">
        <v>1</v>
      </c>
      <c r="J3158" s="4" t="inlineStr">
        <is>
          <t>How long does the training last?
Each training period is six months.</t>
        </is>
      </c>
      <c r="K3158" s="4" t="inlineStr">
        <is>
          <t>MS-M21</t>
        </is>
      </c>
      <c r="L3158" s="6" t="n">
        <v>46323</v>
      </c>
      <c r="M3158" s="4" t="inlineStr">
        <is>
          <t>Approved</t>
        </is>
      </c>
      <c r="N3158" s="4" t="inlineStr">
        <is>
          <t>faq</t>
        </is>
      </c>
    </row>
    <row r="3159" ht="40" customHeight="1">
      <c r="A3159" s="8" t="inlineStr">
        <is>
          <t>M21-P0035</t>
        </is>
      </c>
      <c r="B3159" s="8" t="inlineStr">
        <is>
          <t>M21</t>
        </is>
      </c>
      <c r="C3159" s="8" t="inlineStr">
        <is>
          <t>Mukhyamantri Yuva Karya Prashikshan Yojana</t>
        </is>
      </c>
      <c r="D3159" s="8" t="inlineStr">
        <is>
          <t>FAQ</t>
        </is>
      </c>
      <c r="E3159" s="8" t="inlineStr"/>
      <c r="F3159" s="8" t="inlineStr">
        <is>
          <t>faqs.en.faqs[4]</t>
        </is>
      </c>
      <c r="G3159" s="8" t="inlineStr">
        <is>
          <t>M21@20261028-91a37a49</t>
        </is>
      </c>
      <c r="H3159" s="8" t="n">
        <v>1</v>
      </c>
      <c r="I3159" s="8" t="n">
        <v>1</v>
      </c>
      <c r="J3159" s="8" t="inlineStr">
        <is>
          <t>Where can candidates register for the scheme?
Candidates can register on the cmykpy.mahaswayam.gov.in portal.</t>
        </is>
      </c>
      <c r="K3159" s="8" t="inlineStr">
        <is>
          <t>MS-M21</t>
        </is>
      </c>
      <c r="L3159" s="9" t="n">
        <v>46323</v>
      </c>
      <c r="M3159" s="8" t="inlineStr">
        <is>
          <t>Approved</t>
        </is>
      </c>
      <c r="N3159" s="8" t="inlineStr">
        <is>
          <t>faq</t>
        </is>
      </c>
    </row>
    <row r="3160" ht="54" customHeight="1">
      <c r="A3160" s="4" t="inlineStr">
        <is>
          <t>M21-P0036</t>
        </is>
      </c>
      <c r="B3160" s="4" t="inlineStr">
        <is>
          <t>M21</t>
        </is>
      </c>
      <c r="C3160" s="4" t="inlineStr">
        <is>
          <t>Mukhyamantri Yuva Karya Prashikshan Yojana</t>
        </is>
      </c>
      <c r="D3160" s="4" t="inlineStr">
        <is>
          <t>FAQ</t>
        </is>
      </c>
      <c r="E3160" s="4" t="inlineStr"/>
      <c r="F3160" s="4" t="inlineStr">
        <is>
          <t>faqs.en.faqs[5]</t>
        </is>
      </c>
      <c r="G3160" s="4" t="inlineStr">
        <is>
          <t>M21@20261028-91a37a49</t>
        </is>
      </c>
      <c r="H3160" s="4" t="n">
        <v>1</v>
      </c>
      <c r="I3160" s="4" t="n">
        <v>1</v>
      </c>
      <c r="J3160" s="4" t="inlineStr">
        <is>
          <t>What documents do candidates need to submit?
Candidates need an Aadhaar, educational certificates, proof of residence, and a bank passbook copy.</t>
        </is>
      </c>
      <c r="K3160" s="4" t="inlineStr">
        <is>
          <t>MS-M21</t>
        </is>
      </c>
      <c r="L3160" s="6" t="n">
        <v>46323</v>
      </c>
      <c r="M3160" s="4" t="inlineStr">
        <is>
          <t>Approved</t>
        </is>
      </c>
      <c r="N3160" s="4" t="inlineStr">
        <is>
          <t>faq</t>
        </is>
      </c>
    </row>
    <row r="3161" ht="40" customHeight="1">
      <c r="A3161" s="8" t="inlineStr">
        <is>
          <t>M21-P0037</t>
        </is>
      </c>
      <c r="B3161" s="8" t="inlineStr">
        <is>
          <t>M21</t>
        </is>
      </c>
      <c r="C3161" s="8" t="inlineStr">
        <is>
          <t>Mukhyamantri Yuva Karya Prashikshan Yojana</t>
        </is>
      </c>
      <c r="D3161" s="8" t="inlineStr">
        <is>
          <t>FAQ</t>
        </is>
      </c>
      <c r="E3161" s="8" t="inlineStr"/>
      <c r="F3161" s="8" t="inlineStr">
        <is>
          <t>faqs.en.faqs[6]</t>
        </is>
      </c>
      <c r="G3161" s="8" t="inlineStr">
        <is>
          <t>M21@20261028-91a37a49</t>
        </is>
      </c>
      <c r="H3161" s="8" t="n">
        <v>1</v>
      </c>
      <c r="I3161" s="8" t="n">
        <v>1</v>
      </c>
      <c r="J3161" s="8" t="inlineStr">
        <is>
          <t>How will candidates receive their stipend?
Stipends are transferred directly to the Aadhaar-linked bank account of each trainee.</t>
        </is>
      </c>
      <c r="K3161" s="8" t="inlineStr">
        <is>
          <t>MS-M21</t>
        </is>
      </c>
      <c r="L3161" s="9" t="n">
        <v>46323</v>
      </c>
      <c r="M3161" s="8" t="inlineStr">
        <is>
          <t>Approved</t>
        </is>
      </c>
      <c r="N3161" s="8" t="inlineStr">
        <is>
          <t>faq</t>
        </is>
      </c>
    </row>
    <row r="3162" ht="40" customHeight="1">
      <c r="A3162" s="4" t="inlineStr">
        <is>
          <t>M21-P0038</t>
        </is>
      </c>
      <c r="B3162" s="4" t="inlineStr">
        <is>
          <t>M21</t>
        </is>
      </c>
      <c r="C3162" s="4" t="inlineStr">
        <is>
          <t>Mukhyamantri Yuva Karya Prashikshan Yojana</t>
        </is>
      </c>
      <c r="D3162" s="4" t="inlineStr">
        <is>
          <t>FAQ</t>
        </is>
      </c>
      <c r="E3162" s="4" t="inlineStr"/>
      <c r="F3162" s="4" t="inlineStr">
        <is>
          <t>faqs.en.faqs[7]</t>
        </is>
      </c>
      <c r="G3162" s="4" t="inlineStr">
        <is>
          <t>M21@20261028-91a37a49</t>
        </is>
      </c>
      <c r="H3162" s="4" t="n">
        <v>1</v>
      </c>
      <c r="I3162" s="4" t="n">
        <v>1</v>
      </c>
      <c r="J3162" s="4" t="inlineStr">
        <is>
          <t>How many training opportunities are available per year?
Approximately 10 lakh training placements are provided each year.</t>
        </is>
      </c>
      <c r="K3162" s="4" t="inlineStr">
        <is>
          <t>MS-M21</t>
        </is>
      </c>
      <c r="L3162" s="6" t="n">
        <v>46323</v>
      </c>
      <c r="M3162" s="4" t="inlineStr">
        <is>
          <t>Approved</t>
        </is>
      </c>
      <c r="N3162" s="4" t="inlineStr">
        <is>
          <t>faq</t>
        </is>
      </c>
    </row>
    <row r="3163" ht="40" customHeight="1">
      <c r="A3163" s="8" t="inlineStr">
        <is>
          <t>M21-P0039</t>
        </is>
      </c>
      <c r="B3163" s="8" t="inlineStr">
        <is>
          <t>M21</t>
        </is>
      </c>
      <c r="C3163" s="8" t="inlineStr">
        <is>
          <t>Mukhyamantri Yuva Karya Prashikshan Yojana</t>
        </is>
      </c>
      <c r="D3163" s="8" t="inlineStr">
        <is>
          <t>FAQ</t>
        </is>
      </c>
      <c r="E3163" s="8" t="inlineStr"/>
      <c r="F3163" s="8" t="inlineStr">
        <is>
          <t>faqs.en.faqs[8]</t>
        </is>
      </c>
      <c r="G3163" s="8" t="inlineStr">
        <is>
          <t>M21@20261028-91a37a49</t>
        </is>
      </c>
      <c r="H3163" s="8" t="n">
        <v>1</v>
      </c>
      <c r="I3163" s="8" t="n">
        <v>1</v>
      </c>
      <c r="J3163" s="8" t="inlineStr">
        <is>
          <t>Is registration mandatory for candidates?
Yes, both candidates must register on the portal to participate in the scheme.</t>
        </is>
      </c>
      <c r="K3163" s="8" t="inlineStr">
        <is>
          <t>MS-M21</t>
        </is>
      </c>
      <c r="L3163" s="9" t="n">
        <v>46323</v>
      </c>
      <c r="M3163" s="8" t="inlineStr">
        <is>
          <t>Approved</t>
        </is>
      </c>
      <c r="N3163" s="8" t="inlineStr">
        <is>
          <t>faq</t>
        </is>
      </c>
    </row>
    <row r="3164" ht="54" customHeight="1">
      <c r="A3164" s="4" t="inlineStr">
        <is>
          <t>M21-P0040</t>
        </is>
      </c>
      <c r="B3164" s="4" t="inlineStr">
        <is>
          <t>M21</t>
        </is>
      </c>
      <c r="C3164" s="4" t="inlineStr">
        <is>
          <t>Mukhyamantri Yuva Karya Prashikshan Yojana</t>
        </is>
      </c>
      <c r="D3164" s="4" t="inlineStr">
        <is>
          <t>FAQ</t>
        </is>
      </c>
      <c r="E3164" s="4" t="inlineStr"/>
      <c r="F3164" s="4" t="inlineStr">
        <is>
          <t>faqs.en.faqs[9]</t>
        </is>
      </c>
      <c r="G3164" s="4" t="inlineStr">
        <is>
          <t>M21@20261028-91a37a49</t>
        </is>
      </c>
      <c r="H3164" s="4" t="n">
        <v>1</v>
      </c>
      <c r="I3164" s="4" t="n">
        <v>1</v>
      </c>
      <c r="J3164" s="4" t="inlineStr">
        <is>
          <t>Who manages the scheme?
The scheme is managed by the Commissionerate of Skill Development, Employment, &amp; Entrepreneurship, Maharashtra.</t>
        </is>
      </c>
      <c r="K3164" s="4" t="inlineStr">
        <is>
          <t>MS-M21</t>
        </is>
      </c>
      <c r="L3164" s="6" t="n">
        <v>46323</v>
      </c>
      <c r="M3164" s="4" t="inlineStr">
        <is>
          <t>Approved</t>
        </is>
      </c>
      <c r="N3164" s="4" t="inlineStr">
        <is>
          <t>faq</t>
        </is>
      </c>
    </row>
    <row r="3165" ht="40" customHeight="1">
      <c r="A3165" s="8" t="inlineStr">
        <is>
          <t>M21-P0041</t>
        </is>
      </c>
      <c r="B3165" s="8" t="inlineStr">
        <is>
          <t>M21</t>
        </is>
      </c>
      <c r="C3165" s="8" t="inlineStr">
        <is>
          <t>Mukhyamantri Yuva Karya Prashikshan Yojana</t>
        </is>
      </c>
      <c r="D3165" s="8" t="inlineStr">
        <is>
          <t>FAQ</t>
        </is>
      </c>
      <c r="E3165" s="8" t="inlineStr"/>
      <c r="F3165" s="8" t="inlineStr">
        <is>
          <t>faqs.en.faqs[10]</t>
        </is>
      </c>
      <c r="G3165" s="8" t="inlineStr">
        <is>
          <t>M21@20261028-91a37a49</t>
        </is>
      </c>
      <c r="H3165" s="8" t="n">
        <v>1</v>
      </c>
      <c r="I3165" s="8" t="n">
        <v>1</v>
      </c>
      <c r="J3165" s="8" t="inlineStr">
        <is>
          <t>Can candidates outside Maharashtra apply?
No, only Maharashtra residents are eligible for the scheme.</t>
        </is>
      </c>
      <c r="K3165" s="8" t="inlineStr">
        <is>
          <t>MS-M21</t>
        </is>
      </c>
      <c r="L3165" s="9" t="n">
        <v>46323</v>
      </c>
      <c r="M3165" s="8" t="inlineStr">
        <is>
          <t>Approved</t>
        </is>
      </c>
      <c r="N3165" s="8" t="inlineStr">
        <is>
          <t>faq</t>
        </is>
      </c>
    </row>
    <row r="3166" ht="54" customHeight="1">
      <c r="A3166" s="4" t="inlineStr">
        <is>
          <t>M21-P0042</t>
        </is>
      </c>
      <c r="B3166" s="4" t="inlineStr">
        <is>
          <t>M21</t>
        </is>
      </c>
      <c r="C3166" s="4" t="inlineStr">
        <is>
          <t>Mukhyamantri Yuva Karya Prashikshan Yojana</t>
        </is>
      </c>
      <c r="D3166" s="4" t="inlineStr">
        <is>
          <t>FAQ</t>
        </is>
      </c>
      <c r="E3166" s="4" t="inlineStr"/>
      <c r="F3166" s="4" t="inlineStr">
        <is>
          <t>faqs.en.faqs[11]</t>
        </is>
      </c>
      <c r="G3166" s="4" t="inlineStr">
        <is>
          <t>M21@20261028-91a37a49</t>
        </is>
      </c>
      <c r="H3166" s="4" t="n">
        <v>1</v>
      </c>
      <c r="I3166" s="4" t="n">
        <v>1</v>
      </c>
      <c r="J3166" s="4" t="inlineStr">
        <is>
          <t>What support is available for application or grievance?
Candidates can visit their nearest District Skill Development, Employment &amp; Entrepreneurship Guidance Center or call 1800 120 8040 for assistance.</t>
        </is>
      </c>
      <c r="K3166" s="4" t="inlineStr">
        <is>
          <t>MS-M21</t>
        </is>
      </c>
      <c r="L3166" s="6" t="n">
        <v>46323</v>
      </c>
      <c r="M3166" s="4" t="inlineStr">
        <is>
          <t>Approved</t>
        </is>
      </c>
      <c r="N3166" s="4" t="inlineStr">
        <is>
          <t>faq</t>
        </is>
      </c>
    </row>
  </sheetData>
  <pageMargins left="0.7" right="0.7" top="0.75" bottom="0.75" header="0.3" footer="0.3"/>
  <pageSetup orientation="landscape" paperSize="9" fitToHeight="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2:G41"/>
  <sheetViews>
    <sheetView showGridLines="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25.7109375" customWidth="1" min="1" max="1"/>
    <col width="65.7109375" customWidth="1" min="2" max="2"/>
    <col width="38.7109375" customWidth="1" min="3" max="3"/>
    <col width="25.7109375" customWidth="1" min="4" max="4"/>
    <col width="85.7109375" customWidth="1" min="5" max="5"/>
    <col width="60.7109375" customWidth="1" min="6" max="6"/>
    <col width="95.7109375" customWidth="1" min="7" max="7"/>
  </cols>
  <sheetData>
    <row r="2" ht="28" customHeight="1">
      <c r="A2" s="1" t="inlineStr">
        <is>
          <t>Candidate database field catalogue</t>
        </is>
      </c>
    </row>
    <row r="3" ht="22" customHeight="1">
      <c r="A3" s="2" t="inlineStr">
        <is>
          <t>Proposed fields for schema evaluation. These are design recommendations; they do not turn source text into approved rules.</t>
        </is>
      </c>
    </row>
    <row r="5" ht="45" customHeight="1">
      <c r="A5" s="3" t="inlineStr">
        <is>
          <t>Entity</t>
        </is>
      </c>
      <c r="B5" s="3" t="inlineStr">
        <is>
          <t>Field / relationship</t>
        </is>
      </c>
      <c r="C5" s="3" t="inlineStr">
        <is>
          <t>Storage type</t>
        </is>
      </c>
      <c r="D5" s="3" t="inlineStr">
        <is>
          <t>Requirement</t>
        </is>
      </c>
      <c r="E5" s="3" t="inlineStr">
        <is>
          <t>Purpose</t>
        </is>
      </c>
      <c r="F5" s="3" t="inlineStr">
        <is>
          <t>Example</t>
        </is>
      </c>
      <c r="G5" s="3" t="inlineStr">
        <is>
          <t>Design constraint</t>
        </is>
      </c>
    </row>
    <row r="6" ht="40" customHeight="1">
      <c r="A6" s="4" t="inlineStr">
        <is>
          <t>scheme</t>
        </is>
      </c>
      <c r="B6" s="4" t="inlineStr">
        <is>
          <t>scheme_id</t>
        </is>
      </c>
      <c r="C6" s="4" t="inlineStr">
        <is>
          <t>string</t>
        </is>
      </c>
      <c r="D6" s="4" t="inlineStr">
        <is>
          <t>Required</t>
        </is>
      </c>
      <c r="E6" s="4" t="inlineStr">
        <is>
          <t>Stable internal identifier</t>
        </is>
      </c>
      <c r="F6" s="4" t="inlineStr">
        <is>
          <t>C01</t>
        </is>
      </c>
      <c r="G6" s="4" t="inlineStr">
        <is>
          <t>Do not use display name as primary key.</t>
        </is>
      </c>
    </row>
    <row r="7" ht="40" customHeight="1">
      <c r="A7" s="8" t="inlineStr">
        <is>
          <t>scheme</t>
        </is>
      </c>
      <c r="B7" s="8" t="inlineStr">
        <is>
          <t>slug / aliases</t>
        </is>
      </c>
      <c r="C7" s="8" t="inlineStr">
        <is>
          <t>string + child records</t>
        </is>
      </c>
      <c r="D7" s="8" t="inlineStr">
        <is>
          <t>Optional</t>
        </is>
      </c>
      <c r="E7" s="8" t="inlineStr">
        <is>
          <t>Source slug and historical names</t>
        </is>
      </c>
      <c r="F7" s="8" t="inlineStr">
        <is>
          <t>pmjjby</t>
        </is>
      </c>
      <c r="G7" s="8" t="inlineStr">
        <is>
          <t>Retain original ten names and fresh source aliases.</t>
        </is>
      </c>
    </row>
    <row r="8" ht="40" customHeight="1">
      <c r="A8" s="4" t="inlineStr">
        <is>
          <t>scheme</t>
        </is>
      </c>
      <c r="B8" s="4" t="inlineStr">
        <is>
          <t>level / original_level</t>
        </is>
      </c>
      <c r="C8" s="4" t="inlineStr">
        <is>
          <t>enum + string</t>
        </is>
      </c>
      <c r="D8" s="4" t="inlineStr">
        <is>
          <t>Required</t>
        </is>
      </c>
      <c r="E8" s="4" t="inlineStr">
        <is>
          <t>Normalised level and untouched source label</t>
        </is>
      </c>
      <c r="F8" s="4" t="inlineStr">
        <is>
          <t>State / State/ UT</t>
        </is>
      </c>
      <c r="G8" s="4" t="inlineStr">
        <is>
          <t>Normalise labels without losing originals.</t>
        </is>
      </c>
    </row>
    <row r="9" ht="40" customHeight="1">
      <c r="A9" s="8" t="inlineStr">
        <is>
          <t>scheme</t>
        </is>
      </c>
      <c r="B9" s="8" t="inlineStr">
        <is>
          <t>categories</t>
        </is>
      </c>
      <c r="C9" s="8" t="inlineStr">
        <is>
          <t>many-to-many</t>
        </is>
      </c>
      <c r="D9" s="8" t="inlineStr">
        <is>
          <t>Required</t>
        </is>
      </c>
      <c r="E9" s="8" t="inlineStr">
        <is>
          <t>All official category memberships</t>
        </is>
      </c>
      <c r="F9" s="8" t="inlineStr">
        <is>
          <t>Health; Social welfare</t>
        </is>
      </c>
      <c r="G9" s="8" t="inlineStr">
        <is>
          <t>Category counts overlap.</t>
        </is>
      </c>
    </row>
    <row r="10" ht="40" customHeight="1">
      <c r="A10" s="4" t="inlineStr">
        <is>
          <t>scheme</t>
        </is>
      </c>
      <c r="B10" s="4" t="inlineStr">
        <is>
          <t>jurisdictions</t>
        </is>
      </c>
      <c r="C10" s="4" t="inlineStr">
        <is>
          <t>many-to-many</t>
        </is>
      </c>
      <c r="D10" s="4" t="inlineStr">
        <is>
          <t>Required</t>
        </is>
      </c>
      <c r="E10" s="4" t="inlineStr">
        <is>
          <t>Country, state, district and source applicability</t>
        </is>
      </c>
      <c r="F10" s="4" t="inlineStr">
        <is>
          <t>India / Maharashtra</t>
        </is>
      </c>
      <c r="G10" s="4" t="inlineStr">
        <is>
          <t>Central level does not always mean every district qualifies.</t>
        </is>
      </c>
    </row>
    <row r="11" ht="40" customHeight="1">
      <c r="A11" s="8" t="inlineStr">
        <is>
          <t>scheme</t>
        </is>
      </c>
      <c r="B11" s="8" t="inlineStr">
        <is>
          <t>provider / department</t>
        </is>
      </c>
      <c r="C11" s="8" t="inlineStr">
        <is>
          <t>foreign keys + source labels</t>
        </is>
      </c>
      <c r="D11" s="8" t="inlineStr">
        <is>
          <t>Optional</t>
        </is>
      </c>
      <c r="E11" s="8" t="inlineStr">
        <is>
          <t>Administering entities</t>
        </is>
      </c>
      <c r="F11" s="8" t="inlineStr">
        <is>
          <t>Ministry / state department</t>
        </is>
      </c>
      <c r="G11" s="8" t="inlineStr">
        <is>
          <t>Keep alternate names and unknown values.</t>
        </is>
      </c>
    </row>
    <row r="12" ht="40" customHeight="1">
      <c r="A12" s="4" t="inlineStr">
        <is>
          <t>scheme</t>
        </is>
      </c>
      <c r="B12" s="4" t="inlineStr">
        <is>
          <t>applicant_types</t>
        </is>
      </c>
      <c r="C12" s="4" t="inlineStr">
        <is>
          <t>controlled terms + raw label</t>
        </is>
      </c>
      <c r="D12" s="4" t="inlineStr">
        <is>
          <t>Optional</t>
        </is>
      </c>
      <c r="E12" s="4" t="inlineStr">
        <is>
          <t>Individual, institution, business, group or public body</t>
        </is>
      </c>
      <c r="F12" s="4" t="inlineStr">
        <is>
          <t>Individual; Institution</t>
        </is>
      </c>
      <c r="G12" s="4" t="inlineStr">
        <is>
          <t>Do not apply a person age test to an organisation.</t>
        </is>
      </c>
    </row>
    <row r="13" ht="40" customHeight="1">
      <c r="A13" s="8" t="inlineStr">
        <is>
          <t>component</t>
        </is>
      </c>
      <c r="B13" s="8" t="inlineStr">
        <is>
          <t>parent_id / component_id</t>
        </is>
      </c>
      <c r="C13" s="8" t="inlineStr">
        <is>
          <t>foreign keys</t>
        </is>
      </c>
      <c r="D13" s="8" t="inlineStr">
        <is>
          <t>Conditional</t>
        </is>
      </c>
      <c r="E13" s="8" t="inlineStr">
        <is>
          <t>Parent programme, category or assistance component</t>
        </is>
      </c>
      <c r="F13" s="8" t="inlineStr">
        <is>
          <t>KVY components; PRISM Category II</t>
        </is>
      </c>
      <c r="G13" s="8" t="inlineStr">
        <is>
          <t>A source page can contain several branches.</t>
        </is>
      </c>
    </row>
    <row r="14" ht="40" customHeight="1">
      <c r="A14" s="4" t="inlineStr">
        <is>
          <t>version</t>
        </is>
      </c>
      <c r="B14" s="4" t="inlineStr">
        <is>
          <t>version_id / source_hash</t>
        </is>
      </c>
      <c r="C14" s="4" t="inlineStr">
        <is>
          <t>string</t>
        </is>
      </c>
      <c r="D14" s="4" t="inlineStr">
        <is>
          <t>Required</t>
        </is>
      </c>
      <c r="E14" s="4" t="inlineStr">
        <is>
          <t>Content-addressed source snapshot</t>
        </is>
      </c>
      <c r="F14" s="4" t="inlineStr">
        <is>
          <t>C07@20261024-hash</t>
        </is>
      </c>
      <c r="G14" s="4" t="inlineStr">
        <is>
          <t>Pin evaluation and citations to one version.</t>
        </is>
      </c>
    </row>
    <row r="15" ht="40" customHeight="1">
      <c r="A15" s="8" t="inlineStr">
        <is>
          <t>version</t>
        </is>
      </c>
      <c r="B15" s="8" t="inlineStr">
        <is>
          <t>collected_at / effective_from / effective_to</t>
        </is>
      </c>
      <c r="C15" s="8" t="inlineStr">
        <is>
          <t>timestamps / nullable dates</t>
        </is>
      </c>
      <c r="D15" s="8" t="inlineStr">
        <is>
          <t>Required + optional</t>
        </is>
      </c>
      <c r="E15" s="8" t="inlineStr">
        <is>
          <t>Collection time separately from legal effect</t>
        </is>
      </c>
      <c r="F15" s="8" t="inlineStr">
        <is>
          <t>24 Oct 2026 / unknown</t>
        </is>
      </c>
      <c r="G15" s="8" t="inlineStr">
        <is>
          <t>Do not use site-wide footer as effective date.</t>
        </is>
      </c>
    </row>
    <row r="16" ht="40" customHeight="1">
      <c r="A16" s="4" t="inlineStr">
        <is>
          <t>version</t>
        </is>
      </c>
      <c r="B16" s="4" t="inlineStr">
        <is>
          <t>source_open_date / source_close_date</t>
        </is>
      </c>
      <c r="C16" s="4" t="inlineStr">
        <is>
          <t>nullable dates</t>
        </is>
      </c>
      <c r="D16" s="4" t="inlineStr">
        <is>
          <t>Optional</t>
        </is>
      </c>
      <c r="E16" s="4" t="inlineStr">
        <is>
          <t>Dates explicitly supplied by publisher</t>
        </is>
      </c>
      <c r="F16" s="4" t="inlineStr">
        <is>
          <t>null</t>
        </is>
      </c>
      <c r="G16" s="4" t="inlineStr">
        <is>
          <t>Missing date is not proof scheme is open.</t>
        </is>
      </c>
    </row>
    <row r="17" ht="40" customHeight="1">
      <c r="A17" s="8" t="inlineStr">
        <is>
          <t>version</t>
        </is>
      </c>
      <c r="B17" s="8" t="inlineStr">
        <is>
          <t>availability / supersedes_id</t>
        </is>
      </c>
      <c r="C17" s="8" t="inlineStr">
        <is>
          <t>enum + foreign key</t>
        </is>
      </c>
      <c r="D17" s="8" t="inlineStr">
        <is>
          <t>Required + optional</t>
        </is>
      </c>
      <c r="E17" s="8" t="inlineStr">
        <is>
          <t>Verified availability and version lineage</t>
        </is>
      </c>
      <c r="F17" s="8" t="inlineStr">
        <is>
          <t>Not verified</t>
        </is>
      </c>
      <c r="G17" s="8" t="inlineStr">
        <is>
          <t>Keep closed, unknown and superseded separate.</t>
        </is>
      </c>
    </row>
    <row r="18" ht="40" customHeight="1">
      <c r="A18" s="4" t="inlineStr">
        <is>
          <t>source</t>
        </is>
      </c>
      <c r="B18" s="4" t="inlineStr">
        <is>
          <t>document_id / official_url</t>
        </is>
      </c>
      <c r="C18" s="4" t="inlineStr">
        <is>
          <t>string + URL</t>
        </is>
      </c>
      <c r="D18" s="4" t="inlineStr">
        <is>
          <t>Required</t>
        </is>
      </c>
      <c r="E18" s="4" t="inlineStr">
        <is>
          <t>Origin and source reference</t>
        </is>
      </c>
      <c r="F18" s="4" t="inlineStr">
        <is>
          <t>MS-C07</t>
        </is>
      </c>
      <c r="G18" s="4" t="inlineStr">
        <is>
          <t>Linked documents are not automatically reviewed.</t>
        </is>
      </c>
    </row>
    <row r="19" ht="40" customHeight="1">
      <c r="A19" s="8" t="inlineStr">
        <is>
          <t>source</t>
        </is>
      </c>
      <c r="B19" s="8" t="inlineStr">
        <is>
          <t>snapshot_uri / content_hash / language</t>
        </is>
      </c>
      <c r="C19" s="8" t="inlineStr">
        <is>
          <t>string</t>
        </is>
      </c>
      <c r="D19" s="8" t="inlineStr">
        <is>
          <t>Required</t>
        </is>
      </c>
      <c r="E19" s="8" t="inlineStr">
        <is>
          <t>Reproducible source and locale</t>
        </is>
      </c>
      <c r="F19" s="8" t="inlineStr">
        <is>
          <t>hash / en</t>
        </is>
      </c>
      <c r="G19" s="8" t="inlineStr">
        <is>
          <t>Keep source files alongside database.</t>
        </is>
      </c>
    </row>
    <row r="20" ht="40" customHeight="1">
      <c r="A20" s="4" t="inlineStr">
        <is>
          <t>passage</t>
        </is>
      </c>
      <c r="B20" s="4" t="inlineStr">
        <is>
          <t>passage_id / source_path</t>
        </is>
      </c>
      <c r="C20" s="4" t="inlineStr">
        <is>
          <t>string</t>
        </is>
      </c>
      <c r="D20" s="4" t="inlineStr">
        <is>
          <t>Required</t>
        </is>
      </c>
      <c r="E20" s="4" t="inlineStr">
        <is>
          <t>Stable evidence identifier and original nested pointer</t>
        </is>
      </c>
      <c r="F20" s="4" t="inlineStr">
        <is>
          <t>C07-P0001</t>
        </is>
      </c>
      <c r="G20" s="4" t="inlineStr">
        <is>
          <t>JSON pointer can coexist with PDF page/paragraph locator.</t>
        </is>
      </c>
    </row>
    <row r="21" ht="40" customHeight="1">
      <c r="A21" s="8" t="inlineStr">
        <is>
          <t>passage</t>
        </is>
      </c>
      <c r="B21" s="8" t="inlineStr">
        <is>
          <t>section / heading / parent_id</t>
        </is>
      </c>
      <c r="C21" s="8" t="inlineStr">
        <is>
          <t>strings + foreign key</t>
        </is>
      </c>
      <c r="D21" s="8" t="inlineStr">
        <is>
          <t>Required + optional</t>
        </is>
      </c>
      <c r="E21" s="8" t="inlineStr">
        <is>
          <t>Hierarchy and scope context</t>
        </is>
      </c>
      <c r="F21" s="8" t="inlineStr">
        <is>
          <t>Eligibility / General conditions</t>
        </is>
      </c>
      <c r="G21" s="8" t="inlineStr">
        <is>
          <t>Never infer logical AND from bullet formatting alone.</t>
        </is>
      </c>
    </row>
    <row r="22" ht="40" customHeight="1">
      <c r="A22" s="4" t="inlineStr">
        <is>
          <t>passage</t>
        </is>
      </c>
      <c r="B22" s="4" t="inlineStr">
        <is>
          <t>part / parts / text</t>
        </is>
      </c>
      <c r="C22" s="4" t="inlineStr">
        <is>
          <t>integer + text</t>
        </is>
      </c>
      <c r="D22" s="4" t="inlineStr">
        <is>
          <t>Required</t>
        </is>
      </c>
      <c r="E22" s="4" t="inlineStr">
        <is>
          <t>Lossless continuation storage</t>
        </is>
      </c>
      <c r="F22" s="4" t="inlineStr">
        <is>
          <t>1 / 2</t>
        </is>
      </c>
      <c r="G22" s="4" t="inlineStr">
        <is>
          <t>Reassemble parts before defining RAG chunks.</t>
        </is>
      </c>
    </row>
    <row r="23" ht="40" customHeight="1">
      <c r="A23" s="8" t="inlineStr">
        <is>
          <t>rule</t>
        </is>
      </c>
      <c r="B23" s="8" t="inlineStr">
        <is>
          <t>rule_id / version_id / evidence_ids</t>
        </is>
      </c>
      <c r="C23" s="8" t="inlineStr">
        <is>
          <t>foreign keys</t>
        </is>
      </c>
      <c r="D23" s="8" t="inlineStr">
        <is>
          <t>Required</t>
        </is>
      </c>
      <c r="E23" s="8" t="inlineStr">
        <is>
          <t>Approved rule linked to source passages</t>
        </is>
      </c>
      <c r="F23" s="8" t="inlineStr">
        <is>
          <t>Rule -&gt; passages</t>
        </is>
      </c>
      <c r="G23" s="8" t="inlineStr">
        <is>
          <t>Source extraction rows are not approved rules.</t>
        </is>
      </c>
    </row>
    <row r="24" ht="40" customHeight="1">
      <c r="A24" s="4" t="inlineStr">
        <is>
          <t>rule</t>
        </is>
      </c>
      <c r="B24" s="4" t="inlineStr">
        <is>
          <t>subject_type / subject_id</t>
        </is>
      </c>
      <c r="C24" s="4" t="inlineStr">
        <is>
          <t>enum + foreign key</t>
        </is>
      </c>
      <c r="D24" s="4" t="inlineStr">
        <is>
          <t>Required</t>
        </is>
      </c>
      <c r="E24" s="4" t="inlineStr">
        <is>
          <t>Person, household, organisation, project or transaction</t>
        </is>
      </c>
      <c r="F24" s="4" t="inlineStr">
        <is>
          <t>project.cost</t>
        </is>
      </c>
      <c r="G24" s="4" t="inlineStr">
        <is>
          <t>Separate applicant, beneficiary and representative.</t>
        </is>
      </c>
    </row>
    <row r="25" ht="40" customHeight="1">
      <c r="A25" s="8" t="inlineStr">
        <is>
          <t>rule</t>
        </is>
      </c>
      <c r="B25" s="8" t="inlineStr">
        <is>
          <t>kind / stage / effect</t>
        </is>
      </c>
      <c r="C25" s="8" t="inlineStr">
        <is>
          <t>controlled terms</t>
        </is>
      </c>
      <c r="D25" s="8" t="inlineStr">
        <is>
          <t>Required</t>
        </is>
      </c>
      <c r="E25" s="8" t="inlineStr">
        <is>
          <t>Eligibility, exclusion, preference, evidence or obligation</t>
        </is>
      </c>
      <c r="F25" s="8" t="inlineStr">
        <is>
          <t>Exclude expense vs exclude applicant</t>
        </is>
      </c>
      <c r="G25" s="8" t="inlineStr">
        <is>
          <t>Do not disqualify applicant for an ineligible expense.</t>
        </is>
      </c>
    </row>
    <row r="26" ht="40" customHeight="1">
      <c r="A26" s="4" t="inlineStr">
        <is>
          <t>rule</t>
        </is>
      </c>
      <c r="B26" s="4" t="inlineStr">
        <is>
          <t>condition_ast</t>
        </is>
      </c>
      <c r="C26" s="4" t="inlineStr">
        <is>
          <t>JSONB</t>
        </is>
      </c>
      <c r="D26" s="4" t="inlineStr">
        <is>
          <t>Required for execution</t>
        </is>
      </c>
      <c r="E26" s="4" t="inlineStr">
        <is>
          <t>Reviewed all/any/not and field comparisons</t>
        </is>
      </c>
      <c r="F26" s="4" t="inlineStr">
        <is>
          <t>all -&gt; gt/lte</t>
        </is>
      </c>
      <c r="G26" s="4" t="inlineStr">
        <is>
          <t>Allow-listed grammar; no generated-code execution.</t>
        </is>
      </c>
    </row>
    <row r="27" ht="40" customHeight="1">
      <c r="A27" s="8" t="inlineStr">
        <is>
          <t>rule</t>
        </is>
      </c>
      <c r="B27" s="8" t="inlineStr">
        <is>
          <t>applies_when / unless</t>
        </is>
      </c>
      <c r="C27" s="8" t="inlineStr">
        <is>
          <t>JSONB</t>
        </is>
      </c>
      <c r="D27" s="8" t="inlineStr">
        <is>
          <t>Optional</t>
        </is>
      </c>
      <c r="E27" s="8" t="inlineStr">
        <is>
          <t>Category predicates and exceptions</t>
        </is>
      </c>
      <c r="F27" s="8" t="inlineStr">
        <is>
          <t>Student -&gt; NOC</t>
        </is>
      </c>
      <c r="G27" s="8" t="inlineStr">
        <is>
          <t>Absent conditions remain unknown.</t>
        </is>
      </c>
    </row>
    <row r="28" ht="40" customHeight="1">
      <c r="A28" s="4" t="inlineStr">
        <is>
          <t>rule</t>
        </is>
      </c>
      <c r="B28" s="4" t="inlineStr">
        <is>
          <t>field_id / operator / value / unit</t>
        </is>
      </c>
      <c r="C28" s="4" t="inlineStr">
        <is>
          <t>typed JSON / field reference</t>
        </is>
      </c>
      <c r="D28" s="4" t="inlineStr">
        <is>
          <t>Conditional</t>
        </is>
      </c>
      <c r="E28" s="4" t="inlineStr">
        <is>
          <t>Typed operands with unit and income period</t>
        </is>
      </c>
      <c r="F28" s="4" t="inlineStr">
        <is>
          <t>annual household INR</t>
        </is>
      </c>
      <c r="G28" s="4" t="inlineStr">
        <is>
          <t>Distinguish individual income from household income.</t>
        </is>
      </c>
    </row>
    <row r="29" ht="40" customHeight="1">
      <c r="A29" s="8" t="inlineStr">
        <is>
          <t>rule</t>
        </is>
      </c>
      <c r="B29" s="8" t="inlineStr">
        <is>
          <t>review_status / reviewer / reviewed_at</t>
        </is>
      </c>
      <c r="C29" s="8" t="inlineStr">
        <is>
          <t>enum + audit fields</t>
        </is>
      </c>
      <c r="D29" s="8" t="inlineStr">
        <is>
          <t>Required</t>
        </is>
      </c>
      <c r="E29" s="8" t="inlineStr">
        <is>
          <t>Human approval before activation</t>
        </is>
      </c>
      <c r="F29" s="8" t="inlineStr">
        <is>
          <t>Not started</t>
        </is>
      </c>
      <c r="G29" s="8" t="inlineStr">
        <is>
          <t>Conflicting source wording requires resolution.</t>
        </is>
      </c>
    </row>
    <row r="30" ht="40" customHeight="1">
      <c r="A30" s="4" t="inlineStr">
        <is>
          <t>field_definition</t>
        </is>
      </c>
      <c r="B30" s="4" t="inlineStr">
        <is>
          <t>field_id / data_type / allowed_values</t>
        </is>
      </c>
      <c r="C30" s="4" t="inlineStr">
        <is>
          <t>schema registry</t>
        </is>
      </c>
      <c r="D30" s="4" t="inlineStr">
        <is>
          <t>Required</t>
        </is>
      </c>
      <c r="E30" s="4" t="inlineStr">
        <is>
          <t>Extensible profile facts independent of scheme</t>
        </is>
      </c>
      <c r="F30" s="4" t="inlineStr">
        <is>
          <t>project.duration_months</t>
        </is>
      </c>
      <c r="G30" s="4" t="inlineStr">
        <is>
          <t>Add definitions instead of new person-table columns per scheme.</t>
        </is>
      </c>
    </row>
    <row r="31" ht="40" customHeight="1">
      <c r="A31" s="8" t="inlineStr">
        <is>
          <t>field_definition</t>
        </is>
      </c>
      <c r="B31" s="8" t="inlineStr">
        <is>
          <t>question_templates / translations / sensitivity</t>
        </is>
      </c>
      <c r="C31" s="8" t="inlineStr">
        <is>
          <t>JSONB</t>
        </is>
      </c>
      <c r="D31" s="8" t="inlineStr">
        <is>
          <t>Optional</t>
        </is>
      </c>
      <c r="E31" s="8" t="inlineStr">
        <is>
          <t>Questions and privacy treatment</t>
        </is>
      </c>
      <c r="F31" s="8" t="inlineStr">
        <is>
          <t>en / hi / mr</t>
        </is>
      </c>
      <c r="G31" s="8" t="inlineStr">
        <is>
          <t>Translate wording, preserve the same canonical fact.</t>
        </is>
      </c>
    </row>
    <row r="32" ht="40" customHeight="1">
      <c r="A32" s="4" t="inlineStr">
        <is>
          <t>profile_fact</t>
        </is>
      </c>
      <c r="B32" s="4" t="inlineStr">
        <is>
          <t>subject_id / field_id / value</t>
        </is>
      </c>
      <c r="C32" s="4" t="inlineStr">
        <is>
          <t>typed JSON</t>
        </is>
      </c>
      <c r="D32" s="4" t="inlineStr">
        <is>
          <t>Required</t>
        </is>
      </c>
      <c r="E32" s="4" t="inlineStr">
        <is>
          <t>Confirmed fact about a named subject</t>
        </is>
      </c>
      <c r="F32" s="4" t="inlineStr">
        <is>
          <t>organisation.type</t>
        </is>
      </c>
      <c r="G32" s="4" t="inlineStr">
        <is>
          <t>Support multiple people and entities per conversation.</t>
        </is>
      </c>
    </row>
    <row r="33" ht="40" customHeight="1">
      <c r="A33" s="8" t="inlineStr">
        <is>
          <t>profile_fact</t>
        </is>
      </c>
      <c r="B33" s="8" t="inlineStr">
        <is>
          <t>status / source_turn / corrected_at</t>
        </is>
      </c>
      <c r="C33" s="8" t="inlineStr">
        <is>
          <t>audit fields</t>
        </is>
      </c>
      <c r="D33" s="8" t="inlineStr">
        <is>
          <t>Required</t>
        </is>
      </c>
      <c r="E33" s="8" t="inlineStr">
        <is>
          <t>Unknown, asserted, confirmed or contradicted fact</t>
        </is>
      </c>
      <c r="F33" s="8" t="inlineStr">
        <is>
          <t>unknown</t>
        </is>
      </c>
      <c r="G33" s="8" t="inlineStr">
        <is>
          <t>Do not equate missing with false.</t>
        </is>
      </c>
    </row>
    <row r="34" ht="40" customHeight="1">
      <c r="A34" s="4" t="inlineStr">
        <is>
          <t>application_route</t>
        </is>
      </c>
      <c r="B34" s="4" t="inlineStr">
        <is>
          <t>route_id / applicability / mode</t>
        </is>
      </c>
      <c r="C34" s="4" t="inlineStr">
        <is>
          <t>JSONB + enum</t>
        </is>
      </c>
      <c r="D34" s="4" t="inlineStr">
        <is>
          <t>Required</t>
        </is>
      </c>
      <c r="E34" s="4" t="inlineStr">
        <is>
          <t>Alternative process for applicant class</t>
        </is>
      </c>
      <c r="F34" s="4" t="inlineStr">
        <is>
          <t>National vs state organisation</t>
        </is>
      </c>
      <c r="G34" s="4" t="inlineStr">
        <is>
          <t>Online label may contain physical submission steps.</t>
        </is>
      </c>
    </row>
    <row r="35" ht="40" customHeight="1">
      <c r="A35" s="8" t="inlineStr">
        <is>
          <t>application_step</t>
        </is>
      </c>
      <c r="B35" s="8" t="inlineStr">
        <is>
          <t>step_id / phase / actor / action</t>
        </is>
      </c>
      <c r="C35" s="8" t="inlineStr">
        <is>
          <t>structured fields</t>
        </is>
      </c>
      <c r="D35" s="8" t="inlineStr">
        <is>
          <t>Required</t>
        </is>
      </c>
      <c r="E35" s="8" t="inlineStr">
        <is>
          <t>Registration, application, verification, payment</t>
        </is>
      </c>
      <c r="F35" s="8" t="inlineStr">
        <is>
          <t>Department verifies</t>
        </is>
      </c>
      <c r="G35" s="8" t="inlineStr">
        <is>
          <t>Do not ask citizen to perform authority-only action.</t>
        </is>
      </c>
    </row>
    <row r="36" ht="40" customHeight="1">
      <c r="A36" s="4" t="inlineStr">
        <is>
          <t>application_step</t>
        </is>
      </c>
      <c r="B36" s="4" t="inlineStr">
        <is>
          <t>depends_on / deadline / destination</t>
        </is>
      </c>
      <c r="C36" s="4" t="inlineStr">
        <is>
          <t>relations + JSONB + URL</t>
        </is>
      </c>
      <c r="D36" s="4" t="inlineStr">
        <is>
          <t>Optional</t>
        </is>
      </c>
      <c r="E36" s="4" t="inlineStr">
        <is>
          <t>Order, event-triggered deadlines and verified destination</t>
        </is>
      </c>
      <c r="F36" s="4" t="inlineStr">
        <is>
          <t>Two months from sale</t>
        </is>
      </c>
      <c r="G36" s="4" t="inlineStr">
        <is>
          <t>Keep source ambiguity instead of inventing a date.</t>
        </is>
      </c>
    </row>
    <row r="37" ht="40" customHeight="1">
      <c r="A37" s="8" t="inlineStr">
        <is>
          <t>document_requirement</t>
        </is>
      </c>
      <c r="B37" s="8" t="inlineStr">
        <is>
          <t>document_id / alternatives / applies_when</t>
        </is>
      </c>
      <c r="C37" s="8" t="inlineStr">
        <is>
          <t>JSONB + relations</t>
        </is>
      </c>
      <c r="D37" s="8" t="inlineStr">
        <is>
          <t>Required + conditional</t>
        </is>
      </c>
      <c r="E37" s="8" t="inlineStr">
        <is>
          <t>Evidence and stage-specific alternatives</t>
        </is>
      </c>
      <c r="F37" s="8" t="inlineStr">
        <is>
          <t>NOC only for students</t>
        </is>
      </c>
      <c r="G37" s="8" t="inlineStr">
        <is>
          <t>Blank source document list is an unresolved gap.</t>
        </is>
      </c>
    </row>
    <row r="38" ht="40" customHeight="1">
      <c r="A38" s="4" t="inlineStr">
        <is>
          <t>benefit</t>
        </is>
      </c>
      <c r="B38" s="4" t="inlineStr">
        <is>
          <t>benefit_type / formula / cap / unit</t>
        </is>
      </c>
      <c r="C38" s="4" t="inlineStr">
        <is>
          <t>structured values + JSONB</t>
        </is>
      </c>
      <c r="D38" s="4" t="inlineStr">
        <is>
          <t>Conditional</t>
        </is>
      </c>
      <c r="E38" s="4" t="inlineStr">
        <is>
          <t>Cash, loan, service, award; reviewed calculation</t>
        </is>
      </c>
      <c r="F38" s="4" t="inlineStr">
        <is>
          <t>10% sales; cap varies</t>
        </is>
      </c>
      <c r="G38" s="4" t="inlineStr">
        <is>
          <t>Do not confuse central share with total benefit.</t>
        </is>
      </c>
    </row>
    <row r="39" ht="40" customHeight="1">
      <c r="A39" s="8" t="inlineStr">
        <is>
          <t>evaluation</t>
        </is>
      </c>
      <c r="B39" s="8" t="inlineStr">
        <is>
          <t>verdict / missing_fields / deciding_rule_ids</t>
        </is>
      </c>
      <c r="C39" s="8" t="inlineStr">
        <is>
          <t>JSONB</t>
        </is>
      </c>
      <c r="D39" s="8" t="inlineStr">
        <is>
          <t>Required</t>
        </is>
      </c>
      <c r="E39" s="8" t="inlineStr">
        <is>
          <t>Three-valued rule evaluation and provenance</t>
        </is>
      </c>
      <c r="F39" s="8" t="inlineStr">
        <is>
          <t>cant_tell</t>
        </is>
      </c>
      <c r="G39" s="8" t="inlineStr">
        <is>
          <t>Track relevance, eligibility, readiness and availability separately.</t>
        </is>
      </c>
    </row>
    <row r="40" ht="40" customHeight="1">
      <c r="A40" s="4" t="inlineStr">
        <is>
          <t>audit</t>
        </is>
      </c>
      <c r="B40" s="4" t="inlineStr">
        <is>
          <t>change / old_version / reviewer</t>
        </is>
      </c>
      <c r="C40" s="4" t="inlineStr">
        <is>
          <t>append-only records</t>
        </is>
      </c>
      <c r="D40" s="4" t="inlineStr">
        <is>
          <t>Required</t>
        </is>
      </c>
      <c r="E40" s="4" t="inlineStr">
        <is>
          <t>Review and publication history</t>
        </is>
      </c>
      <c r="F40" s="4" t="inlineStr">
        <is>
          <t>Rule withdrawal</t>
        </is>
      </c>
      <c r="G40" s="4" t="inlineStr">
        <is>
          <t>Do not silently overwrite published policy.</t>
        </is>
      </c>
    </row>
    <row r="41" ht="40" customHeight="1">
      <c r="A41" s="8" t="inlineStr">
        <is>
          <t>extensions</t>
        </is>
      </c>
      <c r="B41" s="8" t="inlineStr">
        <is>
          <t>raw_source_payload / unmapped_attributes</t>
        </is>
      </c>
      <c r="C41" s="8" t="inlineStr">
        <is>
          <t>JSONB</t>
        </is>
      </c>
      <c r="D41" s="8" t="inlineStr">
        <is>
          <t>Optional</t>
        </is>
      </c>
      <c r="E41" s="8" t="inlineStr">
        <is>
          <t>Retain unfamiliar source fields for future requirements</t>
        </is>
      </c>
      <c r="F41" s="8" t="inlineStr">
        <is>
          <t>New benefit subtype</t>
        </is>
      </c>
      <c r="G41" s="8" t="inlineStr">
        <is>
          <t>Promotion to executable rule requires review and tests.</t>
        </is>
      </c>
    </row>
  </sheetData>
  <pageMargins left="0.7" right="0.7" top="0.75" bottom="0.75" header="0.3" footer="0.3"/>
  <pageSetup orientation="landscape" paperSize="9" fitToHeight="0"/>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2:D35"/>
  <sheetViews>
    <sheetView showGridLines="0" workbookViewId="0">
      <pane ySplit="5" topLeftCell="A6" activePane="bottomLeft" state="frozen"/>
      <selection pane="bottomLeft" activeCell="A1" sqref="A1"/>
    </sheetView>
  </sheetViews>
  <sheetFormatPr baseColWidth="8" defaultRowHeight="15"/>
  <cols>
    <col width="24.7109375" customWidth="1" min="1" max="1"/>
    <col width="70.7109375" customWidth="1" min="2" max="2"/>
    <col width="16.7109375" customWidth="1" min="3" max="3"/>
    <col width="130.7109375" customWidth="1" min="4" max="4"/>
  </cols>
  <sheetData>
    <row r="2" ht="28" customHeight="1">
      <c r="A2" s="1" t="inlineStr">
        <is>
          <t>Coverage and review guide</t>
        </is>
      </c>
    </row>
    <row r="3" ht="22" customHeight="1">
      <c r="A3" s="2" t="inlineStr">
        <is>
          <t>60 schemes across all 15 official myScheme categories. No policy rule has been automatically approved.</t>
        </is>
      </c>
    </row>
    <row r="5" ht="45" customHeight="1">
      <c r="A5" s="3" t="inlineStr">
        <is>
          <t>Group</t>
        </is>
      </c>
      <c r="B5" s="3" t="inlineStr">
        <is>
          <t>Measure / topic</t>
        </is>
      </c>
      <c r="C5" s="3" t="inlineStr">
        <is>
          <t>Count</t>
        </is>
      </c>
      <c r="D5" s="3" t="inlineStr">
        <is>
          <t>Explanation</t>
        </is>
      </c>
    </row>
    <row r="6" ht="40" customHeight="1">
      <c r="A6" s="4" t="inlineStr">
        <is>
          <t>Schemes</t>
        </is>
      </c>
      <c r="B6" s="4" t="inlineStr">
        <is>
          <t>Total records</t>
        </is>
      </c>
      <c r="C6" s="12">
        <f>COUNTA('Scheme review'!A6:A65)</f>
        <v/>
      </c>
      <c r="D6" s="4" t="inlineStr">
        <is>
          <t>Includes the original ten and all six user examples.</t>
        </is>
      </c>
    </row>
    <row r="7" ht="40" customHeight="1">
      <c r="A7" s="8" t="inlineStr">
        <is>
          <t>Schemes</t>
        </is>
      </c>
      <c r="B7" s="8" t="inlineStr">
        <is>
          <t>Central</t>
        </is>
      </c>
      <c r="C7" s="13">
        <f>COUNTIFS('Scheme review'!C6:C65,"Central")</f>
        <v/>
      </c>
      <c r="D7" s="8" t="inlineStr"/>
    </row>
    <row r="8" ht="40" customHeight="1">
      <c r="A8" s="4" t="inlineStr">
        <is>
          <t>Schemes</t>
        </is>
      </c>
      <c r="B8" s="4" t="inlineStr">
        <is>
          <t>Maharashtra State</t>
        </is>
      </c>
      <c r="C8" s="12">
        <f>COUNTIFS('Scheme review'!C6:C65,"State")</f>
        <v/>
      </c>
      <c r="D8" s="4" t="inlineStr">
        <is>
          <t>Normalised from State and State/ UT labels.</t>
        </is>
      </c>
    </row>
    <row r="9" ht="40" customHeight="1">
      <c r="A9" s="8" t="inlineStr">
        <is>
          <t>Sources</t>
        </is>
      </c>
      <c r="B9" s="8" t="inlineStr">
        <is>
          <t>Fresh public-feed records</t>
        </is>
      </c>
      <c r="C9" s="8" t="n">
        <v>58</v>
      </c>
      <c r="D9" s="8" t="inlineStr">
        <is>
          <t>English scheme, applicant-document and FAQ feeds collected 24 Oct 2026.</t>
        </is>
      </c>
    </row>
    <row r="10" ht="40" customHeight="1">
      <c r="A10" s="4" t="inlineStr">
        <is>
          <t>Sources</t>
        </is>
      </c>
      <c r="B10" s="4" t="inlineStr">
        <is>
          <t>Retained department/GR extracts</t>
        </is>
      </c>
      <c r="C10" s="4" t="n">
        <v>2</v>
      </c>
      <c r="D10" s="4" t="inlineStr">
        <is>
          <t>Lek Ladki and Vayoshri retain earlier source extracts. Full capture pending.</t>
        </is>
      </c>
    </row>
    <row r="11" ht="40" customHeight="1">
      <c r="A11" s="8" t="inlineStr">
        <is>
          <t>Review</t>
        </is>
      </c>
      <c r="B11" s="8" t="inlineStr">
        <is>
          <t>Approved schemes</t>
        </is>
      </c>
      <c r="C11" s="13">
        <f>COUNTIFS('Scheme review'!K6:K65,"Approved")</f>
        <v/>
      </c>
      <c r="D11" s="8" t="inlineStr">
        <is>
          <t>Driven by the review status on Scheme review.</t>
        </is>
      </c>
    </row>
    <row r="12" ht="40" customHeight="1">
      <c r="A12" s="4" t="inlineStr">
        <is>
          <t>Review</t>
        </is>
      </c>
      <c r="B12" s="4" t="inlineStr">
        <is>
          <t>Remaining schemes</t>
        </is>
      </c>
      <c r="C12" s="12">
        <f>C6-C11</f>
        <v/>
      </c>
      <c r="D12" s="4" t="inlineStr">
        <is>
          <t>Not started, in review, needs correction or excluded are not approved.</t>
        </is>
      </c>
    </row>
    <row r="13" ht="40" customHeight="1">
      <c r="A13" s="8" t="inlineStr">
        <is>
          <t>Category</t>
        </is>
      </c>
      <c r="B13" s="8" t="inlineStr">
        <is>
          <t>Banking,Financial Services and Insurance</t>
        </is>
      </c>
      <c r="C13" s="13">
        <f>COUNTIFS('Scheme review'!N6:N65,"*Banking,Financial Services and Insurance*")</f>
        <v/>
      </c>
      <c r="D13" s="8" t="inlineStr">
        <is>
          <t>Multi-category schemes are counted in each category.</t>
        </is>
      </c>
    </row>
    <row r="14" ht="40" customHeight="1">
      <c r="A14" s="4" t="inlineStr">
        <is>
          <t>Category</t>
        </is>
      </c>
      <c r="B14" s="4" t="inlineStr">
        <is>
          <t>Social welfare &amp; Empowerment</t>
        </is>
      </c>
      <c r="C14" s="12">
        <f>COUNTIFS('Scheme review'!N6:N65,"*Social welfare &amp; Empowerment*")</f>
        <v/>
      </c>
      <c r="D14" s="4" t="inlineStr">
        <is>
          <t>Multi-category schemes are counted in each category.</t>
        </is>
      </c>
    </row>
    <row r="15" ht="40" customHeight="1">
      <c r="A15" s="8" t="inlineStr">
        <is>
          <t>Category</t>
        </is>
      </c>
      <c r="B15" s="8" t="inlineStr">
        <is>
          <t>Agriculture,Rural &amp; Environment</t>
        </is>
      </c>
      <c r="C15" s="13">
        <f>COUNTIFS('Scheme review'!N6:N65,"*Agriculture,Rural &amp; Environment*")</f>
        <v/>
      </c>
      <c r="D15" s="8" t="inlineStr">
        <is>
          <t>Multi-category schemes are counted in each category.</t>
        </is>
      </c>
    </row>
    <row r="16" ht="40" customHeight="1">
      <c r="A16" s="4" t="inlineStr">
        <is>
          <t>Category</t>
        </is>
      </c>
      <c r="B16" s="4" t="inlineStr">
        <is>
          <t>Women and Child</t>
        </is>
      </c>
      <c r="C16" s="12">
        <f>COUNTIFS('Scheme review'!N6:N65,"*Women and Child*")</f>
        <v/>
      </c>
      <c r="D16" s="4" t="inlineStr">
        <is>
          <t>Multi-category schemes are counted in each category.</t>
        </is>
      </c>
    </row>
    <row r="17" ht="40" customHeight="1">
      <c r="A17" s="8" t="inlineStr">
        <is>
          <t>Category</t>
        </is>
      </c>
      <c r="B17" s="8" t="inlineStr">
        <is>
          <t>Business &amp; Entrepreneurship</t>
        </is>
      </c>
      <c r="C17" s="13">
        <f>COUNTIFS('Scheme review'!N6:N65,"*Business &amp; Entrepreneurship*")</f>
        <v/>
      </c>
      <c r="D17" s="8" t="inlineStr">
        <is>
          <t>Multi-category schemes are counted in each category.</t>
        </is>
      </c>
    </row>
    <row r="18" ht="40" customHeight="1">
      <c r="A18" s="4" t="inlineStr">
        <is>
          <t>Category</t>
        </is>
      </c>
      <c r="B18" s="4" t="inlineStr">
        <is>
          <t>Science, IT &amp; Communications</t>
        </is>
      </c>
      <c r="C18" s="12">
        <f>COUNTIFS('Scheme review'!N6:N65,"*Science, IT &amp; Communications*")</f>
        <v/>
      </c>
      <c r="D18" s="4" t="inlineStr">
        <is>
          <t>Multi-category schemes are counted in each category.</t>
        </is>
      </c>
    </row>
    <row r="19" ht="40" customHeight="1">
      <c r="A19" s="8" t="inlineStr">
        <is>
          <t>Category</t>
        </is>
      </c>
      <c r="B19" s="8" t="inlineStr">
        <is>
          <t>Education &amp; Learning</t>
        </is>
      </c>
      <c r="C19" s="13">
        <f>COUNTIFS('Scheme review'!N6:N65,"*Education &amp; Learning*")</f>
        <v/>
      </c>
      <c r="D19" s="8" t="inlineStr">
        <is>
          <t>Multi-category schemes are counted in each category.</t>
        </is>
      </c>
    </row>
    <row r="20" ht="40" customHeight="1">
      <c r="A20" s="4" t="inlineStr">
        <is>
          <t>Category</t>
        </is>
      </c>
      <c r="B20" s="4" t="inlineStr">
        <is>
          <t>Health &amp; Wellness</t>
        </is>
      </c>
      <c r="C20" s="12">
        <f>COUNTIFS('Scheme review'!N6:N65,"*Health &amp; Wellness*")</f>
        <v/>
      </c>
      <c r="D20" s="4" t="inlineStr">
        <is>
          <t>Multi-category schemes are counted in each category.</t>
        </is>
      </c>
    </row>
    <row r="21" ht="40" customHeight="1">
      <c r="A21" s="8" t="inlineStr">
        <is>
          <t>Category</t>
        </is>
      </c>
      <c r="B21" s="8" t="inlineStr">
        <is>
          <t>Housing &amp; Shelter</t>
        </is>
      </c>
      <c r="C21" s="13">
        <f>COUNTIFS('Scheme review'!N6:N65,"*Housing &amp; Shelter*")</f>
        <v/>
      </c>
      <c r="D21" s="8" t="inlineStr">
        <is>
          <t>Multi-category schemes are counted in each category.</t>
        </is>
      </c>
    </row>
    <row r="22" ht="40" customHeight="1">
      <c r="A22" s="4" t="inlineStr">
        <is>
          <t>Category</t>
        </is>
      </c>
      <c r="B22" s="4" t="inlineStr">
        <is>
          <t>Public Safety,Law &amp; Justice</t>
        </is>
      </c>
      <c r="C22" s="12">
        <f>COUNTIFS('Scheme review'!N6:N65,"*Public Safety,Law &amp; Justice*")</f>
        <v/>
      </c>
      <c r="D22" s="4" t="inlineStr">
        <is>
          <t>Multi-category schemes are counted in each category.</t>
        </is>
      </c>
    </row>
    <row r="23" ht="40" customHeight="1">
      <c r="A23" s="8" t="inlineStr">
        <is>
          <t>Category</t>
        </is>
      </c>
      <c r="B23" s="8" t="inlineStr">
        <is>
          <t>Skills &amp; Employment</t>
        </is>
      </c>
      <c r="C23" s="13">
        <f>COUNTIFS('Scheme review'!N6:N65,"*Skills &amp; Employment*")</f>
        <v/>
      </c>
      <c r="D23" s="8" t="inlineStr">
        <is>
          <t>Multi-category schemes are counted in each category.</t>
        </is>
      </c>
    </row>
    <row r="24" ht="40" customHeight="1">
      <c r="A24" s="4" t="inlineStr">
        <is>
          <t>Category</t>
        </is>
      </c>
      <c r="B24" s="4" t="inlineStr">
        <is>
          <t>Sports &amp; Culture</t>
        </is>
      </c>
      <c r="C24" s="12">
        <f>COUNTIFS('Scheme review'!N6:N65,"*Sports &amp; Culture*")</f>
        <v/>
      </c>
      <c r="D24" s="4" t="inlineStr">
        <is>
          <t>Multi-category schemes are counted in each category.</t>
        </is>
      </c>
    </row>
    <row r="25" ht="40" customHeight="1">
      <c r="A25" s="8" t="inlineStr">
        <is>
          <t>Category</t>
        </is>
      </c>
      <c r="B25" s="8" t="inlineStr">
        <is>
          <t>Transport &amp; Infrastructure</t>
        </is>
      </c>
      <c r="C25" s="13">
        <f>COUNTIFS('Scheme review'!N6:N65,"*Transport &amp; Infrastructure*")</f>
        <v/>
      </c>
      <c r="D25" s="8" t="inlineStr">
        <is>
          <t>Multi-category schemes are counted in each category.</t>
        </is>
      </c>
    </row>
    <row r="26" ht="40" customHeight="1">
      <c r="A26" s="4" t="inlineStr">
        <is>
          <t>Category</t>
        </is>
      </c>
      <c r="B26" s="4" t="inlineStr">
        <is>
          <t>Utility &amp; Sanitation</t>
        </is>
      </c>
      <c r="C26" s="12">
        <f>COUNTIFS('Scheme review'!N6:N65,"*Utility &amp; Sanitation*")</f>
        <v/>
      </c>
      <c r="D26" s="4" t="inlineStr">
        <is>
          <t>Multi-category schemes are counted in each category.</t>
        </is>
      </c>
    </row>
    <row r="27" ht="40" customHeight="1">
      <c r="A27" s="8" t="inlineStr">
        <is>
          <t>Category</t>
        </is>
      </c>
      <c r="B27" s="8" t="inlineStr">
        <is>
          <t>Travel &amp; Tourism</t>
        </is>
      </c>
      <c r="C27" s="13">
        <f>COUNTIFS('Scheme review'!N6:N65,"*Travel &amp; Tourism*")</f>
        <v/>
      </c>
      <c r="D27" s="8" t="inlineStr">
        <is>
          <t>Multi-category schemes are counted in each category.</t>
        </is>
      </c>
    </row>
    <row r="28" ht="40" customHeight="1">
      <c r="A28" s="4" t="inlineStr">
        <is>
          <t>Review guidance</t>
        </is>
      </c>
      <c r="B28" s="4" t="inlineStr">
        <is>
          <t>Where to start</t>
        </is>
      </c>
      <c r="C28" s="4" t="n"/>
      <c r="D28" s="4" t="inlineStr">
        <is>
          <t>Review component/subject/stage semantics in the six user examples first.</t>
        </is>
      </c>
    </row>
    <row r="29" ht="40" customHeight="1">
      <c r="A29" s="8" t="inlineStr">
        <is>
          <t>Review guidance</t>
        </is>
      </c>
      <c r="B29" s="8" t="inlineStr">
        <is>
          <t>Exact text vs executable rules</t>
        </is>
      </c>
      <c r="C29" s="8" t="n"/>
      <c r="D29" s="8" t="inlineStr">
        <is>
          <t>Source passages retain published text. Eligibility source rows require field/operator/grouping review.</t>
        </is>
      </c>
    </row>
    <row r="30" ht="40" customHeight="1">
      <c r="A30" s="4" t="inlineStr">
        <is>
          <t>Review guidance</t>
        </is>
      </c>
      <c r="B30" s="4" t="inlineStr">
        <is>
          <t>Source conflicts</t>
        </is>
      </c>
      <c r="C30" s="4" t="n"/>
      <c r="D30" s="4" t="inlineStr">
        <is>
          <t>Earlier ten reviewed-extract notes are retained beside fresh myScheme data; resolve against current guidelines.</t>
        </is>
      </c>
    </row>
    <row r="31" ht="40" customHeight="1">
      <c r="A31" s="8" t="inlineStr">
        <is>
          <t>Review guidance</t>
        </is>
      </c>
      <c r="B31" s="8" t="inlineStr">
        <is>
          <t>Availability</t>
        </is>
      </c>
      <c r="C31" s="8" t="n"/>
      <c r="D31" s="8" t="inlineStr">
        <is>
          <t>All availability fields remain Not verified. No inference from a live page or absent closing date.</t>
        </is>
      </c>
    </row>
    <row r="32" ht="40" customHeight="1">
      <c r="A32" s="4" t="inlineStr">
        <is>
          <t>Review guidance</t>
        </is>
      </c>
      <c r="B32" s="4" t="inlineStr">
        <is>
          <t>Currentness and document links</t>
        </is>
      </c>
      <c r="C32" s="4" t="n"/>
      <c r="D32" s="4" t="inlineStr">
        <is>
          <t>Most guideline/form destinations are listed by myScheme and have not been independently checked.</t>
        </is>
      </c>
    </row>
    <row r="33" ht="40" customHeight="1">
      <c r="A33" s="8" t="inlineStr">
        <is>
          <t>Review guidance</t>
        </is>
      </c>
      <c r="B33" s="8" t="inlineStr">
        <is>
          <t>Missing source sections</t>
        </is>
      </c>
      <c r="C33" s="8" t="n"/>
      <c r="D33" s="8" t="inlineStr">
        <is>
          <t>Empty or absent is explicitly recorded, never converted to no exclusions/no documents.</t>
        </is>
      </c>
    </row>
    <row r="34" ht="40" customHeight="1">
      <c r="A34" s="4" t="inlineStr">
        <is>
          <t>Review guidance</t>
        </is>
      </c>
      <c r="B34" s="4" t="inlineStr">
        <is>
          <t>Scope of the sample</t>
        </is>
      </c>
      <c r="C34" s="4" t="n"/>
      <c r="D34" s="4" t="inlineStr">
        <is>
          <t>Includes individual, household, institutional, project and transaction cases. Some programmes require authority selection rather than direct citizen application.</t>
        </is>
      </c>
    </row>
    <row r="35" ht="40" customHeight="1">
      <c r="A35" s="8" t="inlineStr">
        <is>
          <t>Review guidance</t>
        </is>
      </c>
      <c r="B35" s="8" t="inlineStr">
        <is>
          <t>Original review workflow</t>
        </is>
      </c>
      <c r="C35" s="8" t="n"/>
      <c r="D35" s="8" t="inlineStr">
        <is>
          <t>Original identifiers, 67 draft rules, 30 sources and reviewer cells preserved. New source extraction remains unapproved.</t>
        </is>
      </c>
    </row>
  </sheetData>
  <pageMargins left="0.7" right="0.7" top="0.75" bottom="0.75" header="0.3" footer="0.3"/>
  <pageSetup orientation="landscape" paperSize="9" fitToHeight="0"/>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2026-10-24T05:12:43Z</dcterms:created>
  <dcterms:modified xsi:type="dcterms:W3CDTF">2026-11-01T17:02:09Z</dcterms:modified>
</cp:coreProperties>
</file>